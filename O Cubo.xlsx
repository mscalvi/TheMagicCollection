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"/>
    </mc:Choice>
  </mc:AlternateContent>
  <xr:revisionPtr revIDLastSave="0" documentId="13_ncr:1_{4F40A11A-00F8-4D43-8AB7-21CC9EAD7E40}" xr6:coauthVersionLast="47" xr6:coauthVersionMax="47" xr10:uidLastSave="{00000000-0000-0000-0000-000000000000}"/>
  <bookViews>
    <workbookView xWindow="-120" yWindow="-120" windowWidth="29040" windowHeight="15720" tabRatio="835" activeTab="18" xr2:uid="{CC72415A-D2E5-4D77-82BF-05A7B4384BC9}"/>
  </bookViews>
  <sheets>
    <sheet name="COMPRAS" sheetId="19" r:id="rId1"/>
    <sheet name="Ideias" sheetId="70" r:id="rId2"/>
    <sheet name="Distribuição" sheetId="65" r:id="rId3"/>
    <sheet name="WU" sheetId="75" r:id="rId4"/>
    <sheet name="WR" sheetId="76" r:id="rId5"/>
    <sheet name="WB" sheetId="74" r:id="rId6"/>
    <sheet name="WG" sheetId="71" r:id="rId7"/>
    <sheet name="UR" sheetId="78" r:id="rId8"/>
    <sheet name="UB" sheetId="79" r:id="rId9"/>
    <sheet name="UG" sheetId="77" r:id="rId10"/>
    <sheet name="RB" sheetId="73" r:id="rId11"/>
    <sheet name="RG" sheetId="80" r:id="rId12"/>
    <sheet name="BG" sheetId="72" r:id="rId13"/>
    <sheet name="W" sheetId="41" r:id="rId14"/>
    <sheet name="U" sheetId="66" r:id="rId15"/>
    <sheet name="R" sheetId="67" r:id="rId16"/>
    <sheet name="B" sheetId="69" r:id="rId17"/>
    <sheet name="G" sheetId="68" r:id="rId18"/>
    <sheet name="I" sheetId="81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81" l="1"/>
  <c r="E48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Q9" i="65"/>
  <c r="Q10" i="65"/>
  <c r="Q11" i="65"/>
  <c r="Q12" i="65"/>
  <c r="Q13" i="65"/>
  <c r="Q14" i="65"/>
  <c r="Q15" i="65"/>
  <c r="Q16" i="65"/>
  <c r="Q17" i="65"/>
  <c r="Q18" i="65"/>
  <c r="Q3" i="65"/>
  <c r="Q4" i="65"/>
  <c r="Q5" i="65"/>
  <c r="Q6" i="65"/>
  <c r="Q7" i="65"/>
  <c r="Q2" i="65"/>
  <c r="E52" i="81"/>
  <c r="E51" i="81"/>
  <c r="E50" i="81"/>
  <c r="E49" i="81"/>
  <c r="E47" i="81"/>
  <c r="E29" i="81"/>
  <c r="E28" i="81"/>
  <c r="E27" i="81"/>
  <c r="E46" i="81"/>
  <c r="E45" i="81"/>
  <c r="E44" i="81"/>
  <c r="E43" i="81"/>
  <c r="E42" i="81"/>
  <c r="E41" i="81"/>
  <c r="E40" i="81"/>
  <c r="E39" i="81"/>
  <c r="E38" i="81"/>
  <c r="E37" i="81"/>
  <c r="E36" i="81"/>
  <c r="E35" i="81"/>
  <c r="E34" i="81"/>
  <c r="E33" i="81"/>
  <c r="E32" i="81"/>
  <c r="E31" i="81"/>
  <c r="E30" i="81"/>
  <c r="E26" i="81"/>
  <c r="E25" i="81"/>
  <c r="E24" i="81"/>
  <c r="E23" i="81"/>
  <c r="E22" i="81"/>
  <c r="E21" i="81"/>
  <c r="E20" i="81"/>
  <c r="E19" i="81"/>
  <c r="E17" i="81"/>
  <c r="E16" i="81"/>
  <c r="E15" i="81"/>
  <c r="E14" i="81"/>
  <c r="E13" i="81"/>
  <c r="E12" i="81"/>
  <c r="E11" i="81"/>
  <c r="E10" i="81"/>
  <c r="E9" i="81"/>
  <c r="H3" i="81" s="1"/>
  <c r="E8" i="81"/>
  <c r="E7" i="81"/>
  <c r="E6" i="81"/>
  <c r="E5" i="81"/>
  <c r="H4" i="81"/>
  <c r="E4" i="81"/>
  <c r="E3" i="81"/>
  <c r="E15" i="67"/>
  <c r="E14" i="67"/>
  <c r="E15" i="69"/>
  <c r="E14" i="69"/>
  <c r="E15" i="68"/>
  <c r="E14" i="68"/>
  <c r="E15" i="66"/>
  <c r="E14" i="66"/>
  <c r="E17" i="67"/>
  <c r="E16" i="67"/>
  <c r="E13" i="67"/>
  <c r="E12" i="67"/>
  <c r="E11" i="67"/>
  <c r="E10" i="67"/>
  <c r="E9" i="67"/>
  <c r="E8" i="67"/>
  <c r="E7" i="67"/>
  <c r="E17" i="69"/>
  <c r="E16" i="69"/>
  <c r="E13" i="69"/>
  <c r="E12" i="69"/>
  <c r="E11" i="69"/>
  <c r="E10" i="69"/>
  <c r="E9" i="69"/>
  <c r="E8" i="69"/>
  <c r="E7" i="69"/>
  <c r="E17" i="68"/>
  <c r="E16" i="68"/>
  <c r="E13" i="68"/>
  <c r="E12" i="68"/>
  <c r="E11" i="68"/>
  <c r="E10" i="68"/>
  <c r="E9" i="68"/>
  <c r="E8" i="68"/>
  <c r="E7" i="68"/>
  <c r="E17" i="66"/>
  <c r="E16" i="66"/>
  <c r="E13" i="66"/>
  <c r="E12" i="66"/>
  <c r="E11" i="66"/>
  <c r="E10" i="66"/>
  <c r="E9" i="66"/>
  <c r="E8" i="66"/>
  <c r="E7" i="66"/>
  <c r="E16" i="41"/>
  <c r="E15" i="41"/>
  <c r="E14" i="41"/>
  <c r="E13" i="41"/>
  <c r="E12" i="41"/>
  <c r="E11" i="41"/>
  <c r="E10" i="41"/>
  <c r="E9" i="41"/>
  <c r="E8" i="41"/>
  <c r="E7" i="41"/>
  <c r="E25" i="41"/>
  <c r="E6" i="66"/>
  <c r="E6" i="67"/>
  <c r="E6" i="69"/>
  <c r="E6" i="68"/>
  <c r="E6" i="41"/>
  <c r="E35" i="66"/>
  <c r="E36" i="66"/>
  <c r="E37" i="66"/>
  <c r="E38" i="66"/>
  <c r="E39" i="66"/>
  <c r="E40" i="66"/>
  <c r="E41" i="66"/>
  <c r="E42" i="66"/>
  <c r="E43" i="66"/>
  <c r="E44" i="66"/>
  <c r="E45" i="66"/>
  <c r="E46" i="66"/>
  <c r="E47" i="66"/>
  <c r="E48" i="66"/>
  <c r="E49" i="66"/>
  <c r="E50" i="66"/>
  <c r="E51" i="66"/>
  <c r="E52" i="66"/>
  <c r="E53" i="66"/>
  <c r="E54" i="66"/>
  <c r="E55" i="66"/>
  <c r="E56" i="66"/>
  <c r="E57" i="66"/>
  <c r="E58" i="66"/>
  <c r="E59" i="66"/>
  <c r="E60" i="66"/>
  <c r="E61" i="66"/>
  <c r="E62" i="66"/>
  <c r="E63" i="66"/>
  <c r="E64" i="66"/>
  <c r="E65" i="66"/>
  <c r="E66" i="66"/>
  <c r="E35" i="67"/>
  <c r="E36" i="67"/>
  <c r="E37" i="67"/>
  <c r="E38" i="67"/>
  <c r="E39" i="67"/>
  <c r="E40" i="67"/>
  <c r="E41" i="67"/>
  <c r="E42" i="67"/>
  <c r="E43" i="67"/>
  <c r="E44" i="67"/>
  <c r="E45" i="67"/>
  <c r="E46" i="67"/>
  <c r="E47" i="67"/>
  <c r="E48" i="67"/>
  <c r="E49" i="67"/>
  <c r="E50" i="67"/>
  <c r="E51" i="67"/>
  <c r="E52" i="67"/>
  <c r="E53" i="67"/>
  <c r="E54" i="67"/>
  <c r="E55" i="67"/>
  <c r="E56" i="67"/>
  <c r="E57" i="67"/>
  <c r="E58" i="67"/>
  <c r="E59" i="67"/>
  <c r="E60" i="67"/>
  <c r="E61" i="67"/>
  <c r="E62" i="67"/>
  <c r="E63" i="67"/>
  <c r="E64" i="67"/>
  <c r="E65" i="67"/>
  <c r="E66" i="67"/>
  <c r="E35" i="69"/>
  <c r="E36" i="69"/>
  <c r="E37" i="69"/>
  <c r="E38" i="69"/>
  <c r="E39" i="69"/>
  <c r="E40" i="69"/>
  <c r="E41" i="69"/>
  <c r="E42" i="69"/>
  <c r="E43" i="69"/>
  <c r="E44" i="69"/>
  <c r="E45" i="69"/>
  <c r="E46" i="69"/>
  <c r="E47" i="69"/>
  <c r="E48" i="69"/>
  <c r="E49" i="69"/>
  <c r="E50" i="69"/>
  <c r="E51" i="69"/>
  <c r="E52" i="69"/>
  <c r="E53" i="69"/>
  <c r="E54" i="69"/>
  <c r="E55" i="69"/>
  <c r="E56" i="69"/>
  <c r="E57" i="69"/>
  <c r="E58" i="69"/>
  <c r="E59" i="69"/>
  <c r="E60" i="69"/>
  <c r="E61" i="69"/>
  <c r="E62" i="69"/>
  <c r="E63" i="69"/>
  <c r="E64" i="69"/>
  <c r="E65" i="69"/>
  <c r="E66" i="69"/>
  <c r="E35" i="68"/>
  <c r="E36" i="68"/>
  <c r="E37" i="68"/>
  <c r="E38" i="68"/>
  <c r="E39" i="68"/>
  <c r="E40" i="68"/>
  <c r="E41" i="68"/>
  <c r="E42" i="68"/>
  <c r="E43" i="68"/>
  <c r="E44" i="68"/>
  <c r="E45" i="68"/>
  <c r="E46" i="68"/>
  <c r="E47" i="68"/>
  <c r="E48" i="68"/>
  <c r="E49" i="68"/>
  <c r="E50" i="68"/>
  <c r="E51" i="68"/>
  <c r="E52" i="68"/>
  <c r="E53" i="68"/>
  <c r="E54" i="68"/>
  <c r="E55" i="68"/>
  <c r="E56" i="68"/>
  <c r="E57" i="68"/>
  <c r="E58" i="68"/>
  <c r="E59" i="68"/>
  <c r="E60" i="68"/>
  <c r="E61" i="68"/>
  <c r="E62" i="68"/>
  <c r="E63" i="68"/>
  <c r="E64" i="68"/>
  <c r="E65" i="68"/>
  <c r="E66" i="68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17" i="80"/>
  <c r="E16" i="80"/>
  <c r="E15" i="80"/>
  <c r="E14" i="80"/>
  <c r="E13" i="80"/>
  <c r="E12" i="80"/>
  <c r="E11" i="80"/>
  <c r="E10" i="80"/>
  <c r="E9" i="80"/>
  <c r="E8" i="80"/>
  <c r="E7" i="80"/>
  <c r="E6" i="80"/>
  <c r="E5" i="80"/>
  <c r="H4" i="80"/>
  <c r="E4" i="80"/>
  <c r="H3" i="80" s="1"/>
  <c r="E3" i="80"/>
  <c r="E17" i="79"/>
  <c r="E16" i="79"/>
  <c r="E15" i="79"/>
  <c r="E14" i="79"/>
  <c r="E13" i="79"/>
  <c r="E12" i="79"/>
  <c r="E11" i="79"/>
  <c r="E10" i="79"/>
  <c r="E9" i="79"/>
  <c r="E8" i="79"/>
  <c r="E7" i="79"/>
  <c r="E6" i="79"/>
  <c r="E5" i="79"/>
  <c r="H4" i="79"/>
  <c r="E4" i="79"/>
  <c r="E3" i="79"/>
  <c r="H3" i="79" s="1"/>
  <c r="E17" i="78"/>
  <c r="E16" i="78"/>
  <c r="E15" i="78"/>
  <c r="E14" i="78"/>
  <c r="E13" i="78"/>
  <c r="E12" i="78"/>
  <c r="E11" i="78"/>
  <c r="E10" i="78"/>
  <c r="E9" i="78"/>
  <c r="E8" i="78"/>
  <c r="E7" i="78"/>
  <c r="E6" i="78"/>
  <c r="E5" i="78"/>
  <c r="H4" i="78"/>
  <c r="E4" i="78"/>
  <c r="H3" i="78" s="1"/>
  <c r="E3" i="78"/>
  <c r="E17" i="77"/>
  <c r="E16" i="77"/>
  <c r="E15" i="77"/>
  <c r="E14" i="77"/>
  <c r="E13" i="77"/>
  <c r="E12" i="77"/>
  <c r="E11" i="77"/>
  <c r="E10" i="77"/>
  <c r="E9" i="77"/>
  <c r="E8" i="77"/>
  <c r="E7" i="77"/>
  <c r="E6" i="77"/>
  <c r="E5" i="77"/>
  <c r="H4" i="77"/>
  <c r="E4" i="77"/>
  <c r="E3" i="77"/>
  <c r="E17" i="76"/>
  <c r="E16" i="76"/>
  <c r="E15" i="76"/>
  <c r="E14" i="76"/>
  <c r="E13" i="76"/>
  <c r="E12" i="76"/>
  <c r="E11" i="76"/>
  <c r="E10" i="76"/>
  <c r="E9" i="76"/>
  <c r="E8" i="76"/>
  <c r="E7" i="76"/>
  <c r="E6" i="76"/>
  <c r="E5" i="76"/>
  <c r="H4" i="76"/>
  <c r="E4" i="76"/>
  <c r="E3" i="76"/>
  <c r="H3" i="76" s="1"/>
  <c r="E17" i="75"/>
  <c r="E16" i="75"/>
  <c r="E15" i="75"/>
  <c r="E14" i="75"/>
  <c r="E13" i="75"/>
  <c r="E12" i="75"/>
  <c r="E11" i="75"/>
  <c r="E10" i="75"/>
  <c r="E9" i="75"/>
  <c r="E8" i="75"/>
  <c r="E7" i="75"/>
  <c r="E6" i="75"/>
  <c r="E5" i="75"/>
  <c r="H4" i="75"/>
  <c r="E4" i="75"/>
  <c r="H3" i="75" s="1"/>
  <c r="E3" i="75"/>
  <c r="E17" i="74"/>
  <c r="E16" i="74"/>
  <c r="E15" i="74"/>
  <c r="E14" i="74"/>
  <c r="E13" i="74"/>
  <c r="E12" i="74"/>
  <c r="E11" i="74"/>
  <c r="E10" i="74"/>
  <c r="E9" i="74"/>
  <c r="E8" i="74"/>
  <c r="E7" i="74"/>
  <c r="E6" i="74"/>
  <c r="E5" i="74"/>
  <c r="H4" i="74"/>
  <c r="E4" i="74"/>
  <c r="E3" i="74"/>
  <c r="H3" i="74" s="1"/>
  <c r="E17" i="73"/>
  <c r="E16" i="73"/>
  <c r="E15" i="73"/>
  <c r="E14" i="73"/>
  <c r="E13" i="73"/>
  <c r="E12" i="73"/>
  <c r="E11" i="73"/>
  <c r="E10" i="73"/>
  <c r="E9" i="73"/>
  <c r="E8" i="73"/>
  <c r="E7" i="73"/>
  <c r="E6" i="73"/>
  <c r="E5" i="73"/>
  <c r="H4" i="73"/>
  <c r="E4" i="73"/>
  <c r="H3" i="73" s="1"/>
  <c r="E3" i="73"/>
  <c r="E17" i="72"/>
  <c r="E16" i="72"/>
  <c r="E15" i="72"/>
  <c r="E14" i="72"/>
  <c r="E13" i="72"/>
  <c r="E12" i="72"/>
  <c r="E11" i="72"/>
  <c r="E10" i="72"/>
  <c r="E9" i="72"/>
  <c r="E8" i="72"/>
  <c r="E7" i="72"/>
  <c r="E6" i="72"/>
  <c r="E5" i="72"/>
  <c r="H4" i="72"/>
  <c r="E4" i="72"/>
  <c r="E3" i="72"/>
  <c r="E17" i="71"/>
  <c r="E16" i="71"/>
  <c r="E15" i="71"/>
  <c r="E14" i="71"/>
  <c r="E13" i="71"/>
  <c r="E12" i="71"/>
  <c r="E11" i="71"/>
  <c r="E10" i="71"/>
  <c r="E9" i="71"/>
  <c r="E8" i="71"/>
  <c r="E7" i="71"/>
  <c r="E6" i="71"/>
  <c r="E5" i="71"/>
  <c r="H4" i="71"/>
  <c r="E4" i="71"/>
  <c r="H3" i="71"/>
  <c r="E3" i="71"/>
  <c r="E2" i="70"/>
  <c r="E34" i="69"/>
  <c r="E33" i="69"/>
  <c r="E32" i="69"/>
  <c r="E31" i="69"/>
  <c r="E30" i="69"/>
  <c r="E29" i="69"/>
  <c r="E28" i="69"/>
  <c r="E27" i="69"/>
  <c r="E26" i="69"/>
  <c r="E25" i="69"/>
  <c r="E24" i="69"/>
  <c r="E23" i="69"/>
  <c r="E22" i="69"/>
  <c r="E21" i="69"/>
  <c r="E20" i="69"/>
  <c r="E19" i="69"/>
  <c r="E18" i="69"/>
  <c r="E5" i="69"/>
  <c r="H4" i="69"/>
  <c r="E4" i="69"/>
  <c r="E3" i="69"/>
  <c r="E34" i="68"/>
  <c r="E33" i="68"/>
  <c r="E32" i="68"/>
  <c r="E31" i="68"/>
  <c r="E30" i="68"/>
  <c r="E29" i="68"/>
  <c r="E28" i="68"/>
  <c r="E27" i="68"/>
  <c r="E26" i="68"/>
  <c r="E25" i="68"/>
  <c r="E24" i="68"/>
  <c r="E23" i="68"/>
  <c r="E22" i="68"/>
  <c r="E21" i="68"/>
  <c r="E20" i="68"/>
  <c r="E19" i="68"/>
  <c r="E18" i="68"/>
  <c r="E5" i="68"/>
  <c r="H4" i="68"/>
  <c r="E4" i="68"/>
  <c r="E3" i="68"/>
  <c r="E34" i="67"/>
  <c r="E33" i="67"/>
  <c r="E32" i="67"/>
  <c r="E31" i="67"/>
  <c r="E30" i="67"/>
  <c r="E29" i="67"/>
  <c r="E28" i="67"/>
  <c r="E27" i="67"/>
  <c r="E26" i="67"/>
  <c r="E25" i="67"/>
  <c r="E24" i="67"/>
  <c r="E23" i="67"/>
  <c r="E22" i="67"/>
  <c r="E21" i="67"/>
  <c r="E20" i="67"/>
  <c r="E19" i="67"/>
  <c r="E18" i="67"/>
  <c r="E5" i="67"/>
  <c r="H4" i="67"/>
  <c r="E4" i="67"/>
  <c r="E3" i="67"/>
  <c r="E34" i="66"/>
  <c r="E33" i="66"/>
  <c r="E32" i="66"/>
  <c r="E31" i="66"/>
  <c r="E30" i="66"/>
  <c r="E29" i="66"/>
  <c r="E28" i="66"/>
  <c r="E27" i="66"/>
  <c r="E26" i="66"/>
  <c r="E25" i="66"/>
  <c r="E24" i="66"/>
  <c r="E23" i="66"/>
  <c r="E22" i="66"/>
  <c r="E21" i="66"/>
  <c r="E20" i="66"/>
  <c r="E19" i="66"/>
  <c r="E18" i="66"/>
  <c r="E5" i="66"/>
  <c r="H4" i="66"/>
  <c r="E4" i="66"/>
  <c r="E3" i="66"/>
  <c r="E4" i="41"/>
  <c r="E5" i="41"/>
  <c r="E17" i="41"/>
  <c r="E18" i="41"/>
  <c r="E19" i="41"/>
  <c r="E20" i="41"/>
  <c r="E21" i="41"/>
  <c r="E22" i="41"/>
  <c r="E23" i="41"/>
  <c r="E24" i="41"/>
  <c r="E26" i="41"/>
  <c r="E27" i="41"/>
  <c r="E28" i="41"/>
  <c r="E29" i="41"/>
  <c r="E30" i="41"/>
  <c r="E31" i="41"/>
  <c r="E32" i="41"/>
  <c r="E33" i="41"/>
  <c r="E34" i="41"/>
  <c r="E3" i="41"/>
  <c r="H3" i="69" l="1"/>
  <c r="H3" i="67"/>
  <c r="H3" i="72"/>
  <c r="H3" i="68"/>
  <c r="H3" i="77"/>
  <c r="H3" i="66"/>
  <c r="H3" i="41"/>
  <c r="H4" i="41"/>
  <c r="X1" i="19"/>
  <c r="W1" i="19"/>
  <c r="V1" i="19"/>
  <c r="U1" i="19"/>
  <c r="S1" i="19"/>
  <c r="R1" i="19"/>
  <c r="Q1" i="19"/>
  <c r="P1" i="19"/>
  <c r="N1" i="19"/>
  <c r="C10" i="19" s="1"/>
  <c r="M1" i="19"/>
  <c r="C9" i="19" s="1"/>
  <c r="L1" i="19"/>
  <c r="C8" i="19" s="1"/>
  <c r="K1" i="19"/>
  <c r="H1" i="19"/>
  <c r="C5" i="19" s="1"/>
  <c r="G1" i="19"/>
  <c r="C4" i="19" s="1"/>
  <c r="F1" i="19"/>
  <c r="C3" i="19" s="1"/>
  <c r="E1" i="19"/>
  <c r="A8" i="19"/>
  <c r="A3" i="19"/>
  <c r="C2" i="19" l="1"/>
  <c r="C7" i="19"/>
  <c r="B1" i="19" l="1"/>
</calcChain>
</file>

<file path=xl/sharedStrings.xml><?xml version="1.0" encoding="utf-8"?>
<sst xmlns="http://schemas.openxmlformats.org/spreadsheetml/2006/main" count="1073" uniqueCount="70">
  <si>
    <t>Draw</t>
  </si>
  <si>
    <t>Carta Final</t>
  </si>
  <si>
    <t>Carta Atual</t>
  </si>
  <si>
    <t>Carta Ideal</t>
  </si>
  <si>
    <t>Mudanças Faltando</t>
  </si>
  <si>
    <t>Total de Cartas</t>
  </si>
  <si>
    <t>Total</t>
  </si>
  <si>
    <t>Total:</t>
  </si>
  <si>
    <t>Legacy</t>
  </si>
  <si>
    <t>Overrun</t>
  </si>
  <si>
    <t>Total Lojas:</t>
  </si>
  <si>
    <t>Liga</t>
  </si>
  <si>
    <t>MTG Cards Games</t>
  </si>
  <si>
    <t>Mana Vai</t>
  </si>
  <si>
    <t>Interessantes</t>
  </si>
  <si>
    <t>Compras</t>
  </si>
  <si>
    <t>Deck/Função</t>
  </si>
  <si>
    <t>White</t>
  </si>
  <si>
    <t>Blue</t>
  </si>
  <si>
    <t>Green</t>
  </si>
  <si>
    <t>Red</t>
  </si>
  <si>
    <t>Tokens</t>
  </si>
  <si>
    <t>Carta</t>
  </si>
  <si>
    <t>Cor</t>
  </si>
  <si>
    <t>Arquétipo</t>
  </si>
  <si>
    <t>Pool</t>
  </si>
  <si>
    <t>Faltando</t>
  </si>
  <si>
    <t>Lifegain</t>
  </si>
  <si>
    <t>Dockworker Drone</t>
  </si>
  <si>
    <t>Cryogen Relic</t>
  </si>
  <si>
    <t>Knight Luminary</t>
  </si>
  <si>
    <t>WR</t>
  </si>
  <si>
    <t>RB</t>
  </si>
  <si>
    <t>WB</t>
  </si>
  <si>
    <t>UR</t>
  </si>
  <si>
    <t>UB</t>
  </si>
  <si>
    <t>W</t>
  </si>
  <si>
    <t>WU</t>
  </si>
  <si>
    <t>WG</t>
  </si>
  <si>
    <t>UG</t>
  </si>
  <si>
    <t>RG</t>
  </si>
  <si>
    <t>BG</t>
  </si>
  <si>
    <t>U</t>
  </si>
  <si>
    <t>R</t>
  </si>
  <si>
    <t>G</t>
  </si>
  <si>
    <t>B</t>
  </si>
  <si>
    <t>I</t>
  </si>
  <si>
    <t>Ramp</t>
  </si>
  <si>
    <t>Arquétipo 1</t>
  </si>
  <si>
    <t>Arquétipo 2</t>
  </si>
  <si>
    <t>Arquétipo 3</t>
  </si>
  <si>
    <t>Suporte</t>
  </si>
  <si>
    <t>Payoff 1</t>
  </si>
  <si>
    <t>Payoff 2</t>
  </si>
  <si>
    <t>Suporte 1</t>
  </si>
  <si>
    <t>Suporte 2</t>
  </si>
  <si>
    <t>Spells</t>
  </si>
  <si>
    <t>Grave</t>
  </si>
  <si>
    <t>Counters</t>
  </si>
  <si>
    <t>Payoff 3</t>
  </si>
  <si>
    <t>Suporte 3</t>
  </si>
  <si>
    <t>Remoção</t>
  </si>
  <si>
    <t>Heroic</t>
  </si>
  <si>
    <t>Counter</t>
  </si>
  <si>
    <t>Função</t>
  </si>
  <si>
    <t>Payoff</t>
  </si>
  <si>
    <t>Ligain</t>
  </si>
  <si>
    <t>Neutro</t>
  </si>
  <si>
    <t>Colorless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</si>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</sst>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[Red]&quot;R$ &quot;#,##0.00"/>
    <numFmt numFmtId="165" formatCode="&quot;R$&quot;#,##0.00"/>
    <numFmt numFmtId="166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9C2-80EC-490F-B169-A635168C3A31}">
  <dimension ref="A1:AB230"/>
  <sheetViews>
    <sheetView workbookViewId="0">
      <selection activeCell="G12" sqref="G12"/>
    </sheetView>
  </sheetViews>
  <sheetFormatPr defaultRowHeight="15" x14ac:dyDescent="0.25"/>
  <cols>
    <col min="2" max="2" width="16" bestFit="1" customWidth="1"/>
    <col min="4" max="4" width="3.7109375" style="8" customWidth="1"/>
    <col min="5" max="5" width="27.28515625" bestFit="1" customWidth="1"/>
    <col min="6" max="6" width="8.85546875" style="11"/>
    <col min="7" max="7" width="9.28515625" style="11" customWidth="1"/>
    <col min="8" max="8" width="8.85546875" style="11"/>
    <col min="9" max="9" width="3.7109375" style="8" customWidth="1"/>
    <col min="10" max="10" width="18.5703125" bestFit="1" customWidth="1"/>
    <col min="11" max="11" width="22" bestFit="1" customWidth="1"/>
    <col min="15" max="15" width="3.7109375" style="8" customWidth="1"/>
    <col min="20" max="20" width="3.7109375" style="8" customWidth="1"/>
  </cols>
  <sheetData>
    <row r="1" spans="1:28" x14ac:dyDescent="0.25">
      <c r="A1" t="s">
        <v>7</v>
      </c>
      <c r="B1" s="9">
        <f>C2+C7+C12+C17+C22+C27+C32+C37+C42+C55</f>
        <v>0</v>
      </c>
      <c r="C1" s="9"/>
      <c r="E1" t="str">
        <f>A2</f>
        <v>Compras</v>
      </c>
      <c r="F1" s="11" t="str">
        <f>B3</f>
        <v>MTG Cards Games</v>
      </c>
      <c r="G1" s="11" t="str">
        <f>B4</f>
        <v>Legacy</v>
      </c>
      <c r="H1" s="11" t="str">
        <f>B5</f>
        <v>Mana Vai</v>
      </c>
      <c r="J1" t="s">
        <v>16</v>
      </c>
      <c r="K1" t="str">
        <f>A7</f>
        <v>Interessantes</v>
      </c>
      <c r="L1" t="str">
        <f>B8</f>
        <v>Liga</v>
      </c>
      <c r="M1" t="str">
        <f>B9</f>
        <v>Legacy</v>
      </c>
      <c r="N1" t="str">
        <f>B10</f>
        <v>Overrun</v>
      </c>
      <c r="P1">
        <f>A12</f>
        <v>0</v>
      </c>
      <c r="Q1">
        <f>B13</f>
        <v>0</v>
      </c>
      <c r="R1">
        <f>B14</f>
        <v>0</v>
      </c>
      <c r="S1">
        <f>B15</f>
        <v>0</v>
      </c>
      <c r="U1">
        <f>A17</f>
        <v>0</v>
      </c>
      <c r="V1">
        <f>B18</f>
        <v>0</v>
      </c>
      <c r="W1">
        <f>B19</f>
        <v>0</v>
      </c>
      <c r="X1">
        <f>B20</f>
        <v>0</v>
      </c>
    </row>
    <row r="2" spans="1:28" x14ac:dyDescent="0.25">
      <c r="A2" t="s">
        <v>15</v>
      </c>
      <c r="B2" t="s">
        <v>10</v>
      </c>
      <c r="C2" s="9">
        <f>SUM(C3:C5)</f>
        <v>0</v>
      </c>
      <c r="I2" s="10"/>
      <c r="L2" s="9"/>
      <c r="M2" s="9"/>
      <c r="N2" s="9"/>
      <c r="O2" s="10"/>
      <c r="Q2" s="9"/>
      <c r="R2" s="9"/>
      <c r="S2" s="9"/>
      <c r="V2" s="9"/>
      <c r="W2" s="9"/>
      <c r="X2" s="9"/>
      <c r="AA2" s="9"/>
      <c r="AB2" s="9"/>
    </row>
    <row r="3" spans="1:28" x14ac:dyDescent="0.25">
      <c r="A3">
        <f>COUNTA(E2:E175)</f>
        <v>0</v>
      </c>
      <c r="B3" t="s">
        <v>12</v>
      </c>
      <c r="C3" s="9">
        <f>SUM(F:F)</f>
        <v>0</v>
      </c>
      <c r="I3" s="10"/>
      <c r="L3" s="9"/>
      <c r="M3" s="9"/>
      <c r="N3" s="9"/>
      <c r="O3" s="10"/>
      <c r="Q3" s="9"/>
      <c r="R3" s="9"/>
      <c r="S3" s="9"/>
      <c r="V3" s="9"/>
      <c r="W3" s="9"/>
      <c r="X3" s="9"/>
      <c r="AA3" s="9"/>
      <c r="AB3" s="9"/>
    </row>
    <row r="4" spans="1:28" x14ac:dyDescent="0.25">
      <c r="B4" t="s">
        <v>8</v>
      </c>
      <c r="C4" s="9">
        <f>SUM(G:G)</f>
        <v>0</v>
      </c>
      <c r="I4" s="10"/>
      <c r="L4" s="9"/>
      <c r="M4" s="9"/>
      <c r="N4" s="9"/>
      <c r="O4" s="10"/>
      <c r="Q4" s="9"/>
      <c r="R4" s="9"/>
      <c r="S4" s="9"/>
      <c r="V4" s="9"/>
      <c r="W4" s="9"/>
      <c r="X4" s="9"/>
      <c r="AA4" s="9"/>
      <c r="AB4" s="9"/>
    </row>
    <row r="5" spans="1:28" x14ac:dyDescent="0.25">
      <c r="B5" t="s">
        <v>13</v>
      </c>
      <c r="C5" s="9">
        <f>SUM(H:H)</f>
        <v>0</v>
      </c>
      <c r="I5" s="10"/>
      <c r="L5" s="9"/>
      <c r="M5" s="9"/>
      <c r="N5" s="9"/>
      <c r="O5" s="10"/>
      <c r="Q5" s="9"/>
      <c r="R5" s="9"/>
      <c r="S5" s="9"/>
      <c r="V5" s="9"/>
      <c r="W5" s="9"/>
      <c r="X5" s="9"/>
      <c r="AA5" s="9"/>
      <c r="AB5" s="9"/>
    </row>
    <row r="6" spans="1:28" x14ac:dyDescent="0.25">
      <c r="I6" s="10"/>
      <c r="L6" s="9"/>
      <c r="M6" s="9"/>
      <c r="N6" s="9"/>
      <c r="O6" s="10"/>
      <c r="Q6" s="9"/>
      <c r="R6" s="9"/>
      <c r="S6" s="9"/>
      <c r="V6" s="9"/>
      <c r="W6" s="9"/>
      <c r="X6" s="9"/>
      <c r="AA6" s="9"/>
      <c r="AB6" s="9"/>
    </row>
    <row r="7" spans="1:28" x14ac:dyDescent="0.25">
      <c r="A7" t="s">
        <v>14</v>
      </c>
      <c r="B7" t="s">
        <v>10</v>
      </c>
      <c r="C7" s="9">
        <f>SUM(C9:C10)</f>
        <v>0</v>
      </c>
      <c r="I7" s="10"/>
      <c r="L7" s="9"/>
      <c r="M7" s="9"/>
      <c r="N7" s="9"/>
      <c r="O7" s="10"/>
      <c r="Q7" s="9"/>
      <c r="R7" s="9"/>
      <c r="S7" s="9"/>
      <c r="V7" s="9"/>
      <c r="W7" s="9"/>
      <c r="X7" s="9"/>
      <c r="AA7" s="9"/>
      <c r="AB7" s="9"/>
    </row>
    <row r="8" spans="1:28" x14ac:dyDescent="0.25">
      <c r="A8">
        <f>COUNTA(K2:K193)</f>
        <v>0</v>
      </c>
      <c r="B8" t="s">
        <v>11</v>
      </c>
      <c r="C8" s="9">
        <f>SUM(L:L)</f>
        <v>0</v>
      </c>
      <c r="I8" s="10"/>
      <c r="L8" s="9"/>
      <c r="M8" s="9"/>
      <c r="N8" s="9"/>
      <c r="O8" s="10"/>
      <c r="Q8" s="9"/>
      <c r="R8" s="9"/>
      <c r="S8" s="9"/>
      <c r="V8" s="9"/>
      <c r="W8" s="9"/>
      <c r="X8" s="9"/>
      <c r="AA8" s="9"/>
      <c r="AB8" s="9"/>
    </row>
    <row r="9" spans="1:28" x14ac:dyDescent="0.25">
      <c r="B9" t="s">
        <v>8</v>
      </c>
      <c r="C9" s="9">
        <f>SUM(M:M)</f>
        <v>0</v>
      </c>
      <c r="I9" s="10"/>
      <c r="L9" s="9"/>
      <c r="M9" s="9"/>
      <c r="N9" s="9"/>
      <c r="O9" s="10"/>
      <c r="P9" s="9"/>
      <c r="Q9" s="9"/>
      <c r="R9" s="9"/>
      <c r="S9" s="9"/>
      <c r="V9" s="9"/>
      <c r="W9" s="9"/>
      <c r="X9" s="9"/>
      <c r="AA9" s="9"/>
      <c r="AB9" s="9"/>
    </row>
    <row r="10" spans="1:28" x14ac:dyDescent="0.25">
      <c r="B10" t="s">
        <v>9</v>
      </c>
      <c r="C10" s="9">
        <f>SUM(N:N)</f>
        <v>0</v>
      </c>
      <c r="I10" s="10"/>
      <c r="L10" s="9"/>
      <c r="M10" s="9"/>
      <c r="N10" s="9"/>
      <c r="O10" s="10"/>
      <c r="P10" s="9"/>
      <c r="Q10" s="9"/>
      <c r="R10" s="9"/>
      <c r="S10" s="9"/>
      <c r="V10" s="9"/>
      <c r="W10" s="9"/>
      <c r="X10" s="9"/>
      <c r="AA10" s="9"/>
      <c r="AB10" s="9"/>
    </row>
    <row r="11" spans="1:28" x14ac:dyDescent="0.25">
      <c r="I11" s="10"/>
      <c r="L11" s="9"/>
      <c r="M11" s="9"/>
      <c r="N11" s="9"/>
      <c r="O11" s="10"/>
      <c r="Q11" s="9"/>
      <c r="R11" s="9"/>
      <c r="S11" s="9"/>
      <c r="V11" s="9"/>
      <c r="W11" s="9"/>
      <c r="X11" s="9"/>
      <c r="AA11" s="9"/>
      <c r="AB11" s="9"/>
    </row>
    <row r="12" spans="1:28" x14ac:dyDescent="0.25">
      <c r="C12" s="9"/>
      <c r="I12" s="10"/>
      <c r="L12" s="9"/>
      <c r="M12" s="9"/>
      <c r="N12" s="9"/>
      <c r="O12" s="10"/>
      <c r="P12" s="9"/>
      <c r="Q12" s="9"/>
      <c r="R12" s="9"/>
      <c r="S12" s="9"/>
      <c r="V12" s="9"/>
      <c r="W12" s="9"/>
      <c r="X12" s="9"/>
      <c r="AA12" s="9"/>
      <c r="AB12" s="9"/>
    </row>
    <row r="13" spans="1:28" x14ac:dyDescent="0.25">
      <c r="C13" s="9"/>
      <c r="I13" s="10"/>
      <c r="L13" s="9"/>
      <c r="M13" s="9"/>
      <c r="N13" s="9"/>
      <c r="O13" s="10"/>
      <c r="Q13" s="9"/>
      <c r="R13" s="9"/>
      <c r="S13" s="9"/>
      <c r="V13" s="9"/>
      <c r="W13" s="9"/>
      <c r="X13" s="9"/>
      <c r="AA13" s="9"/>
      <c r="AB13" s="9"/>
    </row>
    <row r="14" spans="1:28" x14ac:dyDescent="0.25">
      <c r="C14" s="9"/>
      <c r="I14" s="10"/>
      <c r="L14" s="9"/>
      <c r="M14" s="9"/>
      <c r="N14" s="9"/>
      <c r="O14" s="10"/>
      <c r="P14" s="9"/>
      <c r="Q14" s="9"/>
      <c r="R14" s="9"/>
      <c r="S14" s="9"/>
      <c r="V14" s="9"/>
      <c r="W14" s="9"/>
      <c r="X14" s="9"/>
      <c r="AA14" s="9"/>
      <c r="AB14" s="9"/>
    </row>
    <row r="15" spans="1:28" x14ac:dyDescent="0.25">
      <c r="C15" s="9"/>
      <c r="I15" s="10"/>
      <c r="L15" s="9"/>
      <c r="M15" s="9"/>
      <c r="N15" s="9"/>
      <c r="O15" s="10"/>
      <c r="Q15" s="9"/>
      <c r="R15" s="9"/>
      <c r="S15" s="9"/>
      <c r="V15" s="9"/>
      <c r="W15" s="9"/>
      <c r="X15" s="9"/>
      <c r="AA15" s="9"/>
      <c r="AB15" s="9"/>
    </row>
    <row r="16" spans="1:28" x14ac:dyDescent="0.25">
      <c r="I16" s="10"/>
      <c r="L16" s="9"/>
      <c r="M16" s="9"/>
      <c r="N16" s="9"/>
      <c r="O16" s="10"/>
      <c r="P16" s="9"/>
      <c r="Q16" s="9"/>
      <c r="R16" s="9"/>
      <c r="S16" s="9"/>
      <c r="V16" s="9"/>
      <c r="W16" s="9"/>
      <c r="X16" s="9"/>
      <c r="AA16" s="9"/>
      <c r="AB16" s="9"/>
    </row>
    <row r="17" spans="3:28" x14ac:dyDescent="0.25">
      <c r="C17" s="9"/>
      <c r="I17" s="10"/>
      <c r="L17" s="9"/>
      <c r="M17" s="9"/>
      <c r="N17" s="9"/>
      <c r="O17" s="10"/>
      <c r="Q17" s="9"/>
      <c r="R17" s="9"/>
      <c r="S17" s="9"/>
      <c r="V17" s="9"/>
      <c r="W17" s="9"/>
      <c r="X17" s="9"/>
      <c r="AA17" s="9"/>
      <c r="AB17" s="9"/>
    </row>
    <row r="18" spans="3:28" x14ac:dyDescent="0.25">
      <c r="C18" s="9"/>
      <c r="I18" s="10"/>
      <c r="L18" s="9"/>
      <c r="M18" s="9"/>
      <c r="N18" s="9"/>
      <c r="O18" s="10"/>
      <c r="Q18" s="9"/>
      <c r="R18" s="9"/>
      <c r="S18" s="9"/>
      <c r="V18" s="9"/>
      <c r="W18" s="9"/>
      <c r="X18" s="9"/>
      <c r="AA18" s="9"/>
      <c r="AB18" s="9"/>
    </row>
    <row r="19" spans="3:28" x14ac:dyDescent="0.25">
      <c r="C19" s="9"/>
      <c r="I19" s="10"/>
      <c r="L19" s="9"/>
      <c r="M19" s="9"/>
      <c r="N19" s="9"/>
      <c r="O19" s="10"/>
      <c r="Q19" s="9"/>
      <c r="R19" s="9"/>
      <c r="S19" s="9"/>
      <c r="V19" s="9"/>
      <c r="W19" s="9"/>
      <c r="X19" s="9"/>
      <c r="AA19" s="9"/>
      <c r="AB19" s="9"/>
    </row>
    <row r="20" spans="3:28" x14ac:dyDescent="0.25">
      <c r="C20" s="9"/>
      <c r="I20" s="10"/>
      <c r="L20" s="9"/>
      <c r="M20" s="9"/>
      <c r="N20" s="9"/>
      <c r="O20" s="10"/>
      <c r="Q20" s="9"/>
      <c r="R20" s="9"/>
      <c r="S20" s="9"/>
      <c r="V20" s="9"/>
      <c r="W20" s="9"/>
      <c r="X20" s="9"/>
      <c r="AA20" s="9"/>
      <c r="AB20" s="9"/>
    </row>
    <row r="21" spans="3:28" x14ac:dyDescent="0.25">
      <c r="I21" s="10"/>
      <c r="L21" s="9"/>
      <c r="M21" s="9"/>
      <c r="N21" s="9"/>
      <c r="O21" s="10"/>
      <c r="Q21" s="9"/>
      <c r="R21" s="9"/>
      <c r="S21" s="9"/>
      <c r="V21" s="9"/>
      <c r="W21" s="9"/>
      <c r="X21" s="9"/>
      <c r="AA21" s="9"/>
      <c r="AB21" s="9"/>
    </row>
    <row r="22" spans="3:28" x14ac:dyDescent="0.25">
      <c r="C22" s="9"/>
      <c r="I22" s="10"/>
      <c r="L22" s="9"/>
      <c r="M22" s="9"/>
      <c r="N22" s="9"/>
      <c r="O22" s="10"/>
      <c r="Q22" s="9"/>
      <c r="R22" s="9"/>
      <c r="S22" s="9"/>
      <c r="V22" s="9"/>
      <c r="W22" s="9"/>
      <c r="X22" s="9"/>
      <c r="AA22" s="9"/>
      <c r="AB22" s="9"/>
    </row>
    <row r="23" spans="3:28" x14ac:dyDescent="0.25">
      <c r="C23" s="9"/>
      <c r="I23" s="10"/>
      <c r="L23" s="9"/>
      <c r="M23" s="9"/>
      <c r="N23" s="9"/>
      <c r="O23" s="10"/>
      <c r="Q23" s="9"/>
      <c r="R23" s="9"/>
      <c r="S23" s="9"/>
      <c r="V23" s="9"/>
      <c r="W23" s="9"/>
      <c r="X23" s="9"/>
      <c r="AA23" s="9"/>
      <c r="AB23" s="9"/>
    </row>
    <row r="24" spans="3:28" x14ac:dyDescent="0.25">
      <c r="C24" s="9"/>
      <c r="I24" s="10"/>
      <c r="L24" s="9"/>
      <c r="M24" s="9"/>
      <c r="N24" s="9"/>
      <c r="O24" s="10"/>
      <c r="Q24" s="9"/>
      <c r="R24" s="9"/>
      <c r="S24" s="9"/>
      <c r="V24" s="9"/>
      <c r="W24" s="9"/>
      <c r="X24" s="9"/>
      <c r="AA24" s="9"/>
      <c r="AB24" s="9"/>
    </row>
    <row r="25" spans="3:28" x14ac:dyDescent="0.25">
      <c r="C25" s="9"/>
      <c r="I25" s="10"/>
      <c r="L25" s="9"/>
      <c r="M25" s="9"/>
      <c r="N25" s="9"/>
      <c r="O25" s="10"/>
      <c r="Q25" s="9"/>
      <c r="R25" s="9"/>
      <c r="S25" s="9"/>
      <c r="V25" s="9"/>
      <c r="W25" s="9"/>
      <c r="X25" s="9"/>
      <c r="AA25" s="9"/>
      <c r="AB25" s="9"/>
    </row>
    <row r="26" spans="3:28" x14ac:dyDescent="0.25">
      <c r="I26" s="10"/>
      <c r="L26" s="9"/>
      <c r="M26" s="9"/>
      <c r="N26" s="9"/>
      <c r="O26" s="10"/>
      <c r="Q26" s="9"/>
      <c r="R26" s="9"/>
      <c r="S26" s="9"/>
      <c r="V26" s="9"/>
      <c r="W26" s="9"/>
      <c r="X26" s="9"/>
      <c r="AA26" s="9"/>
      <c r="AB26" s="9"/>
    </row>
    <row r="27" spans="3:28" x14ac:dyDescent="0.25">
      <c r="C27" s="9"/>
      <c r="I27" s="10"/>
      <c r="L27" s="9"/>
      <c r="M27" s="9"/>
      <c r="N27" s="9"/>
      <c r="O27" s="10"/>
      <c r="Q27" s="9"/>
      <c r="R27" s="9"/>
      <c r="S27" s="9"/>
      <c r="V27" s="9"/>
      <c r="W27" s="9"/>
      <c r="X27" s="9"/>
      <c r="AA27" s="9"/>
      <c r="AB27" s="9"/>
    </row>
    <row r="28" spans="3:28" x14ac:dyDescent="0.25">
      <c r="C28" s="9"/>
      <c r="I28" s="10"/>
      <c r="L28" s="9"/>
      <c r="M28" s="9"/>
      <c r="N28" s="9"/>
      <c r="O28" s="10"/>
      <c r="P28" s="9"/>
      <c r="Q28" s="9"/>
      <c r="R28" s="9"/>
      <c r="S28" s="9"/>
      <c r="V28" s="9"/>
      <c r="W28" s="9"/>
      <c r="X28" s="9"/>
      <c r="AA28" s="9"/>
      <c r="AB28" s="9"/>
    </row>
    <row r="29" spans="3:28" x14ac:dyDescent="0.25">
      <c r="C29" s="9"/>
      <c r="I29" s="10"/>
      <c r="L29" s="9"/>
      <c r="M29" s="9"/>
      <c r="N29" s="9"/>
      <c r="O29" s="10"/>
      <c r="Q29" s="9"/>
      <c r="R29" s="9"/>
      <c r="S29" s="9"/>
      <c r="V29" s="9"/>
      <c r="W29" s="9"/>
      <c r="X29" s="9"/>
      <c r="AA29" s="9"/>
      <c r="AB29" s="9"/>
    </row>
    <row r="30" spans="3:28" x14ac:dyDescent="0.25">
      <c r="C30" s="9"/>
      <c r="I30" s="10"/>
      <c r="L30" s="9"/>
      <c r="M30" s="9"/>
      <c r="N30" s="9"/>
      <c r="O30" s="10"/>
      <c r="Q30" s="9"/>
      <c r="R30" s="9"/>
      <c r="S30" s="9"/>
      <c r="V30" s="9"/>
      <c r="W30" s="9"/>
      <c r="X30" s="9"/>
      <c r="AA30" s="9"/>
      <c r="AB30" s="9"/>
    </row>
    <row r="31" spans="3:28" x14ac:dyDescent="0.25">
      <c r="L31" s="9"/>
      <c r="M31" s="9"/>
      <c r="N31" s="9"/>
      <c r="Q31" s="9"/>
      <c r="R31" s="9"/>
      <c r="S31" s="9"/>
      <c r="V31" s="9"/>
      <c r="W31" s="9"/>
      <c r="X31" s="9"/>
      <c r="AA31" s="9"/>
      <c r="AB31" s="9"/>
    </row>
    <row r="32" spans="3:28" x14ac:dyDescent="0.25">
      <c r="C32" s="9"/>
      <c r="L32" s="9"/>
      <c r="M32" s="9"/>
      <c r="N32" s="9"/>
      <c r="Q32" s="9"/>
      <c r="R32" s="9"/>
      <c r="S32" s="9"/>
      <c r="V32" s="9"/>
      <c r="W32" s="9"/>
      <c r="X32" s="9"/>
      <c r="AA32" s="9"/>
      <c r="AB32" s="9"/>
    </row>
    <row r="33" spans="3:28" x14ac:dyDescent="0.25">
      <c r="C33" s="9"/>
      <c r="L33" s="9"/>
      <c r="M33" s="9"/>
      <c r="N33" s="9"/>
      <c r="Q33" s="9"/>
      <c r="R33" s="9"/>
      <c r="S33" s="9"/>
      <c r="V33" s="9"/>
      <c r="W33" s="9"/>
      <c r="X33" s="9"/>
      <c r="AA33" s="9"/>
      <c r="AB33" s="9"/>
    </row>
    <row r="34" spans="3:28" x14ac:dyDescent="0.25">
      <c r="C34" s="9"/>
      <c r="L34" s="9"/>
      <c r="M34" s="9"/>
      <c r="N34" s="9"/>
      <c r="Q34" s="9"/>
      <c r="R34" s="9"/>
      <c r="S34" s="9"/>
      <c r="V34" s="9"/>
      <c r="W34" s="9"/>
      <c r="X34" s="9"/>
      <c r="AA34" s="9"/>
      <c r="AB34" s="9"/>
    </row>
    <row r="35" spans="3:28" x14ac:dyDescent="0.25">
      <c r="C35" s="9"/>
      <c r="L35" s="9"/>
      <c r="M35" s="9"/>
      <c r="N35" s="9"/>
      <c r="Q35" s="9"/>
      <c r="R35" s="9"/>
      <c r="S35" s="9"/>
      <c r="V35" s="9"/>
      <c r="W35" s="9"/>
      <c r="X35" s="9"/>
      <c r="AA35" s="9"/>
      <c r="AB35" s="9"/>
    </row>
    <row r="36" spans="3:28" x14ac:dyDescent="0.25">
      <c r="C36" s="9"/>
      <c r="L36" s="9"/>
      <c r="M36" s="9"/>
      <c r="N36" s="9"/>
      <c r="Q36" s="9"/>
      <c r="R36" s="9"/>
      <c r="S36" s="9"/>
      <c r="V36" s="9"/>
      <c r="W36" s="9"/>
      <c r="X36" s="9"/>
      <c r="AA36" s="9"/>
      <c r="AB36" s="9"/>
    </row>
    <row r="37" spans="3:28" x14ac:dyDescent="0.25">
      <c r="C37" s="9"/>
      <c r="L37" s="9"/>
      <c r="M37" s="9"/>
      <c r="N37" s="9"/>
      <c r="Q37" s="9"/>
      <c r="R37" s="9"/>
      <c r="S37" s="9"/>
      <c r="V37" s="9"/>
      <c r="W37" s="9"/>
      <c r="X37" s="9"/>
      <c r="AA37" s="9"/>
      <c r="AB37" s="9"/>
    </row>
    <row r="38" spans="3:28" x14ac:dyDescent="0.25">
      <c r="C38" s="9"/>
      <c r="L38" s="9"/>
      <c r="M38" s="9"/>
      <c r="N38" s="9"/>
      <c r="Q38" s="9"/>
      <c r="R38" s="9"/>
      <c r="S38" s="9"/>
      <c r="V38" s="9"/>
      <c r="W38" s="9"/>
      <c r="X38" s="9"/>
      <c r="AA38" s="9"/>
      <c r="AB38" s="9"/>
    </row>
    <row r="39" spans="3:28" x14ac:dyDescent="0.25">
      <c r="C39" s="9"/>
      <c r="L39" s="9"/>
      <c r="M39" s="9"/>
      <c r="N39" s="9"/>
      <c r="Q39" s="9"/>
      <c r="R39" s="9"/>
      <c r="S39" s="9"/>
      <c r="V39" s="9"/>
      <c r="W39" s="9"/>
      <c r="X39" s="9"/>
      <c r="AA39" s="9"/>
      <c r="AB39" s="9"/>
    </row>
    <row r="40" spans="3:28" x14ac:dyDescent="0.25">
      <c r="C40" s="9"/>
      <c r="L40" s="9"/>
      <c r="M40" s="9"/>
      <c r="N40" s="9"/>
      <c r="Q40" s="9"/>
      <c r="R40" s="9"/>
      <c r="S40" s="9"/>
      <c r="V40" s="9"/>
      <c r="W40" s="9"/>
      <c r="X40" s="9"/>
      <c r="AA40" s="9"/>
      <c r="AB40" s="9"/>
    </row>
    <row r="41" spans="3:28" x14ac:dyDescent="0.25">
      <c r="C41" s="9"/>
      <c r="L41" s="9"/>
      <c r="M41" s="9"/>
      <c r="N41" s="9"/>
      <c r="Q41" s="9"/>
      <c r="R41" s="9"/>
      <c r="S41" s="9"/>
      <c r="V41" s="9"/>
      <c r="W41" s="9"/>
      <c r="X41" s="9"/>
      <c r="AA41" s="9"/>
      <c r="AB41" s="9"/>
    </row>
    <row r="42" spans="3:28" x14ac:dyDescent="0.25">
      <c r="C42" s="9"/>
      <c r="L42" s="9"/>
      <c r="M42" s="9"/>
      <c r="N42" s="9"/>
      <c r="Q42" s="9"/>
      <c r="R42" s="9"/>
      <c r="S42" s="9"/>
      <c r="V42" s="9"/>
      <c r="W42" s="9"/>
      <c r="X42" s="9"/>
      <c r="AA42" s="9"/>
      <c r="AB42" s="9"/>
    </row>
    <row r="43" spans="3:28" x14ac:dyDescent="0.25">
      <c r="C43" s="9"/>
      <c r="L43" s="9"/>
      <c r="M43" s="9"/>
      <c r="N43" s="9"/>
      <c r="Q43" s="9"/>
      <c r="R43" s="9"/>
      <c r="S43" s="9"/>
      <c r="V43" s="9"/>
      <c r="W43" s="9"/>
      <c r="X43" s="9"/>
      <c r="AA43" s="9"/>
      <c r="AB43" s="9"/>
    </row>
    <row r="44" spans="3:28" x14ac:dyDescent="0.25">
      <c r="C44" s="9"/>
      <c r="L44" s="9"/>
      <c r="M44" s="9"/>
      <c r="N44" s="9"/>
      <c r="Q44" s="9"/>
      <c r="R44" s="9"/>
      <c r="S44" s="9"/>
      <c r="V44" s="9"/>
      <c r="W44" s="9"/>
      <c r="X44" s="9"/>
      <c r="AA44" s="9"/>
      <c r="AB44" s="9"/>
    </row>
    <row r="45" spans="3:28" x14ac:dyDescent="0.25">
      <c r="C45" s="9"/>
      <c r="L45" s="9"/>
      <c r="M45" s="9"/>
      <c r="N45" s="9"/>
      <c r="Q45" s="9"/>
      <c r="R45" s="9"/>
      <c r="S45" s="9"/>
      <c r="V45" s="9"/>
      <c r="W45" s="9"/>
      <c r="X45" s="9"/>
      <c r="AA45" s="9"/>
      <c r="AB45" s="9"/>
    </row>
    <row r="46" spans="3:28" x14ac:dyDescent="0.25">
      <c r="C46" s="9"/>
      <c r="L46" s="9"/>
      <c r="M46" s="9"/>
      <c r="N46" s="9"/>
      <c r="Q46" s="9"/>
      <c r="R46" s="9"/>
      <c r="S46" s="9"/>
      <c r="V46" s="9"/>
      <c r="W46" s="9"/>
      <c r="X46" s="9"/>
      <c r="AA46" s="9"/>
      <c r="AB46" s="9"/>
    </row>
    <row r="47" spans="3:28" x14ac:dyDescent="0.25">
      <c r="C47" s="9"/>
      <c r="L47" s="9"/>
      <c r="M47" s="9"/>
      <c r="N47" s="9"/>
      <c r="Q47" s="9"/>
      <c r="R47" s="9"/>
      <c r="S47" s="9"/>
      <c r="V47" s="9"/>
      <c r="W47" s="9"/>
      <c r="X47" s="9"/>
      <c r="AA47" s="9"/>
      <c r="AB47" s="9"/>
    </row>
    <row r="48" spans="3:28" x14ac:dyDescent="0.25">
      <c r="C48" s="9"/>
      <c r="L48" s="9"/>
      <c r="M48" s="9"/>
      <c r="N48" s="9"/>
      <c r="Q48" s="9"/>
      <c r="R48" s="9"/>
      <c r="S48" s="9"/>
      <c r="V48" s="9"/>
      <c r="W48" s="9"/>
      <c r="X48" s="9"/>
      <c r="AA48" s="9"/>
      <c r="AB48" s="9"/>
    </row>
    <row r="49" spans="3:28" x14ac:dyDescent="0.25">
      <c r="C49" s="9"/>
      <c r="L49" s="9"/>
      <c r="M49" s="9"/>
      <c r="N49" s="9"/>
      <c r="Q49" s="9"/>
      <c r="R49" s="9"/>
      <c r="S49" s="9"/>
      <c r="V49" s="9"/>
      <c r="W49" s="9"/>
      <c r="X49" s="9"/>
      <c r="AA49" s="9"/>
      <c r="AB49" s="9"/>
    </row>
    <row r="50" spans="3:28" x14ac:dyDescent="0.25">
      <c r="C50" s="9"/>
      <c r="L50" s="9"/>
      <c r="M50" s="9"/>
      <c r="N50" s="9"/>
      <c r="Q50" s="9"/>
      <c r="R50" s="9"/>
      <c r="S50" s="9"/>
      <c r="V50" s="9"/>
      <c r="W50" s="9"/>
      <c r="X50" s="9"/>
      <c r="AA50" s="9"/>
      <c r="AB50" s="9"/>
    </row>
    <row r="51" spans="3:28" x14ac:dyDescent="0.25">
      <c r="C51" s="9"/>
      <c r="L51" s="9"/>
      <c r="M51" s="9"/>
      <c r="N51" s="9"/>
      <c r="Q51" s="9"/>
      <c r="R51" s="9"/>
      <c r="S51" s="9"/>
      <c r="V51" s="9"/>
      <c r="W51" s="9"/>
      <c r="X51" s="9"/>
      <c r="AA51" s="9"/>
      <c r="AB51" s="9"/>
    </row>
    <row r="52" spans="3:28" x14ac:dyDescent="0.25">
      <c r="C52" s="9"/>
      <c r="L52" s="9"/>
      <c r="M52" s="9"/>
      <c r="N52" s="9"/>
      <c r="Q52" s="9"/>
      <c r="R52" s="9"/>
      <c r="S52" s="9"/>
      <c r="V52" s="9"/>
      <c r="W52" s="9"/>
      <c r="X52" s="9"/>
      <c r="AA52" s="9"/>
      <c r="AB52" s="9"/>
    </row>
    <row r="53" spans="3:28" x14ac:dyDescent="0.25">
      <c r="C53" s="9"/>
      <c r="L53" s="9"/>
      <c r="M53" s="9"/>
      <c r="N53" s="9"/>
      <c r="Q53" s="9"/>
      <c r="R53" s="9"/>
      <c r="S53" s="9"/>
      <c r="V53" s="9"/>
      <c r="W53" s="9"/>
      <c r="X53" s="9"/>
      <c r="AA53" s="9"/>
      <c r="AB53" s="9"/>
    </row>
    <row r="54" spans="3:28" x14ac:dyDescent="0.25">
      <c r="C54" s="9"/>
      <c r="L54" s="9"/>
      <c r="M54" s="9"/>
      <c r="N54" s="9"/>
      <c r="Q54" s="9"/>
      <c r="R54" s="9"/>
      <c r="S54" s="9"/>
      <c r="V54" s="9"/>
      <c r="W54" s="9"/>
      <c r="X54" s="9"/>
      <c r="AA54" s="9"/>
      <c r="AB54" s="9"/>
    </row>
    <row r="55" spans="3:28" x14ac:dyDescent="0.25">
      <c r="C55" s="9"/>
      <c r="L55" s="9"/>
      <c r="M55" s="9"/>
      <c r="N55" s="9"/>
      <c r="Q55" s="9"/>
      <c r="R55" s="9"/>
      <c r="S55" s="9"/>
      <c r="V55" s="9"/>
      <c r="W55" s="9"/>
      <c r="X55" s="9"/>
      <c r="AA55" s="9"/>
      <c r="AB55" s="9"/>
    </row>
    <row r="56" spans="3:28" x14ac:dyDescent="0.25">
      <c r="C56" s="9"/>
      <c r="I56" s="10"/>
      <c r="L56" s="9"/>
      <c r="M56" s="9"/>
      <c r="N56" s="9"/>
      <c r="O56" s="10"/>
      <c r="Q56" s="9"/>
      <c r="R56" s="9"/>
      <c r="S56" s="9"/>
      <c r="V56" s="9"/>
      <c r="W56" s="9"/>
      <c r="X56" s="9"/>
      <c r="AA56" s="9"/>
      <c r="AB56" s="9"/>
    </row>
    <row r="57" spans="3:28" x14ac:dyDescent="0.25">
      <c r="C57" s="9"/>
      <c r="I57" s="10"/>
      <c r="L57" s="9"/>
      <c r="M57" s="9"/>
      <c r="N57" s="9"/>
      <c r="O57" s="10"/>
      <c r="Q57" s="9"/>
      <c r="R57" s="9"/>
      <c r="S57" s="9"/>
      <c r="V57" s="9"/>
      <c r="W57" s="9"/>
      <c r="X57" s="9"/>
      <c r="AA57" s="9"/>
      <c r="AB57" s="9"/>
    </row>
    <row r="58" spans="3:28" x14ac:dyDescent="0.25">
      <c r="C58" s="9"/>
      <c r="I58" s="10"/>
      <c r="L58" s="9"/>
      <c r="M58" s="9"/>
      <c r="N58" s="9"/>
      <c r="O58" s="10"/>
      <c r="Q58" s="9"/>
      <c r="R58" s="9"/>
      <c r="S58" s="9"/>
      <c r="V58" s="9"/>
      <c r="W58" s="9"/>
      <c r="X58" s="9"/>
      <c r="AA58" s="9"/>
      <c r="AB58" s="9"/>
    </row>
    <row r="59" spans="3:28" x14ac:dyDescent="0.25">
      <c r="C59" s="9"/>
      <c r="I59" s="10"/>
      <c r="L59" s="9"/>
      <c r="M59" s="9"/>
      <c r="N59" s="9"/>
      <c r="O59" s="10"/>
      <c r="Q59" s="9"/>
      <c r="R59" s="9"/>
      <c r="S59" s="9"/>
      <c r="V59" s="9"/>
      <c r="W59" s="9"/>
      <c r="X59" s="9"/>
      <c r="AA59" s="9"/>
      <c r="AB59" s="9"/>
    </row>
    <row r="60" spans="3:28" x14ac:dyDescent="0.25">
      <c r="C60" s="9"/>
      <c r="I60" s="10"/>
      <c r="L60" s="9"/>
      <c r="M60" s="9"/>
      <c r="N60" s="9"/>
      <c r="O60" s="10"/>
      <c r="Q60" s="9"/>
      <c r="R60" s="9"/>
      <c r="S60" s="9"/>
      <c r="V60" s="9"/>
      <c r="W60" s="9"/>
      <c r="X60" s="9"/>
      <c r="AA60" s="9"/>
      <c r="AB60" s="9"/>
    </row>
    <row r="61" spans="3:28" x14ac:dyDescent="0.25">
      <c r="C61" s="9"/>
      <c r="I61" s="10"/>
      <c r="L61" s="9"/>
      <c r="M61" s="9"/>
      <c r="N61" s="9"/>
      <c r="O61" s="10"/>
      <c r="Q61" s="9"/>
      <c r="R61" s="9"/>
      <c r="S61" s="9"/>
      <c r="V61" s="9"/>
      <c r="W61" s="9"/>
      <c r="X61" s="9"/>
      <c r="AA61" s="9"/>
      <c r="AB61" s="9"/>
    </row>
    <row r="62" spans="3:28" x14ac:dyDescent="0.25">
      <c r="C62" s="9"/>
      <c r="I62" s="10"/>
      <c r="L62" s="9"/>
      <c r="M62" s="9"/>
      <c r="N62" s="9"/>
      <c r="O62" s="10"/>
      <c r="Q62" s="9"/>
      <c r="R62" s="9"/>
      <c r="S62" s="9"/>
      <c r="V62" s="9"/>
      <c r="W62" s="9"/>
      <c r="X62" s="9"/>
      <c r="AA62" s="9"/>
      <c r="AB62" s="9"/>
    </row>
    <row r="63" spans="3:28" x14ac:dyDescent="0.25">
      <c r="C63" s="9"/>
      <c r="I63" s="10"/>
      <c r="L63" s="9"/>
      <c r="M63" s="9"/>
      <c r="N63" s="9"/>
      <c r="O63" s="10"/>
      <c r="Q63" s="9"/>
      <c r="R63" s="9"/>
      <c r="S63" s="9"/>
      <c r="V63" s="9"/>
      <c r="W63" s="9"/>
      <c r="X63" s="9"/>
      <c r="AA63" s="9"/>
      <c r="AB63" s="9"/>
    </row>
    <row r="64" spans="3:28" x14ac:dyDescent="0.25">
      <c r="C64" s="9"/>
      <c r="I64" s="10"/>
      <c r="L64" s="9"/>
      <c r="M64" s="9"/>
      <c r="N64" s="9"/>
      <c r="O64" s="10"/>
      <c r="Q64" s="9"/>
      <c r="R64" s="9"/>
      <c r="S64" s="9"/>
      <c r="V64" s="9"/>
      <c r="W64" s="9"/>
      <c r="X64" s="9"/>
      <c r="AA64" s="9"/>
      <c r="AB64" s="9"/>
    </row>
    <row r="65" spans="3:28" x14ac:dyDescent="0.25">
      <c r="C65" s="9"/>
      <c r="I65" s="10"/>
      <c r="L65" s="9"/>
      <c r="M65" s="9"/>
      <c r="N65" s="9"/>
      <c r="O65" s="10"/>
      <c r="Q65" s="9"/>
      <c r="R65" s="9"/>
      <c r="S65" s="9"/>
      <c r="V65" s="9"/>
      <c r="W65" s="9"/>
      <c r="X65" s="9"/>
      <c r="AA65" s="9"/>
      <c r="AB65" s="9"/>
    </row>
    <row r="66" spans="3:28" x14ac:dyDescent="0.25">
      <c r="C66" s="9"/>
      <c r="I66" s="10"/>
      <c r="L66" s="9"/>
      <c r="M66" s="9"/>
      <c r="N66" s="9"/>
      <c r="O66" s="10"/>
      <c r="Q66" s="9"/>
      <c r="R66" s="9"/>
      <c r="S66" s="9"/>
      <c r="V66" s="9"/>
      <c r="W66" s="9"/>
      <c r="X66" s="9"/>
      <c r="AA66" s="9"/>
      <c r="AB66" s="9"/>
    </row>
    <row r="67" spans="3:28" x14ac:dyDescent="0.25">
      <c r="C67" s="9"/>
      <c r="I67" s="10"/>
      <c r="L67" s="9"/>
      <c r="M67" s="9"/>
      <c r="N67" s="9"/>
      <c r="O67" s="10"/>
      <c r="Q67" s="9"/>
      <c r="R67" s="9"/>
      <c r="S67" s="9"/>
      <c r="V67" s="9"/>
      <c r="W67" s="9"/>
      <c r="X67" s="9"/>
      <c r="AA67" s="9"/>
      <c r="AB67" s="9"/>
    </row>
    <row r="68" spans="3:28" x14ac:dyDescent="0.25">
      <c r="C68" s="9"/>
      <c r="I68" s="10"/>
      <c r="L68" s="9"/>
      <c r="M68" s="9"/>
      <c r="N68" s="9"/>
      <c r="O68" s="10"/>
      <c r="Q68" s="9"/>
      <c r="R68" s="9"/>
      <c r="S68" s="9"/>
      <c r="V68" s="9"/>
      <c r="W68" s="9"/>
      <c r="X68" s="9"/>
      <c r="AA68" s="9"/>
      <c r="AB68" s="9"/>
    </row>
    <row r="69" spans="3:28" x14ac:dyDescent="0.25">
      <c r="C69" s="9"/>
      <c r="I69" s="10"/>
      <c r="L69" s="9"/>
      <c r="M69" s="9"/>
      <c r="N69" s="9"/>
      <c r="O69" s="10"/>
      <c r="Q69" s="9"/>
      <c r="R69" s="9"/>
      <c r="S69" s="9"/>
      <c r="V69" s="9"/>
      <c r="W69" s="9"/>
      <c r="X69" s="9"/>
      <c r="AA69" s="9"/>
      <c r="AB69" s="9"/>
    </row>
    <row r="70" spans="3:28" x14ac:dyDescent="0.25">
      <c r="C70" s="9"/>
      <c r="I70" s="10"/>
      <c r="L70" s="9"/>
      <c r="M70" s="9"/>
      <c r="N70" s="9"/>
      <c r="O70" s="10"/>
      <c r="Q70" s="9"/>
      <c r="R70" s="9"/>
      <c r="S70" s="9"/>
      <c r="V70" s="9"/>
      <c r="W70" s="9"/>
      <c r="X70" s="9"/>
      <c r="AA70" s="9"/>
      <c r="AB70" s="9"/>
    </row>
    <row r="71" spans="3:28" x14ac:dyDescent="0.25">
      <c r="C71" s="9"/>
      <c r="I71" s="10"/>
      <c r="L71" s="9"/>
      <c r="M71" s="9"/>
      <c r="N71" s="9"/>
      <c r="O71" s="10"/>
      <c r="Q71" s="9"/>
      <c r="R71" s="9"/>
      <c r="S71" s="9"/>
      <c r="V71" s="9"/>
      <c r="W71" s="9"/>
      <c r="X71" s="9"/>
      <c r="AA71" s="9"/>
      <c r="AB71" s="9"/>
    </row>
    <row r="72" spans="3:28" x14ac:dyDescent="0.25">
      <c r="C72" s="9"/>
      <c r="I72" s="10"/>
      <c r="L72" s="9"/>
      <c r="M72" s="9"/>
      <c r="N72" s="9"/>
      <c r="O72" s="10"/>
      <c r="Q72" s="9"/>
      <c r="R72" s="9"/>
      <c r="S72" s="9"/>
      <c r="V72" s="9"/>
      <c r="W72" s="9"/>
      <c r="X72" s="9"/>
      <c r="AA72" s="9"/>
      <c r="AB72" s="9"/>
    </row>
    <row r="73" spans="3:28" x14ac:dyDescent="0.25">
      <c r="C73" s="9"/>
      <c r="I73" s="10"/>
      <c r="L73" s="9"/>
      <c r="M73" s="9"/>
      <c r="N73" s="9"/>
      <c r="O73" s="10"/>
      <c r="Q73" s="9"/>
      <c r="R73" s="9"/>
      <c r="S73" s="9"/>
      <c r="V73" s="9"/>
      <c r="W73" s="9"/>
      <c r="X73" s="9"/>
      <c r="AA73" s="9"/>
      <c r="AB73" s="9"/>
    </row>
    <row r="74" spans="3:28" x14ac:dyDescent="0.25">
      <c r="C74" s="9"/>
      <c r="I74" s="10"/>
      <c r="L74" s="9"/>
      <c r="M74" s="9"/>
      <c r="N74" s="9"/>
      <c r="O74" s="10"/>
      <c r="Q74" s="9"/>
      <c r="R74" s="9"/>
      <c r="S74" s="9"/>
      <c r="V74" s="9"/>
      <c r="W74" s="9"/>
      <c r="X74" s="9"/>
      <c r="AA74" s="9"/>
      <c r="AB74" s="9"/>
    </row>
    <row r="75" spans="3:28" x14ac:dyDescent="0.25">
      <c r="C75" s="9"/>
      <c r="I75" s="10"/>
      <c r="L75" s="9"/>
      <c r="M75" s="9"/>
      <c r="N75" s="9"/>
      <c r="O75" s="10"/>
      <c r="Q75" s="9"/>
      <c r="R75" s="9"/>
      <c r="S75" s="9"/>
      <c r="V75" s="9"/>
      <c r="W75" s="9"/>
      <c r="X75" s="9"/>
      <c r="AA75" s="9"/>
      <c r="AB75" s="9"/>
    </row>
    <row r="76" spans="3:28" x14ac:dyDescent="0.25">
      <c r="C76" s="9"/>
      <c r="I76" s="10"/>
      <c r="L76" s="9"/>
      <c r="M76" s="9"/>
      <c r="N76" s="9"/>
      <c r="O76" s="10"/>
      <c r="Q76" s="9"/>
      <c r="R76" s="9"/>
      <c r="S76" s="9"/>
      <c r="V76" s="9"/>
      <c r="W76" s="9"/>
      <c r="X76" s="9"/>
      <c r="AA76" s="9"/>
      <c r="AB76" s="9"/>
    </row>
    <row r="77" spans="3:28" x14ac:dyDescent="0.25">
      <c r="C77" s="9"/>
      <c r="I77" s="10"/>
      <c r="J77" s="9"/>
      <c r="K77" s="9"/>
      <c r="L77" s="9"/>
      <c r="M77" s="9"/>
      <c r="N77" s="9"/>
      <c r="O77" s="10"/>
      <c r="Q77" s="9"/>
      <c r="R77" s="9"/>
      <c r="S77" s="9"/>
      <c r="V77" s="9"/>
      <c r="W77" s="9"/>
      <c r="X77" s="9"/>
      <c r="AA77" s="9"/>
      <c r="AB77" s="9"/>
    </row>
    <row r="78" spans="3:28" x14ac:dyDescent="0.25">
      <c r="C78" s="9"/>
      <c r="I78" s="10"/>
      <c r="L78" s="9"/>
      <c r="M78" s="9"/>
      <c r="N78" s="9"/>
      <c r="O78" s="10"/>
      <c r="Q78" s="9"/>
      <c r="R78" s="9"/>
      <c r="S78" s="9"/>
      <c r="V78" s="9"/>
      <c r="W78" s="9"/>
      <c r="X78" s="9"/>
      <c r="AA78" s="9"/>
      <c r="AB78" s="9"/>
    </row>
    <row r="79" spans="3:28" x14ac:dyDescent="0.25">
      <c r="L79" s="9"/>
      <c r="M79" s="9"/>
      <c r="N79" s="9"/>
      <c r="Q79" s="9"/>
      <c r="R79" s="9"/>
      <c r="S79" s="9"/>
      <c r="V79" s="9"/>
      <c r="W79" s="9"/>
      <c r="X79" s="9"/>
      <c r="AA79" s="9"/>
      <c r="AB79" s="9"/>
    </row>
    <row r="80" spans="3:28" x14ac:dyDescent="0.25">
      <c r="L80" s="9"/>
      <c r="M80" s="9"/>
      <c r="N80" s="9"/>
      <c r="Q80" s="9"/>
      <c r="R80" s="9"/>
      <c r="S80" s="9"/>
      <c r="V80" s="9"/>
      <c r="W80" s="9"/>
      <c r="X80" s="9"/>
      <c r="AA80" s="9"/>
      <c r="AB80" s="9"/>
    </row>
    <row r="81" spans="12:28" x14ac:dyDescent="0.25">
      <c r="L81" s="9"/>
      <c r="M81" s="9"/>
      <c r="N81" s="9"/>
      <c r="Q81" s="9"/>
      <c r="R81" s="9"/>
      <c r="S81" s="9"/>
      <c r="V81" s="9"/>
      <c r="W81" s="9"/>
      <c r="X81" s="9"/>
      <c r="AA81" s="9"/>
      <c r="AB81" s="9"/>
    </row>
    <row r="82" spans="12:28" x14ac:dyDescent="0.25">
      <c r="L82" s="9"/>
      <c r="M82" s="9"/>
      <c r="N82" s="9"/>
      <c r="Q82" s="9"/>
      <c r="R82" s="9"/>
      <c r="S82" s="9"/>
      <c r="V82" s="9"/>
      <c r="W82" s="9"/>
      <c r="X82" s="9"/>
      <c r="AA82" s="9"/>
      <c r="AB82" s="9"/>
    </row>
    <row r="83" spans="12:28" x14ac:dyDescent="0.25">
      <c r="L83" s="9"/>
      <c r="M83" s="9"/>
      <c r="N83" s="9"/>
      <c r="Q83" s="9"/>
      <c r="R83" s="9"/>
      <c r="S83" s="9"/>
      <c r="V83" s="9"/>
      <c r="W83" s="9"/>
      <c r="X83" s="9"/>
      <c r="AA83" s="9"/>
      <c r="AB83" s="9"/>
    </row>
    <row r="84" spans="12:28" x14ac:dyDescent="0.25">
      <c r="L84" s="9"/>
      <c r="M84" s="9"/>
      <c r="N84" s="9"/>
      <c r="Q84" s="9"/>
      <c r="R84" s="9"/>
      <c r="S84" s="9"/>
      <c r="V84" s="9"/>
      <c r="W84" s="9"/>
      <c r="X84" s="9"/>
      <c r="AA84" s="9"/>
      <c r="AB84" s="9"/>
    </row>
    <row r="85" spans="12:28" x14ac:dyDescent="0.25">
      <c r="L85" s="9"/>
      <c r="M85" s="9"/>
      <c r="N85" s="9"/>
      <c r="Q85" s="9"/>
      <c r="R85" s="9"/>
      <c r="S85" s="9"/>
      <c r="V85" s="9"/>
      <c r="W85" s="9"/>
      <c r="X85" s="9"/>
      <c r="AA85" s="9"/>
      <c r="AB85" s="9"/>
    </row>
    <row r="86" spans="12:28" x14ac:dyDescent="0.25">
      <c r="L86" s="9"/>
      <c r="M86" s="9"/>
      <c r="N86" s="9"/>
      <c r="Q86" s="9"/>
      <c r="R86" s="9"/>
      <c r="S86" s="9"/>
      <c r="V86" s="9"/>
      <c r="W86" s="9"/>
      <c r="X86" s="9"/>
      <c r="AA86" s="9"/>
      <c r="AB86" s="9"/>
    </row>
    <row r="87" spans="12:28" x14ac:dyDescent="0.25">
      <c r="L87" s="9"/>
      <c r="M87" s="9"/>
      <c r="N87" s="9"/>
      <c r="Q87" s="9"/>
      <c r="R87" s="9"/>
      <c r="S87" s="9"/>
      <c r="V87" s="9"/>
      <c r="W87" s="9"/>
      <c r="X87" s="9"/>
      <c r="AA87" s="9"/>
      <c r="AB87" s="9"/>
    </row>
    <row r="88" spans="12:28" x14ac:dyDescent="0.25">
      <c r="L88" s="9"/>
      <c r="M88" s="9"/>
      <c r="N88" s="9"/>
      <c r="Q88" s="9"/>
      <c r="R88" s="9"/>
      <c r="S88" s="9"/>
      <c r="V88" s="9"/>
      <c r="W88" s="9"/>
      <c r="X88" s="9"/>
      <c r="AA88" s="9"/>
      <c r="AB88" s="9"/>
    </row>
    <row r="89" spans="12:28" x14ac:dyDescent="0.25">
      <c r="L89" s="9"/>
      <c r="M89" s="9"/>
      <c r="N89" s="9"/>
      <c r="Q89" s="9"/>
      <c r="R89" s="9"/>
      <c r="S89" s="9"/>
      <c r="V89" s="9"/>
      <c r="W89" s="9"/>
      <c r="X89" s="9"/>
      <c r="AA89" s="9"/>
      <c r="AB89" s="9"/>
    </row>
    <row r="90" spans="12:28" x14ac:dyDescent="0.25">
      <c r="L90" s="9"/>
      <c r="M90" s="9"/>
      <c r="N90" s="9"/>
      <c r="Q90" s="9"/>
      <c r="R90" s="9"/>
      <c r="S90" s="9"/>
      <c r="V90" s="9"/>
      <c r="W90" s="9"/>
      <c r="X90" s="9"/>
      <c r="AA90" s="9"/>
      <c r="AB90" s="9"/>
    </row>
    <row r="91" spans="12:28" x14ac:dyDescent="0.25">
      <c r="L91" s="9"/>
      <c r="M91" s="9"/>
      <c r="N91" s="9"/>
      <c r="Q91" s="9"/>
      <c r="R91" s="9"/>
      <c r="S91" s="9"/>
      <c r="V91" s="9"/>
      <c r="W91" s="9"/>
      <c r="X91" s="9"/>
      <c r="AA91" s="9"/>
      <c r="AB91" s="9"/>
    </row>
    <row r="92" spans="12:28" x14ac:dyDescent="0.25">
      <c r="L92" s="9"/>
      <c r="M92" s="9"/>
      <c r="N92" s="9"/>
      <c r="Q92" s="9"/>
      <c r="R92" s="9"/>
      <c r="S92" s="9"/>
      <c r="V92" s="9"/>
      <c r="W92" s="9"/>
      <c r="X92" s="9"/>
      <c r="AA92" s="9"/>
      <c r="AB92" s="9"/>
    </row>
    <row r="93" spans="12:28" x14ac:dyDescent="0.25">
      <c r="L93" s="9"/>
      <c r="M93" s="9"/>
      <c r="N93" s="9"/>
      <c r="Q93" s="9"/>
      <c r="R93" s="9"/>
      <c r="S93" s="9"/>
      <c r="V93" s="9"/>
      <c r="W93" s="9"/>
      <c r="X93" s="9"/>
      <c r="AA93" s="9"/>
      <c r="AB93" s="9"/>
    </row>
    <row r="94" spans="12:28" x14ac:dyDescent="0.25">
      <c r="L94" s="9"/>
      <c r="M94" s="9"/>
      <c r="N94" s="9"/>
      <c r="Q94" s="9"/>
      <c r="R94" s="9"/>
      <c r="S94" s="9"/>
      <c r="V94" s="9"/>
      <c r="W94" s="9"/>
      <c r="X94" s="9"/>
      <c r="AA94" s="9"/>
      <c r="AB94" s="9"/>
    </row>
    <row r="95" spans="12:28" x14ac:dyDescent="0.25">
      <c r="L95" s="9"/>
      <c r="M95" s="9"/>
      <c r="N95" s="9"/>
      <c r="Q95" s="9"/>
      <c r="R95" s="9"/>
      <c r="S95" s="9"/>
      <c r="V95" s="9"/>
      <c r="W95" s="9"/>
      <c r="X95" s="9"/>
      <c r="AA95" s="9"/>
      <c r="AB95" s="9"/>
    </row>
    <row r="96" spans="12:28" x14ac:dyDescent="0.25">
      <c r="L96" s="9"/>
      <c r="M96" s="9"/>
      <c r="N96" s="9"/>
      <c r="Q96" s="9"/>
      <c r="R96" s="9"/>
      <c r="S96" s="9"/>
      <c r="V96" s="9"/>
      <c r="W96" s="9"/>
      <c r="X96" s="9"/>
      <c r="AA96" s="9"/>
      <c r="AB96" s="9"/>
    </row>
    <row r="97" spans="12:28" x14ac:dyDescent="0.25">
      <c r="L97" s="9"/>
      <c r="M97" s="9"/>
      <c r="N97" s="9"/>
      <c r="Q97" s="9"/>
      <c r="R97" s="9"/>
      <c r="S97" s="9"/>
      <c r="V97" s="9"/>
      <c r="W97" s="9"/>
      <c r="X97" s="9"/>
      <c r="AA97" s="9"/>
      <c r="AB97" s="9"/>
    </row>
    <row r="98" spans="12:28" x14ac:dyDescent="0.25">
      <c r="L98" s="9"/>
      <c r="M98" s="9"/>
      <c r="N98" s="9"/>
      <c r="Q98" s="9"/>
      <c r="R98" s="9"/>
      <c r="S98" s="9"/>
      <c r="V98" s="9"/>
      <c r="W98" s="9"/>
      <c r="X98" s="9"/>
      <c r="AA98" s="9"/>
      <c r="AB98" s="9"/>
    </row>
    <row r="99" spans="12:28" x14ac:dyDescent="0.25">
      <c r="L99" s="9"/>
      <c r="M99" s="9"/>
      <c r="N99" s="9"/>
      <c r="Q99" s="9"/>
      <c r="R99" s="9"/>
      <c r="S99" s="9"/>
      <c r="V99" s="9"/>
      <c r="W99" s="9"/>
      <c r="X99" s="9"/>
      <c r="AA99" s="9"/>
      <c r="AB99" s="9"/>
    </row>
    <row r="100" spans="12:28" x14ac:dyDescent="0.25">
      <c r="L100" s="9"/>
      <c r="M100" s="9"/>
      <c r="N100" s="9"/>
      <c r="Q100" s="9"/>
      <c r="R100" s="9"/>
      <c r="S100" s="9"/>
      <c r="V100" s="9"/>
      <c r="W100" s="9"/>
      <c r="X100" s="9"/>
      <c r="AA100" s="9"/>
      <c r="AB100" s="9"/>
    </row>
    <row r="101" spans="12:28" x14ac:dyDescent="0.25">
      <c r="L101" s="9"/>
      <c r="M101" s="9"/>
      <c r="N101" s="9"/>
      <c r="Q101" s="9"/>
      <c r="R101" s="9"/>
      <c r="S101" s="9"/>
      <c r="V101" s="9"/>
      <c r="W101" s="9"/>
      <c r="X101" s="9"/>
      <c r="AA101" s="9"/>
      <c r="AB101" s="9"/>
    </row>
    <row r="102" spans="12:28" x14ac:dyDescent="0.25">
      <c r="L102" s="9"/>
      <c r="M102" s="9"/>
      <c r="N102" s="9"/>
      <c r="Q102" s="9"/>
      <c r="R102" s="9"/>
      <c r="S102" s="9"/>
      <c r="V102" s="9"/>
      <c r="W102" s="9"/>
      <c r="X102" s="9"/>
      <c r="AA102" s="9"/>
      <c r="AB102" s="9"/>
    </row>
    <row r="103" spans="12:28" x14ac:dyDescent="0.25">
      <c r="L103" s="9"/>
      <c r="M103" s="9"/>
      <c r="N103" s="9"/>
      <c r="Q103" s="9"/>
      <c r="R103" s="9"/>
      <c r="S103" s="9"/>
      <c r="V103" s="9"/>
      <c r="W103" s="9"/>
      <c r="X103" s="9"/>
      <c r="AA103" s="9"/>
      <c r="AB103" s="9"/>
    </row>
    <row r="104" spans="12:28" x14ac:dyDescent="0.25">
      <c r="L104" s="9"/>
      <c r="M104" s="9"/>
      <c r="N104" s="9"/>
      <c r="Q104" s="9"/>
      <c r="R104" s="9"/>
      <c r="S104" s="9"/>
      <c r="V104" s="9"/>
      <c r="W104" s="9"/>
      <c r="X104" s="9"/>
      <c r="AA104" s="9"/>
      <c r="AB104" s="9"/>
    </row>
    <row r="105" spans="12:28" x14ac:dyDescent="0.25">
      <c r="L105" s="9"/>
      <c r="M105" s="9"/>
      <c r="N105" s="9"/>
      <c r="Q105" s="9"/>
      <c r="R105" s="9"/>
      <c r="S105" s="9"/>
      <c r="V105" s="9"/>
      <c r="W105" s="9"/>
      <c r="X105" s="9"/>
      <c r="AA105" s="9"/>
      <c r="AB105" s="9"/>
    </row>
    <row r="106" spans="12:28" x14ac:dyDescent="0.25">
      <c r="L106" s="9"/>
      <c r="M106" s="9"/>
      <c r="N106" s="9"/>
      <c r="Q106" s="9"/>
      <c r="R106" s="9"/>
      <c r="S106" s="9"/>
      <c r="V106" s="9"/>
      <c r="W106" s="9"/>
      <c r="X106" s="9"/>
      <c r="AA106" s="9"/>
      <c r="AB106" s="9"/>
    </row>
    <row r="107" spans="12:28" x14ac:dyDescent="0.25">
      <c r="L107" s="9"/>
      <c r="M107" s="9"/>
      <c r="N107" s="9"/>
      <c r="Q107" s="9"/>
      <c r="R107" s="9"/>
      <c r="S107" s="9"/>
      <c r="V107" s="9"/>
      <c r="W107" s="9"/>
      <c r="X107" s="9"/>
      <c r="AA107" s="9"/>
      <c r="AB107" s="9"/>
    </row>
    <row r="108" spans="12:28" x14ac:dyDescent="0.25">
      <c r="L108" s="9"/>
      <c r="M108" s="9"/>
      <c r="N108" s="9"/>
      <c r="Q108" s="9"/>
      <c r="R108" s="9"/>
      <c r="S108" s="9"/>
      <c r="V108" s="9"/>
      <c r="W108" s="9"/>
      <c r="X108" s="9"/>
      <c r="AA108" s="9"/>
      <c r="AB108" s="9"/>
    </row>
    <row r="109" spans="12:28" x14ac:dyDescent="0.25">
      <c r="L109" s="9"/>
      <c r="M109" s="9"/>
      <c r="N109" s="9"/>
      <c r="Q109" s="9"/>
      <c r="R109" s="9"/>
      <c r="S109" s="9"/>
      <c r="V109" s="9"/>
      <c r="W109" s="9"/>
      <c r="X109" s="9"/>
      <c r="AA109" s="9"/>
      <c r="AB109" s="9"/>
    </row>
    <row r="110" spans="12:28" x14ac:dyDescent="0.25">
      <c r="L110" s="9"/>
      <c r="M110" s="9"/>
      <c r="N110" s="9"/>
      <c r="Q110" s="9"/>
      <c r="R110" s="9"/>
      <c r="S110" s="9"/>
      <c r="V110" s="9"/>
      <c r="W110" s="9"/>
      <c r="X110" s="9"/>
      <c r="AA110" s="9"/>
      <c r="AB110" s="9"/>
    </row>
    <row r="111" spans="12:28" x14ac:dyDescent="0.25">
      <c r="L111" s="9"/>
      <c r="M111" s="9"/>
      <c r="N111" s="9"/>
      <c r="Q111" s="9"/>
      <c r="R111" s="9"/>
      <c r="S111" s="9"/>
      <c r="V111" s="9"/>
      <c r="W111" s="9"/>
      <c r="X111" s="9"/>
      <c r="AA111" s="9"/>
      <c r="AB111" s="9"/>
    </row>
    <row r="112" spans="12:28" x14ac:dyDescent="0.25">
      <c r="L112" s="9"/>
      <c r="M112" s="9"/>
      <c r="N112" s="9"/>
      <c r="Q112" s="9"/>
      <c r="R112" s="9"/>
      <c r="S112" s="9"/>
      <c r="V112" s="9"/>
      <c r="W112" s="9"/>
      <c r="X112" s="9"/>
      <c r="AA112" s="9"/>
      <c r="AB112" s="9"/>
    </row>
    <row r="113" spans="12:28" x14ac:dyDescent="0.25">
      <c r="L113" s="9"/>
      <c r="M113" s="9"/>
      <c r="N113" s="9"/>
      <c r="Q113" s="9"/>
      <c r="R113" s="9"/>
      <c r="S113" s="9"/>
      <c r="V113" s="9"/>
      <c r="W113" s="9"/>
      <c r="X113" s="9"/>
      <c r="AA113" s="9"/>
      <c r="AB113" s="9"/>
    </row>
    <row r="114" spans="12:28" x14ac:dyDescent="0.25">
      <c r="L114" s="9"/>
      <c r="M114" s="9"/>
      <c r="N114" s="9"/>
      <c r="Q114" s="9"/>
      <c r="R114" s="9"/>
      <c r="S114" s="9"/>
      <c r="V114" s="9"/>
      <c r="W114" s="9"/>
      <c r="X114" s="9"/>
      <c r="AA114" s="9"/>
      <c r="AB114" s="9"/>
    </row>
    <row r="115" spans="12:28" x14ac:dyDescent="0.25">
      <c r="L115" s="9"/>
      <c r="M115" s="9"/>
      <c r="N115" s="9"/>
      <c r="Q115" s="9"/>
      <c r="R115" s="9"/>
      <c r="S115" s="9"/>
      <c r="V115" s="9"/>
      <c r="W115" s="9"/>
      <c r="X115" s="9"/>
      <c r="AA115" s="9"/>
      <c r="AB115" s="9"/>
    </row>
    <row r="116" spans="12:28" x14ac:dyDescent="0.25">
      <c r="L116" s="9"/>
      <c r="M116" s="9"/>
      <c r="N116" s="9"/>
      <c r="Q116" s="9"/>
      <c r="R116" s="9"/>
      <c r="S116" s="9"/>
      <c r="V116" s="9"/>
      <c r="W116" s="9"/>
      <c r="X116" s="9"/>
      <c r="AA116" s="9"/>
      <c r="AB116" s="9"/>
    </row>
    <row r="117" spans="12:28" x14ac:dyDescent="0.25">
      <c r="L117" s="9"/>
      <c r="M117" s="9"/>
      <c r="N117" s="9"/>
      <c r="Q117" s="9"/>
      <c r="R117" s="9"/>
      <c r="S117" s="9"/>
      <c r="V117" s="9"/>
      <c r="W117" s="9"/>
      <c r="X117" s="9"/>
      <c r="AA117" s="9"/>
      <c r="AB117" s="9"/>
    </row>
    <row r="118" spans="12:28" x14ac:dyDescent="0.25">
      <c r="L118" s="9"/>
      <c r="M118" s="9"/>
      <c r="N118" s="9"/>
      <c r="Q118" s="9"/>
      <c r="R118" s="9"/>
      <c r="S118" s="9"/>
      <c r="V118" s="9"/>
      <c r="W118" s="9"/>
      <c r="X118" s="9"/>
      <c r="AA118" s="9"/>
      <c r="AB118" s="9"/>
    </row>
    <row r="119" spans="12:28" x14ac:dyDescent="0.25">
      <c r="L119" s="9"/>
      <c r="M119" s="9"/>
      <c r="N119" s="9"/>
      <c r="Q119" s="9"/>
      <c r="R119" s="9"/>
      <c r="S119" s="9"/>
      <c r="V119" s="9"/>
      <c r="W119" s="9"/>
      <c r="X119" s="9"/>
      <c r="AA119" s="9"/>
      <c r="AB119" s="9"/>
    </row>
    <row r="120" spans="12:28" x14ac:dyDescent="0.25">
      <c r="L120" s="9"/>
      <c r="M120" s="9"/>
      <c r="N120" s="9"/>
      <c r="Q120" s="9"/>
      <c r="R120" s="9"/>
      <c r="S120" s="9"/>
      <c r="V120" s="9"/>
      <c r="W120" s="9"/>
      <c r="X120" s="9"/>
      <c r="AA120" s="9"/>
      <c r="AB120" s="9"/>
    </row>
    <row r="121" spans="12:28" x14ac:dyDescent="0.25">
      <c r="L121" s="9"/>
      <c r="M121" s="9"/>
      <c r="N121" s="9"/>
      <c r="Q121" s="9"/>
      <c r="R121" s="9"/>
      <c r="S121" s="9"/>
      <c r="V121" s="9"/>
      <c r="W121" s="9"/>
      <c r="X121" s="9"/>
      <c r="AA121" s="9"/>
      <c r="AB121" s="9"/>
    </row>
    <row r="122" spans="12:28" x14ac:dyDescent="0.25">
      <c r="L122" s="9"/>
      <c r="M122" s="9"/>
      <c r="N122" s="9"/>
      <c r="Q122" s="9"/>
      <c r="R122" s="9"/>
      <c r="S122" s="9"/>
      <c r="V122" s="9"/>
      <c r="W122" s="9"/>
      <c r="X122" s="9"/>
      <c r="AA122" s="9"/>
      <c r="AB122" s="9"/>
    </row>
    <row r="123" spans="12:28" x14ac:dyDescent="0.25">
      <c r="L123" s="9"/>
      <c r="M123" s="9"/>
      <c r="N123" s="9"/>
      <c r="Q123" s="9"/>
      <c r="R123" s="9"/>
      <c r="S123" s="9"/>
      <c r="V123" s="9"/>
      <c r="W123" s="9"/>
      <c r="X123" s="9"/>
      <c r="AA123" s="9"/>
      <c r="AB123" s="9"/>
    </row>
    <row r="124" spans="12:28" x14ac:dyDescent="0.25">
      <c r="L124" s="9"/>
      <c r="M124" s="9"/>
      <c r="N124" s="9"/>
      <c r="Q124" s="9"/>
      <c r="R124" s="9"/>
      <c r="S124" s="9"/>
      <c r="V124" s="9"/>
      <c r="W124" s="9"/>
      <c r="X124" s="9"/>
      <c r="AA124" s="9"/>
      <c r="AB124" s="9"/>
    </row>
    <row r="125" spans="12:28" x14ac:dyDescent="0.25">
      <c r="L125" s="9"/>
      <c r="M125" s="9"/>
      <c r="N125" s="9"/>
      <c r="Q125" s="9"/>
      <c r="R125" s="9"/>
      <c r="S125" s="9"/>
      <c r="V125" s="9"/>
      <c r="W125" s="9"/>
      <c r="X125" s="9"/>
      <c r="AA125" s="9"/>
      <c r="AB125" s="9"/>
    </row>
    <row r="126" spans="12:28" x14ac:dyDescent="0.25">
      <c r="L126" s="9"/>
      <c r="M126" s="9"/>
      <c r="N126" s="9"/>
      <c r="Q126" s="9"/>
      <c r="R126" s="9"/>
      <c r="S126" s="9"/>
      <c r="V126" s="9"/>
      <c r="W126" s="9"/>
      <c r="X126" s="9"/>
      <c r="AA126" s="9"/>
      <c r="AB126" s="9"/>
    </row>
    <row r="127" spans="12:28" x14ac:dyDescent="0.25">
      <c r="L127" s="9"/>
      <c r="M127" s="9"/>
      <c r="N127" s="9"/>
      <c r="Q127" s="9"/>
      <c r="R127" s="9"/>
      <c r="S127" s="9"/>
      <c r="V127" s="9"/>
      <c r="W127" s="9"/>
      <c r="X127" s="9"/>
      <c r="AA127" s="9"/>
      <c r="AB127" s="9"/>
    </row>
    <row r="128" spans="12:28" x14ac:dyDescent="0.25">
      <c r="L128" s="9"/>
      <c r="M128" s="9"/>
      <c r="N128" s="9"/>
      <c r="Q128" s="9"/>
      <c r="R128" s="9"/>
      <c r="S128" s="9"/>
      <c r="V128" s="9"/>
      <c r="W128" s="9"/>
      <c r="X128" s="9"/>
      <c r="AA128" s="9"/>
      <c r="AB128" s="9"/>
    </row>
    <row r="129" spans="12:28" x14ac:dyDescent="0.25">
      <c r="L129" s="9"/>
      <c r="M129" s="9"/>
      <c r="N129" s="9"/>
      <c r="Q129" s="9"/>
      <c r="R129" s="9"/>
      <c r="S129" s="9"/>
      <c r="V129" s="9"/>
      <c r="W129" s="9"/>
      <c r="X129" s="9"/>
      <c r="AA129" s="9"/>
      <c r="AB129" s="9"/>
    </row>
    <row r="130" spans="12:28" x14ac:dyDescent="0.25">
      <c r="L130" s="9"/>
      <c r="M130" s="9"/>
      <c r="N130" s="9"/>
      <c r="Q130" s="9"/>
      <c r="R130" s="9"/>
      <c r="S130" s="9"/>
      <c r="V130" s="9"/>
      <c r="W130" s="9"/>
      <c r="X130" s="9"/>
      <c r="AA130" s="9"/>
      <c r="AB130" s="9"/>
    </row>
    <row r="131" spans="12:28" x14ac:dyDescent="0.25">
      <c r="L131" s="9"/>
      <c r="M131" s="9"/>
      <c r="N131" s="9"/>
      <c r="Q131" s="9"/>
      <c r="R131" s="9"/>
      <c r="S131" s="9"/>
      <c r="V131" s="9"/>
      <c r="W131" s="9"/>
      <c r="X131" s="9"/>
      <c r="AA131" s="9"/>
      <c r="AB131" s="9"/>
    </row>
    <row r="132" spans="12:28" x14ac:dyDescent="0.25">
      <c r="L132" s="9"/>
      <c r="M132" s="9"/>
      <c r="N132" s="9"/>
      <c r="Q132" s="9"/>
      <c r="R132" s="9"/>
      <c r="S132" s="9"/>
      <c r="V132" s="9"/>
      <c r="W132" s="9"/>
      <c r="X132" s="9"/>
      <c r="AA132" s="9"/>
      <c r="AB132" s="9"/>
    </row>
    <row r="133" spans="12:28" x14ac:dyDescent="0.25">
      <c r="L133" s="9"/>
      <c r="M133" s="9"/>
      <c r="N133" s="9"/>
      <c r="Q133" s="9"/>
      <c r="R133" s="9"/>
      <c r="S133" s="9"/>
      <c r="V133" s="9"/>
      <c r="W133" s="9"/>
      <c r="X133" s="9"/>
      <c r="AA133" s="9"/>
      <c r="AB133" s="9"/>
    </row>
    <row r="134" spans="12:28" x14ac:dyDescent="0.25">
      <c r="L134" s="9"/>
      <c r="M134" s="9"/>
      <c r="N134" s="9"/>
      <c r="Q134" s="9"/>
      <c r="R134" s="9"/>
      <c r="S134" s="9"/>
      <c r="V134" s="9"/>
      <c r="W134" s="9"/>
      <c r="X134" s="9"/>
      <c r="AA134" s="9"/>
      <c r="AB134" s="9"/>
    </row>
    <row r="135" spans="12:28" x14ac:dyDescent="0.25">
      <c r="L135" s="9"/>
      <c r="M135" s="9"/>
      <c r="N135" s="9"/>
      <c r="Q135" s="9"/>
      <c r="R135" s="9"/>
      <c r="S135" s="9"/>
      <c r="V135" s="9"/>
      <c r="W135" s="9"/>
      <c r="X135" s="9"/>
      <c r="AA135" s="9"/>
      <c r="AB135" s="9"/>
    </row>
    <row r="136" spans="12:28" x14ac:dyDescent="0.25">
      <c r="L136" s="9"/>
      <c r="M136" s="9"/>
      <c r="N136" s="9"/>
      <c r="Q136" s="9"/>
      <c r="R136" s="9"/>
      <c r="S136" s="9"/>
      <c r="V136" s="9"/>
      <c r="W136" s="9"/>
      <c r="X136" s="9"/>
      <c r="AA136" s="9"/>
      <c r="AB136" s="9"/>
    </row>
    <row r="137" spans="12:28" x14ac:dyDescent="0.25">
      <c r="L137" s="9"/>
      <c r="M137" s="9"/>
      <c r="N137" s="9"/>
      <c r="Q137" s="9"/>
      <c r="R137" s="9"/>
      <c r="S137" s="9"/>
      <c r="V137" s="9"/>
      <c r="W137" s="9"/>
      <c r="X137" s="9"/>
      <c r="AA137" s="9"/>
      <c r="AB137" s="9"/>
    </row>
    <row r="138" spans="12:28" x14ac:dyDescent="0.25">
      <c r="L138" s="9"/>
      <c r="M138" s="9"/>
      <c r="N138" s="9"/>
      <c r="Q138" s="9"/>
      <c r="R138" s="9"/>
      <c r="S138" s="9"/>
      <c r="V138" s="9"/>
      <c r="W138" s="9"/>
      <c r="X138" s="9"/>
      <c r="AA138" s="9"/>
      <c r="AB138" s="9"/>
    </row>
    <row r="139" spans="12:28" x14ac:dyDescent="0.25">
      <c r="L139" s="9"/>
      <c r="M139" s="9"/>
      <c r="N139" s="9"/>
      <c r="Q139" s="9"/>
      <c r="R139" s="9"/>
      <c r="S139" s="9"/>
      <c r="V139" s="9"/>
      <c r="W139" s="9"/>
      <c r="X139" s="9"/>
      <c r="AA139" s="9"/>
      <c r="AB139" s="9"/>
    </row>
    <row r="140" spans="12:28" x14ac:dyDescent="0.25">
      <c r="L140" s="9"/>
      <c r="M140" s="9"/>
      <c r="N140" s="9"/>
      <c r="Q140" s="9"/>
      <c r="R140" s="9"/>
      <c r="S140" s="9"/>
      <c r="V140" s="9"/>
      <c r="W140" s="9"/>
      <c r="X140" s="9"/>
      <c r="AA140" s="9"/>
      <c r="AB140" s="9"/>
    </row>
    <row r="141" spans="12:28" x14ac:dyDescent="0.25">
      <c r="L141" s="9"/>
      <c r="M141" s="9"/>
      <c r="N141" s="9"/>
      <c r="Q141" s="9"/>
      <c r="R141" s="9"/>
      <c r="S141" s="9"/>
      <c r="V141" s="9"/>
      <c r="W141" s="9"/>
      <c r="X141" s="9"/>
      <c r="AA141" s="9"/>
      <c r="AB141" s="9"/>
    </row>
    <row r="142" spans="12:28" x14ac:dyDescent="0.25">
      <c r="L142" s="9"/>
      <c r="M142" s="9"/>
      <c r="N142" s="9"/>
      <c r="Q142" s="9"/>
      <c r="R142" s="9"/>
      <c r="S142" s="9"/>
      <c r="V142" s="9"/>
      <c r="W142" s="9"/>
      <c r="X142" s="9"/>
      <c r="AA142" s="9"/>
      <c r="AB142" s="9"/>
    </row>
    <row r="143" spans="12:28" x14ac:dyDescent="0.25">
      <c r="L143" s="9"/>
      <c r="M143" s="9"/>
      <c r="N143" s="9"/>
      <c r="Q143" s="9"/>
      <c r="R143" s="9"/>
      <c r="S143" s="9"/>
      <c r="V143" s="9"/>
      <c r="W143" s="9"/>
      <c r="X143" s="9"/>
      <c r="AA143" s="9"/>
      <c r="AB143" s="9"/>
    </row>
    <row r="144" spans="12:28" x14ac:dyDescent="0.25">
      <c r="L144" s="9"/>
      <c r="M144" s="9"/>
      <c r="N144" s="9"/>
      <c r="Q144" s="9"/>
      <c r="R144" s="9"/>
      <c r="S144" s="9"/>
      <c r="V144" s="9"/>
      <c r="W144" s="9"/>
      <c r="X144" s="9"/>
      <c r="AA144" s="9"/>
      <c r="AB144" s="9"/>
    </row>
    <row r="145" spans="12:28" x14ac:dyDescent="0.25">
      <c r="L145" s="9"/>
      <c r="M145" s="9"/>
      <c r="N145" s="9"/>
      <c r="Q145" s="9"/>
      <c r="R145" s="9"/>
      <c r="S145" s="9"/>
      <c r="V145" s="9"/>
      <c r="W145" s="9"/>
      <c r="X145" s="9"/>
      <c r="AA145" s="9"/>
      <c r="AB145" s="9"/>
    </row>
    <row r="146" spans="12:28" x14ac:dyDescent="0.25">
      <c r="L146" s="9"/>
      <c r="M146" s="9"/>
      <c r="N146" s="9"/>
      <c r="Q146" s="9"/>
      <c r="R146" s="9"/>
      <c r="S146" s="9"/>
      <c r="V146" s="9"/>
      <c r="W146" s="9"/>
      <c r="X146" s="9"/>
      <c r="AA146" s="9"/>
      <c r="AB146" s="9"/>
    </row>
    <row r="147" spans="12:28" x14ac:dyDescent="0.25">
      <c r="L147" s="9"/>
      <c r="M147" s="9"/>
      <c r="N147" s="9"/>
      <c r="Q147" s="9"/>
      <c r="R147" s="9"/>
      <c r="S147" s="9"/>
      <c r="V147" s="9"/>
      <c r="W147" s="9"/>
      <c r="X147" s="9"/>
      <c r="AA147" s="9"/>
      <c r="AB147" s="9"/>
    </row>
    <row r="148" spans="12:28" x14ac:dyDescent="0.25">
      <c r="L148" s="9"/>
      <c r="M148" s="9"/>
      <c r="N148" s="9"/>
      <c r="Q148" s="9"/>
      <c r="R148" s="9"/>
      <c r="S148" s="9"/>
      <c r="V148" s="9"/>
      <c r="W148" s="9"/>
      <c r="X148" s="9"/>
      <c r="AA148" s="9"/>
      <c r="AB148" s="9"/>
    </row>
    <row r="149" spans="12:28" x14ac:dyDescent="0.25">
      <c r="L149" s="9"/>
      <c r="M149" s="9"/>
      <c r="N149" s="9"/>
      <c r="Q149" s="9"/>
      <c r="R149" s="9"/>
      <c r="S149" s="9"/>
      <c r="V149" s="9"/>
      <c r="W149" s="9"/>
      <c r="X149" s="9"/>
      <c r="AA149" s="9"/>
      <c r="AB149" s="9"/>
    </row>
    <row r="150" spans="12:28" x14ac:dyDescent="0.25">
      <c r="L150" s="9"/>
      <c r="M150" s="9"/>
      <c r="N150" s="9"/>
      <c r="Q150" s="9"/>
      <c r="R150" s="9"/>
      <c r="S150" s="9"/>
      <c r="V150" s="9"/>
      <c r="W150" s="9"/>
      <c r="X150" s="9"/>
      <c r="AA150" s="9"/>
      <c r="AB150" s="9"/>
    </row>
    <row r="151" spans="12:28" x14ac:dyDescent="0.25">
      <c r="L151" s="9"/>
      <c r="M151" s="9"/>
      <c r="N151" s="9"/>
      <c r="Q151" s="9"/>
      <c r="R151" s="9"/>
      <c r="S151" s="9"/>
      <c r="V151" s="9"/>
      <c r="W151" s="9"/>
      <c r="X151" s="9"/>
      <c r="AA151" s="9"/>
      <c r="AB151" s="9"/>
    </row>
    <row r="152" spans="12:28" x14ac:dyDescent="0.25">
      <c r="L152" s="9"/>
      <c r="M152" s="9"/>
      <c r="N152" s="9"/>
      <c r="Q152" s="9"/>
      <c r="R152" s="9"/>
      <c r="S152" s="9"/>
      <c r="V152" s="9"/>
      <c r="W152" s="9"/>
      <c r="X152" s="9"/>
      <c r="AA152" s="9"/>
      <c r="AB152" s="9"/>
    </row>
    <row r="153" spans="12:28" x14ac:dyDescent="0.25">
      <c r="L153" s="9"/>
      <c r="M153" s="9"/>
      <c r="N153" s="9"/>
      <c r="Q153" s="9"/>
      <c r="R153" s="9"/>
      <c r="S153" s="9"/>
      <c r="V153" s="9"/>
      <c r="W153" s="9"/>
      <c r="X153" s="9"/>
      <c r="AA153" s="9"/>
      <c r="AB153" s="9"/>
    </row>
    <row r="154" spans="12:28" x14ac:dyDescent="0.25">
      <c r="L154" s="9"/>
      <c r="M154" s="9"/>
      <c r="N154" s="9"/>
      <c r="Q154" s="9"/>
      <c r="R154" s="9"/>
      <c r="S154" s="9"/>
      <c r="V154" s="9"/>
      <c r="W154" s="9"/>
      <c r="X154" s="9"/>
      <c r="AA154" s="9"/>
      <c r="AB154" s="9"/>
    </row>
    <row r="155" spans="12:28" x14ac:dyDescent="0.25">
      <c r="L155" s="9"/>
      <c r="M155" s="9"/>
      <c r="N155" s="9"/>
      <c r="Q155" s="9"/>
      <c r="R155" s="9"/>
      <c r="S155" s="9"/>
      <c r="V155" s="9"/>
      <c r="W155" s="9"/>
      <c r="X155" s="9"/>
      <c r="AA155" s="9"/>
      <c r="AB155" s="9"/>
    </row>
    <row r="156" spans="12:28" x14ac:dyDescent="0.25">
      <c r="L156" s="9"/>
      <c r="M156" s="9"/>
      <c r="N156" s="9"/>
      <c r="Q156" s="9"/>
      <c r="R156" s="9"/>
      <c r="S156" s="9"/>
      <c r="V156" s="9"/>
      <c r="W156" s="9"/>
      <c r="X156" s="9"/>
      <c r="AA156" s="9"/>
      <c r="AB156" s="9"/>
    </row>
    <row r="157" spans="12:28" x14ac:dyDescent="0.25">
      <c r="L157" s="9"/>
      <c r="M157" s="9"/>
      <c r="N157" s="9"/>
      <c r="Q157" s="9"/>
      <c r="R157" s="9"/>
      <c r="S157" s="9"/>
      <c r="V157" s="9"/>
      <c r="W157" s="9"/>
      <c r="X157" s="9"/>
      <c r="AA157" s="9"/>
      <c r="AB157" s="9"/>
    </row>
    <row r="158" spans="12:28" x14ac:dyDescent="0.25">
      <c r="L158" s="9"/>
      <c r="M158" s="9"/>
      <c r="N158" s="9"/>
      <c r="Q158" s="9"/>
      <c r="R158" s="9"/>
      <c r="S158" s="9"/>
      <c r="V158" s="9"/>
      <c r="W158" s="9"/>
      <c r="X158" s="9"/>
      <c r="AA158" s="9"/>
      <c r="AB158" s="9"/>
    </row>
    <row r="159" spans="12:28" x14ac:dyDescent="0.25">
      <c r="L159" s="9"/>
      <c r="M159" s="9"/>
      <c r="N159" s="9"/>
      <c r="Q159" s="9"/>
      <c r="R159" s="9"/>
      <c r="S159" s="9"/>
      <c r="V159" s="9"/>
      <c r="W159" s="9"/>
      <c r="X159" s="9"/>
      <c r="AA159" s="9"/>
      <c r="AB159" s="9"/>
    </row>
    <row r="160" spans="12:28" x14ac:dyDescent="0.25">
      <c r="L160" s="9"/>
      <c r="M160" s="9"/>
      <c r="N160" s="9"/>
      <c r="Q160" s="9"/>
      <c r="R160" s="9"/>
      <c r="S160" s="9"/>
      <c r="V160" s="9"/>
      <c r="W160" s="9"/>
      <c r="X160" s="9"/>
      <c r="AA160" s="9"/>
      <c r="AB160" s="9"/>
    </row>
    <row r="161" spans="12:28" x14ac:dyDescent="0.25">
      <c r="L161" s="9"/>
      <c r="M161" s="9"/>
      <c r="N161" s="9"/>
      <c r="Q161" s="9"/>
      <c r="R161" s="9"/>
      <c r="S161" s="9"/>
      <c r="V161" s="9"/>
      <c r="W161" s="9"/>
      <c r="X161" s="9"/>
      <c r="AA161" s="9"/>
      <c r="AB161" s="9"/>
    </row>
    <row r="162" spans="12:28" x14ac:dyDescent="0.25">
      <c r="L162" s="9"/>
      <c r="M162" s="9"/>
      <c r="N162" s="9"/>
      <c r="Q162" s="9"/>
      <c r="R162" s="9"/>
      <c r="S162" s="9"/>
      <c r="V162" s="9"/>
      <c r="W162" s="9"/>
      <c r="X162" s="9"/>
      <c r="AA162" s="9"/>
      <c r="AB162" s="9"/>
    </row>
    <row r="163" spans="12:28" x14ac:dyDescent="0.25">
      <c r="L163" s="9"/>
      <c r="M163" s="9"/>
      <c r="N163" s="9"/>
      <c r="Q163" s="9"/>
      <c r="R163" s="9"/>
      <c r="S163" s="9"/>
      <c r="V163" s="9"/>
      <c r="W163" s="9"/>
      <c r="X163" s="9"/>
      <c r="AA163" s="9"/>
      <c r="AB163" s="9"/>
    </row>
    <row r="164" spans="12:28" x14ac:dyDescent="0.25">
      <c r="L164" s="9"/>
      <c r="M164" s="9"/>
      <c r="N164" s="9"/>
      <c r="Q164" s="9"/>
      <c r="R164" s="9"/>
      <c r="S164" s="9"/>
      <c r="V164" s="9"/>
      <c r="W164" s="9"/>
      <c r="X164" s="9"/>
      <c r="AA164" s="9"/>
      <c r="AB164" s="9"/>
    </row>
    <row r="165" spans="12:28" x14ac:dyDescent="0.25">
      <c r="L165" s="9"/>
      <c r="M165" s="9"/>
      <c r="N165" s="9"/>
      <c r="Q165" s="9"/>
      <c r="R165" s="9"/>
      <c r="S165" s="9"/>
      <c r="V165" s="9"/>
      <c r="W165" s="9"/>
      <c r="X165" s="9"/>
      <c r="AA165" s="9"/>
      <c r="AB165" s="9"/>
    </row>
    <row r="166" spans="12:28" x14ac:dyDescent="0.25">
      <c r="L166" s="9"/>
      <c r="M166" s="9"/>
      <c r="N166" s="9"/>
      <c r="Q166" s="9"/>
      <c r="R166" s="9"/>
      <c r="S166" s="9"/>
      <c r="V166" s="9"/>
      <c r="W166" s="9"/>
      <c r="X166" s="9"/>
      <c r="AA166" s="9"/>
      <c r="AB166" s="9"/>
    </row>
    <row r="167" spans="12:28" x14ac:dyDescent="0.25">
      <c r="L167" s="9"/>
      <c r="M167" s="9"/>
      <c r="N167" s="9"/>
      <c r="Q167" s="9"/>
      <c r="R167" s="9"/>
      <c r="S167" s="9"/>
      <c r="V167" s="9"/>
      <c r="W167" s="9"/>
      <c r="X167" s="9"/>
      <c r="AA167" s="9"/>
      <c r="AB167" s="9"/>
    </row>
    <row r="168" spans="12:28" x14ac:dyDescent="0.25">
      <c r="L168" s="9"/>
      <c r="M168" s="9"/>
      <c r="N168" s="9"/>
      <c r="Q168" s="9"/>
      <c r="R168" s="9"/>
      <c r="S168" s="9"/>
      <c r="V168" s="9"/>
      <c r="W168" s="9"/>
      <c r="X168" s="9"/>
      <c r="AA168" s="9"/>
      <c r="AB168" s="9"/>
    </row>
    <row r="169" spans="12:28" x14ac:dyDescent="0.25">
      <c r="L169" s="9"/>
      <c r="M169" s="9"/>
      <c r="N169" s="9"/>
      <c r="Q169" s="9"/>
      <c r="R169" s="9"/>
      <c r="S169" s="9"/>
      <c r="V169" s="9"/>
      <c r="W169" s="9"/>
      <c r="X169" s="9"/>
      <c r="AA169" s="9"/>
      <c r="AB169" s="9"/>
    </row>
    <row r="170" spans="12:28" x14ac:dyDescent="0.25">
      <c r="L170" s="9"/>
      <c r="M170" s="9"/>
      <c r="N170" s="9"/>
      <c r="Q170" s="9"/>
      <c r="R170" s="9"/>
      <c r="S170" s="9"/>
      <c r="V170" s="9"/>
      <c r="W170" s="9"/>
      <c r="X170" s="9"/>
      <c r="AA170" s="9"/>
      <c r="AB170" s="9"/>
    </row>
    <row r="171" spans="12:28" x14ac:dyDescent="0.25">
      <c r="L171" s="9"/>
      <c r="M171" s="9"/>
      <c r="N171" s="9"/>
      <c r="Q171" s="9"/>
      <c r="R171" s="9"/>
      <c r="S171" s="9"/>
      <c r="V171" s="9"/>
      <c r="W171" s="9"/>
      <c r="X171" s="9"/>
      <c r="AA171" s="9"/>
      <c r="AB171" s="9"/>
    </row>
    <row r="172" spans="12:28" x14ac:dyDescent="0.25">
      <c r="L172" s="9"/>
      <c r="M172" s="9"/>
      <c r="N172" s="9"/>
      <c r="Q172" s="9"/>
      <c r="R172" s="9"/>
      <c r="S172" s="9"/>
      <c r="V172" s="9"/>
      <c r="W172" s="9"/>
      <c r="X172" s="9"/>
      <c r="AA172" s="9"/>
      <c r="AB172" s="9"/>
    </row>
    <row r="173" spans="12:28" x14ac:dyDescent="0.25">
      <c r="L173" s="9"/>
      <c r="M173" s="9"/>
      <c r="N173" s="9"/>
      <c r="Q173" s="9"/>
      <c r="R173" s="9"/>
      <c r="S173" s="9"/>
      <c r="V173" s="9"/>
      <c r="W173" s="9"/>
      <c r="X173" s="9"/>
      <c r="AA173" s="9"/>
      <c r="AB173" s="9"/>
    </row>
    <row r="174" spans="12:28" x14ac:dyDescent="0.25">
      <c r="L174" s="9"/>
      <c r="M174" s="9"/>
      <c r="N174" s="9"/>
      <c r="Q174" s="9"/>
      <c r="R174" s="9"/>
      <c r="S174" s="9"/>
      <c r="V174" s="9"/>
      <c r="W174" s="9"/>
      <c r="X174" s="9"/>
      <c r="AA174" s="9"/>
      <c r="AB174" s="9"/>
    </row>
    <row r="175" spans="12:28" x14ac:dyDescent="0.25">
      <c r="L175" s="9"/>
      <c r="M175" s="9"/>
      <c r="N175" s="9"/>
      <c r="Q175" s="9"/>
      <c r="R175" s="9"/>
      <c r="S175" s="9"/>
      <c r="V175" s="9"/>
      <c r="W175" s="9"/>
      <c r="X175" s="9"/>
      <c r="AA175" s="9"/>
      <c r="AB175" s="9"/>
    </row>
    <row r="176" spans="12:28" x14ac:dyDescent="0.25">
      <c r="L176" s="9"/>
      <c r="M176" s="9"/>
      <c r="N176" s="9"/>
      <c r="Q176" s="9"/>
      <c r="R176" s="9"/>
      <c r="S176" s="9"/>
      <c r="V176" s="9"/>
      <c r="W176" s="9"/>
      <c r="X176" s="9"/>
      <c r="AA176" s="9"/>
      <c r="AB176" s="9"/>
    </row>
    <row r="177" spans="12:28" x14ac:dyDescent="0.25">
      <c r="L177" s="9"/>
      <c r="M177" s="9"/>
      <c r="N177" s="9"/>
      <c r="Q177" s="9"/>
      <c r="R177" s="9"/>
      <c r="S177" s="9"/>
      <c r="V177" s="9"/>
      <c r="W177" s="9"/>
      <c r="X177" s="9"/>
      <c r="AA177" s="9"/>
      <c r="AB177" s="9"/>
    </row>
    <row r="178" spans="12:28" x14ac:dyDescent="0.25">
      <c r="L178" s="9"/>
      <c r="M178" s="9"/>
      <c r="N178" s="9"/>
      <c r="Q178" s="9"/>
      <c r="R178" s="9"/>
      <c r="S178" s="9"/>
      <c r="V178" s="9"/>
      <c r="W178" s="9"/>
      <c r="X178" s="9"/>
      <c r="AA178" s="9"/>
      <c r="AB178" s="9"/>
    </row>
    <row r="179" spans="12:28" x14ac:dyDescent="0.25">
      <c r="L179" s="9"/>
      <c r="M179" s="9"/>
      <c r="N179" s="9"/>
      <c r="Q179" s="9"/>
      <c r="R179" s="9"/>
      <c r="S179" s="9"/>
      <c r="V179" s="9"/>
      <c r="W179" s="9"/>
      <c r="X179" s="9"/>
      <c r="AA179" s="9"/>
      <c r="AB179" s="9"/>
    </row>
    <row r="180" spans="12:28" x14ac:dyDescent="0.25">
      <c r="L180" s="9"/>
      <c r="M180" s="9"/>
      <c r="N180" s="9"/>
      <c r="Q180" s="9"/>
      <c r="R180" s="9"/>
      <c r="S180" s="9"/>
      <c r="V180" s="9"/>
      <c r="W180" s="9"/>
      <c r="X180" s="9"/>
      <c r="AA180" s="9"/>
      <c r="AB180" s="9"/>
    </row>
    <row r="181" spans="12:28" x14ac:dyDescent="0.25">
      <c r="L181" s="9"/>
      <c r="M181" s="9"/>
      <c r="N181" s="9"/>
      <c r="Q181" s="9"/>
      <c r="R181" s="9"/>
      <c r="S181" s="9"/>
      <c r="V181" s="9"/>
      <c r="W181" s="9"/>
      <c r="X181" s="9"/>
      <c r="AA181" s="9"/>
      <c r="AB181" s="9"/>
    </row>
    <row r="182" spans="12:28" x14ac:dyDescent="0.25">
      <c r="L182" s="9"/>
      <c r="M182" s="9"/>
      <c r="N182" s="9"/>
      <c r="Q182" s="9"/>
      <c r="R182" s="9"/>
      <c r="S182" s="9"/>
      <c r="V182" s="9"/>
      <c r="W182" s="9"/>
      <c r="X182" s="9"/>
      <c r="AA182" s="9"/>
      <c r="AB182" s="9"/>
    </row>
    <row r="183" spans="12:28" x14ac:dyDescent="0.25">
      <c r="L183" s="9"/>
      <c r="M183" s="9"/>
      <c r="N183" s="9"/>
      <c r="Q183" s="9"/>
      <c r="R183" s="9"/>
      <c r="S183" s="9"/>
      <c r="V183" s="9"/>
      <c r="W183" s="9"/>
      <c r="X183" s="9"/>
      <c r="AA183" s="9"/>
      <c r="AB183" s="9"/>
    </row>
    <row r="184" spans="12:28" x14ac:dyDescent="0.25">
      <c r="L184" s="9"/>
      <c r="M184" s="9"/>
      <c r="N184" s="9"/>
      <c r="Q184" s="9"/>
      <c r="R184" s="9"/>
      <c r="S184" s="9"/>
      <c r="V184" s="9"/>
      <c r="W184" s="9"/>
      <c r="X184" s="9"/>
      <c r="AA184" s="9"/>
      <c r="AB184" s="9"/>
    </row>
    <row r="185" spans="12:28" x14ac:dyDescent="0.25">
      <c r="L185" s="9"/>
      <c r="M185" s="9"/>
      <c r="N185" s="9"/>
      <c r="Q185" s="9"/>
      <c r="R185" s="9"/>
      <c r="S185" s="9"/>
      <c r="V185" s="9"/>
      <c r="W185" s="9"/>
      <c r="X185" s="9"/>
      <c r="AA185" s="9"/>
      <c r="AB185" s="9"/>
    </row>
    <row r="186" spans="12:28" x14ac:dyDescent="0.25">
      <c r="L186" s="9"/>
      <c r="M186" s="9"/>
      <c r="N186" s="9"/>
      <c r="Q186" s="9"/>
      <c r="R186" s="9"/>
      <c r="S186" s="9"/>
      <c r="V186" s="9"/>
      <c r="W186" s="9"/>
      <c r="X186" s="9"/>
      <c r="AA186" s="9"/>
      <c r="AB186" s="9"/>
    </row>
    <row r="187" spans="12:28" x14ac:dyDescent="0.25">
      <c r="L187" s="9"/>
      <c r="M187" s="9"/>
      <c r="N187" s="9"/>
      <c r="Q187" s="9"/>
      <c r="R187" s="9"/>
      <c r="S187" s="9"/>
      <c r="V187" s="9"/>
      <c r="W187" s="9"/>
      <c r="X187" s="9"/>
      <c r="AA187" s="9"/>
      <c r="AB187" s="9"/>
    </row>
    <row r="188" spans="12:28" x14ac:dyDescent="0.25">
      <c r="L188" s="9"/>
      <c r="M188" s="9"/>
      <c r="N188" s="9"/>
      <c r="Q188" s="9"/>
      <c r="R188" s="9"/>
      <c r="S188" s="9"/>
      <c r="V188" s="9"/>
      <c r="W188" s="9"/>
      <c r="X188" s="9"/>
      <c r="AA188" s="9"/>
      <c r="AB188" s="9"/>
    </row>
    <row r="189" spans="12:28" x14ac:dyDescent="0.25">
      <c r="L189" s="9"/>
      <c r="M189" s="9"/>
      <c r="N189" s="9"/>
      <c r="Q189" s="9"/>
      <c r="R189" s="9"/>
      <c r="S189" s="9"/>
      <c r="V189" s="9"/>
      <c r="W189" s="9"/>
      <c r="X189" s="9"/>
      <c r="AA189" s="9"/>
      <c r="AB189" s="9"/>
    </row>
    <row r="190" spans="12:28" x14ac:dyDescent="0.25">
      <c r="L190" s="9"/>
      <c r="M190" s="9"/>
      <c r="N190" s="9"/>
      <c r="Q190" s="9"/>
      <c r="R190" s="9"/>
      <c r="S190" s="9"/>
      <c r="V190" s="9"/>
      <c r="W190" s="9"/>
      <c r="X190" s="9"/>
      <c r="AA190" s="9"/>
      <c r="AB190" s="9"/>
    </row>
    <row r="191" spans="12:28" x14ac:dyDescent="0.25">
      <c r="L191" s="9"/>
      <c r="M191" s="9"/>
      <c r="N191" s="9"/>
      <c r="Q191" s="9"/>
      <c r="R191" s="9"/>
      <c r="S191" s="9"/>
      <c r="V191" s="9"/>
      <c r="W191" s="9"/>
      <c r="X191" s="9"/>
      <c r="AA191" s="9"/>
      <c r="AB191" s="9"/>
    </row>
    <row r="192" spans="12:28" x14ac:dyDescent="0.25">
      <c r="L192" s="9"/>
      <c r="M192" s="9"/>
      <c r="N192" s="9"/>
      <c r="Q192" s="9"/>
      <c r="R192" s="9"/>
      <c r="S192" s="9"/>
      <c r="V192" s="9"/>
      <c r="W192" s="9"/>
      <c r="X192" s="9"/>
      <c r="AA192" s="9"/>
      <c r="AB192" s="9"/>
    </row>
    <row r="193" spans="12:28" x14ac:dyDescent="0.25">
      <c r="L193" s="9"/>
      <c r="M193" s="9"/>
      <c r="N193" s="9"/>
      <c r="Q193" s="9"/>
      <c r="R193" s="9"/>
      <c r="S193" s="9"/>
      <c r="V193" s="9"/>
      <c r="W193" s="9"/>
      <c r="X193" s="9"/>
      <c r="AA193" s="9"/>
      <c r="AB193" s="9"/>
    </row>
    <row r="194" spans="12:28" x14ac:dyDescent="0.25">
      <c r="L194" s="9"/>
      <c r="M194" s="9"/>
      <c r="N194" s="9"/>
      <c r="Q194" s="9"/>
      <c r="R194" s="9"/>
      <c r="S194" s="9"/>
      <c r="V194" s="9"/>
      <c r="W194" s="9"/>
      <c r="X194" s="9"/>
      <c r="AA194" s="9"/>
      <c r="AB194" s="9"/>
    </row>
    <row r="195" spans="12:28" x14ac:dyDescent="0.25">
      <c r="L195" s="9"/>
      <c r="M195" s="9"/>
      <c r="N195" s="9"/>
      <c r="Q195" s="9"/>
      <c r="R195" s="9"/>
      <c r="S195" s="9"/>
      <c r="V195" s="9"/>
      <c r="W195" s="9"/>
      <c r="X195" s="9"/>
      <c r="AA195" s="9"/>
      <c r="AB195" s="9"/>
    </row>
    <row r="196" spans="12:28" x14ac:dyDescent="0.25">
      <c r="L196" s="9"/>
      <c r="M196" s="9"/>
      <c r="N196" s="9"/>
      <c r="Q196" s="9"/>
      <c r="R196" s="9"/>
      <c r="S196" s="9"/>
      <c r="V196" s="9"/>
      <c r="W196" s="9"/>
      <c r="X196" s="9"/>
      <c r="AA196" s="9"/>
      <c r="AB196" s="9"/>
    </row>
    <row r="197" spans="12:28" x14ac:dyDescent="0.25">
      <c r="L197" s="9"/>
      <c r="M197" s="9"/>
      <c r="N197" s="9"/>
      <c r="Q197" s="9"/>
      <c r="R197" s="9"/>
      <c r="S197" s="9"/>
      <c r="V197" s="9"/>
      <c r="W197" s="9"/>
      <c r="X197" s="9"/>
      <c r="AA197" s="9"/>
      <c r="AB197" s="9"/>
    </row>
    <row r="198" spans="12:28" x14ac:dyDescent="0.25">
      <c r="L198" s="9"/>
      <c r="M198" s="9"/>
      <c r="N198" s="9"/>
      <c r="Q198" s="9"/>
      <c r="R198" s="9"/>
      <c r="S198" s="9"/>
      <c r="V198" s="9"/>
      <c r="W198" s="9"/>
      <c r="X198" s="9"/>
      <c r="AA198" s="9"/>
      <c r="AB198" s="9"/>
    </row>
    <row r="199" spans="12:28" x14ac:dyDescent="0.25">
      <c r="L199" s="9"/>
      <c r="M199" s="9"/>
      <c r="N199" s="9"/>
      <c r="Q199" s="9"/>
      <c r="R199" s="9"/>
      <c r="S199" s="9"/>
      <c r="V199" s="9"/>
      <c r="W199" s="9"/>
      <c r="X199" s="9"/>
      <c r="AA199" s="9"/>
      <c r="AB199" s="9"/>
    </row>
    <row r="200" spans="12:28" x14ac:dyDescent="0.25">
      <c r="L200" s="9"/>
      <c r="M200" s="9"/>
      <c r="N200" s="9"/>
      <c r="Q200" s="9"/>
      <c r="R200" s="9"/>
      <c r="S200" s="9"/>
      <c r="V200" s="9"/>
      <c r="W200" s="9"/>
      <c r="X200" s="9"/>
      <c r="AA200" s="9"/>
      <c r="AB200" s="9"/>
    </row>
    <row r="201" spans="12:28" x14ac:dyDescent="0.25">
      <c r="L201" s="9"/>
      <c r="M201" s="9"/>
      <c r="N201" s="9"/>
      <c r="Q201" s="9"/>
      <c r="R201" s="9"/>
      <c r="S201" s="9"/>
      <c r="V201" s="9"/>
      <c r="W201" s="9"/>
      <c r="X201" s="9"/>
      <c r="AA201" s="9"/>
      <c r="AB201" s="9"/>
    </row>
    <row r="202" spans="12:28" x14ac:dyDescent="0.25">
      <c r="L202" s="9"/>
      <c r="M202" s="9"/>
      <c r="N202" s="9"/>
      <c r="Q202" s="9"/>
      <c r="R202" s="9"/>
      <c r="S202" s="9"/>
      <c r="V202" s="9"/>
      <c r="W202" s="9"/>
      <c r="X202" s="9"/>
      <c r="AA202" s="9"/>
      <c r="AB202" s="9"/>
    </row>
    <row r="203" spans="12:28" x14ac:dyDescent="0.25">
      <c r="L203" s="9"/>
      <c r="M203" s="9"/>
      <c r="N203" s="9"/>
      <c r="Q203" s="9"/>
      <c r="R203" s="9"/>
      <c r="S203" s="9"/>
      <c r="V203" s="9"/>
      <c r="W203" s="9"/>
      <c r="X203" s="9"/>
      <c r="AA203" s="9"/>
      <c r="AB203" s="9"/>
    </row>
    <row r="204" spans="12:28" x14ac:dyDescent="0.25">
      <c r="L204" s="9"/>
      <c r="M204" s="9"/>
      <c r="N204" s="9"/>
      <c r="Q204" s="9"/>
      <c r="R204" s="9"/>
      <c r="S204" s="9"/>
      <c r="V204" s="9"/>
      <c r="W204" s="9"/>
      <c r="X204" s="9"/>
      <c r="AA204" s="9"/>
      <c r="AB204" s="9"/>
    </row>
    <row r="205" spans="12:28" x14ac:dyDescent="0.25">
      <c r="L205" s="9"/>
      <c r="M205" s="9"/>
      <c r="N205" s="9"/>
      <c r="Q205" s="9"/>
      <c r="R205" s="9"/>
      <c r="S205" s="9"/>
      <c r="V205" s="9"/>
      <c r="W205" s="9"/>
      <c r="X205" s="9"/>
      <c r="AA205" s="9"/>
      <c r="AB205" s="9"/>
    </row>
    <row r="206" spans="12:28" x14ac:dyDescent="0.25">
      <c r="L206" s="9"/>
      <c r="M206" s="9"/>
      <c r="N206" s="9"/>
      <c r="Q206" s="9"/>
      <c r="R206" s="9"/>
      <c r="S206" s="9"/>
      <c r="V206" s="9"/>
      <c r="W206" s="9"/>
      <c r="X206" s="9"/>
      <c r="AA206" s="9"/>
      <c r="AB206" s="9"/>
    </row>
    <row r="207" spans="12:28" x14ac:dyDescent="0.25">
      <c r="L207" s="9"/>
      <c r="M207" s="9"/>
      <c r="N207" s="9"/>
      <c r="Q207" s="9"/>
      <c r="R207" s="9"/>
      <c r="S207" s="9"/>
      <c r="V207" s="9"/>
      <c r="W207" s="9"/>
      <c r="X207" s="9"/>
      <c r="AA207" s="9"/>
      <c r="AB207" s="9"/>
    </row>
    <row r="208" spans="12:28" x14ac:dyDescent="0.25">
      <c r="L208" s="9"/>
      <c r="M208" s="9"/>
      <c r="N208" s="9"/>
      <c r="Q208" s="9"/>
      <c r="R208" s="9"/>
      <c r="S208" s="9"/>
      <c r="V208" s="9"/>
      <c r="W208" s="9"/>
      <c r="X208" s="9"/>
      <c r="AA208" s="9"/>
      <c r="AB208" s="9"/>
    </row>
    <row r="209" spans="12:28" x14ac:dyDescent="0.25">
      <c r="L209" s="9"/>
      <c r="M209" s="9"/>
      <c r="N209" s="9"/>
      <c r="Q209" s="9"/>
      <c r="R209" s="9"/>
      <c r="S209" s="9"/>
      <c r="V209" s="9"/>
      <c r="W209" s="9"/>
      <c r="X209" s="9"/>
      <c r="AA209" s="9"/>
      <c r="AB209" s="9"/>
    </row>
    <row r="210" spans="12:28" x14ac:dyDescent="0.25">
      <c r="L210" s="9"/>
      <c r="M210" s="9"/>
      <c r="N210" s="9"/>
      <c r="Q210" s="9"/>
      <c r="R210" s="9"/>
      <c r="S210" s="9"/>
      <c r="V210" s="9"/>
      <c r="W210" s="9"/>
      <c r="X210" s="9"/>
      <c r="AA210" s="9"/>
      <c r="AB210" s="9"/>
    </row>
    <row r="211" spans="12:28" x14ac:dyDescent="0.25">
      <c r="L211" s="9"/>
      <c r="M211" s="9"/>
      <c r="N211" s="9"/>
      <c r="Q211" s="9"/>
      <c r="R211" s="9"/>
      <c r="S211" s="9"/>
      <c r="V211" s="9"/>
      <c r="W211" s="9"/>
      <c r="X211" s="9"/>
      <c r="AA211" s="9"/>
      <c r="AB211" s="9"/>
    </row>
    <row r="212" spans="12:28" x14ac:dyDescent="0.25">
      <c r="L212" s="9"/>
      <c r="M212" s="9"/>
      <c r="N212" s="9"/>
      <c r="Q212" s="9"/>
      <c r="R212" s="9"/>
      <c r="S212" s="9"/>
      <c r="V212" s="9"/>
      <c r="W212" s="9"/>
      <c r="X212" s="9"/>
      <c r="AA212" s="9"/>
      <c r="AB212" s="9"/>
    </row>
    <row r="213" spans="12:28" x14ac:dyDescent="0.25">
      <c r="L213" s="9"/>
      <c r="M213" s="9"/>
      <c r="N213" s="9"/>
      <c r="Q213" s="9"/>
      <c r="R213" s="9"/>
      <c r="S213" s="9"/>
      <c r="V213" s="9"/>
      <c r="W213" s="9"/>
      <c r="X213" s="9"/>
      <c r="AA213" s="9"/>
      <c r="AB213" s="9"/>
    </row>
    <row r="214" spans="12:28" x14ac:dyDescent="0.25">
      <c r="L214" s="9"/>
      <c r="M214" s="9"/>
      <c r="N214" s="9"/>
      <c r="Q214" s="9"/>
      <c r="R214" s="9"/>
      <c r="S214" s="9"/>
      <c r="V214" s="9"/>
      <c r="W214" s="9"/>
      <c r="X214" s="9"/>
      <c r="AA214" s="9"/>
      <c r="AB214" s="9"/>
    </row>
    <row r="215" spans="12:28" x14ac:dyDescent="0.25">
      <c r="L215" s="9"/>
      <c r="M215" s="9"/>
      <c r="N215" s="9"/>
      <c r="Q215" s="9"/>
      <c r="R215" s="9"/>
      <c r="S215" s="9"/>
      <c r="V215" s="9"/>
      <c r="W215" s="9"/>
      <c r="X215" s="9"/>
      <c r="AA215" s="9"/>
      <c r="AB215" s="9"/>
    </row>
    <row r="216" spans="12:28" x14ac:dyDescent="0.25">
      <c r="L216" s="9"/>
      <c r="M216" s="9"/>
      <c r="N216" s="9"/>
      <c r="Q216" s="9"/>
      <c r="R216" s="9"/>
      <c r="S216" s="9"/>
      <c r="V216" s="9"/>
      <c r="W216" s="9"/>
      <c r="X216" s="9"/>
      <c r="AA216" s="9"/>
      <c r="AB216" s="9"/>
    </row>
    <row r="217" spans="12:28" x14ac:dyDescent="0.25">
      <c r="L217" s="9"/>
      <c r="M217" s="9"/>
      <c r="N217" s="9"/>
      <c r="Q217" s="9"/>
      <c r="R217" s="9"/>
      <c r="S217" s="9"/>
      <c r="V217" s="9"/>
      <c r="W217" s="9"/>
      <c r="X217" s="9"/>
      <c r="AA217" s="9"/>
      <c r="AB217" s="9"/>
    </row>
    <row r="218" spans="12:28" x14ac:dyDescent="0.25">
      <c r="L218" s="9"/>
      <c r="M218" s="9"/>
      <c r="N218" s="9"/>
      <c r="Q218" s="9"/>
      <c r="R218" s="9"/>
      <c r="S218" s="9"/>
      <c r="V218" s="9"/>
      <c r="W218" s="9"/>
      <c r="X218" s="9"/>
      <c r="AA218" s="9"/>
      <c r="AB218" s="9"/>
    </row>
    <row r="219" spans="12:28" x14ac:dyDescent="0.25">
      <c r="L219" s="9"/>
      <c r="M219" s="9"/>
      <c r="N219" s="9"/>
      <c r="Q219" s="9"/>
      <c r="R219" s="9"/>
      <c r="S219" s="9"/>
      <c r="V219" s="9"/>
      <c r="W219" s="9"/>
      <c r="X219" s="9"/>
      <c r="AA219" s="9"/>
      <c r="AB219" s="9"/>
    </row>
    <row r="220" spans="12:28" x14ac:dyDescent="0.25">
      <c r="L220" s="9"/>
      <c r="M220" s="9"/>
      <c r="N220" s="9"/>
      <c r="Q220" s="9"/>
      <c r="R220" s="9"/>
      <c r="S220" s="9"/>
      <c r="V220" s="9"/>
      <c r="W220" s="9"/>
      <c r="X220" s="9"/>
      <c r="AA220" s="9"/>
      <c r="AB220" s="9"/>
    </row>
    <row r="221" spans="12:28" x14ac:dyDescent="0.25">
      <c r="L221" s="9"/>
      <c r="M221" s="9"/>
      <c r="N221" s="9"/>
      <c r="Q221" s="9"/>
      <c r="R221" s="9"/>
      <c r="S221" s="9"/>
      <c r="V221" s="9"/>
      <c r="W221" s="9"/>
      <c r="X221" s="9"/>
      <c r="AA221" s="9"/>
      <c r="AB221" s="9"/>
    </row>
    <row r="222" spans="12:28" x14ac:dyDescent="0.25">
      <c r="L222" s="9"/>
      <c r="M222" s="9"/>
      <c r="N222" s="9"/>
      <c r="Q222" s="9"/>
      <c r="R222" s="9"/>
      <c r="S222" s="9"/>
      <c r="V222" s="9"/>
      <c r="W222" s="9"/>
      <c r="X222" s="9"/>
      <c r="AA222" s="9"/>
      <c r="AB222" s="9"/>
    </row>
    <row r="223" spans="12:28" x14ac:dyDescent="0.25">
      <c r="L223" s="9"/>
      <c r="M223" s="9"/>
      <c r="N223" s="9"/>
      <c r="Q223" s="9"/>
      <c r="R223" s="9"/>
      <c r="S223" s="9"/>
      <c r="V223" s="9"/>
      <c r="W223" s="9"/>
      <c r="X223" s="9"/>
      <c r="AA223" s="9"/>
      <c r="AB223" s="9"/>
    </row>
    <row r="224" spans="12:28" x14ac:dyDescent="0.25">
      <c r="L224" s="9"/>
      <c r="M224" s="9"/>
      <c r="N224" s="9"/>
      <c r="Q224" s="9"/>
      <c r="R224" s="9"/>
      <c r="S224" s="9"/>
      <c r="V224" s="9"/>
      <c r="W224" s="9"/>
      <c r="X224" s="9"/>
      <c r="AA224" s="9"/>
      <c r="AB224" s="9"/>
    </row>
    <row r="225" spans="12:28" x14ac:dyDescent="0.25">
      <c r="L225" s="9"/>
      <c r="M225" s="9"/>
      <c r="N225" s="9"/>
      <c r="Q225" s="9"/>
      <c r="R225" s="9"/>
      <c r="S225" s="9"/>
      <c r="V225" s="9"/>
      <c r="W225" s="9"/>
      <c r="X225" s="9"/>
      <c r="AA225" s="9"/>
      <c r="AB225" s="9"/>
    </row>
    <row r="226" spans="12:28" x14ac:dyDescent="0.25">
      <c r="L226" s="9"/>
      <c r="M226" s="9"/>
      <c r="N226" s="9"/>
      <c r="Q226" s="9"/>
      <c r="R226" s="9"/>
      <c r="S226" s="9"/>
      <c r="V226" s="9"/>
      <c r="W226" s="9"/>
      <c r="X226" s="9"/>
      <c r="AA226" s="9"/>
      <c r="AB226" s="9"/>
    </row>
    <row r="227" spans="12:28" x14ac:dyDescent="0.25">
      <c r="L227" s="9"/>
      <c r="M227" s="9"/>
      <c r="N227" s="9"/>
      <c r="Q227" s="9"/>
      <c r="R227" s="9"/>
      <c r="S227" s="9"/>
      <c r="V227" s="9"/>
      <c r="W227" s="9"/>
      <c r="X227" s="9"/>
      <c r="AA227" s="9"/>
      <c r="AB227" s="9"/>
    </row>
    <row r="228" spans="12:28" x14ac:dyDescent="0.25">
      <c r="L228" s="9"/>
      <c r="M228" s="9"/>
      <c r="N228" s="9"/>
      <c r="Q228" s="9"/>
      <c r="R228" s="9"/>
      <c r="S228" s="9"/>
      <c r="V228" s="9"/>
      <c r="W228" s="9"/>
      <c r="X228" s="9"/>
      <c r="AA228" s="9"/>
      <c r="AB228" s="9"/>
    </row>
    <row r="229" spans="12:28" x14ac:dyDescent="0.25">
      <c r="L229" s="9"/>
      <c r="M229" s="9"/>
      <c r="N229" s="9"/>
      <c r="Q229" s="9"/>
      <c r="R229" s="9"/>
      <c r="S229" s="9"/>
      <c r="V229" s="9"/>
      <c r="W229" s="9"/>
      <c r="X229" s="9"/>
      <c r="AA229" s="9"/>
      <c r="AB229" s="9"/>
    </row>
    <row r="230" spans="12:28" x14ac:dyDescent="0.25">
      <c r="L230" s="9"/>
      <c r="M230" s="9"/>
      <c r="N230" s="9"/>
      <c r="Q230" s="9"/>
      <c r="R230" s="9"/>
      <c r="S230" s="9"/>
      <c r="V230" s="9"/>
      <c r="W230" s="9"/>
      <c r="X230" s="9"/>
      <c r="AA230" s="9"/>
      <c r="AB230" s="9"/>
    </row>
  </sheetData>
  <sortState xmlns:xlrd2="http://schemas.microsoft.com/office/spreadsheetml/2017/richdata2" ref="E1:H1">
    <sortCondition descending="1" ref="H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0FA6-8FA5-40A2-AE34-90C75662F576}">
  <dimension ref="A1:E4"/>
  <sheetViews>
    <sheetView workbookViewId="0">
      <selection activeCell="D9" sqref="D9"/>
    </sheetView>
  </sheetViews>
  <sheetFormatPr defaultRowHeight="15" x14ac:dyDescent="0.25"/>
  <cols>
    <col min="1" max="1" width="17.7109375" bestFit="1" customWidth="1"/>
    <col min="2" max="5" width="12" style="3" customWidth="1"/>
  </cols>
  <sheetData>
    <row r="1" spans="1:5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</row>
    <row r="2" spans="1:5" x14ac:dyDescent="0.25">
      <c r="A2" t="s">
        <v>28</v>
      </c>
      <c r="E2" s="3" t="str">
        <f>IF(D2&lt;2,"Sim","Não")</f>
        <v>Sim</v>
      </c>
    </row>
    <row r="3" spans="1:5" x14ac:dyDescent="0.25">
      <c r="A3" t="s">
        <v>29</v>
      </c>
    </row>
    <row r="4" spans="1:5" x14ac:dyDescent="0.25">
      <c r="A4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114F-BAA1-482D-A19E-550CA36BAEB8}">
  <dimension ref="A1:Q18"/>
  <sheetViews>
    <sheetView zoomScaleNormal="100" workbookViewId="0">
      <selection activeCell="B2" sqref="B2:B6"/>
    </sheetView>
  </sheetViews>
  <sheetFormatPr defaultRowHeight="15" x14ac:dyDescent="0.25"/>
  <cols>
    <col min="1" max="1" width="12.42578125" style="3" bestFit="1" customWidth="1"/>
    <col min="2" max="2" width="14.140625" style="3" customWidth="1"/>
    <col min="3" max="3" width="14.42578125" style="3" customWidth="1"/>
    <col min="4" max="4" width="15.28515625" style="3" customWidth="1"/>
    <col min="5" max="8" width="9.140625" style="3"/>
    <col min="9" max="9" width="10.42578125" style="3" customWidth="1"/>
    <col min="10" max="10" width="10.7109375" style="3" customWidth="1"/>
    <col min="11" max="12" width="9.140625" style="3"/>
    <col min="13" max="13" width="9.140625" style="3" bestFit="1" customWidth="1"/>
    <col min="14" max="16384" width="9.140625" style="3"/>
  </cols>
  <sheetData>
    <row r="1" spans="1:17" x14ac:dyDescent="0.25">
      <c r="B1" s="3" t="s">
        <v>48</v>
      </c>
      <c r="C1" s="3" t="s">
        <v>49</v>
      </c>
      <c r="D1" s="3" t="s">
        <v>50</v>
      </c>
      <c r="F1" s="3" t="s">
        <v>52</v>
      </c>
      <c r="G1" s="3" t="s">
        <v>53</v>
      </c>
      <c r="H1" s="3" t="s">
        <v>59</v>
      </c>
      <c r="I1" s="3" t="s">
        <v>54</v>
      </c>
      <c r="J1" s="3" t="s">
        <v>55</v>
      </c>
      <c r="K1" s="3" t="s">
        <v>60</v>
      </c>
      <c r="M1" s="3" t="s">
        <v>61</v>
      </c>
      <c r="N1" s="3" t="s">
        <v>0</v>
      </c>
      <c r="O1" s="3" t="s">
        <v>47</v>
      </c>
      <c r="Q1" s="3" t="s">
        <v>6</v>
      </c>
    </row>
    <row r="2" spans="1:17" x14ac:dyDescent="0.25">
      <c r="A2" s="3" t="s">
        <v>36</v>
      </c>
      <c r="B2" s="3" t="s">
        <v>62</v>
      </c>
      <c r="C2" s="3" t="s">
        <v>57</v>
      </c>
      <c r="D2" s="3" t="s">
        <v>27</v>
      </c>
      <c r="F2" s="3">
        <v>8</v>
      </c>
      <c r="G2" s="3">
        <v>6</v>
      </c>
      <c r="H2" s="3">
        <v>2</v>
      </c>
      <c r="I2" s="3">
        <v>14</v>
      </c>
      <c r="J2" s="3">
        <v>16</v>
      </c>
      <c r="K2" s="3">
        <v>6</v>
      </c>
      <c r="M2" s="3">
        <v>10</v>
      </c>
      <c r="N2" s="3">
        <v>2</v>
      </c>
      <c r="O2" s="3">
        <v>0</v>
      </c>
      <c r="Q2" s="3">
        <f>SUM(F2:O2)</f>
        <v>64</v>
      </c>
    </row>
    <row r="3" spans="1:17" x14ac:dyDescent="0.25">
      <c r="A3" s="3" t="s">
        <v>42</v>
      </c>
      <c r="B3" s="3" t="s">
        <v>56</v>
      </c>
      <c r="C3" s="3" t="s">
        <v>58</v>
      </c>
      <c r="D3" s="3" t="s">
        <v>57</v>
      </c>
      <c r="F3" s="3">
        <v>8</v>
      </c>
      <c r="G3" s="3">
        <v>6</v>
      </c>
      <c r="H3" s="3">
        <v>2</v>
      </c>
      <c r="I3" s="3">
        <v>14</v>
      </c>
      <c r="J3" s="3">
        <v>16</v>
      </c>
      <c r="K3" s="3">
        <v>6</v>
      </c>
      <c r="M3" s="3">
        <v>4</v>
      </c>
      <c r="N3" s="3">
        <v>6</v>
      </c>
      <c r="O3" s="3">
        <v>2</v>
      </c>
      <c r="Q3" s="3">
        <f>SUM(F3:O3)</f>
        <v>64</v>
      </c>
    </row>
    <row r="4" spans="1:17" x14ac:dyDescent="0.25">
      <c r="A4" s="3" t="s">
        <v>43</v>
      </c>
      <c r="B4" s="3" t="s">
        <v>57</v>
      </c>
      <c r="C4" s="3" t="s">
        <v>56</v>
      </c>
      <c r="D4" s="3" t="s">
        <v>62</v>
      </c>
      <c r="F4" s="3">
        <v>8</v>
      </c>
      <c r="G4" s="3">
        <v>6</v>
      </c>
      <c r="H4" s="3">
        <v>2</v>
      </c>
      <c r="I4" s="3">
        <v>14</v>
      </c>
      <c r="J4" s="3">
        <v>16</v>
      </c>
      <c r="K4" s="3">
        <v>6</v>
      </c>
      <c r="M4" s="3">
        <v>8</v>
      </c>
      <c r="N4" s="3">
        <v>2</v>
      </c>
      <c r="O4" s="3">
        <v>2</v>
      </c>
      <c r="Q4" s="3">
        <f>SUM(F4:O4)</f>
        <v>64</v>
      </c>
    </row>
    <row r="5" spans="1:17" x14ac:dyDescent="0.25">
      <c r="A5" s="3" t="s">
        <v>45</v>
      </c>
      <c r="B5" s="3" t="s">
        <v>27</v>
      </c>
      <c r="C5" s="3" t="s">
        <v>62</v>
      </c>
      <c r="D5" s="3" t="s">
        <v>58</v>
      </c>
      <c r="F5" s="3">
        <v>8</v>
      </c>
      <c r="G5" s="3">
        <v>6</v>
      </c>
      <c r="H5" s="3">
        <v>2</v>
      </c>
      <c r="I5" s="3">
        <v>14</v>
      </c>
      <c r="J5" s="3">
        <v>16</v>
      </c>
      <c r="K5" s="3">
        <v>6</v>
      </c>
      <c r="M5" s="3">
        <v>8</v>
      </c>
      <c r="N5" s="3">
        <v>4</v>
      </c>
      <c r="O5" s="3">
        <v>0</v>
      </c>
      <c r="Q5" s="3">
        <f>SUM(F5:O5)</f>
        <v>64</v>
      </c>
    </row>
    <row r="6" spans="1:17" x14ac:dyDescent="0.25">
      <c r="A6" s="3" t="s">
        <v>44</v>
      </c>
      <c r="B6" s="3" t="s">
        <v>58</v>
      </c>
      <c r="C6" s="3" t="s">
        <v>27</v>
      </c>
      <c r="D6" s="3" t="s">
        <v>56</v>
      </c>
      <c r="F6" s="3">
        <v>8</v>
      </c>
      <c r="G6" s="3">
        <v>6</v>
      </c>
      <c r="H6" s="3">
        <v>2</v>
      </c>
      <c r="I6" s="3">
        <v>14</v>
      </c>
      <c r="J6" s="3">
        <v>16</v>
      </c>
      <c r="K6" s="3">
        <v>6</v>
      </c>
      <c r="M6" s="3">
        <v>8</v>
      </c>
      <c r="N6" s="3">
        <v>0</v>
      </c>
      <c r="O6" s="3">
        <v>4</v>
      </c>
      <c r="Q6" s="3">
        <f>SUM(F6:O6)</f>
        <v>64</v>
      </c>
    </row>
    <row r="7" spans="1:17" x14ac:dyDescent="0.25">
      <c r="A7" s="3" t="s">
        <v>46</v>
      </c>
      <c r="B7" s="3" t="s">
        <v>21</v>
      </c>
      <c r="C7" s="3" t="s">
        <v>69</v>
      </c>
      <c r="F7" s="3">
        <v>3</v>
      </c>
      <c r="G7" s="3">
        <v>5</v>
      </c>
      <c r="H7" s="3">
        <v>0</v>
      </c>
      <c r="I7" s="3">
        <v>20</v>
      </c>
      <c r="J7" s="3">
        <v>20</v>
      </c>
      <c r="K7" s="3">
        <v>0</v>
      </c>
      <c r="M7" s="3">
        <v>4</v>
      </c>
      <c r="N7" s="3">
        <v>10</v>
      </c>
      <c r="O7" s="3">
        <v>10</v>
      </c>
      <c r="Q7" s="3">
        <f>SUM(F7:O7)</f>
        <v>72</v>
      </c>
    </row>
    <row r="9" spans="1:17" x14ac:dyDescent="0.25">
      <c r="A9" s="3" t="s">
        <v>37</v>
      </c>
      <c r="B9" s="3" t="s">
        <v>57</v>
      </c>
      <c r="F9" s="3">
        <v>1</v>
      </c>
      <c r="G9" s="3">
        <v>0</v>
      </c>
      <c r="H9" s="3">
        <v>0</v>
      </c>
      <c r="I9" s="3">
        <v>3</v>
      </c>
      <c r="J9" s="3">
        <v>0</v>
      </c>
      <c r="K9" s="3">
        <v>0</v>
      </c>
      <c r="M9" s="3">
        <v>0</v>
      </c>
      <c r="N9" s="3">
        <v>0</v>
      </c>
      <c r="O9" s="3">
        <v>0</v>
      </c>
      <c r="Q9" s="3">
        <f t="shared" ref="Q8:Q18" si="0">SUM(F9:O9)</f>
        <v>4</v>
      </c>
    </row>
    <row r="10" spans="1:17" x14ac:dyDescent="0.25">
      <c r="A10" s="3" t="s">
        <v>31</v>
      </c>
      <c r="B10" s="3" t="s">
        <v>62</v>
      </c>
      <c r="C10" s="3" t="s">
        <v>57</v>
      </c>
      <c r="F10" s="3">
        <v>1</v>
      </c>
      <c r="G10" s="3">
        <v>1</v>
      </c>
      <c r="H10" s="3">
        <v>0</v>
      </c>
      <c r="I10" s="3">
        <v>1</v>
      </c>
      <c r="J10" s="3">
        <v>1</v>
      </c>
      <c r="K10" s="3">
        <v>0</v>
      </c>
      <c r="M10" s="3">
        <v>0</v>
      </c>
      <c r="N10" s="3">
        <v>0</v>
      </c>
      <c r="O10" s="3">
        <v>0</v>
      </c>
      <c r="Q10" s="3">
        <f t="shared" si="0"/>
        <v>4</v>
      </c>
    </row>
    <row r="11" spans="1:17" x14ac:dyDescent="0.25">
      <c r="A11" s="3" t="s">
        <v>33</v>
      </c>
      <c r="B11" s="3" t="s">
        <v>27</v>
      </c>
      <c r="C11" s="3" t="s">
        <v>62</v>
      </c>
      <c r="F11" s="3">
        <v>1</v>
      </c>
      <c r="G11" s="3">
        <v>1</v>
      </c>
      <c r="H11" s="3">
        <v>0</v>
      </c>
      <c r="I11" s="3">
        <v>1</v>
      </c>
      <c r="J11" s="3">
        <v>1</v>
      </c>
      <c r="K11" s="3">
        <v>0</v>
      </c>
      <c r="M11" s="3">
        <v>0</v>
      </c>
      <c r="N11" s="3">
        <v>0</v>
      </c>
      <c r="O11" s="3">
        <v>0</v>
      </c>
      <c r="Q11" s="3">
        <f t="shared" si="0"/>
        <v>4</v>
      </c>
    </row>
    <row r="12" spans="1:17" x14ac:dyDescent="0.25">
      <c r="A12" s="3" t="s">
        <v>38</v>
      </c>
      <c r="B12" s="3" t="s">
        <v>27</v>
      </c>
      <c r="F12" s="3">
        <v>1</v>
      </c>
      <c r="G12" s="3">
        <v>0</v>
      </c>
      <c r="H12" s="3">
        <v>0</v>
      </c>
      <c r="I12" s="3">
        <v>3</v>
      </c>
      <c r="J12" s="3">
        <v>0</v>
      </c>
      <c r="K12" s="3">
        <v>0</v>
      </c>
      <c r="M12" s="3">
        <v>0</v>
      </c>
      <c r="N12" s="3">
        <v>0</v>
      </c>
      <c r="O12" s="3">
        <v>0</v>
      </c>
      <c r="Q12" s="3">
        <f t="shared" si="0"/>
        <v>4</v>
      </c>
    </row>
    <row r="13" spans="1:17" x14ac:dyDescent="0.25">
      <c r="A13" s="3" t="s">
        <v>34</v>
      </c>
      <c r="B13" s="3" t="s">
        <v>56</v>
      </c>
      <c r="C13" s="3" t="s">
        <v>57</v>
      </c>
      <c r="F13" s="3">
        <v>1</v>
      </c>
      <c r="G13" s="3">
        <v>1</v>
      </c>
      <c r="H13" s="3">
        <v>0</v>
      </c>
      <c r="I13" s="3">
        <v>1</v>
      </c>
      <c r="J13" s="3">
        <v>1</v>
      </c>
      <c r="K13" s="3">
        <v>0</v>
      </c>
      <c r="M13" s="3">
        <v>0</v>
      </c>
      <c r="N13" s="3">
        <v>0</v>
      </c>
      <c r="O13" s="3">
        <v>0</v>
      </c>
      <c r="Q13" s="3">
        <f t="shared" si="0"/>
        <v>4</v>
      </c>
    </row>
    <row r="14" spans="1:17" x14ac:dyDescent="0.25">
      <c r="A14" s="3" t="s">
        <v>35</v>
      </c>
      <c r="B14" s="3" t="s">
        <v>63</v>
      </c>
      <c r="F14" s="3">
        <v>1</v>
      </c>
      <c r="G14" s="3">
        <v>0</v>
      </c>
      <c r="H14" s="3">
        <v>0</v>
      </c>
      <c r="I14" s="3">
        <v>3</v>
      </c>
      <c r="J14" s="3">
        <v>0</v>
      </c>
      <c r="K14" s="3">
        <v>0</v>
      </c>
      <c r="M14" s="3">
        <v>0</v>
      </c>
      <c r="N14" s="3">
        <v>0</v>
      </c>
      <c r="O14" s="3">
        <v>0</v>
      </c>
      <c r="Q14" s="3">
        <f t="shared" si="0"/>
        <v>4</v>
      </c>
    </row>
    <row r="15" spans="1:17" x14ac:dyDescent="0.25">
      <c r="A15" s="3" t="s">
        <v>39</v>
      </c>
      <c r="B15" s="3" t="s">
        <v>63</v>
      </c>
      <c r="C15" s="3" t="s">
        <v>56</v>
      </c>
      <c r="F15" s="3">
        <v>1</v>
      </c>
      <c r="G15" s="3">
        <v>1</v>
      </c>
      <c r="H15" s="3">
        <v>0</v>
      </c>
      <c r="I15" s="3">
        <v>1</v>
      </c>
      <c r="J15" s="3">
        <v>1</v>
      </c>
      <c r="K15" s="3">
        <v>0</v>
      </c>
      <c r="M15" s="3">
        <v>0</v>
      </c>
      <c r="N15" s="3">
        <v>0</v>
      </c>
      <c r="O15" s="3">
        <v>0</v>
      </c>
      <c r="Q15" s="3">
        <f t="shared" si="0"/>
        <v>4</v>
      </c>
    </row>
    <row r="16" spans="1:17" x14ac:dyDescent="0.25">
      <c r="A16" s="3" t="s">
        <v>32</v>
      </c>
      <c r="B16" s="3" t="s">
        <v>62</v>
      </c>
      <c r="F16" s="3">
        <v>1</v>
      </c>
      <c r="G16" s="3">
        <v>0</v>
      </c>
      <c r="H16" s="3">
        <v>0</v>
      </c>
      <c r="I16" s="3">
        <v>3</v>
      </c>
      <c r="J16" s="3">
        <v>0</v>
      </c>
      <c r="K16" s="3">
        <v>0</v>
      </c>
      <c r="M16" s="3">
        <v>0</v>
      </c>
      <c r="N16" s="3">
        <v>0</v>
      </c>
      <c r="O16" s="3">
        <v>0</v>
      </c>
      <c r="Q16" s="3">
        <f t="shared" si="0"/>
        <v>4</v>
      </c>
    </row>
    <row r="17" spans="1:17" x14ac:dyDescent="0.25">
      <c r="A17" s="3" t="s">
        <v>40</v>
      </c>
      <c r="B17" s="3" t="s">
        <v>56</v>
      </c>
      <c r="F17" s="3">
        <v>1</v>
      </c>
      <c r="G17" s="3">
        <v>0</v>
      </c>
      <c r="H17" s="3">
        <v>0</v>
      </c>
      <c r="I17" s="3">
        <v>3</v>
      </c>
      <c r="J17" s="3">
        <v>0</v>
      </c>
      <c r="K17" s="3">
        <v>0</v>
      </c>
      <c r="M17" s="3">
        <v>0</v>
      </c>
      <c r="N17" s="3">
        <v>0</v>
      </c>
      <c r="O17" s="3">
        <v>0</v>
      </c>
      <c r="Q17" s="3">
        <f t="shared" si="0"/>
        <v>4</v>
      </c>
    </row>
    <row r="18" spans="1:17" x14ac:dyDescent="0.25">
      <c r="A18" s="3" t="s">
        <v>41</v>
      </c>
      <c r="B18" s="3" t="s">
        <v>27</v>
      </c>
      <c r="C18" s="3" t="s">
        <v>58</v>
      </c>
      <c r="F18" s="3">
        <v>1</v>
      </c>
      <c r="G18" s="3">
        <v>1</v>
      </c>
      <c r="H18" s="3">
        <v>0</v>
      </c>
      <c r="I18" s="3">
        <v>1</v>
      </c>
      <c r="J18" s="3">
        <v>1</v>
      </c>
      <c r="K18" s="3">
        <v>0</v>
      </c>
      <c r="M18" s="3">
        <v>0</v>
      </c>
      <c r="N18" s="3">
        <v>0</v>
      </c>
      <c r="O18" s="3">
        <v>0</v>
      </c>
      <c r="Q18" s="3">
        <f t="shared" si="0"/>
        <v>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E14C-9D63-443A-A7B5-A2FC0B804B95}">
  <dimension ref="A1:H100"/>
  <sheetViews>
    <sheetView workbookViewId="0">
      <selection activeCell="D23" sqref="D23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3" t="s">
        <v>37</v>
      </c>
      <c r="B1" s="13"/>
      <c r="C1" s="13"/>
      <c r="D1" s="13"/>
      <c r="E1" s="13"/>
      <c r="F1" s="13"/>
      <c r="G1" s="13"/>
      <c r="H1" s="13"/>
    </row>
    <row r="2" spans="1:8" x14ac:dyDescent="0.25">
      <c r="A2" s="4" t="s">
        <v>64</v>
      </c>
      <c r="B2" s="4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57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51</v>
      </c>
      <c r="B4" s="3" t="s">
        <v>57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57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57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4D3D-50FF-4407-A0F4-B4F4EF18E2E7}">
  <dimension ref="A1:H100"/>
  <sheetViews>
    <sheetView workbookViewId="0">
      <selection sqref="A1:H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31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62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65</v>
      </c>
      <c r="B4" s="3" t="s">
        <v>57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62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57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2E30-B4CF-476D-9EFC-0E75D3D74043}">
  <dimension ref="A1:H100"/>
  <sheetViews>
    <sheetView workbookViewId="0">
      <selection sqref="A1:H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33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66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65</v>
      </c>
      <c r="B4" s="3" t="s">
        <v>62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66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62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82B4-9534-447F-ADC4-47FD23DD78C6}">
  <dimension ref="A1:H100"/>
  <sheetViews>
    <sheetView workbookViewId="0">
      <selection sqref="A1:H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38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27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51</v>
      </c>
      <c r="B4" s="3" t="s">
        <v>27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27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27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EF83-D17D-49B0-9F6A-2D734B86A759}">
  <dimension ref="A1:H100"/>
  <sheetViews>
    <sheetView workbookViewId="0">
      <selection sqref="A1:H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34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56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65</v>
      </c>
      <c r="B4" s="3" t="s">
        <v>57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56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57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8E46-444B-42BB-8318-DC67D64BA811}">
  <dimension ref="A1:H100"/>
  <sheetViews>
    <sheetView workbookViewId="0">
      <selection sqref="A1:H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35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63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51</v>
      </c>
      <c r="B4" s="3" t="s">
        <v>63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63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63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3989-437A-49CA-B9DF-3CBABBF00BDC}">
  <dimension ref="A1:H100"/>
  <sheetViews>
    <sheetView workbookViewId="0">
      <selection sqref="A1:H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39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63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65</v>
      </c>
      <c r="B4" s="3" t="s">
        <v>56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63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56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5222-BD9C-45E1-9382-EF0217D1972B}">
  <dimension ref="A1:H100"/>
  <sheetViews>
    <sheetView workbookViewId="0">
      <selection sqref="A1:H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32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62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51</v>
      </c>
      <c r="B4" s="3" t="s">
        <v>62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62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62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7159-37BF-4B4C-BF98-E5D159A29FC3}">
  <dimension ref="A1:H100"/>
  <sheetViews>
    <sheetView workbookViewId="0">
      <selection sqref="A1:H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40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56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51</v>
      </c>
      <c r="B4" s="3" t="s">
        <v>56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56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56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C4B5-9176-405A-B87E-5E4D359998B8}">
  <dimension ref="A1:H100"/>
  <sheetViews>
    <sheetView workbookViewId="0">
      <selection sqref="A1:H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41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27</v>
      </c>
      <c r="C3"/>
      <c r="E3" s="3" t="str">
        <f>IF(C3=D3, "Sim", "Não")</f>
        <v>Sim</v>
      </c>
      <c r="G3" s="4" t="s">
        <v>4</v>
      </c>
      <c r="H3" s="3">
        <f>COUNTIF(E3:E105,"Não")</f>
        <v>0</v>
      </c>
    </row>
    <row r="4" spans="1:8" x14ac:dyDescent="0.25">
      <c r="A4" s="3" t="s">
        <v>65</v>
      </c>
      <c r="B4" s="3" t="s">
        <v>58</v>
      </c>
      <c r="C4"/>
      <c r="E4" s="3" t="str">
        <f t="shared" ref="E4:E17" si="0">IF(C4=D4, "Sim", "Não")</f>
        <v>Sim</v>
      </c>
      <c r="G4" s="4" t="s">
        <v>5</v>
      </c>
      <c r="H4" s="3">
        <f>SUM(H7:H25)</f>
        <v>0</v>
      </c>
    </row>
    <row r="5" spans="1:8" x14ac:dyDescent="0.25">
      <c r="A5" s="3" t="s">
        <v>51</v>
      </c>
      <c r="B5" s="3" t="s">
        <v>27</v>
      </c>
      <c r="C5"/>
      <c r="E5" s="3" t="str">
        <f t="shared" si="0"/>
        <v>Sim</v>
      </c>
    </row>
    <row r="6" spans="1:8" x14ac:dyDescent="0.25">
      <c r="A6" s="3" t="s">
        <v>51</v>
      </c>
      <c r="B6" s="3" t="s">
        <v>58</v>
      </c>
      <c r="C6"/>
      <c r="E6" s="3" t="str">
        <f t="shared" si="0"/>
        <v>Sim</v>
      </c>
      <c r="G6" s="6"/>
      <c r="H6" s="1"/>
    </row>
    <row r="7" spans="1:8" x14ac:dyDescent="0.25">
      <c r="C7"/>
      <c r="E7" s="3" t="str">
        <f t="shared" si="0"/>
        <v>Sim</v>
      </c>
      <c r="G7" s="7"/>
      <c r="H7" s="2"/>
    </row>
    <row r="8" spans="1:8" x14ac:dyDescent="0.25">
      <c r="C8"/>
      <c r="E8" s="3" t="str">
        <f t="shared" si="0"/>
        <v>Sim</v>
      </c>
      <c r="G8" s="7"/>
      <c r="H8" s="2"/>
    </row>
    <row r="9" spans="1:8" x14ac:dyDescent="0.25">
      <c r="C9"/>
      <c r="E9" s="3" t="str">
        <f t="shared" si="0"/>
        <v>Sim</v>
      </c>
      <c r="G9" s="7"/>
      <c r="H9" s="2"/>
    </row>
    <row r="10" spans="1:8" x14ac:dyDescent="0.25">
      <c r="C10"/>
      <c r="E10" s="3" t="str">
        <f t="shared" si="0"/>
        <v>Sim</v>
      </c>
      <c r="G10" s="7"/>
      <c r="H10" s="2"/>
    </row>
    <row r="11" spans="1:8" x14ac:dyDescent="0.25">
      <c r="C11"/>
      <c r="E11" s="3" t="str">
        <f t="shared" si="0"/>
        <v>Sim</v>
      </c>
      <c r="G11" s="7"/>
      <c r="H11" s="2"/>
    </row>
    <row r="12" spans="1:8" x14ac:dyDescent="0.25">
      <c r="C12"/>
      <c r="E12" s="3" t="str">
        <f t="shared" si="0"/>
        <v>Sim</v>
      </c>
      <c r="G12" s="7"/>
      <c r="H12" s="2"/>
    </row>
    <row r="13" spans="1:8" x14ac:dyDescent="0.25">
      <c r="C13"/>
      <c r="E13" s="3" t="str">
        <f t="shared" si="0"/>
        <v>Sim</v>
      </c>
      <c r="G13" s="7"/>
      <c r="H13" s="2"/>
    </row>
    <row r="14" spans="1:8" x14ac:dyDescent="0.25">
      <c r="C14"/>
      <c r="E14" s="3" t="str">
        <f t="shared" si="0"/>
        <v>Sim</v>
      </c>
      <c r="G14" s="7"/>
      <c r="H14" s="2"/>
    </row>
    <row r="15" spans="1:8" x14ac:dyDescent="0.25">
      <c r="C15"/>
      <c r="E15" s="3" t="str">
        <f t="shared" si="0"/>
        <v>Sim</v>
      </c>
      <c r="G15" s="4"/>
      <c r="H15" s="2"/>
    </row>
    <row r="16" spans="1:8" x14ac:dyDescent="0.25">
      <c r="C16"/>
      <c r="E16" s="3" t="str">
        <f t="shared" si="0"/>
        <v>Sim</v>
      </c>
      <c r="G16" s="4"/>
      <c r="H16" s="2"/>
    </row>
    <row r="17" spans="3:5" x14ac:dyDescent="0.25">
      <c r="C17"/>
      <c r="E17" s="3" t="str">
        <f t="shared" si="0"/>
        <v>Sim</v>
      </c>
    </row>
    <row r="18" spans="3:5" x14ac:dyDescent="0.25">
      <c r="C18"/>
      <c r="E18" s="3"/>
    </row>
    <row r="19" spans="3:5" x14ac:dyDescent="0.25">
      <c r="C19"/>
      <c r="E19" s="3"/>
    </row>
    <row r="20" spans="3:5" x14ac:dyDescent="0.25">
      <c r="C20"/>
      <c r="E20" s="3"/>
    </row>
    <row r="21" spans="3:5" x14ac:dyDescent="0.25">
      <c r="C21"/>
      <c r="E21" s="3"/>
    </row>
    <row r="22" spans="3:5" x14ac:dyDescent="0.25">
      <c r="C22"/>
      <c r="E22" s="3"/>
    </row>
    <row r="23" spans="3:5" x14ac:dyDescent="0.25">
      <c r="C23"/>
      <c r="E23" s="3"/>
    </row>
    <row r="24" spans="3:5" x14ac:dyDescent="0.25">
      <c r="C24"/>
      <c r="E24" s="3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A127-8540-42B0-83D4-7C25E267BB42}">
  <dimension ref="A1:H112"/>
  <sheetViews>
    <sheetView topLeftCell="A21" workbookViewId="0">
      <selection activeCell="B33" sqref="B33:B48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17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62</v>
      </c>
      <c r="C3"/>
      <c r="E3" s="3" t="str">
        <f>IF(C3=D3, "Sim", "Não")</f>
        <v>Sim</v>
      </c>
      <c r="G3" s="4" t="s">
        <v>4</v>
      </c>
      <c r="H3" s="3">
        <f>COUNTIF(E3:E117,"Não")</f>
        <v>0</v>
      </c>
    </row>
    <row r="4" spans="1:8" x14ac:dyDescent="0.25">
      <c r="A4" s="3" t="s">
        <v>65</v>
      </c>
      <c r="B4" s="3" t="s">
        <v>62</v>
      </c>
      <c r="C4"/>
      <c r="E4" s="3" t="str">
        <f t="shared" ref="E4:E66" si="0">IF(C4=D4, "Sim", "Não")</f>
        <v>Sim</v>
      </c>
      <c r="G4" s="4" t="s">
        <v>5</v>
      </c>
      <c r="H4" s="3">
        <f>SUM(H18:H37)</f>
        <v>0</v>
      </c>
    </row>
    <row r="5" spans="1:8" x14ac:dyDescent="0.25">
      <c r="A5" s="3" t="s">
        <v>65</v>
      </c>
      <c r="B5" s="3" t="s">
        <v>62</v>
      </c>
      <c r="C5"/>
      <c r="E5" s="3" t="str">
        <f t="shared" si="0"/>
        <v>Sim</v>
      </c>
    </row>
    <row r="6" spans="1:8" x14ac:dyDescent="0.25">
      <c r="A6" s="3" t="s">
        <v>65</v>
      </c>
      <c r="B6" s="3" t="s">
        <v>62</v>
      </c>
      <c r="C6"/>
      <c r="E6" s="3" t="str">
        <f t="shared" si="0"/>
        <v>Sim</v>
      </c>
    </row>
    <row r="7" spans="1:8" x14ac:dyDescent="0.25">
      <c r="A7" s="3" t="s">
        <v>65</v>
      </c>
      <c r="B7" s="3" t="s">
        <v>62</v>
      </c>
      <c r="C7"/>
      <c r="E7" s="3" t="str">
        <f t="shared" ref="E7:E16" si="1">IF(C7=D7, "Sim", "Não")</f>
        <v>Sim</v>
      </c>
      <c r="G7" s="6"/>
      <c r="H7" s="1"/>
    </row>
    <row r="8" spans="1:8" x14ac:dyDescent="0.25">
      <c r="A8" s="3" t="s">
        <v>65</v>
      </c>
      <c r="B8" s="3" t="s">
        <v>62</v>
      </c>
      <c r="C8"/>
      <c r="E8" s="3" t="str">
        <f t="shared" si="1"/>
        <v>Sim</v>
      </c>
      <c r="G8" s="7"/>
      <c r="H8" s="2"/>
    </row>
    <row r="9" spans="1:8" x14ac:dyDescent="0.25">
      <c r="A9" s="3" t="s">
        <v>65</v>
      </c>
      <c r="B9" s="3" t="s">
        <v>62</v>
      </c>
      <c r="C9"/>
      <c r="E9" s="3" t="str">
        <f t="shared" si="1"/>
        <v>Sim</v>
      </c>
      <c r="G9" s="7"/>
      <c r="H9" s="2"/>
    </row>
    <row r="10" spans="1:8" x14ac:dyDescent="0.25">
      <c r="A10" s="3" t="s">
        <v>65</v>
      </c>
      <c r="B10" s="3" t="s">
        <v>57</v>
      </c>
      <c r="C10"/>
      <c r="E10" s="3" t="str">
        <f t="shared" si="1"/>
        <v>Sim</v>
      </c>
      <c r="G10" s="7"/>
      <c r="H10" s="2"/>
    </row>
    <row r="11" spans="1:8" x14ac:dyDescent="0.25">
      <c r="A11" s="3" t="s">
        <v>65</v>
      </c>
      <c r="B11" s="3" t="s">
        <v>57</v>
      </c>
      <c r="C11"/>
      <c r="E11" s="3" t="str">
        <f t="shared" si="1"/>
        <v>Sim</v>
      </c>
      <c r="G11" s="7"/>
      <c r="H11" s="2"/>
    </row>
    <row r="12" spans="1:8" x14ac:dyDescent="0.25">
      <c r="A12" s="3" t="s">
        <v>65</v>
      </c>
      <c r="B12" s="3" t="s">
        <v>57</v>
      </c>
      <c r="C12"/>
      <c r="E12" s="3" t="str">
        <f t="shared" si="1"/>
        <v>Sim</v>
      </c>
      <c r="G12" s="7"/>
      <c r="H12" s="2"/>
    </row>
    <row r="13" spans="1:8" x14ac:dyDescent="0.25">
      <c r="A13" s="3" t="s">
        <v>65</v>
      </c>
      <c r="B13" s="3" t="s">
        <v>57</v>
      </c>
      <c r="C13"/>
      <c r="E13" s="3" t="str">
        <f t="shared" si="1"/>
        <v>Sim</v>
      </c>
      <c r="G13" s="7"/>
      <c r="H13" s="2"/>
    </row>
    <row r="14" spans="1:8" x14ac:dyDescent="0.25">
      <c r="A14" s="3" t="s">
        <v>65</v>
      </c>
      <c r="B14" s="3" t="s">
        <v>57</v>
      </c>
      <c r="C14"/>
      <c r="E14" s="3" t="str">
        <f t="shared" si="1"/>
        <v>Sim</v>
      </c>
      <c r="G14" s="7"/>
      <c r="H14" s="2"/>
    </row>
    <row r="15" spans="1:8" x14ac:dyDescent="0.25">
      <c r="A15" s="3" t="s">
        <v>65</v>
      </c>
      <c r="B15" s="3" t="s">
        <v>57</v>
      </c>
      <c r="C15"/>
      <c r="E15" s="3" t="str">
        <f t="shared" si="1"/>
        <v>Sim</v>
      </c>
      <c r="G15" s="7"/>
      <c r="H15" s="2"/>
    </row>
    <row r="16" spans="1:8" x14ac:dyDescent="0.25">
      <c r="A16" s="3" t="s">
        <v>65</v>
      </c>
      <c r="B16" s="3" t="s">
        <v>57</v>
      </c>
      <c r="C16"/>
      <c r="E16" s="3" t="str">
        <f t="shared" si="1"/>
        <v>Sim</v>
      </c>
      <c r="G16" s="7"/>
      <c r="H16" s="2"/>
    </row>
    <row r="17" spans="1:8" x14ac:dyDescent="0.25">
      <c r="A17" s="3" t="s">
        <v>65</v>
      </c>
      <c r="B17" s="3" t="s">
        <v>27</v>
      </c>
      <c r="C17"/>
      <c r="E17" s="3" t="str">
        <f t="shared" si="0"/>
        <v>Sim</v>
      </c>
      <c r="G17" s="6"/>
      <c r="H17" s="1"/>
    </row>
    <row r="18" spans="1:8" x14ac:dyDescent="0.25">
      <c r="A18" s="3" t="s">
        <v>65</v>
      </c>
      <c r="B18" s="3" t="s">
        <v>27</v>
      </c>
      <c r="C18"/>
      <c r="E18" s="3" t="str">
        <f t="shared" si="0"/>
        <v>Sim</v>
      </c>
      <c r="G18" s="7"/>
      <c r="H18" s="2"/>
    </row>
    <row r="19" spans="1:8" x14ac:dyDescent="0.25">
      <c r="A19" s="3" t="s">
        <v>51</v>
      </c>
      <c r="B19" s="3" t="s">
        <v>62</v>
      </c>
      <c r="C19"/>
      <c r="E19" s="3" t="str">
        <f t="shared" si="0"/>
        <v>Sim</v>
      </c>
      <c r="G19" s="7"/>
      <c r="H19" s="2"/>
    </row>
    <row r="20" spans="1:8" x14ac:dyDescent="0.25">
      <c r="A20" s="3" t="s">
        <v>51</v>
      </c>
      <c r="B20" s="3" t="s">
        <v>62</v>
      </c>
      <c r="C20"/>
      <c r="E20" s="3" t="str">
        <f t="shared" si="0"/>
        <v>Sim</v>
      </c>
      <c r="G20" s="7"/>
      <c r="H20" s="2"/>
    </row>
    <row r="21" spans="1:8" x14ac:dyDescent="0.25">
      <c r="A21" s="3" t="s">
        <v>51</v>
      </c>
      <c r="B21" s="3" t="s">
        <v>62</v>
      </c>
      <c r="C21"/>
      <c r="E21" s="3" t="str">
        <f t="shared" si="0"/>
        <v>Sim</v>
      </c>
      <c r="G21" s="7"/>
      <c r="H21" s="2"/>
    </row>
    <row r="22" spans="1:8" x14ac:dyDescent="0.25">
      <c r="A22" s="3" t="s">
        <v>51</v>
      </c>
      <c r="B22" s="3" t="s">
        <v>62</v>
      </c>
      <c r="C22"/>
      <c r="E22" s="3" t="str">
        <f t="shared" si="0"/>
        <v>Sim</v>
      </c>
      <c r="G22" s="7"/>
      <c r="H22" s="2"/>
    </row>
    <row r="23" spans="1:8" x14ac:dyDescent="0.25">
      <c r="A23" s="3" t="s">
        <v>51</v>
      </c>
      <c r="B23" s="3" t="s">
        <v>62</v>
      </c>
      <c r="C23"/>
      <c r="E23" s="3" t="str">
        <f t="shared" si="0"/>
        <v>Sim</v>
      </c>
      <c r="G23" s="7"/>
      <c r="H23" s="2"/>
    </row>
    <row r="24" spans="1:8" x14ac:dyDescent="0.25">
      <c r="A24" s="3" t="s">
        <v>51</v>
      </c>
      <c r="B24" s="3" t="s">
        <v>62</v>
      </c>
      <c r="C24"/>
      <c r="E24" s="3" t="str">
        <f t="shared" si="0"/>
        <v>Sim</v>
      </c>
      <c r="G24" s="7"/>
      <c r="H24" s="2"/>
    </row>
    <row r="25" spans="1:8" x14ac:dyDescent="0.25">
      <c r="A25" s="3" t="s">
        <v>51</v>
      </c>
      <c r="B25" s="3" t="s">
        <v>62</v>
      </c>
      <c r="C25"/>
      <c r="E25" s="3" t="str">
        <f t="shared" si="0"/>
        <v>Sim</v>
      </c>
      <c r="G25" s="7"/>
      <c r="H25" s="2"/>
    </row>
    <row r="26" spans="1:8" x14ac:dyDescent="0.25">
      <c r="A26" s="3" t="s">
        <v>51</v>
      </c>
      <c r="B26" s="3" t="s">
        <v>62</v>
      </c>
      <c r="C26"/>
      <c r="E26" s="3" t="str">
        <f t="shared" si="0"/>
        <v>Sim</v>
      </c>
      <c r="G26" s="7"/>
      <c r="H26" s="2"/>
    </row>
    <row r="27" spans="1:8" x14ac:dyDescent="0.25">
      <c r="A27" s="3" t="s">
        <v>51</v>
      </c>
      <c r="B27" s="3" t="s">
        <v>62</v>
      </c>
      <c r="C27"/>
      <c r="E27" s="3" t="str">
        <f t="shared" si="0"/>
        <v>Sim</v>
      </c>
      <c r="G27" s="4"/>
      <c r="H27" s="2"/>
    </row>
    <row r="28" spans="1:8" x14ac:dyDescent="0.25">
      <c r="A28" s="3" t="s">
        <v>51</v>
      </c>
      <c r="B28" s="3" t="s">
        <v>62</v>
      </c>
      <c r="C28"/>
      <c r="E28" s="3" t="str">
        <f t="shared" si="0"/>
        <v>Sim</v>
      </c>
      <c r="G28" s="4"/>
      <c r="H28" s="2"/>
    </row>
    <row r="29" spans="1:8" x14ac:dyDescent="0.25">
      <c r="A29" s="3" t="s">
        <v>51</v>
      </c>
      <c r="B29" s="3" t="s">
        <v>62</v>
      </c>
      <c r="C29"/>
      <c r="E29" s="3" t="str">
        <f t="shared" si="0"/>
        <v>Sim</v>
      </c>
    </row>
    <row r="30" spans="1:8" x14ac:dyDescent="0.25">
      <c r="A30" s="3" t="s">
        <v>51</v>
      </c>
      <c r="B30" s="3" t="s">
        <v>62</v>
      </c>
      <c r="C30"/>
      <c r="E30" s="3" t="str">
        <f t="shared" si="0"/>
        <v>Sim</v>
      </c>
    </row>
    <row r="31" spans="1:8" x14ac:dyDescent="0.25">
      <c r="A31" s="3" t="s">
        <v>51</v>
      </c>
      <c r="B31" s="3" t="s">
        <v>62</v>
      </c>
      <c r="C31"/>
      <c r="E31" s="3" t="str">
        <f t="shared" si="0"/>
        <v>Sim</v>
      </c>
    </row>
    <row r="32" spans="1:8" x14ac:dyDescent="0.25">
      <c r="A32" s="3" t="s">
        <v>51</v>
      </c>
      <c r="B32" s="3" t="s">
        <v>62</v>
      </c>
      <c r="C32"/>
      <c r="E32" s="3" t="str">
        <f t="shared" si="0"/>
        <v>Sim</v>
      </c>
    </row>
    <row r="33" spans="1:5" x14ac:dyDescent="0.25">
      <c r="A33" s="3" t="s">
        <v>51</v>
      </c>
      <c r="B33" s="3" t="s">
        <v>57</v>
      </c>
      <c r="C33"/>
      <c r="E33" s="3" t="str">
        <f t="shared" si="0"/>
        <v>Sim</v>
      </c>
    </row>
    <row r="34" spans="1:5" x14ac:dyDescent="0.25">
      <c r="A34" s="3" t="s">
        <v>51</v>
      </c>
      <c r="B34" s="3" t="s">
        <v>57</v>
      </c>
      <c r="C34"/>
      <c r="E34" s="3" t="str">
        <f t="shared" si="0"/>
        <v>Sim</v>
      </c>
    </row>
    <row r="35" spans="1:5" x14ac:dyDescent="0.25">
      <c r="A35" s="3" t="s">
        <v>51</v>
      </c>
      <c r="B35" s="3" t="s">
        <v>57</v>
      </c>
      <c r="C35"/>
      <c r="E35" s="3" t="str">
        <f t="shared" si="0"/>
        <v>Sim</v>
      </c>
    </row>
    <row r="36" spans="1:5" x14ac:dyDescent="0.25">
      <c r="A36" s="3" t="s">
        <v>51</v>
      </c>
      <c r="B36" s="3" t="s">
        <v>57</v>
      </c>
      <c r="C36"/>
      <c r="E36" s="3" t="str">
        <f t="shared" si="0"/>
        <v>Sim</v>
      </c>
    </row>
    <row r="37" spans="1:5" x14ac:dyDescent="0.25">
      <c r="A37" s="3" t="s">
        <v>51</v>
      </c>
      <c r="B37" s="3" t="s">
        <v>57</v>
      </c>
      <c r="C37"/>
      <c r="E37" s="3" t="str">
        <f t="shared" si="0"/>
        <v>Sim</v>
      </c>
    </row>
    <row r="38" spans="1:5" x14ac:dyDescent="0.25">
      <c r="A38" s="3" t="s">
        <v>51</v>
      </c>
      <c r="B38" s="3" t="s">
        <v>57</v>
      </c>
      <c r="C38"/>
      <c r="E38" s="3" t="str">
        <f t="shared" si="0"/>
        <v>Sim</v>
      </c>
    </row>
    <row r="39" spans="1:5" x14ac:dyDescent="0.25">
      <c r="A39" s="3" t="s">
        <v>51</v>
      </c>
      <c r="B39" s="3" t="s">
        <v>57</v>
      </c>
      <c r="C39"/>
      <c r="E39" s="3" t="str">
        <f t="shared" si="0"/>
        <v>Sim</v>
      </c>
    </row>
    <row r="40" spans="1:5" x14ac:dyDescent="0.25">
      <c r="A40" s="3" t="s">
        <v>51</v>
      </c>
      <c r="B40" s="3" t="s">
        <v>57</v>
      </c>
      <c r="C40"/>
      <c r="E40" s="3" t="str">
        <f t="shared" si="0"/>
        <v>Sim</v>
      </c>
    </row>
    <row r="41" spans="1:5" x14ac:dyDescent="0.25">
      <c r="A41" s="3" t="s">
        <v>51</v>
      </c>
      <c r="B41" s="3" t="s">
        <v>57</v>
      </c>
      <c r="C41"/>
      <c r="E41" s="3" t="str">
        <f t="shared" si="0"/>
        <v>Sim</v>
      </c>
    </row>
    <row r="42" spans="1:5" x14ac:dyDescent="0.25">
      <c r="A42" s="3" t="s">
        <v>51</v>
      </c>
      <c r="B42" s="3" t="s">
        <v>57</v>
      </c>
      <c r="C42"/>
      <c r="E42" s="3" t="str">
        <f t="shared" si="0"/>
        <v>Sim</v>
      </c>
    </row>
    <row r="43" spans="1:5" x14ac:dyDescent="0.25">
      <c r="A43" s="3" t="s">
        <v>51</v>
      </c>
      <c r="B43" s="3" t="s">
        <v>57</v>
      </c>
      <c r="C43"/>
      <c r="E43" s="3" t="str">
        <f t="shared" si="0"/>
        <v>Sim</v>
      </c>
    </row>
    <row r="44" spans="1:5" x14ac:dyDescent="0.25">
      <c r="A44" s="3" t="s">
        <v>51</v>
      </c>
      <c r="B44" s="3" t="s">
        <v>57</v>
      </c>
      <c r="C44"/>
      <c r="E44" s="3" t="str">
        <f t="shared" si="0"/>
        <v>Sim</v>
      </c>
    </row>
    <row r="45" spans="1:5" x14ac:dyDescent="0.25">
      <c r="A45" s="3" t="s">
        <v>51</v>
      </c>
      <c r="B45" s="3" t="s">
        <v>57</v>
      </c>
      <c r="C45"/>
      <c r="E45" s="3" t="str">
        <f t="shared" si="0"/>
        <v>Sim</v>
      </c>
    </row>
    <row r="46" spans="1:5" x14ac:dyDescent="0.25">
      <c r="A46" s="3" t="s">
        <v>51</v>
      </c>
      <c r="B46" s="3" t="s">
        <v>57</v>
      </c>
      <c r="C46"/>
      <c r="E46" s="3" t="str">
        <f t="shared" si="0"/>
        <v>Sim</v>
      </c>
    </row>
    <row r="47" spans="1:5" x14ac:dyDescent="0.25">
      <c r="A47" s="3" t="s">
        <v>51</v>
      </c>
      <c r="B47" s="3" t="s">
        <v>57</v>
      </c>
      <c r="C47"/>
      <c r="E47" s="3" t="str">
        <f t="shared" si="0"/>
        <v>Sim</v>
      </c>
    </row>
    <row r="48" spans="1:5" x14ac:dyDescent="0.25">
      <c r="A48" s="3" t="s">
        <v>51</v>
      </c>
      <c r="B48" s="3" t="s">
        <v>57</v>
      </c>
      <c r="C48"/>
      <c r="E48" s="3" t="str">
        <f t="shared" si="0"/>
        <v>Sim</v>
      </c>
    </row>
    <row r="49" spans="1:5" x14ac:dyDescent="0.25">
      <c r="A49" s="3" t="s">
        <v>51</v>
      </c>
      <c r="B49" s="3" t="s">
        <v>27</v>
      </c>
      <c r="C49"/>
      <c r="E49" s="3" t="str">
        <f t="shared" si="0"/>
        <v>Sim</v>
      </c>
    </row>
    <row r="50" spans="1:5" x14ac:dyDescent="0.25">
      <c r="A50" s="3" t="s">
        <v>51</v>
      </c>
      <c r="B50" s="3" t="s">
        <v>27</v>
      </c>
      <c r="C50"/>
      <c r="E50" s="3" t="str">
        <f t="shared" si="0"/>
        <v>Sim</v>
      </c>
    </row>
    <row r="51" spans="1:5" x14ac:dyDescent="0.25">
      <c r="A51" s="3" t="s">
        <v>51</v>
      </c>
      <c r="B51" s="3" t="s">
        <v>27</v>
      </c>
      <c r="C51"/>
      <c r="E51" s="3" t="str">
        <f t="shared" si="0"/>
        <v>Sim</v>
      </c>
    </row>
    <row r="52" spans="1:5" x14ac:dyDescent="0.25">
      <c r="A52" s="3" t="s">
        <v>51</v>
      </c>
      <c r="B52" s="3" t="s">
        <v>27</v>
      </c>
      <c r="C52"/>
      <c r="E52" s="3" t="str">
        <f t="shared" si="0"/>
        <v>Sim</v>
      </c>
    </row>
    <row r="53" spans="1:5" x14ac:dyDescent="0.25">
      <c r="A53" s="3" t="s">
        <v>51</v>
      </c>
      <c r="B53" s="3" t="s">
        <v>27</v>
      </c>
      <c r="C53"/>
      <c r="E53" s="3" t="str">
        <f t="shared" si="0"/>
        <v>Sim</v>
      </c>
    </row>
    <row r="54" spans="1:5" x14ac:dyDescent="0.25">
      <c r="A54" s="3" t="s">
        <v>51</v>
      </c>
      <c r="B54" s="3" t="s">
        <v>27</v>
      </c>
      <c r="C54"/>
      <c r="E54" s="3" t="str">
        <f t="shared" si="0"/>
        <v>Sim</v>
      </c>
    </row>
    <row r="55" spans="1:5" x14ac:dyDescent="0.25">
      <c r="A55" s="3" t="s">
        <v>61</v>
      </c>
      <c r="B55" s="3" t="s">
        <v>67</v>
      </c>
      <c r="C55"/>
      <c r="E55" s="3" t="str">
        <f t="shared" si="0"/>
        <v>Sim</v>
      </c>
    </row>
    <row r="56" spans="1:5" x14ac:dyDescent="0.25">
      <c r="A56" s="3" t="s">
        <v>61</v>
      </c>
      <c r="B56" s="3" t="s">
        <v>67</v>
      </c>
      <c r="C56"/>
      <c r="E56" s="3" t="str">
        <f t="shared" si="0"/>
        <v>Sim</v>
      </c>
    </row>
    <row r="57" spans="1:5" x14ac:dyDescent="0.25">
      <c r="A57" s="3" t="s">
        <v>61</v>
      </c>
      <c r="B57" s="3" t="s">
        <v>67</v>
      </c>
      <c r="C57"/>
      <c r="E57" s="3" t="str">
        <f t="shared" si="0"/>
        <v>Sim</v>
      </c>
    </row>
    <row r="58" spans="1:5" x14ac:dyDescent="0.25">
      <c r="A58" s="3" t="s">
        <v>61</v>
      </c>
      <c r="B58" s="3" t="s">
        <v>67</v>
      </c>
      <c r="C58"/>
      <c r="E58" s="3" t="str">
        <f t="shared" si="0"/>
        <v>Sim</v>
      </c>
    </row>
    <row r="59" spans="1:5" x14ac:dyDescent="0.25">
      <c r="A59" s="3" t="s">
        <v>61</v>
      </c>
      <c r="B59" s="3" t="s">
        <v>67</v>
      </c>
      <c r="C59"/>
      <c r="E59" s="3" t="str">
        <f t="shared" si="0"/>
        <v>Sim</v>
      </c>
    </row>
    <row r="60" spans="1:5" x14ac:dyDescent="0.25">
      <c r="A60" s="3" t="s">
        <v>61</v>
      </c>
      <c r="B60" s="3" t="s">
        <v>67</v>
      </c>
      <c r="C60"/>
      <c r="E60" s="3" t="str">
        <f t="shared" si="0"/>
        <v>Sim</v>
      </c>
    </row>
    <row r="61" spans="1:5" x14ac:dyDescent="0.25">
      <c r="A61" s="3" t="s">
        <v>61</v>
      </c>
      <c r="B61" s="3" t="s">
        <v>67</v>
      </c>
      <c r="C61"/>
      <c r="E61" s="3" t="str">
        <f t="shared" si="0"/>
        <v>Sim</v>
      </c>
    </row>
    <row r="62" spans="1:5" x14ac:dyDescent="0.25">
      <c r="A62" s="3" t="s">
        <v>61</v>
      </c>
      <c r="B62" s="3" t="s">
        <v>67</v>
      </c>
      <c r="C62"/>
      <c r="E62" s="3" t="str">
        <f t="shared" si="0"/>
        <v>Sim</v>
      </c>
    </row>
    <row r="63" spans="1:5" x14ac:dyDescent="0.25">
      <c r="A63" s="3" t="s">
        <v>61</v>
      </c>
      <c r="B63" s="3" t="s">
        <v>67</v>
      </c>
      <c r="C63"/>
      <c r="E63" s="3" t="str">
        <f t="shared" si="0"/>
        <v>Sim</v>
      </c>
    </row>
    <row r="64" spans="1:5" x14ac:dyDescent="0.25">
      <c r="A64" s="3" t="s">
        <v>61</v>
      </c>
      <c r="B64" s="3" t="s">
        <v>67</v>
      </c>
      <c r="C64"/>
      <c r="E64" s="3" t="str">
        <f t="shared" si="0"/>
        <v>Sim</v>
      </c>
    </row>
    <row r="65" spans="1:5" x14ac:dyDescent="0.25">
      <c r="A65" s="3" t="s">
        <v>0</v>
      </c>
      <c r="B65" s="3" t="s">
        <v>67</v>
      </c>
      <c r="C65"/>
      <c r="E65" s="3" t="str">
        <f t="shared" si="0"/>
        <v>Sim</v>
      </c>
    </row>
    <row r="66" spans="1:5" x14ac:dyDescent="0.25">
      <c r="A66" s="3" t="s">
        <v>0</v>
      </c>
      <c r="B66" s="3" t="s">
        <v>67</v>
      </c>
      <c r="C66"/>
      <c r="E66" s="3" t="str">
        <f t="shared" si="0"/>
        <v>Sim</v>
      </c>
    </row>
    <row r="67" spans="1:5" x14ac:dyDescent="0.25">
      <c r="C67"/>
    </row>
    <row r="68" spans="1:5" x14ac:dyDescent="0.25">
      <c r="C68"/>
    </row>
    <row r="69" spans="1:5" x14ac:dyDescent="0.25">
      <c r="C69"/>
    </row>
    <row r="70" spans="1:5" x14ac:dyDescent="0.25">
      <c r="C70"/>
    </row>
    <row r="71" spans="1:5" x14ac:dyDescent="0.25">
      <c r="C71"/>
    </row>
    <row r="72" spans="1:5" x14ac:dyDescent="0.25">
      <c r="C72"/>
    </row>
    <row r="73" spans="1:5" x14ac:dyDescent="0.25">
      <c r="C73"/>
    </row>
    <row r="74" spans="1:5" x14ac:dyDescent="0.25">
      <c r="C74"/>
    </row>
    <row r="75" spans="1:5" x14ac:dyDescent="0.25">
      <c r="C75"/>
    </row>
    <row r="76" spans="1:5" x14ac:dyDescent="0.25">
      <c r="C76"/>
    </row>
    <row r="77" spans="1:5" x14ac:dyDescent="0.25">
      <c r="C77"/>
    </row>
    <row r="78" spans="1:5" x14ac:dyDescent="0.25">
      <c r="C78"/>
    </row>
    <row r="79" spans="1:5" x14ac:dyDescent="0.25">
      <c r="C79"/>
    </row>
    <row r="80" spans="1:5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9771-5E69-4171-824E-868540C2789B}">
  <dimension ref="A1:H112"/>
  <sheetViews>
    <sheetView topLeftCell="A12" workbookViewId="0">
      <selection activeCell="H55" sqref="H55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18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56</v>
      </c>
      <c r="C3"/>
      <c r="E3" s="3" t="str">
        <f>IF(C3=D3, "Sim", "Não")</f>
        <v>Sim</v>
      </c>
      <c r="G3" s="4" t="s">
        <v>4</v>
      </c>
      <c r="H3" s="3">
        <f>COUNTIF(E3:E117,"Não")</f>
        <v>0</v>
      </c>
    </row>
    <row r="4" spans="1:8" x14ac:dyDescent="0.25">
      <c r="A4" s="3" t="s">
        <v>65</v>
      </c>
      <c r="B4" s="3" t="s">
        <v>56</v>
      </c>
      <c r="C4"/>
      <c r="E4" s="3" t="str">
        <f t="shared" ref="E4:E66" si="0">IF(C4=D4, "Sim", "Não")</f>
        <v>Sim</v>
      </c>
      <c r="G4" s="4" t="s">
        <v>5</v>
      </c>
      <c r="H4" s="3">
        <f>SUM(H19:H37)</f>
        <v>0</v>
      </c>
    </row>
    <row r="5" spans="1:8" x14ac:dyDescent="0.25">
      <c r="A5" s="3" t="s">
        <v>65</v>
      </c>
      <c r="B5" s="3" t="s">
        <v>56</v>
      </c>
      <c r="C5"/>
      <c r="E5" s="3" t="str">
        <f t="shared" si="0"/>
        <v>Sim</v>
      </c>
    </row>
    <row r="6" spans="1:8" x14ac:dyDescent="0.25">
      <c r="A6" s="3" t="s">
        <v>65</v>
      </c>
      <c r="B6" s="3" t="s">
        <v>56</v>
      </c>
      <c r="C6"/>
      <c r="E6" s="3" t="str">
        <f t="shared" si="0"/>
        <v>Sim</v>
      </c>
    </row>
    <row r="7" spans="1:8" x14ac:dyDescent="0.25">
      <c r="A7" s="3" t="s">
        <v>65</v>
      </c>
      <c r="B7" s="3" t="s">
        <v>56</v>
      </c>
      <c r="C7"/>
      <c r="E7" s="3" t="str">
        <f t="shared" ref="E7:E17" si="1">IF(C7=D7, "Sim", "Não")</f>
        <v>Sim</v>
      </c>
      <c r="G7" s="6"/>
      <c r="H7" s="1"/>
    </row>
    <row r="8" spans="1:8" x14ac:dyDescent="0.25">
      <c r="A8" s="3" t="s">
        <v>65</v>
      </c>
      <c r="B8" s="3" t="s">
        <v>56</v>
      </c>
      <c r="C8"/>
      <c r="E8" s="3" t="str">
        <f t="shared" si="1"/>
        <v>Sim</v>
      </c>
      <c r="G8" s="7"/>
      <c r="H8" s="2"/>
    </row>
    <row r="9" spans="1:8" x14ac:dyDescent="0.25">
      <c r="A9" s="3" t="s">
        <v>65</v>
      </c>
      <c r="B9" s="3" t="s">
        <v>56</v>
      </c>
      <c r="C9"/>
      <c r="E9" s="3" t="str">
        <f t="shared" si="1"/>
        <v>Sim</v>
      </c>
      <c r="G9" s="7"/>
      <c r="H9" s="2"/>
    </row>
    <row r="10" spans="1:8" x14ac:dyDescent="0.25">
      <c r="A10" s="3" t="s">
        <v>65</v>
      </c>
      <c r="B10" s="3" t="s">
        <v>58</v>
      </c>
      <c r="C10"/>
      <c r="E10" s="3" t="str">
        <f t="shared" si="1"/>
        <v>Sim</v>
      </c>
      <c r="G10" s="7"/>
      <c r="H10" s="2"/>
    </row>
    <row r="11" spans="1:8" x14ac:dyDescent="0.25">
      <c r="A11" s="3" t="s">
        <v>65</v>
      </c>
      <c r="B11" s="3" t="s">
        <v>58</v>
      </c>
      <c r="C11"/>
      <c r="E11" s="3" t="str">
        <f t="shared" si="1"/>
        <v>Sim</v>
      </c>
      <c r="G11" s="7"/>
      <c r="H11" s="2"/>
    </row>
    <row r="12" spans="1:8" x14ac:dyDescent="0.25">
      <c r="A12" s="3" t="s">
        <v>65</v>
      </c>
      <c r="B12" s="3" t="s">
        <v>58</v>
      </c>
      <c r="C12"/>
      <c r="E12" s="3" t="str">
        <f t="shared" si="1"/>
        <v>Sim</v>
      </c>
      <c r="G12" s="7"/>
      <c r="H12" s="2"/>
    </row>
    <row r="13" spans="1:8" x14ac:dyDescent="0.25">
      <c r="A13" s="3" t="s">
        <v>65</v>
      </c>
      <c r="B13" s="3" t="s">
        <v>58</v>
      </c>
      <c r="C13"/>
      <c r="E13" s="3" t="str">
        <f t="shared" si="1"/>
        <v>Sim</v>
      </c>
      <c r="G13" s="7"/>
      <c r="H13" s="2"/>
    </row>
    <row r="14" spans="1:8" x14ac:dyDescent="0.25">
      <c r="A14" s="3" t="s">
        <v>65</v>
      </c>
      <c r="B14" s="3" t="s">
        <v>58</v>
      </c>
      <c r="C14"/>
      <c r="E14" s="3" t="str">
        <f t="shared" ref="E14:E15" si="2">IF(C14=D14, "Sim", "Não")</f>
        <v>Sim</v>
      </c>
      <c r="G14" s="7"/>
      <c r="H14" s="2"/>
    </row>
    <row r="15" spans="1:8" x14ac:dyDescent="0.25">
      <c r="A15" s="3" t="s">
        <v>65</v>
      </c>
      <c r="B15" s="3" t="s">
        <v>58</v>
      </c>
      <c r="C15"/>
      <c r="E15" s="3" t="str">
        <f t="shared" si="2"/>
        <v>Sim</v>
      </c>
      <c r="G15" s="7"/>
      <c r="H15" s="2"/>
    </row>
    <row r="16" spans="1:8" x14ac:dyDescent="0.25">
      <c r="A16" s="3" t="s">
        <v>65</v>
      </c>
      <c r="B16" s="3" t="s">
        <v>58</v>
      </c>
      <c r="C16"/>
      <c r="E16" s="3" t="str">
        <f t="shared" si="1"/>
        <v>Sim</v>
      </c>
      <c r="G16" s="7"/>
      <c r="H16" s="2"/>
    </row>
    <row r="17" spans="1:8" x14ac:dyDescent="0.25">
      <c r="A17" s="3" t="s">
        <v>65</v>
      </c>
      <c r="B17" s="3" t="s">
        <v>57</v>
      </c>
      <c r="C17"/>
      <c r="E17" s="3" t="str">
        <f t="shared" si="1"/>
        <v>Sim</v>
      </c>
      <c r="G17" s="7"/>
      <c r="H17" s="2"/>
    </row>
    <row r="18" spans="1:8" x14ac:dyDescent="0.25">
      <c r="A18" s="3" t="s">
        <v>65</v>
      </c>
      <c r="B18" s="3" t="s">
        <v>57</v>
      </c>
      <c r="C18"/>
      <c r="E18" s="3" t="str">
        <f t="shared" si="0"/>
        <v>Sim</v>
      </c>
      <c r="G18" s="6"/>
      <c r="H18" s="1"/>
    </row>
    <row r="19" spans="1:8" x14ac:dyDescent="0.25">
      <c r="A19" s="3" t="s">
        <v>51</v>
      </c>
      <c r="B19" s="3" t="s">
        <v>56</v>
      </c>
      <c r="C19"/>
      <c r="E19" s="3" t="str">
        <f t="shared" si="0"/>
        <v>Sim</v>
      </c>
      <c r="G19" s="7"/>
      <c r="H19" s="2"/>
    </row>
    <row r="20" spans="1:8" x14ac:dyDescent="0.25">
      <c r="A20" s="3" t="s">
        <v>51</v>
      </c>
      <c r="B20" s="3" t="s">
        <v>56</v>
      </c>
      <c r="C20"/>
      <c r="E20" s="3" t="str">
        <f t="shared" si="0"/>
        <v>Sim</v>
      </c>
      <c r="G20" s="7"/>
      <c r="H20" s="2"/>
    </row>
    <row r="21" spans="1:8" x14ac:dyDescent="0.25">
      <c r="A21" s="3" t="s">
        <v>51</v>
      </c>
      <c r="B21" s="3" t="s">
        <v>56</v>
      </c>
      <c r="C21"/>
      <c r="E21" s="3" t="str">
        <f t="shared" si="0"/>
        <v>Sim</v>
      </c>
      <c r="G21" s="7"/>
      <c r="H21" s="2"/>
    </row>
    <row r="22" spans="1:8" x14ac:dyDescent="0.25">
      <c r="A22" s="3" t="s">
        <v>51</v>
      </c>
      <c r="B22" s="3" t="s">
        <v>56</v>
      </c>
      <c r="C22"/>
      <c r="E22" s="3" t="str">
        <f t="shared" si="0"/>
        <v>Sim</v>
      </c>
      <c r="G22" s="7"/>
      <c r="H22" s="2"/>
    </row>
    <row r="23" spans="1:8" x14ac:dyDescent="0.25">
      <c r="A23" s="3" t="s">
        <v>51</v>
      </c>
      <c r="B23" s="3" t="s">
        <v>56</v>
      </c>
      <c r="C23"/>
      <c r="E23" s="3" t="str">
        <f t="shared" si="0"/>
        <v>Sim</v>
      </c>
      <c r="G23" s="7"/>
      <c r="H23" s="2"/>
    </row>
    <row r="24" spans="1:8" x14ac:dyDescent="0.25">
      <c r="A24" s="3" t="s">
        <v>51</v>
      </c>
      <c r="B24" s="3" t="s">
        <v>56</v>
      </c>
      <c r="C24"/>
      <c r="E24" s="3" t="str">
        <f t="shared" si="0"/>
        <v>Sim</v>
      </c>
      <c r="G24" s="7"/>
      <c r="H24" s="2"/>
    </row>
    <row r="25" spans="1:8" x14ac:dyDescent="0.25">
      <c r="A25" s="3" t="s">
        <v>51</v>
      </c>
      <c r="B25" s="3" t="s">
        <v>56</v>
      </c>
      <c r="C25"/>
      <c r="E25" s="3" t="str">
        <f t="shared" si="0"/>
        <v>Sim</v>
      </c>
      <c r="G25" s="7"/>
      <c r="H25" s="2"/>
    </row>
    <row r="26" spans="1:8" x14ac:dyDescent="0.25">
      <c r="A26" s="3" t="s">
        <v>51</v>
      </c>
      <c r="B26" s="3" t="s">
        <v>56</v>
      </c>
      <c r="C26"/>
      <c r="E26" s="3" t="str">
        <f t="shared" si="0"/>
        <v>Sim</v>
      </c>
      <c r="G26" s="7"/>
      <c r="H26" s="2"/>
    </row>
    <row r="27" spans="1:8" x14ac:dyDescent="0.25">
      <c r="A27" s="3" t="s">
        <v>51</v>
      </c>
      <c r="B27" s="3" t="s">
        <v>56</v>
      </c>
      <c r="C27"/>
      <c r="E27" s="3" t="str">
        <f t="shared" si="0"/>
        <v>Sim</v>
      </c>
      <c r="G27" s="4"/>
      <c r="H27" s="2"/>
    </row>
    <row r="28" spans="1:8" x14ac:dyDescent="0.25">
      <c r="A28" s="3" t="s">
        <v>51</v>
      </c>
      <c r="B28" s="3" t="s">
        <v>56</v>
      </c>
      <c r="C28"/>
      <c r="E28" s="3" t="str">
        <f t="shared" si="0"/>
        <v>Sim</v>
      </c>
      <c r="G28" s="4"/>
      <c r="H28" s="2"/>
    </row>
    <row r="29" spans="1:8" x14ac:dyDescent="0.25">
      <c r="A29" s="3" t="s">
        <v>51</v>
      </c>
      <c r="B29" s="3" t="s">
        <v>56</v>
      </c>
      <c r="C29"/>
      <c r="E29" s="3" t="str">
        <f t="shared" si="0"/>
        <v>Sim</v>
      </c>
    </row>
    <row r="30" spans="1:8" x14ac:dyDescent="0.25">
      <c r="A30" s="3" t="s">
        <v>51</v>
      </c>
      <c r="B30" s="3" t="s">
        <v>56</v>
      </c>
      <c r="C30"/>
      <c r="E30" s="3" t="str">
        <f t="shared" si="0"/>
        <v>Sim</v>
      </c>
    </row>
    <row r="31" spans="1:8" x14ac:dyDescent="0.25">
      <c r="A31" s="3" t="s">
        <v>51</v>
      </c>
      <c r="B31" s="3" t="s">
        <v>56</v>
      </c>
      <c r="C31"/>
      <c r="E31" s="3" t="str">
        <f t="shared" si="0"/>
        <v>Sim</v>
      </c>
    </row>
    <row r="32" spans="1:8" x14ac:dyDescent="0.25">
      <c r="A32" s="3" t="s">
        <v>51</v>
      </c>
      <c r="B32" s="3" t="s">
        <v>56</v>
      </c>
      <c r="C32"/>
      <c r="E32" s="3" t="str">
        <f t="shared" si="0"/>
        <v>Sim</v>
      </c>
    </row>
    <row r="33" spans="1:5" x14ac:dyDescent="0.25">
      <c r="A33" s="3" t="s">
        <v>51</v>
      </c>
      <c r="B33" s="3" t="s">
        <v>58</v>
      </c>
      <c r="C33"/>
      <c r="E33" s="3" t="str">
        <f t="shared" si="0"/>
        <v>Sim</v>
      </c>
    </row>
    <row r="34" spans="1:5" x14ac:dyDescent="0.25">
      <c r="A34" s="3" t="s">
        <v>51</v>
      </c>
      <c r="B34" s="3" t="s">
        <v>58</v>
      </c>
      <c r="C34"/>
      <c r="E34" s="3" t="str">
        <f t="shared" si="0"/>
        <v>Sim</v>
      </c>
    </row>
    <row r="35" spans="1:5" x14ac:dyDescent="0.25">
      <c r="A35" s="3" t="s">
        <v>51</v>
      </c>
      <c r="B35" s="3" t="s">
        <v>58</v>
      </c>
      <c r="C35"/>
      <c r="E35" s="3" t="str">
        <f t="shared" si="0"/>
        <v>Sim</v>
      </c>
    </row>
    <row r="36" spans="1:5" x14ac:dyDescent="0.25">
      <c r="A36" s="3" t="s">
        <v>51</v>
      </c>
      <c r="B36" s="3" t="s">
        <v>58</v>
      </c>
      <c r="C36"/>
      <c r="E36" s="3" t="str">
        <f t="shared" si="0"/>
        <v>Sim</v>
      </c>
    </row>
    <row r="37" spans="1:5" x14ac:dyDescent="0.25">
      <c r="A37" s="3" t="s">
        <v>51</v>
      </c>
      <c r="B37" s="3" t="s">
        <v>58</v>
      </c>
      <c r="C37"/>
      <c r="E37" s="3" t="str">
        <f t="shared" si="0"/>
        <v>Sim</v>
      </c>
    </row>
    <row r="38" spans="1:5" x14ac:dyDescent="0.25">
      <c r="A38" s="3" t="s">
        <v>51</v>
      </c>
      <c r="B38" s="3" t="s">
        <v>58</v>
      </c>
      <c r="C38"/>
      <c r="E38" s="3" t="str">
        <f t="shared" si="0"/>
        <v>Sim</v>
      </c>
    </row>
    <row r="39" spans="1:5" x14ac:dyDescent="0.25">
      <c r="A39" s="3" t="s">
        <v>51</v>
      </c>
      <c r="B39" s="3" t="s">
        <v>58</v>
      </c>
      <c r="C39"/>
      <c r="E39" s="3" t="str">
        <f t="shared" si="0"/>
        <v>Sim</v>
      </c>
    </row>
    <row r="40" spans="1:5" x14ac:dyDescent="0.25">
      <c r="A40" s="3" t="s">
        <v>51</v>
      </c>
      <c r="B40" s="3" t="s">
        <v>58</v>
      </c>
      <c r="C40"/>
      <c r="E40" s="3" t="str">
        <f t="shared" si="0"/>
        <v>Sim</v>
      </c>
    </row>
    <row r="41" spans="1:5" x14ac:dyDescent="0.25">
      <c r="A41" s="3" t="s">
        <v>51</v>
      </c>
      <c r="B41" s="3" t="s">
        <v>58</v>
      </c>
      <c r="C41"/>
      <c r="E41" s="3" t="str">
        <f t="shared" si="0"/>
        <v>Sim</v>
      </c>
    </row>
    <row r="42" spans="1:5" x14ac:dyDescent="0.25">
      <c r="A42" s="3" t="s">
        <v>51</v>
      </c>
      <c r="B42" s="3" t="s">
        <v>58</v>
      </c>
      <c r="C42"/>
      <c r="E42" s="3" t="str">
        <f t="shared" si="0"/>
        <v>Sim</v>
      </c>
    </row>
    <row r="43" spans="1:5" x14ac:dyDescent="0.25">
      <c r="A43" s="3" t="s">
        <v>51</v>
      </c>
      <c r="B43" s="3" t="s">
        <v>58</v>
      </c>
      <c r="C43"/>
      <c r="E43" s="3" t="str">
        <f t="shared" si="0"/>
        <v>Sim</v>
      </c>
    </row>
    <row r="44" spans="1:5" x14ac:dyDescent="0.25">
      <c r="A44" s="3" t="s">
        <v>51</v>
      </c>
      <c r="B44" s="3" t="s">
        <v>58</v>
      </c>
      <c r="C44"/>
      <c r="E44" s="3" t="str">
        <f t="shared" si="0"/>
        <v>Sim</v>
      </c>
    </row>
    <row r="45" spans="1:5" x14ac:dyDescent="0.25">
      <c r="A45" s="3" t="s">
        <v>51</v>
      </c>
      <c r="B45" s="3" t="s">
        <v>58</v>
      </c>
      <c r="C45"/>
      <c r="E45" s="3" t="str">
        <f t="shared" si="0"/>
        <v>Sim</v>
      </c>
    </row>
    <row r="46" spans="1:5" x14ac:dyDescent="0.25">
      <c r="A46" s="3" t="s">
        <v>51</v>
      </c>
      <c r="B46" s="3" t="s">
        <v>58</v>
      </c>
      <c r="C46"/>
      <c r="E46" s="3" t="str">
        <f t="shared" si="0"/>
        <v>Sim</v>
      </c>
    </row>
    <row r="47" spans="1:5" x14ac:dyDescent="0.25">
      <c r="A47" s="3" t="s">
        <v>51</v>
      </c>
      <c r="B47" s="3" t="s">
        <v>58</v>
      </c>
      <c r="C47"/>
      <c r="E47" s="3" t="str">
        <f t="shared" si="0"/>
        <v>Sim</v>
      </c>
    </row>
    <row r="48" spans="1:5" x14ac:dyDescent="0.25">
      <c r="A48" s="3" t="s">
        <v>51</v>
      </c>
      <c r="B48" s="3" t="s">
        <v>58</v>
      </c>
      <c r="C48"/>
      <c r="E48" s="3" t="str">
        <f t="shared" si="0"/>
        <v>Sim</v>
      </c>
    </row>
    <row r="49" spans="1:5" x14ac:dyDescent="0.25">
      <c r="A49" s="3" t="s">
        <v>51</v>
      </c>
      <c r="B49" s="3" t="s">
        <v>57</v>
      </c>
      <c r="C49"/>
      <c r="E49" s="3" t="str">
        <f t="shared" si="0"/>
        <v>Sim</v>
      </c>
    </row>
    <row r="50" spans="1:5" x14ac:dyDescent="0.25">
      <c r="A50" s="3" t="s">
        <v>51</v>
      </c>
      <c r="B50" s="3" t="s">
        <v>57</v>
      </c>
      <c r="C50"/>
      <c r="E50" s="3" t="str">
        <f t="shared" si="0"/>
        <v>Sim</v>
      </c>
    </row>
    <row r="51" spans="1:5" x14ac:dyDescent="0.25">
      <c r="A51" s="3" t="s">
        <v>51</v>
      </c>
      <c r="B51" s="3" t="s">
        <v>57</v>
      </c>
      <c r="C51"/>
      <c r="E51" s="3" t="str">
        <f t="shared" si="0"/>
        <v>Sim</v>
      </c>
    </row>
    <row r="52" spans="1:5" x14ac:dyDescent="0.25">
      <c r="A52" s="3" t="s">
        <v>51</v>
      </c>
      <c r="B52" s="3" t="s">
        <v>57</v>
      </c>
      <c r="C52"/>
      <c r="E52" s="3" t="str">
        <f t="shared" si="0"/>
        <v>Sim</v>
      </c>
    </row>
    <row r="53" spans="1:5" x14ac:dyDescent="0.25">
      <c r="A53" s="3" t="s">
        <v>51</v>
      </c>
      <c r="B53" s="3" t="s">
        <v>57</v>
      </c>
      <c r="C53"/>
      <c r="E53" s="3" t="str">
        <f t="shared" si="0"/>
        <v>Sim</v>
      </c>
    </row>
    <row r="54" spans="1:5" x14ac:dyDescent="0.25">
      <c r="A54" s="3" t="s">
        <v>51</v>
      </c>
      <c r="B54" s="3" t="s">
        <v>57</v>
      </c>
      <c r="C54"/>
      <c r="E54" s="3" t="str">
        <f t="shared" si="0"/>
        <v>Sim</v>
      </c>
    </row>
    <row r="55" spans="1:5" x14ac:dyDescent="0.25">
      <c r="A55" s="3" t="s">
        <v>61</v>
      </c>
      <c r="B55" s="3" t="s">
        <v>67</v>
      </c>
      <c r="C55"/>
      <c r="E55" s="3" t="str">
        <f t="shared" si="0"/>
        <v>Sim</v>
      </c>
    </row>
    <row r="56" spans="1:5" x14ac:dyDescent="0.25">
      <c r="A56" s="3" t="s">
        <v>61</v>
      </c>
      <c r="B56" s="3" t="s">
        <v>67</v>
      </c>
      <c r="C56"/>
      <c r="E56" s="3" t="str">
        <f t="shared" si="0"/>
        <v>Sim</v>
      </c>
    </row>
    <row r="57" spans="1:5" x14ac:dyDescent="0.25">
      <c r="A57" s="3" t="s">
        <v>61</v>
      </c>
      <c r="B57" s="3" t="s">
        <v>67</v>
      </c>
      <c r="C57"/>
      <c r="E57" s="3" t="str">
        <f t="shared" si="0"/>
        <v>Sim</v>
      </c>
    </row>
    <row r="58" spans="1:5" x14ac:dyDescent="0.25">
      <c r="A58" s="3" t="s">
        <v>61</v>
      </c>
      <c r="B58" s="3" t="s">
        <v>67</v>
      </c>
      <c r="C58"/>
      <c r="E58" s="3" t="str">
        <f t="shared" si="0"/>
        <v>Sim</v>
      </c>
    </row>
    <row r="59" spans="1:5" x14ac:dyDescent="0.25">
      <c r="A59" s="3" t="s">
        <v>0</v>
      </c>
      <c r="B59" s="3" t="s">
        <v>67</v>
      </c>
      <c r="C59"/>
      <c r="E59" s="3" t="str">
        <f t="shared" si="0"/>
        <v>Sim</v>
      </c>
    </row>
    <row r="60" spans="1:5" x14ac:dyDescent="0.25">
      <c r="A60" s="3" t="s">
        <v>0</v>
      </c>
      <c r="B60" s="3" t="s">
        <v>67</v>
      </c>
      <c r="C60"/>
      <c r="E60" s="3" t="str">
        <f t="shared" si="0"/>
        <v>Sim</v>
      </c>
    </row>
    <row r="61" spans="1:5" x14ac:dyDescent="0.25">
      <c r="A61" s="3" t="s">
        <v>0</v>
      </c>
      <c r="B61" s="3" t="s">
        <v>67</v>
      </c>
      <c r="C61"/>
      <c r="E61" s="3" t="str">
        <f t="shared" si="0"/>
        <v>Sim</v>
      </c>
    </row>
    <row r="62" spans="1:5" x14ac:dyDescent="0.25">
      <c r="A62" s="3" t="s">
        <v>0</v>
      </c>
      <c r="B62" s="3" t="s">
        <v>67</v>
      </c>
      <c r="C62"/>
      <c r="E62" s="3" t="str">
        <f t="shared" si="0"/>
        <v>Sim</v>
      </c>
    </row>
    <row r="63" spans="1:5" x14ac:dyDescent="0.25">
      <c r="A63" s="3" t="s">
        <v>0</v>
      </c>
      <c r="B63" s="3" t="s">
        <v>67</v>
      </c>
      <c r="C63"/>
      <c r="E63" s="3" t="str">
        <f t="shared" si="0"/>
        <v>Sim</v>
      </c>
    </row>
    <row r="64" spans="1:5" x14ac:dyDescent="0.25">
      <c r="A64" s="3" t="s">
        <v>0</v>
      </c>
      <c r="B64" s="3" t="s">
        <v>67</v>
      </c>
      <c r="C64"/>
      <c r="E64" s="3" t="str">
        <f t="shared" si="0"/>
        <v>Sim</v>
      </c>
    </row>
    <row r="65" spans="1:5" x14ac:dyDescent="0.25">
      <c r="A65" s="3" t="s">
        <v>47</v>
      </c>
      <c r="B65" s="3" t="s">
        <v>67</v>
      </c>
      <c r="C65"/>
      <c r="E65" s="3" t="str">
        <f t="shared" si="0"/>
        <v>Sim</v>
      </c>
    </row>
    <row r="66" spans="1:5" x14ac:dyDescent="0.25">
      <c r="A66" s="3" t="s">
        <v>47</v>
      </c>
      <c r="B66" s="3" t="s">
        <v>67</v>
      </c>
      <c r="C66"/>
      <c r="E66" s="3" t="str">
        <f t="shared" si="0"/>
        <v>Sim</v>
      </c>
    </row>
    <row r="67" spans="1:5" x14ac:dyDescent="0.25">
      <c r="C67"/>
    </row>
    <row r="68" spans="1:5" x14ac:dyDescent="0.25">
      <c r="C68"/>
    </row>
    <row r="69" spans="1:5" x14ac:dyDescent="0.25">
      <c r="C69"/>
    </row>
    <row r="70" spans="1:5" x14ac:dyDescent="0.25">
      <c r="C70"/>
    </row>
    <row r="71" spans="1:5" x14ac:dyDescent="0.25">
      <c r="C71"/>
    </row>
    <row r="72" spans="1:5" x14ac:dyDescent="0.25">
      <c r="C72"/>
    </row>
    <row r="73" spans="1:5" x14ac:dyDescent="0.25">
      <c r="C73"/>
    </row>
    <row r="74" spans="1:5" x14ac:dyDescent="0.25">
      <c r="C74"/>
    </row>
    <row r="75" spans="1:5" x14ac:dyDescent="0.25">
      <c r="C75"/>
    </row>
    <row r="76" spans="1:5" x14ac:dyDescent="0.25">
      <c r="C76"/>
    </row>
    <row r="77" spans="1:5" x14ac:dyDescent="0.25">
      <c r="C77"/>
    </row>
    <row r="78" spans="1:5" x14ac:dyDescent="0.25">
      <c r="C78"/>
    </row>
    <row r="79" spans="1:5" x14ac:dyDescent="0.25">
      <c r="C79"/>
    </row>
    <row r="80" spans="1:5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1AAD-DCE5-4C8D-9525-DB6C1FD32132}">
  <dimension ref="A1:H112"/>
  <sheetViews>
    <sheetView workbookViewId="0">
      <selection activeCell="C52" sqref="C52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20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57</v>
      </c>
      <c r="C3"/>
      <c r="E3" s="3" t="str">
        <f>IF(C3=D3, "Sim", "Não")</f>
        <v>Sim</v>
      </c>
      <c r="G3" s="4" t="s">
        <v>4</v>
      </c>
      <c r="H3" s="3">
        <f>COUNTIF(E3:E117,"Não")</f>
        <v>0</v>
      </c>
    </row>
    <row r="4" spans="1:8" x14ac:dyDescent="0.25">
      <c r="A4" s="3" t="s">
        <v>65</v>
      </c>
      <c r="B4" s="3" t="s">
        <v>57</v>
      </c>
      <c r="C4"/>
      <c r="E4" s="3" t="str">
        <f t="shared" ref="E4:E66" si="0">IF(C4=D4, "Sim", "Não")</f>
        <v>Sim</v>
      </c>
      <c r="G4" s="4" t="s">
        <v>5</v>
      </c>
      <c r="H4" s="3">
        <f>SUM(H19:H37)</f>
        <v>0</v>
      </c>
    </row>
    <row r="5" spans="1:8" x14ac:dyDescent="0.25">
      <c r="A5" s="3" t="s">
        <v>65</v>
      </c>
      <c r="B5" s="3" t="s">
        <v>57</v>
      </c>
      <c r="C5"/>
      <c r="E5" s="3" t="str">
        <f t="shared" si="0"/>
        <v>Sim</v>
      </c>
    </row>
    <row r="6" spans="1:8" x14ac:dyDescent="0.25">
      <c r="A6" s="3" t="s">
        <v>65</v>
      </c>
      <c r="B6" s="3" t="s">
        <v>57</v>
      </c>
      <c r="C6"/>
      <c r="E6" s="3" t="str">
        <f t="shared" si="0"/>
        <v>Sim</v>
      </c>
    </row>
    <row r="7" spans="1:8" x14ac:dyDescent="0.25">
      <c r="A7" s="3" t="s">
        <v>65</v>
      </c>
      <c r="B7" s="3" t="s">
        <v>57</v>
      </c>
      <c r="C7"/>
      <c r="E7" s="3" t="str">
        <f t="shared" ref="E7:E17" si="1">IF(C7=D7, "Sim", "Não")</f>
        <v>Sim</v>
      </c>
      <c r="G7" s="6"/>
      <c r="H7" s="1"/>
    </row>
    <row r="8" spans="1:8" x14ac:dyDescent="0.25">
      <c r="A8" s="3" t="s">
        <v>65</v>
      </c>
      <c r="B8" s="3" t="s">
        <v>57</v>
      </c>
      <c r="C8"/>
      <c r="E8" s="3" t="str">
        <f t="shared" si="1"/>
        <v>Sim</v>
      </c>
      <c r="G8" s="7"/>
      <c r="H8" s="2"/>
    </row>
    <row r="9" spans="1:8" x14ac:dyDescent="0.25">
      <c r="A9" s="3" t="s">
        <v>65</v>
      </c>
      <c r="B9" s="3" t="s">
        <v>57</v>
      </c>
      <c r="C9"/>
      <c r="E9" s="3" t="str">
        <f t="shared" si="1"/>
        <v>Sim</v>
      </c>
      <c r="G9" s="7"/>
      <c r="H9" s="2"/>
    </row>
    <row r="10" spans="1:8" x14ac:dyDescent="0.25">
      <c r="A10" s="3" t="s">
        <v>65</v>
      </c>
      <c r="B10" s="3" t="s">
        <v>57</v>
      </c>
      <c r="C10"/>
      <c r="E10" s="3" t="str">
        <f t="shared" si="1"/>
        <v>Sim</v>
      </c>
      <c r="G10" s="7"/>
      <c r="H10" s="2"/>
    </row>
    <row r="11" spans="1:8" x14ac:dyDescent="0.25">
      <c r="A11" s="3" t="s">
        <v>65</v>
      </c>
      <c r="B11" s="3" t="s">
        <v>56</v>
      </c>
      <c r="C11"/>
      <c r="E11" s="3" t="str">
        <f t="shared" si="1"/>
        <v>Sim</v>
      </c>
      <c r="G11" s="7"/>
      <c r="H11" s="2"/>
    </row>
    <row r="12" spans="1:8" x14ac:dyDescent="0.25">
      <c r="A12" s="3" t="s">
        <v>65</v>
      </c>
      <c r="B12" s="3" t="s">
        <v>56</v>
      </c>
      <c r="C12"/>
      <c r="E12" s="3" t="str">
        <f t="shared" si="1"/>
        <v>Sim</v>
      </c>
      <c r="G12" s="7"/>
      <c r="H12" s="2"/>
    </row>
    <row r="13" spans="1:8" x14ac:dyDescent="0.25">
      <c r="A13" s="3" t="s">
        <v>65</v>
      </c>
      <c r="B13" s="3" t="s">
        <v>56</v>
      </c>
      <c r="C13"/>
      <c r="E13" s="3" t="str">
        <f t="shared" si="1"/>
        <v>Sim</v>
      </c>
      <c r="G13" s="7"/>
      <c r="H13" s="2"/>
    </row>
    <row r="14" spans="1:8" x14ac:dyDescent="0.25">
      <c r="A14" s="3" t="s">
        <v>65</v>
      </c>
      <c r="B14" s="3" t="s">
        <v>56</v>
      </c>
      <c r="C14"/>
      <c r="E14" s="3" t="str">
        <f t="shared" ref="E14:E15" si="2">IF(C14=D14, "Sim", "Não")</f>
        <v>Sim</v>
      </c>
      <c r="G14" s="7"/>
      <c r="H14" s="2"/>
    </row>
    <row r="15" spans="1:8" x14ac:dyDescent="0.25">
      <c r="A15" s="3" t="s">
        <v>65</v>
      </c>
      <c r="B15" s="3" t="s">
        <v>56</v>
      </c>
      <c r="C15"/>
      <c r="E15" s="3" t="str">
        <f t="shared" si="2"/>
        <v>Sim</v>
      </c>
      <c r="G15" s="7"/>
      <c r="H15" s="2"/>
    </row>
    <row r="16" spans="1:8" x14ac:dyDescent="0.25">
      <c r="A16" s="3" t="s">
        <v>65</v>
      </c>
      <c r="B16" s="3" t="s">
        <v>56</v>
      </c>
      <c r="C16"/>
      <c r="E16" s="3" t="str">
        <f t="shared" si="1"/>
        <v>Sim</v>
      </c>
      <c r="G16" s="7"/>
      <c r="H16" s="2"/>
    </row>
    <row r="17" spans="1:8" x14ac:dyDescent="0.25">
      <c r="A17" s="3" t="s">
        <v>65</v>
      </c>
      <c r="B17" s="3" t="s">
        <v>62</v>
      </c>
      <c r="C17"/>
      <c r="E17" s="3" t="str">
        <f t="shared" si="1"/>
        <v>Sim</v>
      </c>
      <c r="G17" s="7"/>
      <c r="H17" s="2"/>
    </row>
    <row r="18" spans="1:8" x14ac:dyDescent="0.25">
      <c r="A18" s="3" t="s">
        <v>65</v>
      </c>
      <c r="B18" s="3" t="s">
        <v>62</v>
      </c>
      <c r="C18"/>
      <c r="E18" s="3" t="str">
        <f t="shared" si="0"/>
        <v>Sim</v>
      </c>
      <c r="G18" s="6"/>
      <c r="H18" s="1"/>
    </row>
    <row r="19" spans="1:8" x14ac:dyDescent="0.25">
      <c r="A19" s="3" t="s">
        <v>51</v>
      </c>
      <c r="B19" s="3" t="s">
        <v>57</v>
      </c>
      <c r="C19"/>
      <c r="E19" s="3" t="str">
        <f t="shared" si="0"/>
        <v>Sim</v>
      </c>
      <c r="G19" s="7"/>
      <c r="H19" s="2"/>
    </row>
    <row r="20" spans="1:8" x14ac:dyDescent="0.25">
      <c r="A20" s="3" t="s">
        <v>51</v>
      </c>
      <c r="B20" s="3" t="s">
        <v>57</v>
      </c>
      <c r="C20"/>
      <c r="E20" s="3" t="str">
        <f t="shared" si="0"/>
        <v>Sim</v>
      </c>
      <c r="G20" s="7"/>
      <c r="H20" s="2"/>
    </row>
    <row r="21" spans="1:8" x14ac:dyDescent="0.25">
      <c r="A21" s="3" t="s">
        <v>51</v>
      </c>
      <c r="B21" s="3" t="s">
        <v>57</v>
      </c>
      <c r="C21"/>
      <c r="E21" s="3" t="str">
        <f t="shared" si="0"/>
        <v>Sim</v>
      </c>
      <c r="G21" s="7"/>
      <c r="H21" s="2"/>
    </row>
    <row r="22" spans="1:8" x14ac:dyDescent="0.25">
      <c r="A22" s="3" t="s">
        <v>51</v>
      </c>
      <c r="B22" s="3" t="s">
        <v>57</v>
      </c>
      <c r="C22"/>
      <c r="E22" s="3" t="str">
        <f t="shared" si="0"/>
        <v>Sim</v>
      </c>
      <c r="G22" s="7"/>
      <c r="H22" s="2"/>
    </row>
    <row r="23" spans="1:8" x14ac:dyDescent="0.25">
      <c r="A23" s="3" t="s">
        <v>51</v>
      </c>
      <c r="B23" s="3" t="s">
        <v>57</v>
      </c>
      <c r="C23"/>
      <c r="E23" s="3" t="str">
        <f t="shared" si="0"/>
        <v>Sim</v>
      </c>
      <c r="G23" s="7"/>
      <c r="H23" s="2"/>
    </row>
    <row r="24" spans="1:8" x14ac:dyDescent="0.25">
      <c r="A24" s="3" t="s">
        <v>51</v>
      </c>
      <c r="B24" s="3" t="s">
        <v>57</v>
      </c>
      <c r="C24"/>
      <c r="E24" s="3" t="str">
        <f t="shared" si="0"/>
        <v>Sim</v>
      </c>
      <c r="G24" s="7"/>
      <c r="H24" s="2"/>
    </row>
    <row r="25" spans="1:8" x14ac:dyDescent="0.25">
      <c r="A25" s="3" t="s">
        <v>51</v>
      </c>
      <c r="B25" s="3" t="s">
        <v>57</v>
      </c>
      <c r="C25"/>
      <c r="E25" s="3" t="str">
        <f t="shared" si="0"/>
        <v>Sim</v>
      </c>
      <c r="G25" s="7"/>
      <c r="H25" s="2"/>
    </row>
    <row r="26" spans="1:8" x14ac:dyDescent="0.25">
      <c r="A26" s="3" t="s">
        <v>51</v>
      </c>
      <c r="B26" s="3" t="s">
        <v>57</v>
      </c>
      <c r="C26"/>
      <c r="E26" s="3" t="str">
        <f t="shared" si="0"/>
        <v>Sim</v>
      </c>
      <c r="G26" s="7"/>
      <c r="H26" s="2"/>
    </row>
    <row r="27" spans="1:8" x14ac:dyDescent="0.25">
      <c r="A27" s="3" t="s">
        <v>51</v>
      </c>
      <c r="B27" s="3" t="s">
        <v>57</v>
      </c>
      <c r="C27"/>
      <c r="E27" s="3" t="str">
        <f t="shared" si="0"/>
        <v>Sim</v>
      </c>
      <c r="G27" s="4"/>
      <c r="H27" s="2"/>
    </row>
    <row r="28" spans="1:8" x14ac:dyDescent="0.25">
      <c r="A28" s="3" t="s">
        <v>51</v>
      </c>
      <c r="B28" s="3" t="s">
        <v>57</v>
      </c>
      <c r="C28"/>
      <c r="E28" s="3" t="str">
        <f t="shared" si="0"/>
        <v>Sim</v>
      </c>
      <c r="G28" s="4"/>
      <c r="H28" s="2"/>
    </row>
    <row r="29" spans="1:8" x14ac:dyDescent="0.25">
      <c r="A29" s="3" t="s">
        <v>51</v>
      </c>
      <c r="B29" s="3" t="s">
        <v>57</v>
      </c>
      <c r="C29"/>
      <c r="E29" s="3" t="str">
        <f t="shared" si="0"/>
        <v>Sim</v>
      </c>
    </row>
    <row r="30" spans="1:8" x14ac:dyDescent="0.25">
      <c r="A30" s="3" t="s">
        <v>51</v>
      </c>
      <c r="B30" s="3" t="s">
        <v>57</v>
      </c>
      <c r="C30"/>
      <c r="E30" s="3" t="str">
        <f t="shared" si="0"/>
        <v>Sim</v>
      </c>
    </row>
    <row r="31" spans="1:8" x14ac:dyDescent="0.25">
      <c r="A31" s="3" t="s">
        <v>51</v>
      </c>
      <c r="B31" s="3" t="s">
        <v>57</v>
      </c>
      <c r="C31"/>
      <c r="E31" s="3" t="str">
        <f t="shared" si="0"/>
        <v>Sim</v>
      </c>
    </row>
    <row r="32" spans="1:8" x14ac:dyDescent="0.25">
      <c r="A32" s="3" t="s">
        <v>51</v>
      </c>
      <c r="B32" s="3" t="s">
        <v>57</v>
      </c>
      <c r="C32"/>
      <c r="E32" s="3" t="str">
        <f t="shared" si="0"/>
        <v>Sim</v>
      </c>
    </row>
    <row r="33" spans="1:5" x14ac:dyDescent="0.25">
      <c r="A33" s="3" t="s">
        <v>51</v>
      </c>
      <c r="B33" s="3" t="s">
        <v>56</v>
      </c>
      <c r="C33"/>
      <c r="E33" s="3" t="str">
        <f t="shared" si="0"/>
        <v>Sim</v>
      </c>
    </row>
    <row r="34" spans="1:5" x14ac:dyDescent="0.25">
      <c r="A34" s="3" t="s">
        <v>51</v>
      </c>
      <c r="B34" s="3" t="s">
        <v>56</v>
      </c>
      <c r="C34"/>
      <c r="E34" s="3" t="str">
        <f t="shared" si="0"/>
        <v>Sim</v>
      </c>
    </row>
    <row r="35" spans="1:5" x14ac:dyDescent="0.25">
      <c r="A35" s="3" t="s">
        <v>51</v>
      </c>
      <c r="B35" s="3" t="s">
        <v>56</v>
      </c>
      <c r="C35"/>
      <c r="E35" s="3" t="str">
        <f t="shared" si="0"/>
        <v>Sim</v>
      </c>
    </row>
    <row r="36" spans="1:5" x14ac:dyDescent="0.25">
      <c r="A36" s="3" t="s">
        <v>51</v>
      </c>
      <c r="B36" s="3" t="s">
        <v>56</v>
      </c>
      <c r="C36"/>
      <c r="E36" s="3" t="str">
        <f t="shared" si="0"/>
        <v>Sim</v>
      </c>
    </row>
    <row r="37" spans="1:5" x14ac:dyDescent="0.25">
      <c r="A37" s="3" t="s">
        <v>51</v>
      </c>
      <c r="B37" s="3" t="s">
        <v>56</v>
      </c>
      <c r="C37"/>
      <c r="E37" s="3" t="str">
        <f t="shared" si="0"/>
        <v>Sim</v>
      </c>
    </row>
    <row r="38" spans="1:5" x14ac:dyDescent="0.25">
      <c r="A38" s="3" t="s">
        <v>51</v>
      </c>
      <c r="B38" s="3" t="s">
        <v>56</v>
      </c>
      <c r="C38"/>
      <c r="E38" s="3" t="str">
        <f t="shared" si="0"/>
        <v>Sim</v>
      </c>
    </row>
    <row r="39" spans="1:5" x14ac:dyDescent="0.25">
      <c r="A39" s="3" t="s">
        <v>51</v>
      </c>
      <c r="B39" s="3" t="s">
        <v>56</v>
      </c>
      <c r="C39"/>
      <c r="E39" s="3" t="str">
        <f t="shared" si="0"/>
        <v>Sim</v>
      </c>
    </row>
    <row r="40" spans="1:5" x14ac:dyDescent="0.25">
      <c r="A40" s="3" t="s">
        <v>51</v>
      </c>
      <c r="B40" s="3" t="s">
        <v>56</v>
      </c>
      <c r="C40"/>
      <c r="E40" s="3" t="str">
        <f t="shared" si="0"/>
        <v>Sim</v>
      </c>
    </row>
    <row r="41" spans="1:5" x14ac:dyDescent="0.25">
      <c r="A41" s="3" t="s">
        <v>51</v>
      </c>
      <c r="B41" s="3" t="s">
        <v>56</v>
      </c>
      <c r="C41"/>
      <c r="E41" s="3" t="str">
        <f t="shared" si="0"/>
        <v>Sim</v>
      </c>
    </row>
    <row r="42" spans="1:5" x14ac:dyDescent="0.25">
      <c r="A42" s="3" t="s">
        <v>51</v>
      </c>
      <c r="B42" s="3" t="s">
        <v>56</v>
      </c>
      <c r="C42"/>
      <c r="E42" s="3" t="str">
        <f t="shared" si="0"/>
        <v>Sim</v>
      </c>
    </row>
    <row r="43" spans="1:5" x14ac:dyDescent="0.25">
      <c r="A43" s="3" t="s">
        <v>51</v>
      </c>
      <c r="B43" s="3" t="s">
        <v>56</v>
      </c>
      <c r="C43"/>
      <c r="E43" s="3" t="str">
        <f t="shared" si="0"/>
        <v>Sim</v>
      </c>
    </row>
    <row r="44" spans="1:5" x14ac:dyDescent="0.25">
      <c r="A44" s="3" t="s">
        <v>51</v>
      </c>
      <c r="B44" s="3" t="s">
        <v>56</v>
      </c>
      <c r="C44"/>
      <c r="E44" s="3" t="str">
        <f t="shared" si="0"/>
        <v>Sim</v>
      </c>
    </row>
    <row r="45" spans="1:5" x14ac:dyDescent="0.25">
      <c r="A45" s="3" t="s">
        <v>51</v>
      </c>
      <c r="B45" s="3" t="s">
        <v>56</v>
      </c>
      <c r="C45"/>
      <c r="E45" s="3" t="str">
        <f t="shared" si="0"/>
        <v>Sim</v>
      </c>
    </row>
    <row r="46" spans="1:5" x14ac:dyDescent="0.25">
      <c r="A46" s="3" t="s">
        <v>51</v>
      </c>
      <c r="B46" s="3" t="s">
        <v>56</v>
      </c>
      <c r="C46"/>
      <c r="E46" s="3" t="str">
        <f t="shared" si="0"/>
        <v>Sim</v>
      </c>
    </row>
    <row r="47" spans="1:5" x14ac:dyDescent="0.25">
      <c r="A47" s="3" t="s">
        <v>51</v>
      </c>
      <c r="B47" s="3" t="s">
        <v>56</v>
      </c>
      <c r="C47"/>
      <c r="E47" s="3" t="str">
        <f t="shared" si="0"/>
        <v>Sim</v>
      </c>
    </row>
    <row r="48" spans="1:5" x14ac:dyDescent="0.25">
      <c r="A48" s="3" t="s">
        <v>51</v>
      </c>
      <c r="B48" s="3" t="s">
        <v>56</v>
      </c>
      <c r="C48"/>
      <c r="E48" s="3" t="str">
        <f t="shared" si="0"/>
        <v>Sim</v>
      </c>
    </row>
    <row r="49" spans="1:5" x14ac:dyDescent="0.25">
      <c r="A49" s="3" t="s">
        <v>51</v>
      </c>
      <c r="B49" s="3" t="s">
        <v>62</v>
      </c>
      <c r="C49"/>
      <c r="E49" s="3" t="str">
        <f t="shared" si="0"/>
        <v>Sim</v>
      </c>
    </row>
    <row r="50" spans="1:5" x14ac:dyDescent="0.25">
      <c r="A50" s="3" t="s">
        <v>51</v>
      </c>
      <c r="B50" s="3" t="s">
        <v>62</v>
      </c>
      <c r="C50"/>
      <c r="E50" s="3" t="str">
        <f t="shared" si="0"/>
        <v>Sim</v>
      </c>
    </row>
    <row r="51" spans="1:5" x14ac:dyDescent="0.25">
      <c r="A51" s="3" t="s">
        <v>51</v>
      </c>
      <c r="B51" s="3" t="s">
        <v>62</v>
      </c>
      <c r="C51"/>
      <c r="E51" s="3" t="str">
        <f t="shared" si="0"/>
        <v>Sim</v>
      </c>
    </row>
    <row r="52" spans="1:5" x14ac:dyDescent="0.25">
      <c r="A52" s="3" t="s">
        <v>51</v>
      </c>
      <c r="B52" s="3" t="s">
        <v>62</v>
      </c>
      <c r="C52"/>
      <c r="E52" s="3" t="str">
        <f t="shared" si="0"/>
        <v>Sim</v>
      </c>
    </row>
    <row r="53" spans="1:5" x14ac:dyDescent="0.25">
      <c r="A53" s="3" t="s">
        <v>51</v>
      </c>
      <c r="B53" s="3" t="s">
        <v>62</v>
      </c>
      <c r="C53"/>
      <c r="E53" s="3" t="str">
        <f t="shared" si="0"/>
        <v>Sim</v>
      </c>
    </row>
    <row r="54" spans="1:5" x14ac:dyDescent="0.25">
      <c r="A54" s="3" t="s">
        <v>51</v>
      </c>
      <c r="B54" s="3" t="s">
        <v>62</v>
      </c>
      <c r="C54"/>
      <c r="E54" s="3" t="str">
        <f t="shared" si="0"/>
        <v>Sim</v>
      </c>
    </row>
    <row r="55" spans="1:5" x14ac:dyDescent="0.25">
      <c r="A55" s="3" t="s">
        <v>61</v>
      </c>
      <c r="B55" s="3" t="s">
        <v>67</v>
      </c>
      <c r="C55"/>
      <c r="E55" s="3" t="str">
        <f t="shared" si="0"/>
        <v>Sim</v>
      </c>
    </row>
    <row r="56" spans="1:5" x14ac:dyDescent="0.25">
      <c r="A56" s="3" t="s">
        <v>61</v>
      </c>
      <c r="B56" s="3" t="s">
        <v>67</v>
      </c>
      <c r="C56"/>
      <c r="E56" s="3" t="str">
        <f t="shared" si="0"/>
        <v>Sim</v>
      </c>
    </row>
    <row r="57" spans="1:5" x14ac:dyDescent="0.25">
      <c r="A57" s="3" t="s">
        <v>61</v>
      </c>
      <c r="B57" s="3" t="s">
        <v>67</v>
      </c>
      <c r="C57"/>
      <c r="E57" s="3" t="str">
        <f t="shared" si="0"/>
        <v>Sim</v>
      </c>
    </row>
    <row r="58" spans="1:5" x14ac:dyDescent="0.25">
      <c r="A58" s="3" t="s">
        <v>61</v>
      </c>
      <c r="B58" s="3" t="s">
        <v>67</v>
      </c>
      <c r="C58"/>
      <c r="E58" s="3" t="str">
        <f t="shared" si="0"/>
        <v>Sim</v>
      </c>
    </row>
    <row r="59" spans="1:5" x14ac:dyDescent="0.25">
      <c r="A59" s="3" t="s">
        <v>61</v>
      </c>
      <c r="B59" s="3" t="s">
        <v>67</v>
      </c>
      <c r="C59"/>
      <c r="E59" s="3" t="str">
        <f t="shared" si="0"/>
        <v>Sim</v>
      </c>
    </row>
    <row r="60" spans="1:5" x14ac:dyDescent="0.25">
      <c r="A60" s="3" t="s">
        <v>61</v>
      </c>
      <c r="B60" s="3" t="s">
        <v>67</v>
      </c>
      <c r="C60"/>
      <c r="E60" s="3" t="str">
        <f t="shared" si="0"/>
        <v>Sim</v>
      </c>
    </row>
    <row r="61" spans="1:5" x14ac:dyDescent="0.25">
      <c r="A61" s="3" t="s">
        <v>61</v>
      </c>
      <c r="B61" s="3" t="s">
        <v>67</v>
      </c>
      <c r="C61"/>
      <c r="E61" s="3" t="str">
        <f t="shared" si="0"/>
        <v>Sim</v>
      </c>
    </row>
    <row r="62" spans="1:5" x14ac:dyDescent="0.25">
      <c r="A62" s="3" t="s">
        <v>61</v>
      </c>
      <c r="B62" s="3" t="s">
        <v>67</v>
      </c>
      <c r="C62"/>
      <c r="E62" s="3" t="str">
        <f t="shared" si="0"/>
        <v>Sim</v>
      </c>
    </row>
    <row r="63" spans="1:5" x14ac:dyDescent="0.25">
      <c r="A63" s="3" t="s">
        <v>0</v>
      </c>
      <c r="B63" s="3" t="s">
        <v>67</v>
      </c>
      <c r="C63"/>
      <c r="E63" s="3" t="str">
        <f t="shared" si="0"/>
        <v>Sim</v>
      </c>
    </row>
    <row r="64" spans="1:5" x14ac:dyDescent="0.25">
      <c r="A64" s="3" t="s">
        <v>0</v>
      </c>
      <c r="B64" s="3" t="s">
        <v>67</v>
      </c>
      <c r="C64"/>
      <c r="E64" s="3" t="str">
        <f t="shared" si="0"/>
        <v>Sim</v>
      </c>
    </row>
    <row r="65" spans="1:5" x14ac:dyDescent="0.25">
      <c r="A65" s="3" t="s">
        <v>47</v>
      </c>
      <c r="B65" s="3" t="s">
        <v>67</v>
      </c>
      <c r="C65"/>
      <c r="E65" s="3" t="str">
        <f t="shared" si="0"/>
        <v>Sim</v>
      </c>
    </row>
    <row r="66" spans="1:5" x14ac:dyDescent="0.25">
      <c r="A66" s="3" t="s">
        <v>47</v>
      </c>
      <c r="B66" s="3" t="s">
        <v>67</v>
      </c>
      <c r="C66"/>
      <c r="E66" s="3" t="str">
        <f t="shared" si="0"/>
        <v>Sim</v>
      </c>
    </row>
    <row r="67" spans="1:5" x14ac:dyDescent="0.25">
      <c r="C67"/>
    </row>
    <row r="68" spans="1:5" x14ac:dyDescent="0.25">
      <c r="C68"/>
    </row>
    <row r="69" spans="1:5" x14ac:dyDescent="0.25">
      <c r="C69"/>
    </row>
    <row r="70" spans="1:5" x14ac:dyDescent="0.25">
      <c r="C70"/>
    </row>
    <row r="71" spans="1:5" x14ac:dyDescent="0.25">
      <c r="C71"/>
    </row>
    <row r="72" spans="1:5" x14ac:dyDescent="0.25">
      <c r="C72"/>
    </row>
    <row r="73" spans="1:5" x14ac:dyDescent="0.25">
      <c r="C73"/>
    </row>
    <row r="74" spans="1:5" x14ac:dyDescent="0.25">
      <c r="C74"/>
    </row>
    <row r="75" spans="1:5" x14ac:dyDescent="0.25">
      <c r="C75"/>
    </row>
    <row r="76" spans="1:5" x14ac:dyDescent="0.25">
      <c r="C76"/>
    </row>
    <row r="77" spans="1:5" x14ac:dyDescent="0.25">
      <c r="C77"/>
    </row>
    <row r="78" spans="1:5" x14ac:dyDescent="0.25">
      <c r="C78"/>
    </row>
    <row r="79" spans="1:5" x14ac:dyDescent="0.25">
      <c r="C79"/>
    </row>
    <row r="80" spans="1:5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CA28-F28E-4464-ADF5-1706D6F0C124}">
  <dimension ref="A1:H112"/>
  <sheetViews>
    <sheetView topLeftCell="A21" workbookViewId="0">
      <selection activeCell="B52" sqref="B52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18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27</v>
      </c>
      <c r="C3"/>
      <c r="E3" s="3" t="str">
        <f>IF(C3=D3, "Sim", "Não")</f>
        <v>Sim</v>
      </c>
      <c r="G3" s="4" t="s">
        <v>4</v>
      </c>
      <c r="H3" s="3">
        <f>COUNTIF(E3:E117,"Não")</f>
        <v>0</v>
      </c>
    </row>
    <row r="4" spans="1:8" x14ac:dyDescent="0.25">
      <c r="A4" s="3" t="s">
        <v>65</v>
      </c>
      <c r="B4" s="3" t="s">
        <v>27</v>
      </c>
      <c r="C4"/>
      <c r="E4" s="3" t="str">
        <f t="shared" ref="E4:E66" si="0">IF(C4=D4, "Sim", "Não")</f>
        <v>Sim</v>
      </c>
      <c r="G4" s="4" t="s">
        <v>5</v>
      </c>
      <c r="H4" s="3">
        <f>SUM(H19:H37)</f>
        <v>0</v>
      </c>
    </row>
    <row r="5" spans="1:8" x14ac:dyDescent="0.25">
      <c r="A5" s="3" t="s">
        <v>65</v>
      </c>
      <c r="B5" s="3" t="s">
        <v>27</v>
      </c>
      <c r="C5"/>
      <c r="E5" s="3" t="str">
        <f t="shared" si="0"/>
        <v>Sim</v>
      </c>
    </row>
    <row r="6" spans="1:8" x14ac:dyDescent="0.25">
      <c r="A6" s="3" t="s">
        <v>65</v>
      </c>
      <c r="B6" s="3" t="s">
        <v>27</v>
      </c>
      <c r="C6"/>
      <c r="E6" s="3" t="str">
        <f t="shared" si="0"/>
        <v>Sim</v>
      </c>
    </row>
    <row r="7" spans="1:8" x14ac:dyDescent="0.25">
      <c r="A7" s="3" t="s">
        <v>65</v>
      </c>
      <c r="B7" s="3" t="s">
        <v>27</v>
      </c>
      <c r="C7"/>
      <c r="E7" s="3" t="str">
        <f t="shared" ref="E7:E17" si="1">IF(C7=D7, "Sim", "Não")</f>
        <v>Sim</v>
      </c>
      <c r="G7" s="6"/>
      <c r="H7" s="1"/>
    </row>
    <row r="8" spans="1:8" x14ac:dyDescent="0.25">
      <c r="A8" s="3" t="s">
        <v>65</v>
      </c>
      <c r="B8" s="3" t="s">
        <v>27</v>
      </c>
      <c r="C8"/>
      <c r="E8" s="3" t="str">
        <f t="shared" si="1"/>
        <v>Sim</v>
      </c>
      <c r="G8" s="7"/>
      <c r="H8" s="2"/>
    </row>
    <row r="9" spans="1:8" x14ac:dyDescent="0.25">
      <c r="A9" s="3" t="s">
        <v>65</v>
      </c>
      <c r="B9" s="3" t="s">
        <v>27</v>
      </c>
      <c r="C9"/>
      <c r="E9" s="3" t="str">
        <f t="shared" si="1"/>
        <v>Sim</v>
      </c>
      <c r="G9" s="7"/>
      <c r="H9" s="2"/>
    </row>
    <row r="10" spans="1:8" x14ac:dyDescent="0.25">
      <c r="A10" s="3" t="s">
        <v>65</v>
      </c>
      <c r="B10" s="3" t="s">
        <v>27</v>
      </c>
      <c r="C10"/>
      <c r="E10" s="3" t="str">
        <f t="shared" si="1"/>
        <v>Sim</v>
      </c>
      <c r="G10" s="7"/>
      <c r="H10" s="2"/>
    </row>
    <row r="11" spans="1:8" x14ac:dyDescent="0.25">
      <c r="A11" s="3" t="s">
        <v>65</v>
      </c>
      <c r="B11" s="3" t="s">
        <v>62</v>
      </c>
      <c r="C11"/>
      <c r="E11" s="3" t="str">
        <f t="shared" si="1"/>
        <v>Sim</v>
      </c>
      <c r="G11" s="7"/>
      <c r="H11" s="2"/>
    </row>
    <row r="12" spans="1:8" x14ac:dyDescent="0.25">
      <c r="A12" s="3" t="s">
        <v>65</v>
      </c>
      <c r="B12" s="3" t="s">
        <v>62</v>
      </c>
      <c r="C12"/>
      <c r="E12" s="3" t="str">
        <f t="shared" si="1"/>
        <v>Sim</v>
      </c>
      <c r="G12" s="7"/>
      <c r="H12" s="2"/>
    </row>
    <row r="13" spans="1:8" x14ac:dyDescent="0.25">
      <c r="A13" s="3" t="s">
        <v>65</v>
      </c>
      <c r="B13" s="3" t="s">
        <v>62</v>
      </c>
      <c r="C13"/>
      <c r="E13" s="3" t="str">
        <f t="shared" si="1"/>
        <v>Sim</v>
      </c>
      <c r="G13" s="7"/>
      <c r="H13" s="2"/>
    </row>
    <row r="14" spans="1:8" x14ac:dyDescent="0.25">
      <c r="A14" s="3" t="s">
        <v>65</v>
      </c>
      <c r="B14" s="3" t="s">
        <v>62</v>
      </c>
      <c r="C14"/>
      <c r="E14" s="3" t="str">
        <f t="shared" ref="E14:E15" si="2">IF(C14=D14, "Sim", "Não")</f>
        <v>Sim</v>
      </c>
      <c r="G14" s="7"/>
      <c r="H14" s="2"/>
    </row>
    <row r="15" spans="1:8" x14ac:dyDescent="0.25">
      <c r="A15" s="3" t="s">
        <v>65</v>
      </c>
      <c r="B15" s="3" t="s">
        <v>62</v>
      </c>
      <c r="C15"/>
      <c r="E15" s="3" t="str">
        <f t="shared" si="2"/>
        <v>Sim</v>
      </c>
      <c r="G15" s="7"/>
      <c r="H15" s="2"/>
    </row>
    <row r="16" spans="1:8" x14ac:dyDescent="0.25">
      <c r="A16" s="3" t="s">
        <v>65</v>
      </c>
      <c r="B16" s="3" t="s">
        <v>62</v>
      </c>
      <c r="C16"/>
      <c r="E16" s="3" t="str">
        <f t="shared" si="1"/>
        <v>Sim</v>
      </c>
      <c r="G16" s="7"/>
      <c r="H16" s="2"/>
    </row>
    <row r="17" spans="1:8" x14ac:dyDescent="0.25">
      <c r="A17" s="3" t="s">
        <v>65</v>
      </c>
      <c r="B17" s="3" t="s">
        <v>63</v>
      </c>
      <c r="C17"/>
      <c r="E17" s="3" t="str">
        <f t="shared" si="1"/>
        <v>Sim</v>
      </c>
      <c r="G17" s="7"/>
      <c r="H17" s="2"/>
    </row>
    <row r="18" spans="1:8" x14ac:dyDescent="0.25">
      <c r="A18" s="3" t="s">
        <v>65</v>
      </c>
      <c r="B18" s="3" t="s">
        <v>63</v>
      </c>
      <c r="C18"/>
      <c r="E18" s="3" t="str">
        <f t="shared" si="0"/>
        <v>Sim</v>
      </c>
      <c r="G18" s="6"/>
      <c r="H18" s="1"/>
    </row>
    <row r="19" spans="1:8" x14ac:dyDescent="0.25">
      <c r="A19" s="3" t="s">
        <v>51</v>
      </c>
      <c r="B19" s="3" t="s">
        <v>27</v>
      </c>
      <c r="C19"/>
      <c r="E19" s="3" t="str">
        <f t="shared" si="0"/>
        <v>Sim</v>
      </c>
      <c r="G19" s="7"/>
      <c r="H19" s="2"/>
    </row>
    <row r="20" spans="1:8" x14ac:dyDescent="0.25">
      <c r="A20" s="3" t="s">
        <v>51</v>
      </c>
      <c r="B20" s="3" t="s">
        <v>27</v>
      </c>
      <c r="C20"/>
      <c r="E20" s="3" t="str">
        <f t="shared" si="0"/>
        <v>Sim</v>
      </c>
      <c r="G20" s="7"/>
      <c r="H20" s="2"/>
    </row>
    <row r="21" spans="1:8" x14ac:dyDescent="0.25">
      <c r="A21" s="3" t="s">
        <v>51</v>
      </c>
      <c r="B21" s="3" t="s">
        <v>27</v>
      </c>
      <c r="C21"/>
      <c r="E21" s="3" t="str">
        <f t="shared" si="0"/>
        <v>Sim</v>
      </c>
      <c r="G21" s="7"/>
      <c r="H21" s="2"/>
    </row>
    <row r="22" spans="1:8" x14ac:dyDescent="0.25">
      <c r="A22" s="3" t="s">
        <v>51</v>
      </c>
      <c r="B22" s="3" t="s">
        <v>27</v>
      </c>
      <c r="C22"/>
      <c r="E22" s="3" t="str">
        <f t="shared" si="0"/>
        <v>Sim</v>
      </c>
      <c r="G22" s="7"/>
      <c r="H22" s="2"/>
    </row>
    <row r="23" spans="1:8" x14ac:dyDescent="0.25">
      <c r="A23" s="3" t="s">
        <v>51</v>
      </c>
      <c r="B23" s="3" t="s">
        <v>27</v>
      </c>
      <c r="C23"/>
      <c r="E23" s="3" t="str">
        <f t="shared" si="0"/>
        <v>Sim</v>
      </c>
      <c r="G23" s="7"/>
      <c r="H23" s="2"/>
    </row>
    <row r="24" spans="1:8" x14ac:dyDescent="0.25">
      <c r="A24" s="3" t="s">
        <v>51</v>
      </c>
      <c r="B24" s="3" t="s">
        <v>27</v>
      </c>
      <c r="C24"/>
      <c r="E24" s="3" t="str">
        <f t="shared" si="0"/>
        <v>Sim</v>
      </c>
      <c r="G24" s="7"/>
      <c r="H24" s="2"/>
    </row>
    <row r="25" spans="1:8" x14ac:dyDescent="0.25">
      <c r="A25" s="3" t="s">
        <v>51</v>
      </c>
      <c r="B25" s="3" t="s">
        <v>27</v>
      </c>
      <c r="C25"/>
      <c r="E25" s="3" t="str">
        <f t="shared" si="0"/>
        <v>Sim</v>
      </c>
      <c r="G25" s="7"/>
      <c r="H25" s="2"/>
    </row>
    <row r="26" spans="1:8" x14ac:dyDescent="0.25">
      <c r="A26" s="3" t="s">
        <v>51</v>
      </c>
      <c r="B26" s="3" t="s">
        <v>27</v>
      </c>
      <c r="C26"/>
      <c r="E26" s="3" t="str">
        <f t="shared" si="0"/>
        <v>Sim</v>
      </c>
      <c r="G26" s="7"/>
      <c r="H26" s="2"/>
    </row>
    <row r="27" spans="1:8" x14ac:dyDescent="0.25">
      <c r="A27" s="3" t="s">
        <v>51</v>
      </c>
      <c r="B27" s="3" t="s">
        <v>27</v>
      </c>
      <c r="C27"/>
      <c r="E27" s="3" t="str">
        <f t="shared" si="0"/>
        <v>Sim</v>
      </c>
      <c r="G27" s="4"/>
      <c r="H27" s="2"/>
    </row>
    <row r="28" spans="1:8" x14ac:dyDescent="0.25">
      <c r="A28" s="3" t="s">
        <v>51</v>
      </c>
      <c r="B28" s="3" t="s">
        <v>27</v>
      </c>
      <c r="C28"/>
      <c r="E28" s="3" t="str">
        <f t="shared" si="0"/>
        <v>Sim</v>
      </c>
      <c r="G28" s="4"/>
      <c r="H28" s="2"/>
    </row>
    <row r="29" spans="1:8" x14ac:dyDescent="0.25">
      <c r="A29" s="3" t="s">
        <v>51</v>
      </c>
      <c r="B29" s="3" t="s">
        <v>27</v>
      </c>
      <c r="C29"/>
      <c r="E29" s="3" t="str">
        <f t="shared" si="0"/>
        <v>Sim</v>
      </c>
    </row>
    <row r="30" spans="1:8" x14ac:dyDescent="0.25">
      <c r="A30" s="3" t="s">
        <v>51</v>
      </c>
      <c r="B30" s="3" t="s">
        <v>27</v>
      </c>
      <c r="C30"/>
      <c r="E30" s="3" t="str">
        <f t="shared" si="0"/>
        <v>Sim</v>
      </c>
    </row>
    <row r="31" spans="1:8" x14ac:dyDescent="0.25">
      <c r="A31" s="3" t="s">
        <v>51</v>
      </c>
      <c r="B31" s="3" t="s">
        <v>27</v>
      </c>
      <c r="C31"/>
      <c r="E31" s="3" t="str">
        <f t="shared" si="0"/>
        <v>Sim</v>
      </c>
    </row>
    <row r="32" spans="1:8" x14ac:dyDescent="0.25">
      <c r="A32" s="3" t="s">
        <v>51</v>
      </c>
      <c r="B32" s="3" t="s">
        <v>27</v>
      </c>
      <c r="C32"/>
      <c r="E32" s="3" t="str">
        <f t="shared" si="0"/>
        <v>Sim</v>
      </c>
    </row>
    <row r="33" spans="1:5" x14ac:dyDescent="0.25">
      <c r="A33" s="3" t="s">
        <v>51</v>
      </c>
      <c r="B33" s="3" t="s">
        <v>62</v>
      </c>
      <c r="C33"/>
      <c r="E33" s="3" t="str">
        <f t="shared" si="0"/>
        <v>Sim</v>
      </c>
    </row>
    <row r="34" spans="1:5" x14ac:dyDescent="0.25">
      <c r="A34" s="3" t="s">
        <v>51</v>
      </c>
      <c r="B34" s="3" t="s">
        <v>62</v>
      </c>
      <c r="C34"/>
      <c r="E34" s="3" t="str">
        <f t="shared" si="0"/>
        <v>Sim</v>
      </c>
    </row>
    <row r="35" spans="1:5" x14ac:dyDescent="0.25">
      <c r="A35" s="3" t="s">
        <v>51</v>
      </c>
      <c r="B35" s="3" t="s">
        <v>62</v>
      </c>
      <c r="C35"/>
      <c r="E35" s="3" t="str">
        <f t="shared" si="0"/>
        <v>Sim</v>
      </c>
    </row>
    <row r="36" spans="1:5" x14ac:dyDescent="0.25">
      <c r="A36" s="3" t="s">
        <v>51</v>
      </c>
      <c r="B36" s="3" t="s">
        <v>62</v>
      </c>
      <c r="C36"/>
      <c r="E36" s="3" t="str">
        <f t="shared" si="0"/>
        <v>Sim</v>
      </c>
    </row>
    <row r="37" spans="1:5" x14ac:dyDescent="0.25">
      <c r="A37" s="3" t="s">
        <v>51</v>
      </c>
      <c r="B37" s="3" t="s">
        <v>62</v>
      </c>
      <c r="C37"/>
      <c r="E37" s="3" t="str">
        <f t="shared" si="0"/>
        <v>Sim</v>
      </c>
    </row>
    <row r="38" spans="1:5" x14ac:dyDescent="0.25">
      <c r="A38" s="3" t="s">
        <v>51</v>
      </c>
      <c r="B38" s="3" t="s">
        <v>62</v>
      </c>
      <c r="C38"/>
      <c r="E38" s="3" t="str">
        <f t="shared" si="0"/>
        <v>Sim</v>
      </c>
    </row>
    <row r="39" spans="1:5" x14ac:dyDescent="0.25">
      <c r="A39" s="3" t="s">
        <v>51</v>
      </c>
      <c r="B39" s="3" t="s">
        <v>62</v>
      </c>
      <c r="C39"/>
      <c r="E39" s="3" t="str">
        <f t="shared" si="0"/>
        <v>Sim</v>
      </c>
    </row>
    <row r="40" spans="1:5" x14ac:dyDescent="0.25">
      <c r="A40" s="3" t="s">
        <v>51</v>
      </c>
      <c r="B40" s="3" t="s">
        <v>62</v>
      </c>
      <c r="C40"/>
      <c r="E40" s="3" t="str">
        <f t="shared" si="0"/>
        <v>Sim</v>
      </c>
    </row>
    <row r="41" spans="1:5" x14ac:dyDescent="0.25">
      <c r="A41" s="3" t="s">
        <v>51</v>
      </c>
      <c r="B41" s="3" t="s">
        <v>62</v>
      </c>
      <c r="C41"/>
      <c r="E41" s="3" t="str">
        <f t="shared" si="0"/>
        <v>Sim</v>
      </c>
    </row>
    <row r="42" spans="1:5" x14ac:dyDescent="0.25">
      <c r="A42" s="3" t="s">
        <v>51</v>
      </c>
      <c r="B42" s="3" t="s">
        <v>62</v>
      </c>
      <c r="C42"/>
      <c r="E42" s="3" t="str">
        <f t="shared" si="0"/>
        <v>Sim</v>
      </c>
    </row>
    <row r="43" spans="1:5" x14ac:dyDescent="0.25">
      <c r="A43" s="3" t="s">
        <v>51</v>
      </c>
      <c r="B43" s="3" t="s">
        <v>62</v>
      </c>
      <c r="C43"/>
      <c r="E43" s="3" t="str">
        <f t="shared" si="0"/>
        <v>Sim</v>
      </c>
    </row>
    <row r="44" spans="1:5" x14ac:dyDescent="0.25">
      <c r="A44" s="3" t="s">
        <v>51</v>
      </c>
      <c r="B44" s="3" t="s">
        <v>62</v>
      </c>
      <c r="C44"/>
      <c r="E44" s="3" t="str">
        <f t="shared" si="0"/>
        <v>Sim</v>
      </c>
    </row>
    <row r="45" spans="1:5" x14ac:dyDescent="0.25">
      <c r="A45" s="3" t="s">
        <v>51</v>
      </c>
      <c r="B45" s="3" t="s">
        <v>62</v>
      </c>
      <c r="C45"/>
      <c r="E45" s="3" t="str">
        <f t="shared" si="0"/>
        <v>Sim</v>
      </c>
    </row>
    <row r="46" spans="1:5" x14ac:dyDescent="0.25">
      <c r="A46" s="3" t="s">
        <v>51</v>
      </c>
      <c r="B46" s="3" t="s">
        <v>62</v>
      </c>
      <c r="C46"/>
      <c r="E46" s="3" t="str">
        <f t="shared" si="0"/>
        <v>Sim</v>
      </c>
    </row>
    <row r="47" spans="1:5" x14ac:dyDescent="0.25">
      <c r="A47" s="3" t="s">
        <v>51</v>
      </c>
      <c r="B47" s="3" t="s">
        <v>62</v>
      </c>
      <c r="C47"/>
      <c r="E47" s="3" t="str">
        <f t="shared" si="0"/>
        <v>Sim</v>
      </c>
    </row>
    <row r="48" spans="1:5" x14ac:dyDescent="0.25">
      <c r="A48" s="3" t="s">
        <v>51</v>
      </c>
      <c r="B48" s="3" t="s">
        <v>62</v>
      </c>
      <c r="C48"/>
      <c r="E48" s="3" t="str">
        <f t="shared" si="0"/>
        <v>Sim</v>
      </c>
    </row>
    <row r="49" spans="1:5" x14ac:dyDescent="0.25">
      <c r="A49" s="3" t="s">
        <v>51</v>
      </c>
      <c r="B49" s="3" t="s">
        <v>63</v>
      </c>
      <c r="C49"/>
      <c r="E49" s="3" t="str">
        <f t="shared" si="0"/>
        <v>Sim</v>
      </c>
    </row>
    <row r="50" spans="1:5" x14ac:dyDescent="0.25">
      <c r="A50" s="3" t="s">
        <v>51</v>
      </c>
      <c r="B50" s="3" t="s">
        <v>63</v>
      </c>
      <c r="C50"/>
      <c r="E50" s="3" t="str">
        <f t="shared" si="0"/>
        <v>Sim</v>
      </c>
    </row>
    <row r="51" spans="1:5" x14ac:dyDescent="0.25">
      <c r="A51" s="3" t="s">
        <v>51</v>
      </c>
      <c r="B51" s="3" t="s">
        <v>63</v>
      </c>
      <c r="C51"/>
      <c r="E51" s="3" t="str">
        <f t="shared" si="0"/>
        <v>Sim</v>
      </c>
    </row>
    <row r="52" spans="1:5" x14ac:dyDescent="0.25">
      <c r="A52" s="3" t="s">
        <v>51</v>
      </c>
      <c r="B52" s="3" t="s">
        <v>63</v>
      </c>
      <c r="C52"/>
      <c r="E52" s="3" t="str">
        <f t="shared" si="0"/>
        <v>Sim</v>
      </c>
    </row>
    <row r="53" spans="1:5" x14ac:dyDescent="0.25">
      <c r="A53" s="3" t="s">
        <v>51</v>
      </c>
      <c r="B53" s="3" t="s">
        <v>63</v>
      </c>
      <c r="C53"/>
      <c r="E53" s="3" t="str">
        <f t="shared" si="0"/>
        <v>Sim</v>
      </c>
    </row>
    <row r="54" spans="1:5" x14ac:dyDescent="0.25">
      <c r="A54" s="3" t="s">
        <v>51</v>
      </c>
      <c r="B54" s="3" t="s">
        <v>63</v>
      </c>
      <c r="C54"/>
      <c r="E54" s="3" t="str">
        <f t="shared" si="0"/>
        <v>Sim</v>
      </c>
    </row>
    <row r="55" spans="1:5" x14ac:dyDescent="0.25">
      <c r="A55" s="3" t="s">
        <v>61</v>
      </c>
      <c r="B55" s="3" t="s">
        <v>67</v>
      </c>
      <c r="C55"/>
      <c r="E55" s="3" t="str">
        <f t="shared" si="0"/>
        <v>Sim</v>
      </c>
    </row>
    <row r="56" spans="1:5" x14ac:dyDescent="0.25">
      <c r="A56" s="3" t="s">
        <v>61</v>
      </c>
      <c r="B56" s="3" t="s">
        <v>67</v>
      </c>
      <c r="C56"/>
      <c r="E56" s="3" t="str">
        <f t="shared" si="0"/>
        <v>Sim</v>
      </c>
    </row>
    <row r="57" spans="1:5" x14ac:dyDescent="0.25">
      <c r="A57" s="3" t="s">
        <v>61</v>
      </c>
      <c r="B57" s="3" t="s">
        <v>67</v>
      </c>
      <c r="C57"/>
      <c r="E57" s="3" t="str">
        <f t="shared" si="0"/>
        <v>Sim</v>
      </c>
    </row>
    <row r="58" spans="1:5" x14ac:dyDescent="0.25">
      <c r="A58" s="3" t="s">
        <v>61</v>
      </c>
      <c r="B58" s="3" t="s">
        <v>67</v>
      </c>
      <c r="C58"/>
      <c r="E58" s="3" t="str">
        <f t="shared" si="0"/>
        <v>Sim</v>
      </c>
    </row>
    <row r="59" spans="1:5" x14ac:dyDescent="0.25">
      <c r="A59" s="3" t="s">
        <v>61</v>
      </c>
      <c r="B59" s="3" t="s">
        <v>67</v>
      </c>
      <c r="C59"/>
      <c r="E59" s="3" t="str">
        <f t="shared" si="0"/>
        <v>Sim</v>
      </c>
    </row>
    <row r="60" spans="1:5" x14ac:dyDescent="0.25">
      <c r="A60" s="3" t="s">
        <v>61</v>
      </c>
      <c r="B60" s="3" t="s">
        <v>67</v>
      </c>
      <c r="C60"/>
      <c r="E60" s="3" t="str">
        <f t="shared" si="0"/>
        <v>Sim</v>
      </c>
    </row>
    <row r="61" spans="1:5" x14ac:dyDescent="0.25">
      <c r="A61" s="3" t="s">
        <v>61</v>
      </c>
      <c r="B61" s="3" t="s">
        <v>67</v>
      </c>
      <c r="C61"/>
      <c r="E61" s="3" t="str">
        <f t="shared" si="0"/>
        <v>Sim</v>
      </c>
    </row>
    <row r="62" spans="1:5" x14ac:dyDescent="0.25">
      <c r="A62" s="3" t="s">
        <v>61</v>
      </c>
      <c r="B62" s="3" t="s">
        <v>67</v>
      </c>
      <c r="C62"/>
      <c r="E62" s="3" t="str">
        <f t="shared" si="0"/>
        <v>Sim</v>
      </c>
    </row>
    <row r="63" spans="1:5" x14ac:dyDescent="0.25">
      <c r="A63" s="3" t="s">
        <v>0</v>
      </c>
      <c r="B63" s="3" t="s">
        <v>67</v>
      </c>
      <c r="C63"/>
      <c r="E63" s="3" t="str">
        <f t="shared" si="0"/>
        <v>Sim</v>
      </c>
    </row>
    <row r="64" spans="1:5" x14ac:dyDescent="0.25">
      <c r="A64" s="3" t="s">
        <v>0</v>
      </c>
      <c r="B64" s="3" t="s">
        <v>67</v>
      </c>
      <c r="C64"/>
      <c r="E64" s="3" t="str">
        <f t="shared" si="0"/>
        <v>Sim</v>
      </c>
    </row>
    <row r="65" spans="1:5" x14ac:dyDescent="0.25">
      <c r="A65" s="3" t="s">
        <v>0</v>
      </c>
      <c r="B65" s="3" t="s">
        <v>67</v>
      </c>
      <c r="C65"/>
      <c r="E65" s="3" t="str">
        <f t="shared" si="0"/>
        <v>Sim</v>
      </c>
    </row>
    <row r="66" spans="1:5" x14ac:dyDescent="0.25">
      <c r="A66" s="3" t="s">
        <v>0</v>
      </c>
      <c r="B66" s="3" t="s">
        <v>67</v>
      </c>
      <c r="C66"/>
      <c r="E66" s="3" t="str">
        <f t="shared" si="0"/>
        <v>Sim</v>
      </c>
    </row>
    <row r="67" spans="1:5" x14ac:dyDescent="0.25">
      <c r="C67"/>
    </row>
    <row r="68" spans="1:5" x14ac:dyDescent="0.25">
      <c r="C68"/>
    </row>
    <row r="69" spans="1:5" x14ac:dyDescent="0.25">
      <c r="C69"/>
    </row>
    <row r="70" spans="1:5" x14ac:dyDescent="0.25">
      <c r="C70"/>
    </row>
    <row r="71" spans="1:5" x14ac:dyDescent="0.25">
      <c r="C71"/>
    </row>
    <row r="72" spans="1:5" x14ac:dyDescent="0.25">
      <c r="C72"/>
    </row>
    <row r="73" spans="1:5" x14ac:dyDescent="0.25">
      <c r="C73"/>
    </row>
    <row r="74" spans="1:5" x14ac:dyDescent="0.25">
      <c r="C74"/>
    </row>
    <row r="75" spans="1:5" x14ac:dyDescent="0.25">
      <c r="C75"/>
    </row>
    <row r="76" spans="1:5" x14ac:dyDescent="0.25">
      <c r="C76"/>
    </row>
    <row r="77" spans="1:5" x14ac:dyDescent="0.25">
      <c r="C77"/>
    </row>
    <row r="78" spans="1:5" x14ac:dyDescent="0.25">
      <c r="C78"/>
    </row>
    <row r="79" spans="1:5" x14ac:dyDescent="0.25">
      <c r="C79"/>
    </row>
    <row r="80" spans="1:5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A3FB-76A7-4C83-957B-FA0037FF21C6}">
  <dimension ref="A1:H112"/>
  <sheetViews>
    <sheetView workbookViewId="0">
      <selection activeCell="D41" sqref="D41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4" t="s">
        <v>19</v>
      </c>
      <c r="B1" s="14"/>
      <c r="C1" s="14"/>
      <c r="D1" s="14"/>
      <c r="E1" s="14"/>
      <c r="F1" s="14"/>
      <c r="G1" s="14"/>
      <c r="H1" s="14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58</v>
      </c>
      <c r="C3"/>
      <c r="E3" s="3" t="str">
        <f>IF(C3=D3, "Sim", "Não")</f>
        <v>Sim</v>
      </c>
      <c r="G3" s="4" t="s">
        <v>4</v>
      </c>
      <c r="H3" s="3">
        <f>COUNTIF(E3:E117,"Não")</f>
        <v>0</v>
      </c>
    </row>
    <row r="4" spans="1:8" x14ac:dyDescent="0.25">
      <c r="A4" s="3" t="s">
        <v>65</v>
      </c>
      <c r="B4" s="3" t="s">
        <v>58</v>
      </c>
      <c r="C4"/>
      <c r="E4" s="3" t="str">
        <f t="shared" ref="E4:E66" si="0">IF(C4=D4, "Sim", "Não")</f>
        <v>Sim</v>
      </c>
      <c r="G4" s="4" t="s">
        <v>5</v>
      </c>
      <c r="H4" s="3">
        <f>SUM(H19:H37)</f>
        <v>0</v>
      </c>
    </row>
    <row r="5" spans="1:8" x14ac:dyDescent="0.25">
      <c r="A5" s="3" t="s">
        <v>65</v>
      </c>
      <c r="B5" s="3" t="s">
        <v>58</v>
      </c>
      <c r="C5"/>
      <c r="E5" s="3" t="str">
        <f t="shared" si="0"/>
        <v>Sim</v>
      </c>
    </row>
    <row r="6" spans="1:8" x14ac:dyDescent="0.25">
      <c r="A6" s="3" t="s">
        <v>65</v>
      </c>
      <c r="B6" s="3" t="s">
        <v>58</v>
      </c>
      <c r="C6"/>
      <c r="E6" s="3" t="str">
        <f t="shared" si="0"/>
        <v>Sim</v>
      </c>
    </row>
    <row r="7" spans="1:8" x14ac:dyDescent="0.25">
      <c r="A7" s="3" t="s">
        <v>65</v>
      </c>
      <c r="B7" s="3" t="s">
        <v>58</v>
      </c>
      <c r="C7"/>
      <c r="E7" s="3" t="str">
        <f t="shared" ref="E7:E17" si="1">IF(C7=D7, "Sim", "Não")</f>
        <v>Sim</v>
      </c>
      <c r="G7" s="6"/>
      <c r="H7" s="1"/>
    </row>
    <row r="8" spans="1:8" x14ac:dyDescent="0.25">
      <c r="A8" s="3" t="s">
        <v>65</v>
      </c>
      <c r="B8" s="3" t="s">
        <v>58</v>
      </c>
      <c r="C8"/>
      <c r="E8" s="3" t="str">
        <f t="shared" si="1"/>
        <v>Sim</v>
      </c>
      <c r="G8" s="7"/>
      <c r="H8" s="2"/>
    </row>
    <row r="9" spans="1:8" x14ac:dyDescent="0.25">
      <c r="A9" s="3" t="s">
        <v>65</v>
      </c>
      <c r="B9" s="3" t="s">
        <v>58</v>
      </c>
      <c r="C9"/>
      <c r="E9" s="3" t="str">
        <f t="shared" si="1"/>
        <v>Sim</v>
      </c>
      <c r="G9" s="7"/>
      <c r="H9" s="2"/>
    </row>
    <row r="10" spans="1:8" x14ac:dyDescent="0.25">
      <c r="A10" s="3" t="s">
        <v>65</v>
      </c>
      <c r="B10" s="3" t="s">
        <v>58</v>
      </c>
      <c r="C10"/>
      <c r="E10" s="3" t="str">
        <f t="shared" si="1"/>
        <v>Sim</v>
      </c>
      <c r="G10" s="7"/>
      <c r="H10" s="2"/>
    </row>
    <row r="11" spans="1:8" x14ac:dyDescent="0.25">
      <c r="A11" s="3" t="s">
        <v>65</v>
      </c>
      <c r="B11" s="3" t="s">
        <v>27</v>
      </c>
      <c r="C11"/>
      <c r="E11" s="3" t="str">
        <f t="shared" si="1"/>
        <v>Sim</v>
      </c>
      <c r="G11" s="7"/>
      <c r="H11" s="2"/>
    </row>
    <row r="12" spans="1:8" x14ac:dyDescent="0.25">
      <c r="A12" s="3" t="s">
        <v>65</v>
      </c>
      <c r="B12" s="3" t="s">
        <v>27</v>
      </c>
      <c r="C12"/>
      <c r="E12" s="3" t="str">
        <f t="shared" si="1"/>
        <v>Sim</v>
      </c>
      <c r="G12" s="7"/>
      <c r="H12" s="2"/>
    </row>
    <row r="13" spans="1:8" x14ac:dyDescent="0.25">
      <c r="A13" s="3" t="s">
        <v>65</v>
      </c>
      <c r="B13" s="3" t="s">
        <v>27</v>
      </c>
      <c r="C13"/>
      <c r="E13" s="3" t="str">
        <f t="shared" si="1"/>
        <v>Sim</v>
      </c>
      <c r="G13" s="7"/>
      <c r="H13" s="2"/>
    </row>
    <row r="14" spans="1:8" x14ac:dyDescent="0.25">
      <c r="A14" s="3" t="s">
        <v>65</v>
      </c>
      <c r="B14" s="3" t="s">
        <v>27</v>
      </c>
      <c r="C14"/>
      <c r="E14" s="3" t="str">
        <f t="shared" ref="E14:E15" si="2">IF(C14=D14, "Sim", "Não")</f>
        <v>Sim</v>
      </c>
      <c r="G14" s="7"/>
      <c r="H14" s="2"/>
    </row>
    <row r="15" spans="1:8" x14ac:dyDescent="0.25">
      <c r="A15" s="3" t="s">
        <v>65</v>
      </c>
      <c r="B15" s="3" t="s">
        <v>27</v>
      </c>
      <c r="C15"/>
      <c r="E15" s="3" t="str">
        <f t="shared" si="2"/>
        <v>Sim</v>
      </c>
      <c r="G15" s="7"/>
      <c r="H15" s="2"/>
    </row>
    <row r="16" spans="1:8" x14ac:dyDescent="0.25">
      <c r="A16" s="3" t="s">
        <v>65</v>
      </c>
      <c r="B16" s="3" t="s">
        <v>27</v>
      </c>
      <c r="C16"/>
      <c r="E16" s="3" t="str">
        <f t="shared" si="1"/>
        <v>Sim</v>
      </c>
      <c r="G16" s="7"/>
      <c r="H16" s="2"/>
    </row>
    <row r="17" spans="1:8" x14ac:dyDescent="0.25">
      <c r="A17" s="3" t="s">
        <v>65</v>
      </c>
      <c r="B17" s="3" t="s">
        <v>56</v>
      </c>
      <c r="C17"/>
      <c r="E17" s="3" t="str">
        <f t="shared" si="1"/>
        <v>Sim</v>
      </c>
      <c r="G17" s="7"/>
      <c r="H17" s="2"/>
    </row>
    <row r="18" spans="1:8" x14ac:dyDescent="0.25">
      <c r="A18" s="3" t="s">
        <v>65</v>
      </c>
      <c r="B18" s="3" t="s">
        <v>56</v>
      </c>
      <c r="C18"/>
      <c r="E18" s="3" t="str">
        <f t="shared" si="0"/>
        <v>Sim</v>
      </c>
      <c r="G18" s="6"/>
      <c r="H18" s="1"/>
    </row>
    <row r="19" spans="1:8" x14ac:dyDescent="0.25">
      <c r="A19" s="3" t="s">
        <v>51</v>
      </c>
      <c r="B19" s="3" t="s">
        <v>58</v>
      </c>
      <c r="C19"/>
      <c r="E19" s="3" t="str">
        <f t="shared" si="0"/>
        <v>Sim</v>
      </c>
      <c r="G19" s="7"/>
      <c r="H19" s="2"/>
    </row>
    <row r="20" spans="1:8" x14ac:dyDescent="0.25">
      <c r="A20" s="3" t="s">
        <v>51</v>
      </c>
      <c r="B20" s="3" t="s">
        <v>58</v>
      </c>
      <c r="C20"/>
      <c r="E20" s="3" t="str">
        <f t="shared" si="0"/>
        <v>Sim</v>
      </c>
      <c r="G20" s="7"/>
      <c r="H20" s="2"/>
    </row>
    <row r="21" spans="1:8" x14ac:dyDescent="0.25">
      <c r="A21" s="3" t="s">
        <v>51</v>
      </c>
      <c r="B21" s="3" t="s">
        <v>58</v>
      </c>
      <c r="C21"/>
      <c r="E21" s="3" t="str">
        <f t="shared" si="0"/>
        <v>Sim</v>
      </c>
      <c r="G21" s="7"/>
      <c r="H21" s="2"/>
    </row>
    <row r="22" spans="1:8" x14ac:dyDescent="0.25">
      <c r="A22" s="3" t="s">
        <v>51</v>
      </c>
      <c r="B22" s="3" t="s">
        <v>58</v>
      </c>
      <c r="C22"/>
      <c r="E22" s="3" t="str">
        <f t="shared" si="0"/>
        <v>Sim</v>
      </c>
      <c r="G22" s="7"/>
      <c r="H22" s="2"/>
    </row>
    <row r="23" spans="1:8" x14ac:dyDescent="0.25">
      <c r="A23" s="3" t="s">
        <v>51</v>
      </c>
      <c r="B23" s="3" t="s">
        <v>58</v>
      </c>
      <c r="C23"/>
      <c r="E23" s="3" t="str">
        <f t="shared" si="0"/>
        <v>Sim</v>
      </c>
      <c r="G23" s="7"/>
      <c r="H23" s="2"/>
    </row>
    <row r="24" spans="1:8" x14ac:dyDescent="0.25">
      <c r="A24" s="3" t="s">
        <v>51</v>
      </c>
      <c r="B24" s="3" t="s">
        <v>58</v>
      </c>
      <c r="C24"/>
      <c r="E24" s="3" t="str">
        <f t="shared" si="0"/>
        <v>Sim</v>
      </c>
      <c r="G24" s="7"/>
      <c r="H24" s="2"/>
    </row>
    <row r="25" spans="1:8" x14ac:dyDescent="0.25">
      <c r="A25" s="3" t="s">
        <v>51</v>
      </c>
      <c r="B25" s="3" t="s">
        <v>58</v>
      </c>
      <c r="C25"/>
      <c r="E25" s="3" t="str">
        <f t="shared" si="0"/>
        <v>Sim</v>
      </c>
      <c r="G25" s="7"/>
      <c r="H25" s="2"/>
    </row>
    <row r="26" spans="1:8" x14ac:dyDescent="0.25">
      <c r="A26" s="3" t="s">
        <v>51</v>
      </c>
      <c r="B26" s="3" t="s">
        <v>58</v>
      </c>
      <c r="C26"/>
      <c r="E26" s="3" t="str">
        <f t="shared" si="0"/>
        <v>Sim</v>
      </c>
      <c r="G26" s="7"/>
      <c r="H26" s="2"/>
    </row>
    <row r="27" spans="1:8" x14ac:dyDescent="0.25">
      <c r="A27" s="3" t="s">
        <v>51</v>
      </c>
      <c r="B27" s="3" t="s">
        <v>58</v>
      </c>
      <c r="C27"/>
      <c r="E27" s="3" t="str">
        <f t="shared" si="0"/>
        <v>Sim</v>
      </c>
      <c r="G27" s="4"/>
      <c r="H27" s="2"/>
    </row>
    <row r="28" spans="1:8" x14ac:dyDescent="0.25">
      <c r="A28" s="3" t="s">
        <v>51</v>
      </c>
      <c r="B28" s="3" t="s">
        <v>58</v>
      </c>
      <c r="C28"/>
      <c r="E28" s="3" t="str">
        <f t="shared" si="0"/>
        <v>Sim</v>
      </c>
      <c r="G28" s="4"/>
      <c r="H28" s="2"/>
    </row>
    <row r="29" spans="1:8" x14ac:dyDescent="0.25">
      <c r="A29" s="3" t="s">
        <v>51</v>
      </c>
      <c r="B29" s="3" t="s">
        <v>58</v>
      </c>
      <c r="C29"/>
      <c r="E29" s="3" t="str">
        <f t="shared" si="0"/>
        <v>Sim</v>
      </c>
    </row>
    <row r="30" spans="1:8" x14ac:dyDescent="0.25">
      <c r="A30" s="3" t="s">
        <v>51</v>
      </c>
      <c r="B30" s="3" t="s">
        <v>58</v>
      </c>
      <c r="C30"/>
      <c r="E30" s="3" t="str">
        <f t="shared" si="0"/>
        <v>Sim</v>
      </c>
    </row>
    <row r="31" spans="1:8" x14ac:dyDescent="0.25">
      <c r="A31" s="3" t="s">
        <v>51</v>
      </c>
      <c r="B31" s="3" t="s">
        <v>58</v>
      </c>
      <c r="C31"/>
      <c r="E31" s="3" t="str">
        <f t="shared" si="0"/>
        <v>Sim</v>
      </c>
    </row>
    <row r="32" spans="1:8" x14ac:dyDescent="0.25">
      <c r="A32" s="3" t="s">
        <v>51</v>
      </c>
      <c r="B32" s="3" t="s">
        <v>58</v>
      </c>
      <c r="C32"/>
      <c r="E32" s="3" t="str">
        <f t="shared" si="0"/>
        <v>Sim</v>
      </c>
    </row>
    <row r="33" spans="1:5" x14ac:dyDescent="0.25">
      <c r="A33" s="3" t="s">
        <v>51</v>
      </c>
      <c r="B33" s="3" t="s">
        <v>27</v>
      </c>
      <c r="C33"/>
      <c r="E33" s="3" t="str">
        <f t="shared" si="0"/>
        <v>Sim</v>
      </c>
    </row>
    <row r="34" spans="1:5" x14ac:dyDescent="0.25">
      <c r="A34" s="3" t="s">
        <v>51</v>
      </c>
      <c r="B34" s="3" t="s">
        <v>27</v>
      </c>
      <c r="C34"/>
      <c r="E34" s="3" t="str">
        <f t="shared" si="0"/>
        <v>Sim</v>
      </c>
    </row>
    <row r="35" spans="1:5" x14ac:dyDescent="0.25">
      <c r="A35" s="3" t="s">
        <v>51</v>
      </c>
      <c r="B35" s="3" t="s">
        <v>27</v>
      </c>
      <c r="C35"/>
      <c r="E35" s="3" t="str">
        <f t="shared" si="0"/>
        <v>Sim</v>
      </c>
    </row>
    <row r="36" spans="1:5" x14ac:dyDescent="0.25">
      <c r="A36" s="3" t="s">
        <v>51</v>
      </c>
      <c r="B36" s="3" t="s">
        <v>27</v>
      </c>
      <c r="C36"/>
      <c r="E36" s="3" t="str">
        <f t="shared" si="0"/>
        <v>Sim</v>
      </c>
    </row>
    <row r="37" spans="1:5" x14ac:dyDescent="0.25">
      <c r="A37" s="3" t="s">
        <v>51</v>
      </c>
      <c r="B37" s="3" t="s">
        <v>27</v>
      </c>
      <c r="C37"/>
      <c r="E37" s="3" t="str">
        <f t="shared" si="0"/>
        <v>Sim</v>
      </c>
    </row>
    <row r="38" spans="1:5" x14ac:dyDescent="0.25">
      <c r="A38" s="3" t="s">
        <v>51</v>
      </c>
      <c r="B38" s="3" t="s">
        <v>27</v>
      </c>
      <c r="C38"/>
      <c r="E38" s="3" t="str">
        <f t="shared" si="0"/>
        <v>Sim</v>
      </c>
    </row>
    <row r="39" spans="1:5" x14ac:dyDescent="0.25">
      <c r="A39" s="3" t="s">
        <v>51</v>
      </c>
      <c r="B39" s="3" t="s">
        <v>27</v>
      </c>
      <c r="C39"/>
      <c r="E39" s="3" t="str">
        <f t="shared" si="0"/>
        <v>Sim</v>
      </c>
    </row>
    <row r="40" spans="1:5" x14ac:dyDescent="0.25">
      <c r="A40" s="3" t="s">
        <v>51</v>
      </c>
      <c r="B40" s="3" t="s">
        <v>27</v>
      </c>
      <c r="C40"/>
      <c r="E40" s="3" t="str">
        <f t="shared" si="0"/>
        <v>Sim</v>
      </c>
    </row>
    <row r="41" spans="1:5" x14ac:dyDescent="0.25">
      <c r="A41" s="3" t="s">
        <v>51</v>
      </c>
      <c r="B41" s="3" t="s">
        <v>27</v>
      </c>
      <c r="C41"/>
      <c r="E41" s="3" t="str">
        <f t="shared" si="0"/>
        <v>Sim</v>
      </c>
    </row>
    <row r="42" spans="1:5" x14ac:dyDescent="0.25">
      <c r="A42" s="3" t="s">
        <v>51</v>
      </c>
      <c r="B42" s="3" t="s">
        <v>27</v>
      </c>
      <c r="C42"/>
      <c r="E42" s="3" t="str">
        <f t="shared" si="0"/>
        <v>Sim</v>
      </c>
    </row>
    <row r="43" spans="1:5" x14ac:dyDescent="0.25">
      <c r="A43" s="3" t="s">
        <v>51</v>
      </c>
      <c r="B43" s="3" t="s">
        <v>27</v>
      </c>
      <c r="C43"/>
      <c r="E43" s="3" t="str">
        <f t="shared" si="0"/>
        <v>Sim</v>
      </c>
    </row>
    <row r="44" spans="1:5" x14ac:dyDescent="0.25">
      <c r="A44" s="3" t="s">
        <v>51</v>
      </c>
      <c r="B44" s="3" t="s">
        <v>27</v>
      </c>
      <c r="C44"/>
      <c r="E44" s="3" t="str">
        <f t="shared" si="0"/>
        <v>Sim</v>
      </c>
    </row>
    <row r="45" spans="1:5" x14ac:dyDescent="0.25">
      <c r="A45" s="3" t="s">
        <v>51</v>
      </c>
      <c r="B45" s="3" t="s">
        <v>27</v>
      </c>
      <c r="C45"/>
      <c r="E45" s="3" t="str">
        <f t="shared" si="0"/>
        <v>Sim</v>
      </c>
    </row>
    <row r="46" spans="1:5" x14ac:dyDescent="0.25">
      <c r="A46" s="3" t="s">
        <v>51</v>
      </c>
      <c r="B46" s="3" t="s">
        <v>27</v>
      </c>
      <c r="C46"/>
      <c r="E46" s="3" t="str">
        <f t="shared" si="0"/>
        <v>Sim</v>
      </c>
    </row>
    <row r="47" spans="1:5" x14ac:dyDescent="0.25">
      <c r="A47" s="3" t="s">
        <v>51</v>
      </c>
      <c r="B47" s="3" t="s">
        <v>27</v>
      </c>
      <c r="C47"/>
      <c r="E47" s="3" t="str">
        <f t="shared" si="0"/>
        <v>Sim</v>
      </c>
    </row>
    <row r="48" spans="1:5" x14ac:dyDescent="0.25">
      <c r="A48" s="3" t="s">
        <v>51</v>
      </c>
      <c r="B48" s="3" t="s">
        <v>27</v>
      </c>
      <c r="C48"/>
      <c r="E48" s="3" t="str">
        <f t="shared" si="0"/>
        <v>Sim</v>
      </c>
    </row>
    <row r="49" spans="1:5" x14ac:dyDescent="0.25">
      <c r="A49" s="3" t="s">
        <v>51</v>
      </c>
      <c r="B49" s="3" t="s">
        <v>56</v>
      </c>
      <c r="C49"/>
      <c r="E49" s="3" t="str">
        <f t="shared" si="0"/>
        <v>Sim</v>
      </c>
    </row>
    <row r="50" spans="1:5" x14ac:dyDescent="0.25">
      <c r="A50" s="3" t="s">
        <v>51</v>
      </c>
      <c r="B50" s="3" t="s">
        <v>56</v>
      </c>
      <c r="C50"/>
      <c r="E50" s="3" t="str">
        <f t="shared" si="0"/>
        <v>Sim</v>
      </c>
    </row>
    <row r="51" spans="1:5" x14ac:dyDescent="0.25">
      <c r="A51" s="3" t="s">
        <v>51</v>
      </c>
      <c r="B51" s="3" t="s">
        <v>56</v>
      </c>
      <c r="C51"/>
      <c r="E51" s="3" t="str">
        <f t="shared" si="0"/>
        <v>Sim</v>
      </c>
    </row>
    <row r="52" spans="1:5" x14ac:dyDescent="0.25">
      <c r="A52" s="3" t="s">
        <v>51</v>
      </c>
      <c r="B52" s="3" t="s">
        <v>56</v>
      </c>
      <c r="C52"/>
      <c r="E52" s="3" t="str">
        <f t="shared" si="0"/>
        <v>Sim</v>
      </c>
    </row>
    <row r="53" spans="1:5" x14ac:dyDescent="0.25">
      <c r="A53" s="3" t="s">
        <v>51</v>
      </c>
      <c r="B53" s="3" t="s">
        <v>56</v>
      </c>
      <c r="C53"/>
      <c r="E53" s="3" t="str">
        <f t="shared" si="0"/>
        <v>Sim</v>
      </c>
    </row>
    <row r="54" spans="1:5" x14ac:dyDescent="0.25">
      <c r="A54" s="3" t="s">
        <v>51</v>
      </c>
      <c r="B54" s="3" t="s">
        <v>56</v>
      </c>
      <c r="C54"/>
      <c r="E54" s="3" t="str">
        <f t="shared" si="0"/>
        <v>Sim</v>
      </c>
    </row>
    <row r="55" spans="1:5" x14ac:dyDescent="0.25">
      <c r="A55" s="3" t="s">
        <v>61</v>
      </c>
      <c r="B55" s="3" t="s">
        <v>67</v>
      </c>
      <c r="C55"/>
      <c r="E55" s="3" t="str">
        <f t="shared" si="0"/>
        <v>Sim</v>
      </c>
    </row>
    <row r="56" spans="1:5" x14ac:dyDescent="0.25">
      <c r="A56" s="3" t="s">
        <v>61</v>
      </c>
      <c r="B56" s="3" t="s">
        <v>67</v>
      </c>
      <c r="C56"/>
      <c r="E56" s="3" t="str">
        <f t="shared" si="0"/>
        <v>Sim</v>
      </c>
    </row>
    <row r="57" spans="1:5" x14ac:dyDescent="0.25">
      <c r="A57" s="3" t="s">
        <v>61</v>
      </c>
      <c r="B57" s="3" t="s">
        <v>67</v>
      </c>
      <c r="C57"/>
      <c r="E57" s="3" t="str">
        <f t="shared" si="0"/>
        <v>Sim</v>
      </c>
    </row>
    <row r="58" spans="1:5" x14ac:dyDescent="0.25">
      <c r="A58" s="3" t="s">
        <v>61</v>
      </c>
      <c r="B58" s="3" t="s">
        <v>67</v>
      </c>
      <c r="C58"/>
      <c r="E58" s="3" t="str">
        <f t="shared" si="0"/>
        <v>Sim</v>
      </c>
    </row>
    <row r="59" spans="1:5" x14ac:dyDescent="0.25">
      <c r="A59" s="3" t="s">
        <v>61</v>
      </c>
      <c r="B59" s="3" t="s">
        <v>67</v>
      </c>
      <c r="C59"/>
      <c r="E59" s="3" t="str">
        <f t="shared" si="0"/>
        <v>Sim</v>
      </c>
    </row>
    <row r="60" spans="1:5" x14ac:dyDescent="0.25">
      <c r="A60" s="3" t="s">
        <v>61</v>
      </c>
      <c r="B60" s="3" t="s">
        <v>67</v>
      </c>
      <c r="C60"/>
      <c r="E60" s="3" t="str">
        <f t="shared" si="0"/>
        <v>Sim</v>
      </c>
    </row>
    <row r="61" spans="1:5" x14ac:dyDescent="0.25">
      <c r="A61" s="3" t="s">
        <v>61</v>
      </c>
      <c r="B61" s="3" t="s">
        <v>67</v>
      </c>
      <c r="C61"/>
      <c r="E61" s="3" t="str">
        <f t="shared" si="0"/>
        <v>Sim</v>
      </c>
    </row>
    <row r="62" spans="1:5" x14ac:dyDescent="0.25">
      <c r="A62" s="3" t="s">
        <v>61</v>
      </c>
      <c r="B62" s="3" t="s">
        <v>67</v>
      </c>
      <c r="C62"/>
      <c r="E62" s="3" t="str">
        <f t="shared" si="0"/>
        <v>Sim</v>
      </c>
    </row>
    <row r="63" spans="1:5" x14ac:dyDescent="0.25">
      <c r="A63" s="3" t="s">
        <v>47</v>
      </c>
      <c r="B63" s="3" t="s">
        <v>67</v>
      </c>
      <c r="C63"/>
      <c r="E63" s="3" t="str">
        <f t="shared" si="0"/>
        <v>Sim</v>
      </c>
    </row>
    <row r="64" spans="1:5" x14ac:dyDescent="0.25">
      <c r="A64" s="3" t="s">
        <v>47</v>
      </c>
      <c r="B64" s="3" t="s">
        <v>67</v>
      </c>
      <c r="C64"/>
      <c r="E64" s="3" t="str">
        <f t="shared" si="0"/>
        <v>Sim</v>
      </c>
    </row>
    <row r="65" spans="1:5" x14ac:dyDescent="0.25">
      <c r="A65" s="3" t="s">
        <v>47</v>
      </c>
      <c r="B65" s="3" t="s">
        <v>67</v>
      </c>
      <c r="C65"/>
      <c r="E65" s="3" t="str">
        <f t="shared" si="0"/>
        <v>Sim</v>
      </c>
    </row>
    <row r="66" spans="1:5" x14ac:dyDescent="0.25">
      <c r="A66" s="3" t="s">
        <v>47</v>
      </c>
      <c r="B66" s="3" t="s">
        <v>67</v>
      </c>
      <c r="C66"/>
      <c r="E66" s="3" t="str">
        <f t="shared" si="0"/>
        <v>Sim</v>
      </c>
    </row>
    <row r="67" spans="1:5" x14ac:dyDescent="0.25">
      <c r="C67"/>
    </row>
    <row r="68" spans="1:5" x14ac:dyDescent="0.25">
      <c r="C68"/>
    </row>
    <row r="69" spans="1:5" x14ac:dyDescent="0.25">
      <c r="C69"/>
    </row>
    <row r="70" spans="1:5" x14ac:dyDescent="0.25">
      <c r="C70"/>
    </row>
    <row r="71" spans="1:5" x14ac:dyDescent="0.25">
      <c r="C71"/>
    </row>
    <row r="72" spans="1:5" x14ac:dyDescent="0.25">
      <c r="C72"/>
    </row>
    <row r="73" spans="1:5" x14ac:dyDescent="0.25">
      <c r="C73"/>
    </row>
    <row r="74" spans="1:5" x14ac:dyDescent="0.25">
      <c r="C74"/>
    </row>
    <row r="75" spans="1:5" x14ac:dyDescent="0.25">
      <c r="C75"/>
    </row>
    <row r="76" spans="1:5" x14ac:dyDescent="0.25">
      <c r="C76"/>
    </row>
    <row r="77" spans="1:5" x14ac:dyDescent="0.25">
      <c r="C77"/>
    </row>
    <row r="78" spans="1:5" x14ac:dyDescent="0.25">
      <c r="C78"/>
    </row>
    <row r="79" spans="1:5" x14ac:dyDescent="0.25">
      <c r="C79"/>
    </row>
    <row r="80" spans="1:5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562E-1C56-4E57-B4DA-3B33FA43B48E}">
  <dimension ref="A1:H112"/>
  <sheetViews>
    <sheetView tabSelected="1" workbookViewId="0">
      <selection activeCell="E27" sqref="E27"/>
    </sheetView>
  </sheetViews>
  <sheetFormatPr defaultRowHeight="15" x14ac:dyDescent="0.25"/>
  <cols>
    <col min="1" max="2" width="13.7109375" style="3" customWidth="1"/>
    <col min="3" max="3" width="32.7109375" style="5" customWidth="1"/>
    <col min="4" max="4" width="32.7109375" customWidth="1"/>
    <col min="5" max="5" width="11.7109375" customWidth="1"/>
    <col min="6" max="6" width="4.28515625" customWidth="1"/>
    <col min="7" max="7" width="22.7109375" style="3" customWidth="1"/>
    <col min="8" max="8" width="8.7109375" customWidth="1"/>
  </cols>
  <sheetData>
    <row r="1" spans="1:8" ht="18.75" x14ac:dyDescent="0.25">
      <c r="A1" s="13" t="s">
        <v>68</v>
      </c>
      <c r="B1" s="13"/>
      <c r="C1" s="13"/>
      <c r="D1" s="13"/>
      <c r="E1" s="13"/>
      <c r="F1" s="13"/>
      <c r="G1" s="13"/>
      <c r="H1" s="13"/>
    </row>
    <row r="2" spans="1:8" x14ac:dyDescent="0.25">
      <c r="A2" s="12" t="s">
        <v>64</v>
      </c>
      <c r="B2" s="12" t="s">
        <v>24</v>
      </c>
      <c r="C2" s="4" t="s">
        <v>2</v>
      </c>
      <c r="D2" s="4" t="s">
        <v>3</v>
      </c>
      <c r="E2" s="4" t="s">
        <v>1</v>
      </c>
    </row>
    <row r="3" spans="1:8" x14ac:dyDescent="0.25">
      <c r="A3" s="3" t="s">
        <v>65</v>
      </c>
      <c r="B3" s="3" t="s">
        <v>21</v>
      </c>
      <c r="C3"/>
      <c r="E3" s="3" t="str">
        <f>IF(C3=D3, "Sim", "Não")</f>
        <v>Sim</v>
      </c>
      <c r="G3" s="4" t="s">
        <v>4</v>
      </c>
      <c r="H3" s="3">
        <f>COUNTIF(E3:E117,"Não")</f>
        <v>0</v>
      </c>
    </row>
    <row r="4" spans="1:8" x14ac:dyDescent="0.25">
      <c r="A4" s="3" t="s">
        <v>65</v>
      </c>
      <c r="B4" s="3" t="s">
        <v>21</v>
      </c>
      <c r="C4"/>
      <c r="E4" s="3" t="str">
        <f t="shared" ref="E4:E67" si="0">IF(C4=D4, "Sim", "Não")</f>
        <v>Sim</v>
      </c>
      <c r="G4" s="4" t="s">
        <v>5</v>
      </c>
      <c r="H4" s="3">
        <f>SUM(H17:H39)</f>
        <v>0</v>
      </c>
    </row>
    <row r="5" spans="1:8" x14ac:dyDescent="0.25">
      <c r="A5" s="3" t="s">
        <v>65</v>
      </c>
      <c r="B5" s="3" t="s">
        <v>21</v>
      </c>
      <c r="C5"/>
      <c r="E5" s="3" t="str">
        <f t="shared" si="0"/>
        <v>Sim</v>
      </c>
    </row>
    <row r="6" spans="1:8" x14ac:dyDescent="0.25">
      <c r="A6" s="3" t="s">
        <v>65</v>
      </c>
      <c r="B6" s="3" t="s">
        <v>62</v>
      </c>
      <c r="C6"/>
      <c r="E6" s="3" t="str">
        <f t="shared" si="0"/>
        <v>Sim</v>
      </c>
    </row>
    <row r="7" spans="1:8" x14ac:dyDescent="0.25">
      <c r="A7" s="3" t="s">
        <v>65</v>
      </c>
      <c r="B7" s="3" t="s">
        <v>56</v>
      </c>
      <c r="C7"/>
      <c r="E7" s="3" t="str">
        <f t="shared" si="0"/>
        <v>Sim</v>
      </c>
      <c r="G7" s="6"/>
      <c r="H7" s="1"/>
    </row>
    <row r="8" spans="1:8" x14ac:dyDescent="0.25">
      <c r="A8" s="3" t="s">
        <v>65</v>
      </c>
      <c r="B8" s="3" t="s">
        <v>57</v>
      </c>
      <c r="C8"/>
      <c r="E8" s="3" t="str">
        <f t="shared" si="0"/>
        <v>Sim</v>
      </c>
      <c r="G8" s="7"/>
      <c r="H8" s="2"/>
    </row>
    <row r="9" spans="1:8" x14ac:dyDescent="0.25">
      <c r="A9" s="3" t="s">
        <v>65</v>
      </c>
      <c r="B9" s="3" t="s">
        <v>27</v>
      </c>
      <c r="C9"/>
      <c r="E9" s="3" t="str">
        <f t="shared" si="0"/>
        <v>Sim</v>
      </c>
      <c r="G9" s="7"/>
      <c r="H9" s="2"/>
    </row>
    <row r="10" spans="1:8" x14ac:dyDescent="0.25">
      <c r="A10" s="3" t="s">
        <v>65</v>
      </c>
      <c r="B10" s="3" t="s">
        <v>58</v>
      </c>
      <c r="C10"/>
      <c r="E10" s="3" t="str">
        <f t="shared" si="0"/>
        <v>Sim</v>
      </c>
      <c r="G10" s="7"/>
      <c r="H10" s="2"/>
    </row>
    <row r="11" spans="1:8" x14ac:dyDescent="0.25">
      <c r="A11" s="3" t="s">
        <v>51</v>
      </c>
      <c r="B11" s="3" t="s">
        <v>21</v>
      </c>
      <c r="C11"/>
      <c r="E11" s="3" t="str">
        <f t="shared" si="0"/>
        <v>Sim</v>
      </c>
      <c r="G11" s="7"/>
      <c r="H11" s="2"/>
    </row>
    <row r="12" spans="1:8" x14ac:dyDescent="0.25">
      <c r="A12" s="3" t="s">
        <v>51</v>
      </c>
      <c r="B12" s="3" t="s">
        <v>21</v>
      </c>
      <c r="C12"/>
      <c r="E12" s="3" t="str">
        <f t="shared" si="0"/>
        <v>Sim</v>
      </c>
      <c r="G12" s="7"/>
      <c r="H12" s="2"/>
    </row>
    <row r="13" spans="1:8" x14ac:dyDescent="0.25">
      <c r="A13" s="3" t="s">
        <v>51</v>
      </c>
      <c r="B13" s="3" t="s">
        <v>21</v>
      </c>
      <c r="C13"/>
      <c r="E13" s="3" t="str">
        <f t="shared" si="0"/>
        <v>Sim</v>
      </c>
      <c r="G13" s="7"/>
      <c r="H13" s="2"/>
    </row>
    <row r="14" spans="1:8" x14ac:dyDescent="0.25">
      <c r="A14" s="3" t="s">
        <v>51</v>
      </c>
      <c r="B14" s="3" t="s">
        <v>21</v>
      </c>
      <c r="C14"/>
      <c r="E14" s="3" t="str">
        <f t="shared" si="0"/>
        <v>Sim</v>
      </c>
      <c r="G14" s="7"/>
      <c r="H14" s="2"/>
    </row>
    <row r="15" spans="1:8" x14ac:dyDescent="0.25">
      <c r="A15" s="3" t="s">
        <v>51</v>
      </c>
      <c r="B15" s="3" t="s">
        <v>21</v>
      </c>
      <c r="C15"/>
      <c r="E15" s="3" t="str">
        <f t="shared" si="0"/>
        <v>Sim</v>
      </c>
      <c r="G15" s="7"/>
      <c r="H15" s="2"/>
    </row>
    <row r="16" spans="1:8" x14ac:dyDescent="0.25">
      <c r="A16" s="3" t="s">
        <v>51</v>
      </c>
      <c r="B16" s="3" t="s">
        <v>21</v>
      </c>
      <c r="C16"/>
      <c r="E16" s="3" t="str">
        <f t="shared" si="0"/>
        <v>Sim</v>
      </c>
      <c r="G16" s="6"/>
      <c r="H16" s="1"/>
    </row>
    <row r="17" spans="1:8" x14ac:dyDescent="0.25">
      <c r="A17" s="3" t="s">
        <v>51</v>
      </c>
      <c r="B17" s="3" t="s">
        <v>21</v>
      </c>
      <c r="C17"/>
      <c r="E17" s="3" t="str">
        <f t="shared" si="0"/>
        <v>Sim</v>
      </c>
      <c r="G17" s="7"/>
      <c r="H17" s="2"/>
    </row>
    <row r="18" spans="1:8" x14ac:dyDescent="0.25">
      <c r="A18" s="3" t="s">
        <v>51</v>
      </c>
      <c r="B18" s="3" t="s">
        <v>21</v>
      </c>
      <c r="C18"/>
      <c r="E18" s="3" t="str">
        <f t="shared" si="0"/>
        <v>Sim</v>
      </c>
      <c r="G18" s="7"/>
      <c r="H18" s="2"/>
    </row>
    <row r="19" spans="1:8" x14ac:dyDescent="0.25">
      <c r="A19" s="3" t="s">
        <v>51</v>
      </c>
      <c r="B19" s="3" t="s">
        <v>21</v>
      </c>
      <c r="C19"/>
      <c r="E19" s="3" t="str">
        <f t="shared" si="0"/>
        <v>Sim</v>
      </c>
      <c r="G19" s="7"/>
      <c r="H19" s="2"/>
    </row>
    <row r="20" spans="1:8" x14ac:dyDescent="0.25">
      <c r="A20" s="3" t="s">
        <v>51</v>
      </c>
      <c r="B20" s="3" t="s">
        <v>21</v>
      </c>
      <c r="C20"/>
      <c r="E20" s="3" t="str">
        <f t="shared" si="0"/>
        <v>Sim</v>
      </c>
      <c r="G20" s="7"/>
      <c r="H20" s="2"/>
    </row>
    <row r="21" spans="1:8" x14ac:dyDescent="0.25">
      <c r="A21" s="3" t="s">
        <v>51</v>
      </c>
      <c r="B21" s="3" t="s">
        <v>21</v>
      </c>
      <c r="C21"/>
      <c r="E21" s="3" t="str">
        <f t="shared" si="0"/>
        <v>Sim</v>
      </c>
      <c r="G21" s="7"/>
      <c r="H21" s="2"/>
    </row>
    <row r="22" spans="1:8" x14ac:dyDescent="0.25">
      <c r="A22" s="3" t="s">
        <v>51</v>
      </c>
      <c r="B22" s="3" t="s">
        <v>21</v>
      </c>
      <c r="C22"/>
      <c r="E22" s="3" t="str">
        <f t="shared" si="0"/>
        <v>Sim</v>
      </c>
      <c r="G22" s="7"/>
      <c r="H22" s="2"/>
    </row>
    <row r="23" spans="1:8" x14ac:dyDescent="0.25">
      <c r="A23" s="3" t="s">
        <v>51</v>
      </c>
      <c r="B23" s="3" t="s">
        <v>21</v>
      </c>
      <c r="C23"/>
      <c r="E23" s="3" t="str">
        <f t="shared" si="0"/>
        <v>Sim</v>
      </c>
      <c r="G23" s="7"/>
      <c r="H23" s="2"/>
    </row>
    <row r="24" spans="1:8" x14ac:dyDescent="0.25">
      <c r="A24" s="3" t="s">
        <v>51</v>
      </c>
      <c r="B24" s="3" t="s">
        <v>21</v>
      </c>
      <c r="C24"/>
      <c r="E24" s="3" t="str">
        <f t="shared" si="0"/>
        <v>Sim</v>
      </c>
      <c r="G24" s="7"/>
      <c r="H24" s="2"/>
    </row>
    <row r="25" spans="1:8" x14ac:dyDescent="0.25">
      <c r="A25" s="3" t="s">
        <v>51</v>
      </c>
      <c r="B25" s="3" t="s">
        <v>21</v>
      </c>
      <c r="C25"/>
      <c r="E25" s="3" t="str">
        <f t="shared" si="0"/>
        <v>Sim</v>
      </c>
      <c r="G25" s="7"/>
      <c r="H25" s="2"/>
    </row>
    <row r="26" spans="1:8" x14ac:dyDescent="0.25">
      <c r="A26" s="3" t="s">
        <v>51</v>
      </c>
      <c r="B26" s="3" t="s">
        <v>21</v>
      </c>
      <c r="C26"/>
      <c r="E26" s="3" t="str">
        <f t="shared" si="0"/>
        <v>Sim</v>
      </c>
      <c r="G26" s="4"/>
      <c r="H26" s="2"/>
    </row>
    <row r="27" spans="1:8" x14ac:dyDescent="0.25">
      <c r="A27" s="3" t="s">
        <v>51</v>
      </c>
      <c r="B27" s="3" t="s">
        <v>21</v>
      </c>
      <c r="C27"/>
      <c r="E27" s="3" t="str">
        <f>IF(C27=D27, "Sim", "Não")</f>
        <v>Sim</v>
      </c>
    </row>
    <row r="28" spans="1:8" x14ac:dyDescent="0.25">
      <c r="A28" s="3" t="s">
        <v>51</v>
      </c>
      <c r="B28" s="3" t="s">
        <v>21</v>
      </c>
      <c r="C28"/>
      <c r="E28" s="3" t="str">
        <f>IF(C28=D28, "Sim", "Não")</f>
        <v>Sim</v>
      </c>
    </row>
    <row r="29" spans="1:8" x14ac:dyDescent="0.25">
      <c r="A29" s="3" t="s">
        <v>51</v>
      </c>
      <c r="B29" s="3" t="s">
        <v>21</v>
      </c>
      <c r="C29"/>
      <c r="E29" s="3" t="str">
        <f>IF(C29=D29, "Sim", "Não")</f>
        <v>Sim</v>
      </c>
    </row>
    <row r="30" spans="1:8" x14ac:dyDescent="0.25">
      <c r="A30" s="3" t="s">
        <v>51</v>
      </c>
      <c r="B30" s="3" t="s">
        <v>21</v>
      </c>
      <c r="C30"/>
      <c r="E30" s="3" t="str">
        <f t="shared" si="0"/>
        <v>Sim</v>
      </c>
      <c r="G30" s="4"/>
      <c r="H30" s="2"/>
    </row>
    <row r="31" spans="1:8" x14ac:dyDescent="0.25">
      <c r="A31" s="3" t="s">
        <v>51</v>
      </c>
      <c r="B31" s="3" t="s">
        <v>62</v>
      </c>
      <c r="C31"/>
      <c r="E31" s="3" t="str">
        <f t="shared" si="0"/>
        <v>Sim</v>
      </c>
    </row>
    <row r="32" spans="1:8" x14ac:dyDescent="0.25">
      <c r="A32" s="3" t="s">
        <v>51</v>
      </c>
      <c r="B32" s="3" t="s">
        <v>62</v>
      </c>
      <c r="C32"/>
      <c r="E32" s="3" t="str">
        <f t="shared" si="0"/>
        <v>Sim</v>
      </c>
    </row>
    <row r="33" spans="1:5" x14ac:dyDescent="0.25">
      <c r="A33" s="3" t="s">
        <v>51</v>
      </c>
      <c r="B33" s="3" t="s">
        <v>62</v>
      </c>
      <c r="C33"/>
      <c r="E33" s="3" t="str">
        <f t="shared" si="0"/>
        <v>Sim</v>
      </c>
    </row>
    <row r="34" spans="1:5" x14ac:dyDescent="0.25">
      <c r="A34" s="3" t="s">
        <v>51</v>
      </c>
      <c r="B34" s="3" t="s">
        <v>62</v>
      </c>
      <c r="C34"/>
      <c r="E34" s="3" t="str">
        <f t="shared" si="0"/>
        <v>Sim</v>
      </c>
    </row>
    <row r="35" spans="1:5" x14ac:dyDescent="0.25">
      <c r="A35" s="3" t="s">
        <v>51</v>
      </c>
      <c r="B35" s="3" t="s">
        <v>56</v>
      </c>
      <c r="C35"/>
      <c r="E35" s="3" t="str">
        <f t="shared" si="0"/>
        <v>Sim</v>
      </c>
    </row>
    <row r="36" spans="1:5" x14ac:dyDescent="0.25">
      <c r="A36" s="3" t="s">
        <v>51</v>
      </c>
      <c r="B36" s="3" t="s">
        <v>56</v>
      </c>
      <c r="C36"/>
      <c r="E36" s="3" t="str">
        <f t="shared" si="0"/>
        <v>Sim</v>
      </c>
    </row>
    <row r="37" spans="1:5" x14ac:dyDescent="0.25">
      <c r="A37" s="3" t="s">
        <v>51</v>
      </c>
      <c r="B37" s="3" t="s">
        <v>56</v>
      </c>
      <c r="C37"/>
      <c r="E37" s="3" t="str">
        <f t="shared" si="0"/>
        <v>Sim</v>
      </c>
    </row>
    <row r="38" spans="1:5" x14ac:dyDescent="0.25">
      <c r="A38" s="3" t="s">
        <v>51</v>
      </c>
      <c r="B38" s="3" t="s">
        <v>56</v>
      </c>
      <c r="C38"/>
      <c r="E38" s="3" t="str">
        <f t="shared" si="0"/>
        <v>Sim</v>
      </c>
    </row>
    <row r="39" spans="1:5" x14ac:dyDescent="0.25">
      <c r="A39" s="3" t="s">
        <v>51</v>
      </c>
      <c r="B39" s="3" t="s">
        <v>57</v>
      </c>
      <c r="C39"/>
      <c r="E39" s="3" t="str">
        <f t="shared" si="0"/>
        <v>Sim</v>
      </c>
    </row>
    <row r="40" spans="1:5" x14ac:dyDescent="0.25">
      <c r="A40" s="3" t="s">
        <v>51</v>
      </c>
      <c r="B40" s="3" t="s">
        <v>57</v>
      </c>
      <c r="C40"/>
      <c r="E40" s="3" t="str">
        <f t="shared" si="0"/>
        <v>Sim</v>
      </c>
    </row>
    <row r="41" spans="1:5" x14ac:dyDescent="0.25">
      <c r="A41" s="3" t="s">
        <v>51</v>
      </c>
      <c r="B41" s="3" t="s">
        <v>57</v>
      </c>
      <c r="C41"/>
      <c r="E41" s="3" t="str">
        <f t="shared" si="0"/>
        <v>Sim</v>
      </c>
    </row>
    <row r="42" spans="1:5" x14ac:dyDescent="0.25">
      <c r="A42" s="3" t="s">
        <v>51</v>
      </c>
      <c r="B42" s="3" t="s">
        <v>57</v>
      </c>
      <c r="C42"/>
      <c r="E42" s="3" t="str">
        <f t="shared" si="0"/>
        <v>Sim</v>
      </c>
    </row>
    <row r="43" spans="1:5" x14ac:dyDescent="0.25">
      <c r="A43" s="3" t="s">
        <v>51</v>
      </c>
      <c r="B43" s="3" t="s">
        <v>27</v>
      </c>
      <c r="C43"/>
      <c r="E43" s="3" t="str">
        <f t="shared" si="0"/>
        <v>Sim</v>
      </c>
    </row>
    <row r="44" spans="1:5" x14ac:dyDescent="0.25">
      <c r="A44" s="3" t="s">
        <v>51</v>
      </c>
      <c r="B44" s="3" t="s">
        <v>27</v>
      </c>
      <c r="C44"/>
      <c r="E44" s="3" t="str">
        <f t="shared" si="0"/>
        <v>Sim</v>
      </c>
    </row>
    <row r="45" spans="1:5" x14ac:dyDescent="0.25">
      <c r="A45" s="3" t="s">
        <v>51</v>
      </c>
      <c r="B45" s="3" t="s">
        <v>27</v>
      </c>
      <c r="C45"/>
      <c r="E45" s="3" t="str">
        <f t="shared" si="0"/>
        <v>Sim</v>
      </c>
    </row>
    <row r="46" spans="1:5" x14ac:dyDescent="0.25">
      <c r="A46" s="3" t="s">
        <v>51</v>
      </c>
      <c r="B46" s="3" t="s">
        <v>27</v>
      </c>
      <c r="C46"/>
      <c r="E46" s="3" t="str">
        <f t="shared" si="0"/>
        <v>Sim</v>
      </c>
    </row>
    <row r="47" spans="1:5" x14ac:dyDescent="0.25">
      <c r="A47" s="3" t="s">
        <v>51</v>
      </c>
      <c r="B47" s="3" t="s">
        <v>58</v>
      </c>
      <c r="C47"/>
      <c r="E47" s="3" t="str">
        <f t="shared" si="0"/>
        <v>Sim</v>
      </c>
    </row>
    <row r="48" spans="1:5" x14ac:dyDescent="0.25">
      <c r="A48" s="3" t="s">
        <v>51</v>
      </c>
      <c r="B48" s="3" t="s">
        <v>58</v>
      </c>
      <c r="C48"/>
      <c r="E48" s="3" t="str">
        <f t="shared" si="0"/>
        <v>Sim</v>
      </c>
    </row>
    <row r="49" spans="1:5" x14ac:dyDescent="0.25">
      <c r="A49" s="3" t="s">
        <v>51</v>
      </c>
      <c r="B49" s="3" t="s">
        <v>58</v>
      </c>
      <c r="C49"/>
      <c r="E49" s="3" t="str">
        <f t="shared" si="0"/>
        <v>Sim</v>
      </c>
    </row>
    <row r="50" spans="1:5" x14ac:dyDescent="0.25">
      <c r="A50" s="3" t="s">
        <v>51</v>
      </c>
      <c r="B50" s="3" t="s">
        <v>58</v>
      </c>
      <c r="C50"/>
      <c r="E50" s="3" t="str">
        <f t="shared" si="0"/>
        <v>Sim</v>
      </c>
    </row>
    <row r="51" spans="1:5" x14ac:dyDescent="0.25">
      <c r="A51" s="3" t="s">
        <v>61</v>
      </c>
      <c r="B51" s="3" t="s">
        <v>67</v>
      </c>
      <c r="C51"/>
      <c r="E51" s="3" t="str">
        <f t="shared" si="0"/>
        <v>Sim</v>
      </c>
    </row>
    <row r="52" spans="1:5" x14ac:dyDescent="0.25">
      <c r="A52" s="3" t="s">
        <v>61</v>
      </c>
      <c r="B52" s="3" t="s">
        <v>67</v>
      </c>
      <c r="C52"/>
      <c r="E52" s="3" t="str">
        <f t="shared" si="0"/>
        <v>Sim</v>
      </c>
    </row>
    <row r="53" spans="1:5" x14ac:dyDescent="0.25">
      <c r="A53" s="3" t="s">
        <v>61</v>
      </c>
      <c r="B53" s="3" t="s">
        <v>67</v>
      </c>
      <c r="C53"/>
      <c r="E53" s="3" t="str">
        <f t="shared" si="0"/>
        <v>Sim</v>
      </c>
    </row>
    <row r="54" spans="1:5" x14ac:dyDescent="0.25">
      <c r="A54" s="3" t="s">
        <v>61</v>
      </c>
      <c r="B54" s="3" t="s">
        <v>67</v>
      </c>
      <c r="C54"/>
      <c r="E54" s="3" t="str">
        <f t="shared" si="0"/>
        <v>Sim</v>
      </c>
    </row>
    <row r="55" spans="1:5" x14ac:dyDescent="0.25">
      <c r="A55" s="3" t="s">
        <v>0</v>
      </c>
      <c r="B55" s="3" t="s">
        <v>67</v>
      </c>
      <c r="C55"/>
      <c r="E55" s="3" t="str">
        <f t="shared" si="0"/>
        <v>Sim</v>
      </c>
    </row>
    <row r="56" spans="1:5" x14ac:dyDescent="0.25">
      <c r="A56" s="3" t="s">
        <v>0</v>
      </c>
      <c r="B56" s="3" t="s">
        <v>67</v>
      </c>
      <c r="C56"/>
      <c r="E56" s="3" t="str">
        <f t="shared" si="0"/>
        <v>Sim</v>
      </c>
    </row>
    <row r="57" spans="1:5" x14ac:dyDescent="0.25">
      <c r="A57" s="3" t="s">
        <v>0</v>
      </c>
      <c r="B57" s="3" t="s">
        <v>67</v>
      </c>
      <c r="C57"/>
      <c r="E57" s="3" t="str">
        <f t="shared" si="0"/>
        <v>Sim</v>
      </c>
    </row>
    <row r="58" spans="1:5" x14ac:dyDescent="0.25">
      <c r="A58" s="3" t="s">
        <v>0</v>
      </c>
      <c r="B58" s="3" t="s">
        <v>67</v>
      </c>
      <c r="C58"/>
      <c r="E58" s="3" t="str">
        <f t="shared" si="0"/>
        <v>Sim</v>
      </c>
    </row>
    <row r="59" spans="1:5" x14ac:dyDescent="0.25">
      <c r="A59" s="3" t="s">
        <v>0</v>
      </c>
      <c r="B59" s="3" t="s">
        <v>67</v>
      </c>
      <c r="C59"/>
      <c r="E59" s="3" t="str">
        <f t="shared" si="0"/>
        <v>Sim</v>
      </c>
    </row>
    <row r="60" spans="1:5" x14ac:dyDescent="0.25">
      <c r="A60" s="3" t="s">
        <v>0</v>
      </c>
      <c r="B60" s="3" t="s">
        <v>67</v>
      </c>
      <c r="C60"/>
      <c r="E60" s="3" t="str">
        <f t="shared" si="0"/>
        <v>Sim</v>
      </c>
    </row>
    <row r="61" spans="1:5" x14ac:dyDescent="0.25">
      <c r="A61" s="3" t="s">
        <v>0</v>
      </c>
      <c r="B61" s="3" t="s">
        <v>67</v>
      </c>
      <c r="C61"/>
      <c r="E61" s="3" t="str">
        <f t="shared" si="0"/>
        <v>Sim</v>
      </c>
    </row>
    <row r="62" spans="1:5" x14ac:dyDescent="0.25">
      <c r="A62" s="3" t="s">
        <v>0</v>
      </c>
      <c r="B62" s="3" t="s">
        <v>67</v>
      </c>
      <c r="C62"/>
      <c r="E62" s="3" t="str">
        <f t="shared" si="0"/>
        <v>Sim</v>
      </c>
    </row>
    <row r="63" spans="1:5" x14ac:dyDescent="0.25">
      <c r="A63" s="3" t="s">
        <v>0</v>
      </c>
      <c r="B63" s="3" t="s">
        <v>67</v>
      </c>
      <c r="C63"/>
      <c r="E63" s="3" t="str">
        <f t="shared" si="0"/>
        <v>Sim</v>
      </c>
    </row>
    <row r="64" spans="1:5" x14ac:dyDescent="0.25">
      <c r="A64" s="3" t="s">
        <v>0</v>
      </c>
      <c r="B64" s="3" t="s">
        <v>67</v>
      </c>
      <c r="C64"/>
      <c r="E64" s="3" t="str">
        <f t="shared" si="0"/>
        <v>Sim</v>
      </c>
    </row>
    <row r="65" spans="1:5" x14ac:dyDescent="0.25">
      <c r="A65" s="3" t="s">
        <v>47</v>
      </c>
      <c r="B65" s="3" t="s">
        <v>67</v>
      </c>
      <c r="C65"/>
      <c r="E65" s="3" t="str">
        <f t="shared" si="0"/>
        <v>Sim</v>
      </c>
    </row>
    <row r="66" spans="1:5" x14ac:dyDescent="0.25">
      <c r="A66" s="3" t="s">
        <v>47</v>
      </c>
      <c r="B66" s="3" t="s">
        <v>67</v>
      </c>
      <c r="C66"/>
      <c r="E66" s="3" t="str">
        <f t="shared" si="0"/>
        <v>Sim</v>
      </c>
    </row>
    <row r="67" spans="1:5" x14ac:dyDescent="0.25">
      <c r="A67" s="3" t="s">
        <v>47</v>
      </c>
      <c r="B67" s="3" t="s">
        <v>67</v>
      </c>
      <c r="C67"/>
      <c r="E67" s="3" t="str">
        <f t="shared" si="0"/>
        <v>Sim</v>
      </c>
    </row>
    <row r="68" spans="1:5" x14ac:dyDescent="0.25">
      <c r="A68" s="3" t="s">
        <v>47</v>
      </c>
      <c r="B68" s="3" t="s">
        <v>67</v>
      </c>
      <c r="C68"/>
      <c r="E68" s="3" t="str">
        <f t="shared" ref="E68:E74" si="1">IF(C68=D68, "Sim", "Não")</f>
        <v>Sim</v>
      </c>
    </row>
    <row r="69" spans="1:5" x14ac:dyDescent="0.25">
      <c r="A69" s="3" t="s">
        <v>47</v>
      </c>
      <c r="B69" s="3" t="s">
        <v>67</v>
      </c>
      <c r="C69"/>
      <c r="E69" s="3" t="str">
        <f t="shared" si="1"/>
        <v>Sim</v>
      </c>
    </row>
    <row r="70" spans="1:5" x14ac:dyDescent="0.25">
      <c r="A70" s="3" t="s">
        <v>47</v>
      </c>
      <c r="B70" s="3" t="s">
        <v>67</v>
      </c>
      <c r="C70"/>
      <c r="E70" s="3" t="str">
        <f t="shared" si="1"/>
        <v>Sim</v>
      </c>
    </row>
    <row r="71" spans="1:5" x14ac:dyDescent="0.25">
      <c r="A71" s="3" t="s">
        <v>47</v>
      </c>
      <c r="B71" s="3" t="s">
        <v>67</v>
      </c>
      <c r="C71"/>
      <c r="E71" s="3" t="str">
        <f t="shared" si="1"/>
        <v>Sim</v>
      </c>
    </row>
    <row r="72" spans="1:5" x14ac:dyDescent="0.25">
      <c r="A72" s="3" t="s">
        <v>47</v>
      </c>
      <c r="B72" s="3" t="s">
        <v>67</v>
      </c>
      <c r="C72"/>
      <c r="E72" s="3" t="str">
        <f t="shared" si="1"/>
        <v>Sim</v>
      </c>
    </row>
    <row r="73" spans="1:5" x14ac:dyDescent="0.25">
      <c r="A73" s="3" t="s">
        <v>47</v>
      </c>
      <c r="B73" s="3" t="s">
        <v>67</v>
      </c>
      <c r="C73"/>
      <c r="E73" s="3" t="str">
        <f t="shared" si="1"/>
        <v>Sim</v>
      </c>
    </row>
    <row r="74" spans="1:5" x14ac:dyDescent="0.25">
      <c r="A74" s="3" t="s">
        <v>47</v>
      </c>
      <c r="B74" s="3" t="s">
        <v>67</v>
      </c>
      <c r="C74"/>
      <c r="E74" s="3" t="str">
        <f t="shared" si="1"/>
        <v>Sim</v>
      </c>
    </row>
    <row r="75" spans="1:5" x14ac:dyDescent="0.25">
      <c r="C75"/>
    </row>
    <row r="76" spans="1:5" x14ac:dyDescent="0.25">
      <c r="C76"/>
    </row>
    <row r="77" spans="1:5" x14ac:dyDescent="0.25">
      <c r="C77"/>
    </row>
    <row r="78" spans="1:5" x14ac:dyDescent="0.25">
      <c r="C78"/>
    </row>
    <row r="79" spans="1:5" x14ac:dyDescent="0.25">
      <c r="C79"/>
    </row>
    <row r="80" spans="1:5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COMPRAS</vt:lpstr>
      <vt:lpstr>Ideias</vt:lpstr>
      <vt:lpstr>Distribuição</vt:lpstr>
      <vt:lpstr>WU</vt:lpstr>
      <vt:lpstr>WR</vt:lpstr>
      <vt:lpstr>WB</vt:lpstr>
      <vt:lpstr>WG</vt:lpstr>
      <vt:lpstr>UR</vt:lpstr>
      <vt:lpstr>UB</vt:lpstr>
      <vt:lpstr>UG</vt:lpstr>
      <vt:lpstr>RB</vt:lpstr>
      <vt:lpstr>RG</vt:lpstr>
      <vt:lpstr>BG</vt:lpstr>
      <vt:lpstr>W</vt:lpstr>
      <vt:lpstr>U</vt:lpstr>
      <vt:lpstr>R</vt:lpstr>
      <vt:lpstr>B</vt:lpstr>
      <vt:lpstr>G</vt:lpstr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Fernandes Scalvi</cp:lastModifiedBy>
  <dcterms:created xsi:type="dcterms:W3CDTF">2021-12-09T15:36:16Z</dcterms:created>
  <dcterms:modified xsi:type="dcterms:W3CDTF">2026-07-28T12:49:16Z</dcterms:modified>
</cp:coreProperties>
</file>