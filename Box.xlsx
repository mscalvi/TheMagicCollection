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1AD3D481-E4AC-4735-8459-A34481FB32FF}" xr6:coauthVersionLast="47" xr6:coauthVersionMax="47" xr10:uidLastSave="{00000000-0000-0000-0000-000000000000}"/>
  <bookViews>
    <workbookView xWindow="-120" yWindow="-120" windowWidth="29040" windowHeight="15720" activeTab="1" xr2:uid="{E691B2DF-0B84-4897-BBED-FB46147BB5E9}"/>
  </bookViews>
  <sheets>
    <sheet name="Planilha1" sheetId="1" r:id="rId1"/>
    <sheet name="Planilha2" sheetId="2" r:id="rId2"/>
  </sheets>
  <definedNames>
    <definedName name="_xlnm._FilterDatabase" localSheetId="0" hidden="1">Planilha1!$A$1:$F$1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" i="2" l="1"/>
  <c r="C7" i="2"/>
  <c r="C6" i="2"/>
  <c r="B3" i="2"/>
  <c r="E3" i="2" s="1"/>
  <c r="H3" i="2" l="1"/>
  <c r="I3" i="2"/>
  <c r="G3" i="2"/>
  <c r="K3" i="2"/>
  <c r="F3" i="2"/>
  <c r="D3" i="2"/>
  <c r="J3" i="2"/>
</calcChain>
</file>

<file path=xl/sharedStrings.xml><?xml version="1.0" encoding="utf-8"?>
<sst xmlns="http://schemas.openxmlformats.org/spreadsheetml/2006/main" count="59" uniqueCount="50">
  <si>
    <t>Carta</t>
  </si>
  <si>
    <t>Data</t>
  </si>
  <si>
    <t>Valor Final</t>
  </si>
  <si>
    <t>Joined Researchers // Secret Rendezvous</t>
  </si>
  <si>
    <t>Antiquities on the Loose</t>
  </si>
  <si>
    <t>Conciliator's Duelist</t>
  </si>
  <si>
    <t>Emeritus of Conflict // Lightning Bolt</t>
  </si>
  <si>
    <t>Emeritus of Ideation // Ancestral Recall</t>
  </si>
  <si>
    <t>Emeritus of Truce // Swords to Plowshares</t>
  </si>
  <si>
    <t>Emeritus of Woe // Demonic Tutor</t>
  </si>
  <si>
    <t>Erode</t>
  </si>
  <si>
    <t>Flow State</t>
  </si>
  <si>
    <t>Growth Curve</t>
  </si>
  <si>
    <t>Improvisation Capstone</t>
  </si>
  <si>
    <t>Maelstrom Artisan // Rocket Volley</t>
  </si>
  <si>
    <t>Mathemagics</t>
  </si>
  <si>
    <t>Nita, Forum Conciliator</t>
  </si>
  <si>
    <t>Professor Dellian Fel</t>
  </si>
  <si>
    <t>Ancestral Anger</t>
  </si>
  <si>
    <t>Restoration Seminar</t>
  </si>
  <si>
    <t>Silverquill, the Disputant</t>
  </si>
  <si>
    <t>Splatter Technique</t>
  </si>
  <si>
    <t>The Dawning Archaic</t>
  </si>
  <si>
    <t>Zaffai and the Tempests</t>
  </si>
  <si>
    <t>Lorehold, the Historian</t>
  </si>
  <si>
    <t>Ral Zarek, Guest Lecturer</t>
  </si>
  <si>
    <t>Stock Up</t>
  </si>
  <si>
    <t>Flusterstorm</t>
  </si>
  <si>
    <t>Valor Venda</t>
  </si>
  <si>
    <t>Valor Drop</t>
  </si>
  <si>
    <t>Berta, Wise Extrapolator</t>
  </si>
  <si>
    <t>Colorstorm Stallion</t>
  </si>
  <si>
    <t>Valor Hoje</t>
  </si>
  <si>
    <t>Culling the Weak</t>
  </si>
  <si>
    <t>Planar Engineering</t>
  </si>
  <si>
    <t>Vampiric Tutor</t>
  </si>
  <si>
    <t>Marcelo</t>
  </si>
  <si>
    <t>Pessoas</t>
  </si>
  <si>
    <t>Vivian</t>
  </si>
  <si>
    <t>Hamster</t>
  </si>
  <si>
    <t>Dexter</t>
  </si>
  <si>
    <t>Talita</t>
  </si>
  <si>
    <t>João</t>
  </si>
  <si>
    <t>Castor</t>
  </si>
  <si>
    <t>Philips</t>
  </si>
  <si>
    <t>Total</t>
  </si>
  <si>
    <t>Por Pessoa</t>
  </si>
  <si>
    <t>Pago</t>
  </si>
  <si>
    <t>Faltam</t>
  </si>
  <si>
    <t>Vendas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</si>
</sst>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66E46-C397-4014-AF84-E59ED1A54D7C}">
  <dimension ref="A1:F37"/>
  <sheetViews>
    <sheetView workbookViewId="0">
      <selection activeCell="F37" sqref="A1:F37"/>
    </sheetView>
  </sheetViews>
  <sheetFormatPr defaultRowHeight="15" x14ac:dyDescent="0.25"/>
  <cols>
    <col min="1" max="1" width="37.28515625" bestFit="1" customWidth="1"/>
    <col min="2" max="6" width="13" style="1" customWidth="1"/>
  </cols>
  <sheetData>
    <row r="1" spans="1:6" x14ac:dyDescent="0.25">
      <c r="A1" t="s">
        <v>0</v>
      </c>
      <c r="B1" s="1" t="s">
        <v>29</v>
      </c>
      <c r="C1" s="1" t="s">
        <v>2</v>
      </c>
      <c r="D1" s="1" t="s">
        <v>28</v>
      </c>
      <c r="E1" s="1" t="s">
        <v>32</v>
      </c>
      <c r="F1" s="1" t="s">
        <v>1</v>
      </c>
    </row>
    <row r="2" spans="1:6" x14ac:dyDescent="0.25">
      <c r="A2" t="s">
        <v>18</v>
      </c>
      <c r="B2" s="3">
        <v>0.4</v>
      </c>
      <c r="C2" s="3"/>
      <c r="D2" s="3"/>
      <c r="E2" s="3"/>
    </row>
    <row r="3" spans="1:6" x14ac:dyDescent="0.25">
      <c r="A3" t="s">
        <v>4</v>
      </c>
      <c r="B3" s="3">
        <v>3.49</v>
      </c>
      <c r="C3" s="3"/>
      <c r="D3" s="3"/>
      <c r="E3" s="3"/>
    </row>
    <row r="4" spans="1:6" x14ac:dyDescent="0.25">
      <c r="A4" t="s">
        <v>30</v>
      </c>
      <c r="B4" s="3">
        <v>5.98</v>
      </c>
      <c r="C4" s="3">
        <v>5.98</v>
      </c>
      <c r="D4" s="3">
        <v>5</v>
      </c>
      <c r="E4" s="3"/>
      <c r="F4" s="2">
        <v>46139</v>
      </c>
    </row>
    <row r="5" spans="1:6" x14ac:dyDescent="0.25">
      <c r="A5" t="s">
        <v>31</v>
      </c>
      <c r="B5" s="3">
        <v>3.98</v>
      </c>
      <c r="C5" s="3">
        <v>3.98</v>
      </c>
      <c r="D5" s="3">
        <v>3</v>
      </c>
      <c r="E5" s="3"/>
      <c r="F5" s="2">
        <v>46139</v>
      </c>
    </row>
    <row r="6" spans="1:6" x14ac:dyDescent="0.25">
      <c r="A6" t="s">
        <v>5</v>
      </c>
      <c r="B6" s="3">
        <v>0.98</v>
      </c>
      <c r="C6" s="3"/>
      <c r="D6" s="3"/>
      <c r="E6" s="3"/>
    </row>
    <row r="7" spans="1:6" x14ac:dyDescent="0.25">
      <c r="A7" t="s">
        <v>5</v>
      </c>
      <c r="B7" s="3">
        <v>0.98</v>
      </c>
      <c r="C7" s="3">
        <v>0.98</v>
      </c>
      <c r="D7" s="3">
        <v>1</v>
      </c>
      <c r="E7" s="3"/>
      <c r="F7" s="2">
        <v>46139</v>
      </c>
    </row>
    <row r="8" spans="1:6" x14ac:dyDescent="0.25">
      <c r="A8" t="s">
        <v>33</v>
      </c>
      <c r="B8" s="3">
        <v>35</v>
      </c>
      <c r="C8" s="3"/>
      <c r="D8" s="3"/>
      <c r="E8" s="3"/>
    </row>
    <row r="9" spans="1:6" x14ac:dyDescent="0.25">
      <c r="A9" t="s">
        <v>6</v>
      </c>
      <c r="B9" s="3">
        <v>52.9</v>
      </c>
      <c r="C9" s="3"/>
      <c r="D9" s="3"/>
      <c r="E9" s="3"/>
    </row>
    <row r="10" spans="1:6" x14ac:dyDescent="0.25">
      <c r="A10" t="s">
        <v>7</v>
      </c>
      <c r="B10" s="3">
        <v>139.9</v>
      </c>
      <c r="C10" s="3"/>
      <c r="D10" s="3"/>
      <c r="E10" s="3"/>
    </row>
    <row r="11" spans="1:6" x14ac:dyDescent="0.25">
      <c r="A11" t="s">
        <v>8</v>
      </c>
      <c r="B11" s="3">
        <v>95</v>
      </c>
      <c r="C11" s="3"/>
      <c r="D11" s="3"/>
      <c r="E11" s="3"/>
    </row>
    <row r="12" spans="1:6" x14ac:dyDescent="0.25">
      <c r="A12" t="s">
        <v>9</v>
      </c>
      <c r="B12" s="3">
        <v>134.9</v>
      </c>
      <c r="C12" s="3"/>
      <c r="D12" s="3"/>
      <c r="E12" s="3"/>
    </row>
    <row r="13" spans="1:6" x14ac:dyDescent="0.25">
      <c r="A13" t="s">
        <v>10</v>
      </c>
      <c r="B13" s="3">
        <v>53.33</v>
      </c>
      <c r="C13" s="3"/>
      <c r="D13" s="3"/>
      <c r="E13" s="3"/>
    </row>
    <row r="14" spans="1:6" x14ac:dyDescent="0.25">
      <c r="A14" t="s">
        <v>11</v>
      </c>
      <c r="B14" s="3">
        <v>28</v>
      </c>
      <c r="C14" s="3"/>
      <c r="D14" s="3"/>
      <c r="E14" s="3"/>
    </row>
    <row r="15" spans="1:6" x14ac:dyDescent="0.25">
      <c r="A15" t="s">
        <v>11</v>
      </c>
      <c r="B15" s="3">
        <v>28</v>
      </c>
      <c r="C15" s="3"/>
      <c r="D15" s="3"/>
      <c r="E15" s="3"/>
    </row>
    <row r="16" spans="1:6" x14ac:dyDescent="0.25">
      <c r="A16" t="s">
        <v>11</v>
      </c>
      <c r="B16" s="3">
        <v>28</v>
      </c>
      <c r="C16" s="3"/>
      <c r="D16" s="3"/>
      <c r="E16" s="3"/>
    </row>
    <row r="17" spans="1:6" x14ac:dyDescent="0.25">
      <c r="A17" t="s">
        <v>27</v>
      </c>
      <c r="B17" s="3">
        <v>37.9</v>
      </c>
      <c r="C17" s="3"/>
      <c r="D17" s="3"/>
      <c r="E17" s="3"/>
    </row>
    <row r="18" spans="1:6" x14ac:dyDescent="0.25">
      <c r="A18" t="s">
        <v>12</v>
      </c>
      <c r="B18" s="3">
        <v>0.56000000000000005</v>
      </c>
      <c r="C18" s="3"/>
      <c r="D18" s="3"/>
      <c r="E18" s="3"/>
    </row>
    <row r="19" spans="1:6" x14ac:dyDescent="0.25">
      <c r="A19" t="s">
        <v>13</v>
      </c>
      <c r="B19" s="3">
        <v>33</v>
      </c>
      <c r="C19" s="3"/>
      <c r="D19" s="3"/>
      <c r="E19" s="3"/>
    </row>
    <row r="20" spans="1:6" x14ac:dyDescent="0.25">
      <c r="A20" t="s">
        <v>13</v>
      </c>
      <c r="B20" s="3">
        <v>33</v>
      </c>
      <c r="C20" s="3">
        <v>30</v>
      </c>
      <c r="D20" s="3">
        <v>28</v>
      </c>
      <c r="E20" s="3"/>
      <c r="F20" s="2">
        <v>46139</v>
      </c>
    </row>
    <row r="21" spans="1:6" x14ac:dyDescent="0.25">
      <c r="A21" t="s">
        <v>3</v>
      </c>
      <c r="B21" s="3">
        <v>5.85</v>
      </c>
      <c r="C21" s="3">
        <v>5.85</v>
      </c>
      <c r="D21" s="3">
        <v>5.4</v>
      </c>
      <c r="E21" s="3"/>
      <c r="F21" s="2">
        <v>46141</v>
      </c>
    </row>
    <row r="22" spans="1:6" x14ac:dyDescent="0.25">
      <c r="A22" t="s">
        <v>24</v>
      </c>
      <c r="B22" s="3">
        <v>267</v>
      </c>
      <c r="C22" s="3"/>
      <c r="D22" s="3"/>
      <c r="E22" s="3"/>
    </row>
    <row r="23" spans="1:6" x14ac:dyDescent="0.25">
      <c r="A23" t="s">
        <v>14</v>
      </c>
      <c r="B23" s="3">
        <v>6.9</v>
      </c>
      <c r="C23" s="3"/>
      <c r="D23" s="3"/>
      <c r="E23" s="3"/>
    </row>
    <row r="24" spans="1:6" x14ac:dyDescent="0.25">
      <c r="A24" t="s">
        <v>15</v>
      </c>
      <c r="B24" s="3">
        <v>39.799999999999997</v>
      </c>
      <c r="C24" s="3"/>
      <c r="D24" s="3"/>
      <c r="E24" s="3"/>
    </row>
    <row r="25" spans="1:6" x14ac:dyDescent="0.25">
      <c r="A25" t="s">
        <v>16</v>
      </c>
      <c r="B25" s="3">
        <v>6.5</v>
      </c>
      <c r="C25" s="3"/>
      <c r="D25" s="3"/>
      <c r="E25" s="3"/>
    </row>
    <row r="26" spans="1:6" x14ac:dyDescent="0.25">
      <c r="A26" t="s">
        <v>34</v>
      </c>
      <c r="B26" s="3">
        <v>21.99</v>
      </c>
      <c r="C26" s="3"/>
      <c r="D26" s="3"/>
      <c r="E26" s="3"/>
    </row>
    <row r="27" spans="1:6" x14ac:dyDescent="0.25">
      <c r="A27" t="s">
        <v>17</v>
      </c>
      <c r="B27" s="3">
        <v>55.33</v>
      </c>
      <c r="C27" s="3"/>
      <c r="D27" s="3"/>
      <c r="E27" s="3"/>
    </row>
    <row r="28" spans="1:6" x14ac:dyDescent="0.25">
      <c r="A28" t="s">
        <v>25</v>
      </c>
      <c r="B28" s="3">
        <v>84.75</v>
      </c>
      <c r="C28" s="3"/>
      <c r="D28" s="3"/>
      <c r="E28" s="3"/>
    </row>
    <row r="29" spans="1:6" x14ac:dyDescent="0.25">
      <c r="A29" t="s">
        <v>19</v>
      </c>
      <c r="B29" s="3">
        <v>63.4</v>
      </c>
      <c r="C29" s="3"/>
      <c r="D29" s="3"/>
      <c r="E29" s="3"/>
    </row>
    <row r="30" spans="1:6" x14ac:dyDescent="0.25">
      <c r="A30" t="s">
        <v>19</v>
      </c>
      <c r="B30" s="3">
        <v>29.16</v>
      </c>
      <c r="C30" s="3"/>
      <c r="D30" s="3"/>
      <c r="E30" s="3"/>
    </row>
    <row r="31" spans="1:6" x14ac:dyDescent="0.25">
      <c r="A31" t="s">
        <v>20</v>
      </c>
      <c r="B31" s="3">
        <v>48.89</v>
      </c>
      <c r="C31" s="3"/>
      <c r="D31" s="3"/>
      <c r="E31" s="3"/>
    </row>
    <row r="32" spans="1:6" x14ac:dyDescent="0.25">
      <c r="A32" t="s">
        <v>21</v>
      </c>
      <c r="B32" s="3">
        <v>3.5</v>
      </c>
      <c r="C32" s="3"/>
      <c r="D32" s="3"/>
      <c r="E32" s="3"/>
    </row>
    <row r="33" spans="1:6" x14ac:dyDescent="0.25">
      <c r="A33" t="s">
        <v>26</v>
      </c>
      <c r="B33" s="3">
        <v>24.2</v>
      </c>
      <c r="C33" s="3"/>
      <c r="D33" s="3"/>
      <c r="E33" s="3"/>
    </row>
    <row r="34" spans="1:6" x14ac:dyDescent="0.25">
      <c r="A34" t="s">
        <v>26</v>
      </c>
      <c r="B34" s="3">
        <v>24.2</v>
      </c>
      <c r="C34" s="3"/>
      <c r="D34" s="3"/>
      <c r="E34" s="3"/>
    </row>
    <row r="35" spans="1:6" x14ac:dyDescent="0.25">
      <c r="A35" t="s">
        <v>22</v>
      </c>
      <c r="B35" s="3">
        <v>48</v>
      </c>
      <c r="C35" s="3"/>
      <c r="D35" s="3"/>
      <c r="E35" s="3"/>
    </row>
    <row r="36" spans="1:6" x14ac:dyDescent="0.25">
      <c r="A36" t="s">
        <v>35</v>
      </c>
      <c r="B36" s="3">
        <v>649</v>
      </c>
      <c r="C36" s="3">
        <v>630</v>
      </c>
      <c r="D36" s="3">
        <v>600</v>
      </c>
      <c r="E36" s="3"/>
      <c r="F36" s="2">
        <v>46150</v>
      </c>
    </row>
    <row r="37" spans="1:6" x14ac:dyDescent="0.25">
      <c r="A37" t="s">
        <v>23</v>
      </c>
      <c r="B37" s="3">
        <v>4.42</v>
      </c>
      <c r="C37" s="3"/>
      <c r="D37" s="3"/>
      <c r="E37" s="3"/>
    </row>
  </sheetData>
  <autoFilter ref="A1:F1" xr:uid="{43166E46-C397-4014-AF84-E59ED1A54D7C}">
    <sortState xmlns:xlrd2="http://schemas.microsoft.com/office/spreadsheetml/2017/richdata2" ref="A2:F37">
      <sortCondition ref="A1"/>
    </sortState>
  </autoFilter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ECFB0-024E-43AC-9C9D-6CD7AD46EEA3}">
  <dimension ref="A1:K8"/>
  <sheetViews>
    <sheetView tabSelected="1" workbookViewId="0">
      <selection activeCell="C8" sqref="C8"/>
    </sheetView>
  </sheetViews>
  <sheetFormatPr defaultRowHeight="15" x14ac:dyDescent="0.25"/>
  <cols>
    <col min="1" max="1" width="10.85546875" style="1" bestFit="1" customWidth="1"/>
    <col min="2" max="2" width="9.140625" style="1"/>
    <col min="3" max="3" width="14.5703125" style="1" customWidth="1"/>
    <col min="4" max="16384" width="9.140625" style="1"/>
  </cols>
  <sheetData>
    <row r="1" spans="1:11" x14ac:dyDescent="0.25">
      <c r="A1" s="1" t="s">
        <v>37</v>
      </c>
      <c r="B1" s="1">
        <v>8</v>
      </c>
      <c r="D1" s="1" t="s">
        <v>36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  <c r="K1" s="1" t="s">
        <v>44</v>
      </c>
    </row>
    <row r="2" spans="1:11" x14ac:dyDescent="0.25">
      <c r="A2" s="1" t="s">
        <v>45</v>
      </c>
      <c r="B2" s="1">
        <v>1962.41</v>
      </c>
      <c r="C2" s="1" t="s">
        <v>47</v>
      </c>
      <c r="D2" s="4">
        <v>245.3</v>
      </c>
      <c r="E2" s="4">
        <v>245.3</v>
      </c>
      <c r="F2" s="4">
        <v>259.47000000000003</v>
      </c>
      <c r="G2" s="4">
        <v>245.63</v>
      </c>
      <c r="H2" s="4">
        <v>245.63</v>
      </c>
      <c r="I2" s="4">
        <v>104</v>
      </c>
      <c r="J2" s="4">
        <v>259.47000000000003</v>
      </c>
      <c r="K2" s="4">
        <v>259.47000000000003</v>
      </c>
    </row>
    <row r="3" spans="1:11" x14ac:dyDescent="0.25">
      <c r="A3" s="1" t="s">
        <v>46</v>
      </c>
      <c r="B3" s="4">
        <f>B2/B1</f>
        <v>245.30125000000001</v>
      </c>
      <c r="C3" s="1" t="s">
        <v>48</v>
      </c>
      <c r="D3" s="4">
        <f>D2-$B$3</f>
        <v>-1.2499999999988631E-3</v>
      </c>
      <c r="E3" s="4">
        <f>E2-$B$3</f>
        <v>-1.2499999999988631E-3</v>
      </c>
      <c r="F3" s="4">
        <f>F2-$B$3</f>
        <v>14.168750000000017</v>
      </c>
      <c r="G3" s="4">
        <f>G2-$B$3</f>
        <v>0.32874999999998522</v>
      </c>
      <c r="H3" s="4">
        <f>H2-$B$3</f>
        <v>0.32874999999998522</v>
      </c>
      <c r="I3" s="4">
        <f>I2-$B$3</f>
        <v>-141.30125000000001</v>
      </c>
      <c r="J3" s="4">
        <f>J2-$B$3</f>
        <v>14.168750000000017</v>
      </c>
      <c r="K3" s="4">
        <f>K2-$B$3</f>
        <v>14.168750000000017</v>
      </c>
    </row>
    <row r="5" spans="1:11" x14ac:dyDescent="0.25">
      <c r="A5" s="1" t="s">
        <v>49</v>
      </c>
    </row>
    <row r="6" spans="1:11" x14ac:dyDescent="0.25">
      <c r="A6" s="1" t="s">
        <v>44</v>
      </c>
      <c r="B6" s="1">
        <v>600</v>
      </c>
      <c r="C6" s="1">
        <f>B6/8</f>
        <v>75</v>
      </c>
    </row>
    <row r="7" spans="1:11" x14ac:dyDescent="0.25">
      <c r="A7" s="1" t="s">
        <v>36</v>
      </c>
      <c r="B7" s="1">
        <v>42.4</v>
      </c>
      <c r="C7" s="1">
        <f>B7/8</f>
        <v>5.3</v>
      </c>
    </row>
    <row r="8" spans="1:11" x14ac:dyDescent="0.25">
      <c r="A8" s="1" t="s">
        <v>40</v>
      </c>
      <c r="B8" s="1">
        <v>18</v>
      </c>
      <c r="C8" s="1">
        <f>B8/8</f>
        <v>2.25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2026-04-29T18:30:59Z</dcterms:created>
  <dcterms:modified xsi:type="dcterms:W3CDTF">2026-05-08T15:49:00Z</dcterms:modified>
</cp:coreProperties>
</file>