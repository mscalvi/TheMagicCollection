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Terceiros\"/>
    </mc:Choice>
  </mc:AlternateContent>
  <xr:revisionPtr revIDLastSave="0" documentId="13_ncr:1_{0AA20982-C94B-42CB-907C-BF7867ED76AF}" xr6:coauthVersionLast="47" xr6:coauthVersionMax="47" xr10:uidLastSave="{00000000-0000-0000-0000-000000000000}"/>
  <bookViews>
    <workbookView xWindow="-120" yWindow="-120" windowWidth="20730" windowHeight="11160" tabRatio="626" activeTab="4" xr2:uid="{CC72415A-D2E5-4D77-82BF-05A7B4384BC9}"/>
  </bookViews>
  <sheets>
    <sheet name="Modelo" sheetId="22" r:id="rId1"/>
    <sheet name="Gishath" sheetId="61" r:id="rId2"/>
    <sheet name="Pé" sheetId="58" r:id="rId3"/>
    <sheet name="Animar" sheetId="45" r:id="rId4"/>
    <sheet name="Go-Shintai" sheetId="48" r:id="rId5"/>
    <sheet name="Fblthp" sheetId="6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62" l="1"/>
  <c r="G11" i="62"/>
  <c r="D100" i="62"/>
  <c r="D99" i="62"/>
  <c r="D98" i="62"/>
  <c r="D97" i="62"/>
  <c r="D96" i="62"/>
  <c r="D95" i="62"/>
  <c r="D94" i="62"/>
  <c r="D93" i="62"/>
  <c r="D92" i="62"/>
  <c r="D91" i="62"/>
  <c r="D90" i="62"/>
  <c r="D89" i="62"/>
  <c r="D88" i="62"/>
  <c r="D87" i="62"/>
  <c r="D86" i="62"/>
  <c r="D85" i="62"/>
  <c r="D84" i="62"/>
  <c r="D83" i="62"/>
  <c r="D82" i="62"/>
  <c r="D81" i="62"/>
  <c r="D80" i="62"/>
  <c r="D79" i="62"/>
  <c r="D78" i="62"/>
  <c r="D77" i="62"/>
  <c r="D76" i="62"/>
  <c r="D75" i="62"/>
  <c r="D74" i="62"/>
  <c r="D73" i="62"/>
  <c r="D72" i="62"/>
  <c r="D71" i="62"/>
  <c r="D70" i="62"/>
  <c r="D69" i="62"/>
  <c r="D68" i="62"/>
  <c r="D67" i="62"/>
  <c r="D66" i="62"/>
  <c r="D65" i="62"/>
  <c r="D64" i="62"/>
  <c r="D63" i="62"/>
  <c r="D62" i="62"/>
  <c r="D61" i="62"/>
  <c r="D60" i="62"/>
  <c r="D59" i="62"/>
  <c r="D58" i="62"/>
  <c r="D57" i="62"/>
  <c r="D56" i="62"/>
  <c r="D55" i="62"/>
  <c r="D54" i="62"/>
  <c r="D53" i="62"/>
  <c r="D52" i="62"/>
  <c r="D51" i="62"/>
  <c r="D50" i="62"/>
  <c r="D49" i="62"/>
  <c r="D48" i="62"/>
  <c r="D47" i="62"/>
  <c r="D46" i="62"/>
  <c r="D45" i="62"/>
  <c r="D44" i="62"/>
  <c r="D43" i="62"/>
  <c r="D42" i="62"/>
  <c r="D41" i="62"/>
  <c r="D40" i="62"/>
  <c r="D39" i="62"/>
  <c r="D38" i="62"/>
  <c r="D37" i="62"/>
  <c r="D36" i="62"/>
  <c r="D35" i="62"/>
  <c r="D34" i="62"/>
  <c r="D33" i="62"/>
  <c r="D32" i="62"/>
  <c r="D31" i="62"/>
  <c r="D30" i="62"/>
  <c r="D29" i="62"/>
  <c r="D28" i="62"/>
  <c r="D27" i="62"/>
  <c r="D26" i="62"/>
  <c r="D25" i="62"/>
  <c r="D24" i="62"/>
  <c r="D23" i="62"/>
  <c r="D22" i="62"/>
  <c r="D21" i="62"/>
  <c r="D20" i="62"/>
  <c r="D19" i="62"/>
  <c r="D18" i="62"/>
  <c r="D17" i="62"/>
  <c r="D16" i="62"/>
  <c r="D15" i="62"/>
  <c r="D14" i="62"/>
  <c r="D13" i="62"/>
  <c r="D12" i="62"/>
  <c r="D11" i="62"/>
  <c r="G10" i="62"/>
  <c r="D10" i="62"/>
  <c r="G9" i="62"/>
  <c r="D9" i="62"/>
  <c r="G8" i="62"/>
  <c r="D8" i="62"/>
  <c r="G7" i="62"/>
  <c r="D7" i="62"/>
  <c r="D6" i="62"/>
  <c r="D5" i="62"/>
  <c r="D4" i="62"/>
  <c r="D3" i="62"/>
  <c r="D36" i="58"/>
  <c r="D37" i="58"/>
  <c r="D38" i="58"/>
  <c r="G12" i="61"/>
  <c r="D101" i="61"/>
  <c r="D100" i="61"/>
  <c r="D99" i="61"/>
  <c r="D98" i="61"/>
  <c r="D97" i="61"/>
  <c r="D96" i="61"/>
  <c r="D95" i="61"/>
  <c r="D94" i="61"/>
  <c r="D93" i="61"/>
  <c r="D92" i="61"/>
  <c r="D91" i="61"/>
  <c r="D90" i="61"/>
  <c r="D89" i="61"/>
  <c r="D88" i="61"/>
  <c r="D87" i="61"/>
  <c r="D86" i="61"/>
  <c r="D85" i="61"/>
  <c r="D84" i="61"/>
  <c r="D83" i="61"/>
  <c r="D82" i="61"/>
  <c r="D81" i="61"/>
  <c r="D80" i="61"/>
  <c r="D79" i="61"/>
  <c r="D78" i="61"/>
  <c r="D77" i="61"/>
  <c r="D76" i="61"/>
  <c r="D75" i="61"/>
  <c r="D74" i="61"/>
  <c r="D73" i="61"/>
  <c r="D72" i="61"/>
  <c r="D71" i="61"/>
  <c r="D70" i="61"/>
  <c r="D69" i="61"/>
  <c r="D68" i="61"/>
  <c r="D67" i="61"/>
  <c r="D66" i="61"/>
  <c r="D65" i="61"/>
  <c r="D64" i="61"/>
  <c r="D63" i="61"/>
  <c r="D62" i="61"/>
  <c r="D61" i="61"/>
  <c r="D60" i="61"/>
  <c r="D59" i="61"/>
  <c r="D58" i="61"/>
  <c r="D57" i="61"/>
  <c r="D56" i="61"/>
  <c r="D55" i="61"/>
  <c r="D54" i="61"/>
  <c r="D53" i="61"/>
  <c r="D52" i="61"/>
  <c r="D51" i="61"/>
  <c r="D50" i="61"/>
  <c r="D49" i="61"/>
  <c r="D48" i="61"/>
  <c r="D47" i="61"/>
  <c r="D46" i="61"/>
  <c r="D45" i="61"/>
  <c r="D44" i="61"/>
  <c r="D43" i="61"/>
  <c r="D42" i="61"/>
  <c r="D41" i="61"/>
  <c r="D40" i="61"/>
  <c r="D39" i="61"/>
  <c r="D38" i="61"/>
  <c r="D37" i="61"/>
  <c r="D36" i="61"/>
  <c r="D35" i="61"/>
  <c r="D34" i="61"/>
  <c r="D33" i="61"/>
  <c r="D32" i="61"/>
  <c r="D31" i="61"/>
  <c r="D30" i="61"/>
  <c r="D29" i="61"/>
  <c r="D28" i="61"/>
  <c r="D27" i="61"/>
  <c r="D26" i="61"/>
  <c r="D25" i="61"/>
  <c r="D24" i="61"/>
  <c r="D23" i="61"/>
  <c r="D22" i="61"/>
  <c r="D21" i="61"/>
  <c r="D20" i="61"/>
  <c r="D19" i="61"/>
  <c r="D18" i="61"/>
  <c r="D17" i="61"/>
  <c r="D16" i="61"/>
  <c r="D15" i="61"/>
  <c r="D14" i="61"/>
  <c r="D13" i="61"/>
  <c r="D12" i="61"/>
  <c r="G11" i="61"/>
  <c r="D11" i="61"/>
  <c r="G10" i="61"/>
  <c r="D10" i="61"/>
  <c r="G9" i="61"/>
  <c r="D9" i="61"/>
  <c r="G8" i="61"/>
  <c r="D8" i="61"/>
  <c r="G7" i="61"/>
  <c r="D7" i="61"/>
  <c r="D6" i="61"/>
  <c r="D5" i="61"/>
  <c r="D4" i="61"/>
  <c r="D3" i="61"/>
  <c r="D90" i="58"/>
  <c r="D91" i="58"/>
  <c r="D92" i="58"/>
  <c r="D93" i="58"/>
  <c r="D94" i="58"/>
  <c r="D95" i="58"/>
  <c r="D96" i="58"/>
  <c r="D97" i="58"/>
  <c r="D98" i="58"/>
  <c r="D99" i="58"/>
  <c r="D100" i="58"/>
  <c r="D101" i="58"/>
  <c r="D4" i="58"/>
  <c r="D5" i="58"/>
  <c r="D6" i="58"/>
  <c r="D7" i="58"/>
  <c r="D8" i="58"/>
  <c r="D9" i="58"/>
  <c r="D10" i="58"/>
  <c r="D11" i="58"/>
  <c r="D12" i="58"/>
  <c r="D13" i="58"/>
  <c r="D14" i="58"/>
  <c r="D15" i="58"/>
  <c r="D16" i="58"/>
  <c r="D17" i="58"/>
  <c r="D18" i="58"/>
  <c r="D19" i="58"/>
  <c r="D20" i="58"/>
  <c r="D21" i="58"/>
  <c r="D22" i="58"/>
  <c r="D23" i="58"/>
  <c r="D24" i="58"/>
  <c r="D25" i="58"/>
  <c r="D26" i="58"/>
  <c r="D27" i="58"/>
  <c r="D28" i="58"/>
  <c r="D29" i="58"/>
  <c r="D30" i="58"/>
  <c r="D31" i="58"/>
  <c r="D32" i="58"/>
  <c r="D33" i="58"/>
  <c r="D34" i="58"/>
  <c r="D35" i="58"/>
  <c r="D39" i="58"/>
  <c r="D40" i="58"/>
  <c r="D41" i="58"/>
  <c r="D42" i="58"/>
  <c r="D43" i="58"/>
  <c r="D44" i="58"/>
  <c r="D45" i="58"/>
  <c r="D46" i="58"/>
  <c r="D47" i="58"/>
  <c r="D48" i="58"/>
  <c r="D49" i="58"/>
  <c r="D50" i="58"/>
  <c r="D51" i="58"/>
  <c r="D52" i="58"/>
  <c r="D53" i="58"/>
  <c r="D54" i="58"/>
  <c r="D55" i="58"/>
  <c r="D56" i="58"/>
  <c r="D57" i="58"/>
  <c r="D58" i="58"/>
  <c r="D59" i="58"/>
  <c r="D60" i="58"/>
  <c r="D61" i="58"/>
  <c r="D62" i="58"/>
  <c r="D63" i="58"/>
  <c r="D64" i="58"/>
  <c r="D65" i="58"/>
  <c r="D66" i="58"/>
  <c r="D67" i="58"/>
  <c r="D68" i="58"/>
  <c r="D69" i="58"/>
  <c r="D70" i="58"/>
  <c r="D71" i="58"/>
  <c r="D72" i="58"/>
  <c r="D73" i="58"/>
  <c r="D74" i="58"/>
  <c r="D75" i="58"/>
  <c r="D76" i="58"/>
  <c r="D77" i="58"/>
  <c r="D78" i="58"/>
  <c r="D79" i="58"/>
  <c r="D80" i="58"/>
  <c r="D81" i="58"/>
  <c r="D82" i="58"/>
  <c r="D83" i="58"/>
  <c r="D84" i="58"/>
  <c r="D85" i="58"/>
  <c r="D86" i="58"/>
  <c r="D87" i="58"/>
  <c r="D88" i="58"/>
  <c r="D89" i="58"/>
  <c r="G3" i="62" l="1"/>
  <c r="G4" i="62"/>
  <c r="G3" i="61"/>
  <c r="G4" i="61"/>
  <c r="G12" i="58"/>
  <c r="G11" i="58"/>
  <c r="G10" i="58"/>
  <c r="G9" i="58"/>
  <c r="G8" i="58"/>
  <c r="G7" i="58"/>
  <c r="D3" i="58"/>
  <c r="G3" i="58" s="1"/>
  <c r="G4" i="58" l="1"/>
  <c r="D101" i="48" l="1"/>
  <c r="G13" i="48"/>
  <c r="D100" i="48"/>
  <c r="D99" i="48"/>
  <c r="D98" i="48"/>
  <c r="D97" i="48"/>
  <c r="D96" i="48"/>
  <c r="D95" i="48"/>
  <c r="D94" i="48"/>
  <c r="D93" i="48"/>
  <c r="D92" i="48"/>
  <c r="D91" i="48"/>
  <c r="D90" i="48"/>
  <c r="D89" i="48"/>
  <c r="D88" i="48"/>
  <c r="D87" i="48"/>
  <c r="D86" i="48"/>
  <c r="D85" i="48"/>
  <c r="D84" i="48"/>
  <c r="D83" i="48"/>
  <c r="D82" i="48"/>
  <c r="D81" i="48"/>
  <c r="D80" i="48"/>
  <c r="D79" i="48"/>
  <c r="D78" i="48"/>
  <c r="D77" i="48"/>
  <c r="D76" i="48"/>
  <c r="D75" i="48"/>
  <c r="D74" i="48"/>
  <c r="D73" i="48"/>
  <c r="D72" i="48"/>
  <c r="D71" i="48"/>
  <c r="D70" i="48"/>
  <c r="D69" i="48"/>
  <c r="D68" i="48"/>
  <c r="D67" i="48"/>
  <c r="D66" i="48"/>
  <c r="D65" i="48"/>
  <c r="D64" i="48"/>
  <c r="D63" i="48"/>
  <c r="D62" i="48"/>
  <c r="D61" i="48"/>
  <c r="D60" i="48"/>
  <c r="D59" i="48"/>
  <c r="D58" i="48"/>
  <c r="D57" i="48"/>
  <c r="D56" i="48"/>
  <c r="D55" i="48"/>
  <c r="D54" i="48"/>
  <c r="D53" i="48"/>
  <c r="D52" i="48"/>
  <c r="D51" i="48"/>
  <c r="D50" i="48"/>
  <c r="D49" i="48"/>
  <c r="D48" i="48"/>
  <c r="D47" i="48"/>
  <c r="D46" i="48"/>
  <c r="D45" i="48"/>
  <c r="D44" i="48"/>
  <c r="D43" i="48"/>
  <c r="D42" i="48"/>
  <c r="D41" i="48"/>
  <c r="D40" i="48"/>
  <c r="D39" i="48"/>
  <c r="D38" i="48"/>
  <c r="D37" i="48"/>
  <c r="D36" i="48"/>
  <c r="D35" i="48"/>
  <c r="D34" i="48"/>
  <c r="D33" i="48"/>
  <c r="D32" i="48"/>
  <c r="D31" i="48"/>
  <c r="D30" i="48"/>
  <c r="D29" i="48"/>
  <c r="D28" i="48"/>
  <c r="D27" i="48"/>
  <c r="D26" i="48"/>
  <c r="D25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G12" i="48"/>
  <c r="D12" i="48"/>
  <c r="G11" i="48"/>
  <c r="D11" i="48"/>
  <c r="G10" i="48"/>
  <c r="D10" i="48"/>
  <c r="G9" i="48"/>
  <c r="D9" i="48"/>
  <c r="G8" i="48"/>
  <c r="D8" i="48"/>
  <c r="G7" i="48"/>
  <c r="D7" i="48"/>
  <c r="D6" i="48"/>
  <c r="D5" i="48"/>
  <c r="D4" i="48"/>
  <c r="D3" i="48"/>
  <c r="G3" i="48" l="1"/>
  <c r="G4" i="48"/>
  <c r="D64" i="45"/>
  <c r="D50" i="45"/>
  <c r="D99" i="45"/>
  <c r="D89" i="45"/>
  <c r="D76" i="45"/>
  <c r="D56" i="45"/>
  <c r="D80" i="45"/>
  <c r="D90" i="45"/>
  <c r="D91" i="45"/>
  <c r="D92" i="45"/>
  <c r="D93" i="45"/>
  <c r="D94" i="45"/>
  <c r="D95" i="45"/>
  <c r="D96" i="45"/>
  <c r="D97" i="45"/>
  <c r="D98" i="45"/>
  <c r="D100" i="45"/>
  <c r="D60" i="45"/>
  <c r="D61" i="45"/>
  <c r="D62" i="45"/>
  <c r="D63" i="45"/>
  <c r="D65" i="45"/>
  <c r="D66" i="45"/>
  <c r="D67" i="45"/>
  <c r="D68" i="45"/>
  <c r="D69" i="45"/>
  <c r="D70" i="45"/>
  <c r="D71" i="45"/>
  <c r="D72" i="45"/>
  <c r="D73" i="45"/>
  <c r="D74" i="45"/>
  <c r="D75" i="45"/>
  <c r="D78" i="45"/>
  <c r="D79" i="45"/>
  <c r="D81" i="45"/>
  <c r="D82" i="45"/>
  <c r="D83" i="45"/>
  <c r="D84" i="45"/>
  <c r="D85" i="45"/>
  <c r="D86" i="45"/>
  <c r="D87" i="45"/>
  <c r="D88" i="45"/>
  <c r="D77" i="45"/>
  <c r="D101" i="45"/>
  <c r="G14" i="45"/>
  <c r="D59" i="45"/>
  <c r="D58" i="45"/>
  <c r="D57" i="45"/>
  <c r="D55" i="45"/>
  <c r="D54" i="45"/>
  <c r="D53" i="45"/>
  <c r="D52" i="45"/>
  <c r="D51" i="45"/>
  <c r="D49" i="45"/>
  <c r="D48" i="45"/>
  <c r="D47" i="45"/>
  <c r="D46" i="45"/>
  <c r="D45" i="45"/>
  <c r="D44" i="45"/>
  <c r="D43" i="45"/>
  <c r="D42" i="45"/>
  <c r="D41" i="45"/>
  <c r="D40" i="45"/>
  <c r="D39" i="45"/>
  <c r="D38" i="45"/>
  <c r="D37" i="45"/>
  <c r="D36" i="45"/>
  <c r="D35" i="45"/>
  <c r="D34" i="45"/>
  <c r="D33" i="45"/>
  <c r="D32" i="45"/>
  <c r="D31" i="45"/>
  <c r="D30" i="45"/>
  <c r="D29" i="45"/>
  <c r="D28" i="45"/>
  <c r="D27" i="45"/>
  <c r="D26" i="45"/>
  <c r="D25" i="45"/>
  <c r="D24" i="45"/>
  <c r="D23" i="45"/>
  <c r="D22" i="45"/>
  <c r="D21" i="45"/>
  <c r="D20" i="45"/>
  <c r="D19" i="45"/>
  <c r="D18" i="45"/>
  <c r="D17" i="45"/>
  <c r="D16" i="45"/>
  <c r="D15" i="45"/>
  <c r="D14" i="45"/>
  <c r="G13" i="45"/>
  <c r="D13" i="45"/>
  <c r="G12" i="45"/>
  <c r="D12" i="45"/>
  <c r="G11" i="45"/>
  <c r="D11" i="45"/>
  <c r="G10" i="45"/>
  <c r="D10" i="45"/>
  <c r="G9" i="45"/>
  <c r="D9" i="45"/>
  <c r="G8" i="45"/>
  <c r="D8" i="45"/>
  <c r="G7" i="45"/>
  <c r="D7" i="45"/>
  <c r="D6" i="45"/>
  <c r="D5" i="45"/>
  <c r="D4" i="45"/>
  <c r="D3" i="45"/>
  <c r="G3" i="45" l="1"/>
  <c r="G4" i="45"/>
  <c r="D4" i="22" l="1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3" i="22"/>
  <c r="G16" i="22"/>
  <c r="G15" i="22"/>
  <c r="G14" i="22"/>
  <c r="G13" i="22"/>
  <c r="G12" i="22"/>
  <c r="G11" i="22"/>
  <c r="G10" i="22"/>
  <c r="G9" i="22"/>
  <c r="G8" i="22"/>
  <c r="G7" i="22"/>
  <c r="G3" i="22" l="1"/>
  <c r="G4" i="22"/>
</calcChain>
</file>

<file path=xl/sharedStrings.xml><?xml version="1.0" encoding="utf-8"?>
<sst xmlns="http://schemas.openxmlformats.org/spreadsheetml/2006/main" count="1171" uniqueCount="452">
  <si>
    <t>Função</t>
  </si>
  <si>
    <t>Terreno</t>
  </si>
  <si>
    <t>Island</t>
  </si>
  <si>
    <t>Funções</t>
  </si>
  <si>
    <t>Draw</t>
  </si>
  <si>
    <t>Remoção</t>
  </si>
  <si>
    <t>Mountain</t>
  </si>
  <si>
    <t>Carta Final</t>
  </si>
  <si>
    <t>Carta Atual</t>
  </si>
  <si>
    <t>Carta Ideal</t>
  </si>
  <si>
    <t>Mudanças Faltando</t>
  </si>
  <si>
    <t>Total de Cartas</t>
  </si>
  <si>
    <t>Great Furnace</t>
  </si>
  <si>
    <t>Seat of the Synod</t>
  </si>
  <si>
    <t>Command Tower</t>
  </si>
  <si>
    <t>Simic Signet</t>
  </si>
  <si>
    <t>Swamp</t>
  </si>
  <si>
    <t>Bojuka Bog</t>
  </si>
  <si>
    <t>Win</t>
  </si>
  <si>
    <t>Plains</t>
  </si>
  <si>
    <t>Blink</t>
  </si>
  <si>
    <t>Proteção</t>
  </si>
  <si>
    <t>Utilidade</t>
  </si>
  <si>
    <t>Swiftfoot Boots</t>
  </si>
  <si>
    <t>Swords to Plowshares</t>
  </si>
  <si>
    <t>Izzet Signet</t>
  </si>
  <si>
    <t>Negate</t>
  </si>
  <si>
    <t>Dovin's Veto</t>
  </si>
  <si>
    <t>Sol Ring</t>
  </si>
  <si>
    <t>Arcane Signet</t>
  </si>
  <si>
    <t>Ramp</t>
  </si>
  <si>
    <t>Exotic Orchard</t>
  </si>
  <si>
    <t>Mystic Monastery</t>
  </si>
  <si>
    <t>Sulfur Falls</t>
  </si>
  <si>
    <t>Shivan Reef</t>
  </si>
  <si>
    <t>Haste</t>
  </si>
  <si>
    <t>Gilded Lotus</t>
  </si>
  <si>
    <t>Windfall</t>
  </si>
  <si>
    <t>Darksteel Citadel</t>
  </si>
  <si>
    <t>Lightning Greaves</t>
  </si>
  <si>
    <t>Fervor</t>
  </si>
  <si>
    <t>Value</t>
  </si>
  <si>
    <t>Controle</t>
  </si>
  <si>
    <t>Aetherflux Reservoir</t>
  </si>
  <si>
    <t>Vedalken Archmage</t>
  </si>
  <si>
    <t>Phyrexian Metamorph</t>
  </si>
  <si>
    <t>Anguished Unmaking</t>
  </si>
  <si>
    <t>Generous Gift</t>
  </si>
  <si>
    <t>Wrath of God</t>
  </si>
  <si>
    <t>Fumigate</t>
  </si>
  <si>
    <t>Mirage Mirror</t>
  </si>
  <si>
    <t>Clock of Omens</t>
  </si>
  <si>
    <t>Buried Ruin</t>
  </si>
  <si>
    <t>Inventors' Fair</t>
  </si>
  <si>
    <t>Academy Ruins</t>
  </si>
  <si>
    <t>Spire of Industry</t>
  </si>
  <si>
    <t>Engine</t>
  </si>
  <si>
    <t>Spellskite</t>
  </si>
  <si>
    <t>Beast Whisperer</t>
  </si>
  <si>
    <t>Vizier of Menagerie</t>
  </si>
  <si>
    <t>Peregrine Drake</t>
  </si>
  <si>
    <t>Cloud of Faeries</t>
  </si>
  <si>
    <t>Rhythm of the Wild</t>
  </si>
  <si>
    <t>Ancestral Statue</t>
  </si>
  <si>
    <t>Solemn Simulacrum</t>
  </si>
  <si>
    <t>Temur Ascendancy</t>
  </si>
  <si>
    <t>Ornithopter of Paradise</t>
  </si>
  <si>
    <t>Tishana, Voice of Thunder</t>
  </si>
  <si>
    <t>Heroic Intervention</t>
  </si>
  <si>
    <t>Chord of Calling</t>
  </si>
  <si>
    <t>Paradoxal Outcome</t>
  </si>
  <si>
    <t>Song of Creation</t>
  </si>
  <si>
    <t>Jhoira, Weatherlight Captain</t>
  </si>
  <si>
    <t>Shimmer Myr</t>
  </si>
  <si>
    <t>Copper Myr</t>
  </si>
  <si>
    <t>Iron Myr</t>
  </si>
  <si>
    <t>Silver Myr</t>
  </si>
  <si>
    <t>Foundry Inspector</t>
  </si>
  <si>
    <t>Palladium Myr</t>
  </si>
  <si>
    <t>Alloy Myr</t>
  </si>
  <si>
    <t>Etherium Sculptor</t>
  </si>
  <si>
    <t>Mystic Forge</t>
  </si>
  <si>
    <t>Meteor Golem</t>
  </si>
  <si>
    <t>Jhoira's Familiar</t>
  </si>
  <si>
    <t>Plague Myr</t>
  </si>
  <si>
    <t>Fellwar Stone</t>
  </si>
  <si>
    <t>Gruul Signet</t>
  </si>
  <si>
    <t>Kuldotha Forgemaster</t>
  </si>
  <si>
    <t>Duplicant</t>
  </si>
  <si>
    <t>Myr Galvanizer</t>
  </si>
  <si>
    <t>Whir of Invention</t>
  </si>
  <si>
    <t>Retract</t>
  </si>
  <si>
    <t>Rebuild</t>
  </si>
  <si>
    <t>Storm the Vault</t>
  </si>
  <si>
    <t>Cryptolith Rite</t>
  </si>
  <si>
    <t>Song of Freyalise</t>
  </si>
  <si>
    <t>Reliquary Tower</t>
  </si>
  <si>
    <t>Frontier Bivouac</t>
  </si>
  <si>
    <t>Yaviamaya Coast</t>
  </si>
  <si>
    <t>Karplusan Forest</t>
  </si>
  <si>
    <t>Fabled Passage</t>
  </si>
  <si>
    <t>Rootbound Crag</t>
  </si>
  <si>
    <t>Hinterland Harbor</t>
  </si>
  <si>
    <t>Tree of Tales</t>
  </si>
  <si>
    <t>Winds of Change</t>
  </si>
  <si>
    <t>Akoum Warrior</t>
  </si>
  <si>
    <t>Umara Wizard</t>
  </si>
  <si>
    <t>Tangled Florahedron</t>
  </si>
  <si>
    <t>Glasspool Mimic</t>
  </si>
  <si>
    <t>Scuttlemutt</t>
  </si>
  <si>
    <t>Valakut Awakening</t>
  </si>
  <si>
    <t>Simic Charm</t>
  </si>
  <si>
    <t>Molten Pshyche</t>
  </si>
  <si>
    <t>Fires of Yavimaya</t>
  </si>
  <si>
    <t>Reckless Fireweaver</t>
  </si>
  <si>
    <t>Ruin Grinder</t>
  </si>
  <si>
    <t>Riddlesmith</t>
  </si>
  <si>
    <t>Myr Welder</t>
  </si>
  <si>
    <t>Dross Scorpion</t>
  </si>
  <si>
    <t>Pentavus</t>
  </si>
  <si>
    <t>Pilgrim's Eye</t>
  </si>
  <si>
    <t>Mindless Automaton</t>
  </si>
  <si>
    <t>Psychosis Crawler</t>
  </si>
  <si>
    <t>Animar Storm</t>
  </si>
  <si>
    <t>Propaganda</t>
  </si>
  <si>
    <t>Go-Shintai Shrines</t>
  </si>
  <si>
    <t>Shrine</t>
  </si>
  <si>
    <t>Go-Shintai of Shared Purpose</t>
  </si>
  <si>
    <t>Go-Shintai of Hidden Cruelty</t>
  </si>
  <si>
    <t>Go-Shintai of Ancient Wars</t>
  </si>
  <si>
    <t>Go-Shintai of Boundless Vigor</t>
  </si>
  <si>
    <t>Go-Shintai of Lost Wisdom</t>
  </si>
  <si>
    <t>Golgari Signet</t>
  </si>
  <si>
    <t>Beast Within</t>
  </si>
  <si>
    <t>Honden of Infinite Rage</t>
  </si>
  <si>
    <t>Honden of Life's Web</t>
  </si>
  <si>
    <t>Honden of Night's Reach</t>
  </si>
  <si>
    <t>Honden of Seeing Winds</t>
  </si>
  <si>
    <t>Honden of Cleansing Fire</t>
  </si>
  <si>
    <t>Sanctum of Stone Fangs</t>
  </si>
  <si>
    <t>Sanctum of All</t>
  </si>
  <si>
    <t>Sanctum of Calm Waters</t>
  </si>
  <si>
    <t>Sanctum of Fruitful Harvest</t>
  </si>
  <si>
    <t>Sanctum of Tranquil Light</t>
  </si>
  <si>
    <t>Sanctum of Shattered Heights</t>
  </si>
  <si>
    <t>Sanctum Weaver</t>
  </si>
  <si>
    <t>Enchantress's Presence</t>
  </si>
  <si>
    <t>Eidolon of Blossoms</t>
  </si>
  <si>
    <t>Setessam Champion</t>
  </si>
  <si>
    <t>Sphere of Safety</t>
  </si>
  <si>
    <t>Destiny Spinner</t>
  </si>
  <si>
    <t>Satyr Enchanter</t>
  </si>
  <si>
    <t>Weaver of Harmony</t>
  </si>
  <si>
    <t>Mesa Enchantress</t>
  </si>
  <si>
    <t>Jukai Naturalist</t>
  </si>
  <si>
    <t>Doomwake Giant</t>
  </si>
  <si>
    <t>Venduran Enchantress</t>
  </si>
  <si>
    <t>Ghen, Arcanum Weaver</t>
  </si>
  <si>
    <t>Moon-Blessed Cleric</t>
  </si>
  <si>
    <t>Idyllic Tutor</t>
  </si>
  <si>
    <t>Agent of Erebos</t>
  </si>
  <si>
    <t>Urza's Ruinous Blast</t>
  </si>
  <si>
    <t>Strionic Resonator</t>
  </si>
  <si>
    <t>Hall of Heliod's Generosity</t>
  </si>
  <si>
    <t>Cascading Cataracts</t>
  </si>
  <si>
    <t>The World Tree</t>
  </si>
  <si>
    <t>Forest</t>
  </si>
  <si>
    <t>Jungle Shrine</t>
  </si>
  <si>
    <t>Sandsteppe Citadel</t>
  </si>
  <si>
    <t>Seaside Citadel</t>
  </si>
  <si>
    <t>Opulent Palace</t>
  </si>
  <si>
    <t>Arcane Sanctum</t>
  </si>
  <si>
    <t>Cultivate</t>
  </si>
  <si>
    <t>Kodama's Reach</t>
  </si>
  <si>
    <t>Rampant Growth</t>
  </si>
  <si>
    <t>Krosan Grip</t>
  </si>
  <si>
    <t>Nature's Claim</t>
  </si>
  <si>
    <t>Reconquista da Natureza</t>
  </si>
  <si>
    <t>Caustic Caterpillar</t>
  </si>
  <si>
    <t>Sakura-Tribe Elder</t>
  </si>
  <si>
    <t>Ashnod's Altar</t>
  </si>
  <si>
    <t>Syr Konrad, the Grim</t>
  </si>
  <si>
    <t>Elves of Deep Shadow</t>
  </si>
  <si>
    <t>Falkenrath Noble</t>
  </si>
  <si>
    <t>Abrupt Decay</t>
  </si>
  <si>
    <t>Bala Ged Recovery</t>
  </si>
  <si>
    <t>Blasphemous Act</t>
  </si>
  <si>
    <t>Clifftop Retreat</t>
  </si>
  <si>
    <t>Rito do Criptólito</t>
  </si>
  <si>
    <t>Gavony Township</t>
  </si>
  <si>
    <t>Snake Umbra</t>
  </si>
  <si>
    <t>Rogue's Passage</t>
  </si>
  <si>
    <t>Mossworth Bridge</t>
  </si>
  <si>
    <t>Krosan Verge</t>
  </si>
  <si>
    <t>Temple of Plenty</t>
  </si>
  <si>
    <t>Torre do Relicário</t>
  </si>
  <si>
    <t>Castle Garenbrig</t>
  </si>
  <si>
    <t>Farseek</t>
  </si>
  <si>
    <t>Krav, the Unredeemed</t>
  </si>
  <si>
    <t>Zulaport Cutthroat</t>
  </si>
  <si>
    <t>Utopia Mycon</t>
  </si>
  <si>
    <t>Black Market</t>
  </si>
  <si>
    <t>Aristocrata</t>
  </si>
  <si>
    <t>Nemata, Primeval Warden</t>
  </si>
  <si>
    <t>Haywire Mite</t>
  </si>
  <si>
    <t>Nadier's Nightblade</t>
  </si>
  <si>
    <t>Seedborn Muse</t>
  </si>
  <si>
    <t>Chatterfang, Squirrel General</t>
  </si>
  <si>
    <t>Tear Asunder</t>
  </si>
  <si>
    <t>Culling Ritual</t>
  </si>
  <si>
    <t>True Conviction</t>
  </si>
  <si>
    <t>Gishath</t>
  </si>
  <si>
    <t>Dino</t>
  </si>
  <si>
    <t>Etali, Primal Conqueror</t>
  </si>
  <si>
    <t>Ghalta and Mavren</t>
  </si>
  <si>
    <t>Kogla and Yidaro</t>
  </si>
  <si>
    <t>Regisaur Alpha</t>
  </si>
  <si>
    <t>Temple Altisaur</t>
  </si>
  <si>
    <t>Etali, Primal Storm</t>
  </si>
  <si>
    <t>Zetalpa, Primal Dawn</t>
  </si>
  <si>
    <t>Goring Ceratops</t>
  </si>
  <si>
    <t>Kinjalli's Sunwing</t>
  </si>
  <si>
    <t>Wakening Sun's Avatar</t>
  </si>
  <si>
    <t>Rapjaw Raptor</t>
  </si>
  <si>
    <t>Verdant Sun's Avatar</t>
  </si>
  <si>
    <t>Quartzwood Crasher</t>
  </si>
  <si>
    <t>Silverclad Ferocidons</t>
  </si>
  <si>
    <t>Runic Armasaur</t>
  </si>
  <si>
    <t>Thrashing Brontodon</t>
  </si>
  <si>
    <t>Zacama, Primal Calamity</t>
  </si>
  <si>
    <t>Topiary Stomper</t>
  </si>
  <si>
    <t>Apex Altisaur</t>
  </si>
  <si>
    <t>Trapjaw Tyrant</t>
  </si>
  <si>
    <t>Wayward Swordtooth</t>
  </si>
  <si>
    <t>Tyrranax Rex</t>
  </si>
  <si>
    <t>Raging Swordtooth</t>
  </si>
  <si>
    <t>Polyraptor</t>
  </si>
  <si>
    <t>Burning Sun's Avatar</t>
  </si>
  <si>
    <t>Bellowing Aegisaur</t>
  </si>
  <si>
    <t>Carnage Tyrant</t>
  </si>
  <si>
    <t>Raging Regisaur</t>
  </si>
  <si>
    <t>Thundering Spineback</t>
  </si>
  <si>
    <t>Rampaging Brontodon</t>
  </si>
  <si>
    <t>The Tarrasque</t>
  </si>
  <si>
    <t>Shifting Ceratops</t>
  </si>
  <si>
    <t>Regal Behemoth</t>
  </si>
  <si>
    <t>Ravenous Sailback</t>
  </si>
  <si>
    <t>Majestic Heliopterus</t>
  </si>
  <si>
    <t>Ancient Imperiosaur</t>
  </si>
  <si>
    <t>Deathgorge Scavenger</t>
  </si>
  <si>
    <t>Titanoth Rex</t>
  </si>
  <si>
    <t>Thrasta, Tempest's Roar</t>
  </si>
  <si>
    <t>Yidaro, Wandering Monster</t>
  </si>
  <si>
    <t>Rampaging Ferocidon</t>
  </si>
  <si>
    <t>Charging Tuskodon</t>
  </si>
  <si>
    <t>Gigantosaurus</t>
  </si>
  <si>
    <t>Zilortha, Strength Incarnate</t>
  </si>
  <si>
    <t>Congregation at Dawn</t>
  </si>
  <si>
    <t>Three Visits</t>
  </si>
  <si>
    <t>Nutere's Lore</t>
  </si>
  <si>
    <t>Thunderherd Migration</t>
  </si>
  <si>
    <t>Herald's Horn</t>
  </si>
  <si>
    <t>Urza's Incubator</t>
  </si>
  <si>
    <t>Scroll Rack</t>
  </si>
  <si>
    <t>Mirari's Wake</t>
  </si>
  <si>
    <t>Unnatural Growth</t>
  </si>
  <si>
    <t>Duelist's Heritage</t>
  </si>
  <si>
    <t>Xenagos, God of Revels</t>
  </si>
  <si>
    <t>Temple of the False God</t>
  </si>
  <si>
    <t>Sunhome, Fortress of the Legion</t>
  </si>
  <si>
    <t>Kessig Wolf Run</t>
  </si>
  <si>
    <t>Spinerock Knoll</t>
  </si>
  <si>
    <t>Path of Ancestry</t>
  </si>
  <si>
    <t>Unclaimed Territory</t>
  </si>
  <si>
    <t>Sunpetal Grove</t>
  </si>
  <si>
    <t>Secluded Courtyard</t>
  </si>
  <si>
    <t>Temple of Abandon</t>
  </si>
  <si>
    <t>Temple of Triumph</t>
  </si>
  <si>
    <t>Myriad Landscape</t>
  </si>
  <si>
    <t>Blighted Woodland</t>
  </si>
  <si>
    <t>Molten Psyche</t>
  </si>
  <si>
    <t>Into the Fire</t>
  </si>
  <si>
    <t>Worldly Tutor</t>
  </si>
  <si>
    <t>Day of Judgment</t>
  </si>
  <si>
    <t>Berserkers' Onslaught</t>
  </si>
  <si>
    <t>Tranquil Frillback</t>
  </si>
  <si>
    <t>Vanquish the Horde</t>
  </si>
  <si>
    <t>1- Bomba</t>
  </si>
  <si>
    <t>2- Tarolho</t>
  </si>
  <si>
    <t>3- Útil</t>
  </si>
  <si>
    <t>4- Completar</t>
  </si>
  <si>
    <t>Ghalta, Primal Hunger</t>
  </si>
  <si>
    <t>Marauding Raptor</t>
  </si>
  <si>
    <t>Pé-de-Limo</t>
  </si>
  <si>
    <t>Floresta Flagelada</t>
  </si>
  <si>
    <t>Regiões Agrestes de Llanowar</t>
  </si>
  <si>
    <t>Grim Backwoods</t>
  </si>
  <si>
    <t>Paisagem Infinita</t>
  </si>
  <si>
    <t>Casebre da Bruxa</t>
  </si>
  <si>
    <t>Pomar Exótico</t>
  </si>
  <si>
    <t>Vastidão Morfoterrena</t>
  </si>
  <si>
    <t>Putrefy</t>
  </si>
  <si>
    <t>Amuleto Golgari</t>
  </si>
  <si>
    <t>Estação da Colheita</t>
  </si>
  <si>
    <t>Druida do Círculo dos Sonhos</t>
  </si>
  <si>
    <t>Místico Élfico</t>
  </si>
  <si>
    <t>Crescimento Virente</t>
  </si>
  <si>
    <t>Cultivar</t>
  </si>
  <si>
    <t>Elfos de Fyndhorn</t>
  </si>
  <si>
    <t>Elfos de Llanowar</t>
  </si>
  <si>
    <t>Utopia Sprawl</t>
  </si>
  <si>
    <t>Lótus Engalanada</t>
  </si>
  <si>
    <t>Vraska, Rainha Golgari</t>
  </si>
  <si>
    <t>Canção de Freyalise</t>
  </si>
  <si>
    <t>Dina, Imbuidora de Almas</t>
  </si>
  <si>
    <t>Garota Massacre</t>
  </si>
  <si>
    <t>Agente do Trono de Ferro</t>
  </si>
  <si>
    <t>Dríade Germinadora</t>
  </si>
  <si>
    <t>Cidadela de Nicol Bolas</t>
  </si>
  <si>
    <t>Talídia Esporo Mortífero</t>
  </si>
  <si>
    <t>Talidia Psicotrópica</t>
  </si>
  <si>
    <t>Pinça Craniana</t>
  </si>
  <si>
    <t>Braceletes do Ilusionista</t>
  </si>
  <si>
    <t>Abominação Sufocante</t>
  </si>
  <si>
    <t>Arqueiro da Ponta Envenenada</t>
  </si>
  <si>
    <t>Terrenos Fungais</t>
  </si>
  <si>
    <t>Bastião da Recordação</t>
  </si>
  <si>
    <t>Força Verdejante</t>
  </si>
  <si>
    <t>Testemunha Eterna</t>
  </si>
  <si>
    <t>Bons Ventos Completado</t>
  </si>
  <si>
    <t>Miconídeo do Subcelário</t>
  </si>
  <si>
    <t>Jaheira, Amiga da Floresta</t>
  </si>
  <si>
    <t>Vidas Paralelas</t>
  </si>
  <si>
    <t>Vidente Visceral</t>
  </si>
  <si>
    <t>Saqueador Impiedoso</t>
  </si>
  <si>
    <t>Recuperação das Gavinhas Bolorentas</t>
  </si>
  <si>
    <t>Percepção Aguda</t>
  </si>
  <si>
    <t>Artista do Sangue</t>
  </si>
  <si>
    <t>Necrogênese</t>
  </si>
  <si>
    <t>Fblthp</t>
  </si>
  <si>
    <t>Filter</t>
  </si>
  <si>
    <t>Shit</t>
  </si>
  <si>
    <t>Finalizador</t>
  </si>
  <si>
    <t>Surge of Brilliance</t>
  </si>
  <si>
    <t>Rook Turret</t>
  </si>
  <si>
    <t>Ornithopter</t>
  </si>
  <si>
    <t>Memnite</t>
  </si>
  <si>
    <t>Phyrexian Walker</t>
  </si>
  <si>
    <t>Mishra's Bauble</t>
  </si>
  <si>
    <t>Spellbook</t>
  </si>
  <si>
    <t>Welding Jar</t>
  </si>
  <si>
    <t>Tormod's Crypt</t>
  </si>
  <si>
    <t>Zuran Orb</t>
  </si>
  <si>
    <t>Spidersilk Net</t>
  </si>
  <si>
    <t>Cathar's Shield</t>
  </si>
  <si>
    <t>Bone Saw</t>
  </si>
  <si>
    <t>The Realith Chip</t>
  </si>
  <si>
    <t>Shield Sphere</t>
  </si>
  <si>
    <t>Stormcoil Serpent</t>
  </si>
  <si>
    <t>Hangarback Walker</t>
  </si>
  <si>
    <t>Shifting Wall</t>
  </si>
  <si>
    <t>Walking Ballista</t>
  </si>
  <si>
    <t>Marketback Walker</t>
  </si>
  <si>
    <t>Phyrexian Marauder</t>
  </si>
  <si>
    <t>Accorder's Shield</t>
  </si>
  <si>
    <t>Darksteel Relic</t>
  </si>
  <si>
    <t>Fountain of Youth</t>
  </si>
  <si>
    <t>Herbal Poultice</t>
  </si>
  <si>
    <t>Kite Shield</t>
  </si>
  <si>
    <t>Urza's Bauble</t>
  </si>
  <si>
    <t>Claws of Gix</t>
  </si>
  <si>
    <t>Delf's Cone</t>
  </si>
  <si>
    <t>Dark Sphere</t>
  </si>
  <si>
    <t>Codex Shredder</t>
  </si>
  <si>
    <t>Wayfarer's Bauble</t>
  </si>
  <si>
    <t>Lodestone Bauble</t>
  </si>
  <si>
    <t>Briber's Purse</t>
  </si>
  <si>
    <t>Chimeric Mass</t>
  </si>
  <si>
    <t>Ghoucaller's Bell</t>
  </si>
  <si>
    <t>Orochi Hatchery</t>
  </si>
  <si>
    <t>Sigil of Distinction</t>
  </si>
  <si>
    <t>Engineered Explosives</t>
  </si>
  <si>
    <t>Wand of Vertebrae</t>
  </si>
  <si>
    <t>Clown Car</t>
  </si>
  <si>
    <t>Pyxis of Pandemonium</t>
  </si>
  <si>
    <t>Witching Well</t>
  </si>
  <si>
    <t>Stone of Erech</t>
  </si>
  <si>
    <t>Elixir of Immortality</t>
  </si>
  <si>
    <t>Expedition Map</t>
  </si>
  <si>
    <t>Candy Trail</t>
  </si>
  <si>
    <t>Traveler's Amulet</t>
  </si>
  <si>
    <t>Halimar Depths</t>
  </si>
  <si>
    <t>Rivendell</t>
  </si>
  <si>
    <t>Lonely Sandbar</t>
  </si>
  <si>
    <t>Everflowing Chalice</t>
  </si>
  <si>
    <t>Paradise Mantle</t>
  </si>
  <si>
    <t>Lotus Petal</t>
  </si>
  <si>
    <t>Thought Vessel</t>
  </si>
  <si>
    <t>Mind Stone</t>
  </si>
  <si>
    <t>Astral Cornucopia</t>
  </si>
  <si>
    <t>Sky Diamond</t>
  </si>
  <si>
    <t>Springleaf Drum</t>
  </si>
  <si>
    <t>Chromatic Star</t>
  </si>
  <si>
    <t>Moonsnare Prototype</t>
  </si>
  <si>
    <t>Chromatic Sphere</t>
  </si>
  <si>
    <t>Counterspell</t>
  </si>
  <si>
    <t>Arcane Denial</t>
  </si>
  <si>
    <t>Artificer's Assistant</t>
  </si>
  <si>
    <t>Brain Freeze</t>
  </si>
  <si>
    <t>Frantic Search</t>
  </si>
  <si>
    <t>Snap</t>
  </si>
  <si>
    <t>Muddle the Mixture</t>
  </si>
  <si>
    <t>Hurkyl's Recall</t>
  </si>
  <si>
    <t>Dispel</t>
  </si>
  <si>
    <t>Spell Pierce</t>
  </si>
  <si>
    <t>Lórien Revealed</t>
  </si>
  <si>
    <t>Reshape</t>
  </si>
  <si>
    <t>The Spirit Oasis</t>
  </si>
  <si>
    <t>Northern Air Temple</t>
  </si>
  <si>
    <t>Crescent Island Temple</t>
  </si>
  <si>
    <t>Kyoshi Island Plaza</t>
  </si>
  <si>
    <t>Southern Air Temple</t>
  </si>
  <si>
    <t>Sythis, Harvest's Hand</t>
  </si>
  <si>
    <t>Sterling Grove</t>
  </si>
  <si>
    <t>Hei Bai, Forest Guardian</t>
  </si>
  <si>
    <t>Herald of the Pantheom</t>
  </si>
  <si>
    <t>Yenna, Redtooth Regent</t>
  </si>
  <si>
    <t>Starfield Mystic</t>
  </si>
  <si>
    <t>Inquisitive Glimmer</t>
  </si>
  <si>
    <t>Wildsear, Scouring Maw</t>
  </si>
  <si>
    <t>Entity Tracker</t>
  </si>
  <si>
    <t>Composter of Spring</t>
  </si>
  <si>
    <t>Ondu Spiritdancer</t>
  </si>
  <si>
    <t>Starnheim Courser</t>
  </si>
  <si>
    <t>Ghostly Prison</t>
  </si>
  <si>
    <t>Fertile Ground</t>
  </si>
  <si>
    <t>Wild Growth</t>
  </si>
  <si>
    <t>Annie's Joins Up</t>
  </si>
  <si>
    <t>Trace of Abundance</t>
  </si>
  <si>
    <t>Abundant Growth</t>
  </si>
  <si>
    <t>Strength of the Harvest</t>
  </si>
  <si>
    <t>Grasp of Fate</t>
  </si>
  <si>
    <t>Solitary Confinement</t>
  </si>
  <si>
    <t>Crumbling Necropolis</t>
  </si>
  <si>
    <t>Savage Lands</t>
  </si>
  <si>
    <t>Nomad Outpost</t>
  </si>
  <si>
    <t>White Lotus Hideout</t>
  </si>
  <si>
    <t>Hidden Courtyard</t>
  </si>
  <si>
    <t>Hidden Nursery</t>
  </si>
  <si>
    <t>Hidden Necropolis</t>
  </si>
  <si>
    <t>Hidden Cataract</t>
  </si>
  <si>
    <t>Hidden Volvano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</si>
</sst>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[Red]&quot;R$ 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8A16-6CA0-4541-8314-7615E670E233}">
  <dimension ref="A1:G100"/>
  <sheetViews>
    <sheetView workbookViewId="0">
      <selection activeCell="A2" sqref="A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/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/>
      <c r="D3" t="str">
        <f>IF(B3=C3, "Sim", "Não")</f>
        <v>Sim</v>
      </c>
      <c r="F3" s="4" t="s">
        <v>10</v>
      </c>
      <c r="G3" s="3">
        <f>COUNTIF(D3:D105,"Não")</f>
        <v>0</v>
      </c>
    </row>
    <row r="4" spans="1:7" x14ac:dyDescent="0.25">
      <c r="A4"/>
      <c r="D4" t="str">
        <f t="shared" ref="D4:D67" si="0">IF(B4=C4, "Sim", "Não")</f>
        <v>Sim</v>
      </c>
      <c r="F4" s="4" t="s">
        <v>11</v>
      </c>
      <c r="G4" s="3">
        <f>SUM(G7:G25)</f>
        <v>0</v>
      </c>
    </row>
    <row r="5" spans="1:7" x14ac:dyDescent="0.25">
      <c r="A5"/>
      <c r="D5" t="str">
        <f t="shared" si="0"/>
        <v>Sim</v>
      </c>
    </row>
    <row r="6" spans="1:7" x14ac:dyDescent="0.25">
      <c r="A6"/>
      <c r="D6" t="str">
        <f t="shared" si="0"/>
        <v>Sim</v>
      </c>
      <c r="F6" s="6" t="s">
        <v>3</v>
      </c>
      <c r="G6" s="1"/>
    </row>
    <row r="7" spans="1:7" x14ac:dyDescent="0.25">
      <c r="A7"/>
      <c r="D7" t="str">
        <f t="shared" si="0"/>
        <v>Sim</v>
      </c>
      <c r="F7" s="7"/>
      <c r="G7" s="2">
        <f>COUNTIF(A:A,F7)</f>
        <v>0</v>
      </c>
    </row>
    <row r="8" spans="1:7" x14ac:dyDescent="0.25">
      <c r="A8"/>
      <c r="D8" t="str">
        <f t="shared" si="0"/>
        <v>Sim</v>
      </c>
      <c r="F8" s="7"/>
      <c r="G8" s="2">
        <f t="shared" ref="G8:G16" si="1">COUNTIF(A:A,F8)</f>
        <v>0</v>
      </c>
    </row>
    <row r="9" spans="1:7" x14ac:dyDescent="0.25">
      <c r="A9"/>
      <c r="D9" t="str">
        <f t="shared" si="0"/>
        <v>Sim</v>
      </c>
      <c r="F9" s="7"/>
      <c r="G9" s="2">
        <f t="shared" si="1"/>
        <v>0</v>
      </c>
    </row>
    <row r="10" spans="1:7" x14ac:dyDescent="0.25">
      <c r="A10"/>
      <c r="D10" t="str">
        <f t="shared" si="0"/>
        <v>Sim</v>
      </c>
      <c r="F10" s="7"/>
      <c r="G10" s="2">
        <f t="shared" si="1"/>
        <v>0</v>
      </c>
    </row>
    <row r="11" spans="1:7" x14ac:dyDescent="0.25">
      <c r="A11"/>
      <c r="D11" t="str">
        <f t="shared" si="0"/>
        <v>Sim</v>
      </c>
      <c r="F11" s="7"/>
      <c r="G11" s="2">
        <f t="shared" si="1"/>
        <v>0</v>
      </c>
    </row>
    <row r="12" spans="1:7" x14ac:dyDescent="0.25">
      <c r="A12"/>
      <c r="D12" t="str">
        <f t="shared" si="0"/>
        <v>Sim</v>
      </c>
      <c r="F12" s="7"/>
      <c r="G12" s="2">
        <f t="shared" si="1"/>
        <v>0</v>
      </c>
    </row>
    <row r="13" spans="1:7" x14ac:dyDescent="0.25">
      <c r="A13"/>
      <c r="D13" t="str">
        <f t="shared" si="0"/>
        <v>Sim</v>
      </c>
      <c r="F13" s="7"/>
      <c r="G13" s="2">
        <f t="shared" si="1"/>
        <v>0</v>
      </c>
    </row>
    <row r="14" spans="1:7" x14ac:dyDescent="0.25">
      <c r="A14"/>
      <c r="D14" t="str">
        <f t="shared" si="0"/>
        <v>Sim</v>
      </c>
      <c r="F14" s="7"/>
      <c r="G14" s="2">
        <f t="shared" si="1"/>
        <v>0</v>
      </c>
    </row>
    <row r="15" spans="1:7" x14ac:dyDescent="0.25">
      <c r="A15"/>
      <c r="D15" t="str">
        <f t="shared" si="0"/>
        <v>Sim</v>
      </c>
      <c r="F15" s="4"/>
      <c r="G15" s="2">
        <f t="shared" si="1"/>
        <v>0</v>
      </c>
    </row>
    <row r="16" spans="1:7" x14ac:dyDescent="0.25">
      <c r="A16"/>
      <c r="D16" t="str">
        <f t="shared" si="0"/>
        <v>Sim</v>
      </c>
      <c r="F16" s="4"/>
      <c r="G16" s="2">
        <f t="shared" si="1"/>
        <v>0</v>
      </c>
    </row>
    <row r="17" spans="1:4" x14ac:dyDescent="0.25">
      <c r="A17"/>
      <c r="D17" t="str">
        <f t="shared" si="0"/>
        <v>Sim</v>
      </c>
    </row>
    <row r="18" spans="1:4" x14ac:dyDescent="0.25">
      <c r="A18"/>
      <c r="D18" t="str">
        <f t="shared" si="0"/>
        <v>Sim</v>
      </c>
    </row>
    <row r="19" spans="1:4" x14ac:dyDescent="0.25">
      <c r="A19"/>
      <c r="D19" t="str">
        <f t="shared" si="0"/>
        <v>Sim</v>
      </c>
    </row>
    <row r="20" spans="1:4" x14ac:dyDescent="0.25">
      <c r="A20"/>
      <c r="D20" t="str">
        <f t="shared" si="0"/>
        <v>Sim</v>
      </c>
    </row>
    <row r="21" spans="1:4" x14ac:dyDescent="0.25">
      <c r="A21"/>
      <c r="D21" t="str">
        <f t="shared" si="0"/>
        <v>Sim</v>
      </c>
    </row>
    <row r="22" spans="1:4" x14ac:dyDescent="0.25">
      <c r="A22"/>
      <c r="D22" t="str">
        <f t="shared" si="0"/>
        <v>Sim</v>
      </c>
    </row>
    <row r="23" spans="1:4" x14ac:dyDescent="0.25">
      <c r="A23"/>
      <c r="D23" t="str">
        <f t="shared" si="0"/>
        <v>Sim</v>
      </c>
    </row>
    <row r="24" spans="1:4" x14ac:dyDescent="0.25">
      <c r="A24"/>
      <c r="D24" t="str">
        <f t="shared" si="0"/>
        <v>Sim</v>
      </c>
    </row>
    <row r="25" spans="1:4" x14ac:dyDescent="0.25">
      <c r="A25"/>
      <c r="D25" t="str">
        <f t="shared" si="0"/>
        <v>Sim</v>
      </c>
    </row>
    <row r="26" spans="1:4" x14ac:dyDescent="0.25">
      <c r="A26"/>
      <c r="D26" t="str">
        <f t="shared" si="0"/>
        <v>Sim</v>
      </c>
    </row>
    <row r="27" spans="1:4" x14ac:dyDescent="0.25">
      <c r="A27"/>
      <c r="D27" t="str">
        <f t="shared" si="0"/>
        <v>Sim</v>
      </c>
    </row>
    <row r="28" spans="1:4" x14ac:dyDescent="0.25">
      <c r="A28"/>
      <c r="D28" t="str">
        <f t="shared" si="0"/>
        <v>Sim</v>
      </c>
    </row>
    <row r="29" spans="1:4" x14ac:dyDescent="0.25">
      <c r="A29"/>
      <c r="D29" t="str">
        <f t="shared" si="0"/>
        <v>Sim</v>
      </c>
    </row>
    <row r="30" spans="1:4" x14ac:dyDescent="0.25">
      <c r="A30"/>
      <c r="D30" t="str">
        <f t="shared" si="0"/>
        <v>Sim</v>
      </c>
    </row>
    <row r="31" spans="1:4" x14ac:dyDescent="0.25">
      <c r="A31"/>
      <c r="D31" t="str">
        <f t="shared" si="0"/>
        <v>Sim</v>
      </c>
    </row>
    <row r="32" spans="1:4" x14ac:dyDescent="0.25">
      <c r="A32"/>
      <c r="D32" t="str">
        <f t="shared" si="0"/>
        <v>Sim</v>
      </c>
    </row>
    <row r="33" spans="1:4" x14ac:dyDescent="0.25">
      <c r="A33"/>
      <c r="D33" t="str">
        <f t="shared" si="0"/>
        <v>Sim</v>
      </c>
    </row>
    <row r="34" spans="1:4" x14ac:dyDescent="0.25">
      <c r="A34"/>
      <c r="D34" t="str">
        <f t="shared" si="0"/>
        <v>Sim</v>
      </c>
    </row>
    <row r="35" spans="1:4" x14ac:dyDescent="0.25">
      <c r="A35"/>
      <c r="D35" t="str">
        <f t="shared" si="0"/>
        <v>Sim</v>
      </c>
    </row>
    <row r="36" spans="1:4" x14ac:dyDescent="0.25">
      <c r="A36"/>
      <c r="D36" t="str">
        <f t="shared" si="0"/>
        <v>Sim</v>
      </c>
    </row>
    <row r="37" spans="1:4" x14ac:dyDescent="0.25">
      <c r="A37"/>
      <c r="D37" t="str">
        <f t="shared" si="0"/>
        <v>Sim</v>
      </c>
    </row>
    <row r="38" spans="1:4" x14ac:dyDescent="0.25">
      <c r="A38"/>
      <c r="D38" t="str">
        <f t="shared" si="0"/>
        <v>Sim</v>
      </c>
    </row>
    <row r="39" spans="1:4" x14ac:dyDescent="0.25">
      <c r="A39"/>
      <c r="D39" t="str">
        <f t="shared" si="0"/>
        <v>Sim</v>
      </c>
    </row>
    <row r="40" spans="1:4" x14ac:dyDescent="0.25">
      <c r="A40"/>
      <c r="D40" t="str">
        <f t="shared" si="0"/>
        <v>Sim</v>
      </c>
    </row>
    <row r="41" spans="1:4" x14ac:dyDescent="0.25">
      <c r="A41"/>
      <c r="D41" t="str">
        <f t="shared" si="0"/>
        <v>Sim</v>
      </c>
    </row>
    <row r="42" spans="1:4" x14ac:dyDescent="0.25">
      <c r="A42"/>
      <c r="D42" t="str">
        <f t="shared" si="0"/>
        <v>Sim</v>
      </c>
    </row>
    <row r="43" spans="1:4" x14ac:dyDescent="0.25">
      <c r="A43"/>
      <c r="D43" t="str">
        <f t="shared" si="0"/>
        <v>Sim</v>
      </c>
    </row>
    <row r="44" spans="1:4" x14ac:dyDescent="0.25">
      <c r="A44"/>
      <c r="D44" t="str">
        <f t="shared" si="0"/>
        <v>Sim</v>
      </c>
    </row>
    <row r="45" spans="1:4" x14ac:dyDescent="0.25">
      <c r="A45"/>
      <c r="D45" t="str">
        <f t="shared" si="0"/>
        <v>Sim</v>
      </c>
    </row>
    <row r="46" spans="1:4" x14ac:dyDescent="0.25">
      <c r="A46"/>
      <c r="D46" t="str">
        <f t="shared" si="0"/>
        <v>Sim</v>
      </c>
    </row>
    <row r="47" spans="1:4" x14ac:dyDescent="0.25">
      <c r="A47"/>
      <c r="D47" t="str">
        <f t="shared" si="0"/>
        <v>Sim</v>
      </c>
    </row>
    <row r="48" spans="1:4" x14ac:dyDescent="0.25">
      <c r="A48"/>
      <c r="D48" t="str">
        <f t="shared" si="0"/>
        <v>Sim</v>
      </c>
    </row>
    <row r="49" spans="1:4" x14ac:dyDescent="0.25">
      <c r="A49"/>
      <c r="D49" t="str">
        <f t="shared" si="0"/>
        <v>Sim</v>
      </c>
    </row>
    <row r="50" spans="1:4" x14ac:dyDescent="0.25">
      <c r="A50"/>
      <c r="D50" t="str">
        <f t="shared" si="0"/>
        <v>Sim</v>
      </c>
    </row>
    <row r="51" spans="1:4" x14ac:dyDescent="0.25">
      <c r="A51"/>
      <c r="D51" t="str">
        <f t="shared" si="0"/>
        <v>Sim</v>
      </c>
    </row>
    <row r="52" spans="1:4" x14ac:dyDescent="0.25">
      <c r="A52"/>
      <c r="D52" t="str">
        <f t="shared" si="0"/>
        <v>Sim</v>
      </c>
    </row>
    <row r="53" spans="1:4" x14ac:dyDescent="0.25">
      <c r="A53"/>
      <c r="D53" t="str">
        <f t="shared" si="0"/>
        <v>Sim</v>
      </c>
    </row>
    <row r="54" spans="1:4" x14ac:dyDescent="0.25">
      <c r="A54"/>
      <c r="D54" t="str">
        <f t="shared" si="0"/>
        <v>Sim</v>
      </c>
    </row>
    <row r="55" spans="1:4" x14ac:dyDescent="0.25">
      <c r="A55"/>
      <c r="D55" t="str">
        <f t="shared" si="0"/>
        <v>Sim</v>
      </c>
    </row>
    <row r="56" spans="1:4" x14ac:dyDescent="0.25">
      <c r="A56"/>
      <c r="D56" t="str">
        <f t="shared" si="0"/>
        <v>Sim</v>
      </c>
    </row>
    <row r="57" spans="1:4" x14ac:dyDescent="0.25">
      <c r="A57"/>
      <c r="D57" t="str">
        <f t="shared" si="0"/>
        <v>Sim</v>
      </c>
    </row>
    <row r="58" spans="1:4" x14ac:dyDescent="0.25">
      <c r="A58"/>
      <c r="D58" t="str">
        <f t="shared" si="0"/>
        <v>Sim</v>
      </c>
    </row>
    <row r="59" spans="1:4" x14ac:dyDescent="0.25">
      <c r="A59"/>
      <c r="D59" t="str">
        <f t="shared" si="0"/>
        <v>Sim</v>
      </c>
    </row>
    <row r="60" spans="1:4" x14ac:dyDescent="0.25">
      <c r="A60"/>
      <c r="D60" t="str">
        <f t="shared" si="0"/>
        <v>Sim</v>
      </c>
    </row>
    <row r="61" spans="1:4" x14ac:dyDescent="0.25">
      <c r="A61"/>
      <c r="D61" t="str">
        <f t="shared" si="0"/>
        <v>Sim</v>
      </c>
    </row>
    <row r="62" spans="1:4" x14ac:dyDescent="0.25">
      <c r="A62"/>
      <c r="D62" t="str">
        <f t="shared" si="0"/>
        <v>Sim</v>
      </c>
    </row>
    <row r="63" spans="1:4" x14ac:dyDescent="0.25">
      <c r="A63"/>
      <c r="D63" t="str">
        <f t="shared" si="0"/>
        <v>Sim</v>
      </c>
    </row>
    <row r="64" spans="1:4" x14ac:dyDescent="0.25">
      <c r="A64"/>
      <c r="D64" t="str">
        <f t="shared" si="0"/>
        <v>Sim</v>
      </c>
    </row>
    <row r="65" spans="1:4" x14ac:dyDescent="0.25">
      <c r="A65"/>
      <c r="D65" t="str">
        <f t="shared" si="0"/>
        <v>Sim</v>
      </c>
    </row>
    <row r="66" spans="1:4" x14ac:dyDescent="0.25">
      <c r="A66"/>
      <c r="D66" t="str">
        <f t="shared" si="0"/>
        <v>Sim</v>
      </c>
    </row>
    <row r="67" spans="1:4" x14ac:dyDescent="0.25">
      <c r="A67"/>
      <c r="D67" t="str">
        <f t="shared" si="0"/>
        <v>Sim</v>
      </c>
    </row>
    <row r="68" spans="1:4" x14ac:dyDescent="0.25">
      <c r="A68"/>
      <c r="D68" t="str">
        <f t="shared" ref="D68:D100" si="2">IF(B68=C68, "Sim", "Não")</f>
        <v>Sim</v>
      </c>
    </row>
    <row r="69" spans="1:4" x14ac:dyDescent="0.25">
      <c r="A69"/>
      <c r="D69" t="str">
        <f t="shared" si="2"/>
        <v>Sim</v>
      </c>
    </row>
    <row r="70" spans="1:4" x14ac:dyDescent="0.25">
      <c r="A70"/>
      <c r="D70" t="str">
        <f t="shared" si="2"/>
        <v>Sim</v>
      </c>
    </row>
    <row r="71" spans="1:4" x14ac:dyDescent="0.25">
      <c r="A71"/>
      <c r="D71" t="str">
        <f t="shared" si="2"/>
        <v>Sim</v>
      </c>
    </row>
    <row r="72" spans="1:4" x14ac:dyDescent="0.25">
      <c r="A72"/>
      <c r="D72" t="str">
        <f t="shared" si="2"/>
        <v>Sim</v>
      </c>
    </row>
    <row r="73" spans="1:4" x14ac:dyDescent="0.25">
      <c r="A73"/>
      <c r="D73" t="str">
        <f t="shared" si="2"/>
        <v>Sim</v>
      </c>
    </row>
    <row r="74" spans="1:4" x14ac:dyDescent="0.25">
      <c r="A74"/>
      <c r="D74" t="str">
        <f t="shared" si="2"/>
        <v>Sim</v>
      </c>
    </row>
    <row r="75" spans="1:4" x14ac:dyDescent="0.25">
      <c r="A75"/>
      <c r="D75" t="str">
        <f t="shared" si="2"/>
        <v>Sim</v>
      </c>
    </row>
    <row r="76" spans="1:4" x14ac:dyDescent="0.25">
      <c r="A76"/>
      <c r="D76" t="str">
        <f t="shared" si="2"/>
        <v>Sim</v>
      </c>
    </row>
    <row r="77" spans="1:4" x14ac:dyDescent="0.25">
      <c r="A77"/>
      <c r="D77" t="str">
        <f t="shared" si="2"/>
        <v>Sim</v>
      </c>
    </row>
    <row r="78" spans="1:4" x14ac:dyDescent="0.25">
      <c r="A78"/>
      <c r="D78" t="str">
        <f t="shared" si="2"/>
        <v>Sim</v>
      </c>
    </row>
    <row r="79" spans="1:4" x14ac:dyDescent="0.25">
      <c r="A79"/>
      <c r="D79" t="str">
        <f t="shared" si="2"/>
        <v>Sim</v>
      </c>
    </row>
    <row r="80" spans="1:4" x14ac:dyDescent="0.25">
      <c r="A80"/>
      <c r="D80" t="str">
        <f t="shared" si="2"/>
        <v>Sim</v>
      </c>
    </row>
    <row r="81" spans="1:4" x14ac:dyDescent="0.25">
      <c r="A81"/>
      <c r="D81" t="str">
        <f t="shared" si="2"/>
        <v>Sim</v>
      </c>
    </row>
    <row r="82" spans="1:4" x14ac:dyDescent="0.25">
      <c r="A82"/>
      <c r="D82" t="str">
        <f t="shared" si="2"/>
        <v>Sim</v>
      </c>
    </row>
    <row r="83" spans="1:4" x14ac:dyDescent="0.25">
      <c r="A83"/>
      <c r="D83" t="str">
        <f t="shared" si="2"/>
        <v>Sim</v>
      </c>
    </row>
    <row r="84" spans="1:4" x14ac:dyDescent="0.25">
      <c r="A84"/>
      <c r="D84" t="str">
        <f t="shared" si="2"/>
        <v>Sim</v>
      </c>
    </row>
    <row r="85" spans="1:4" x14ac:dyDescent="0.25">
      <c r="A85"/>
      <c r="D85" t="str">
        <f t="shared" si="2"/>
        <v>Sim</v>
      </c>
    </row>
    <row r="86" spans="1:4" x14ac:dyDescent="0.25">
      <c r="A86"/>
      <c r="D86" t="str">
        <f t="shared" si="2"/>
        <v>Sim</v>
      </c>
    </row>
    <row r="87" spans="1:4" x14ac:dyDescent="0.25">
      <c r="A87"/>
      <c r="D87" t="str">
        <f t="shared" si="2"/>
        <v>Sim</v>
      </c>
    </row>
    <row r="88" spans="1:4" x14ac:dyDescent="0.25">
      <c r="A88"/>
      <c r="D88" t="str">
        <f t="shared" si="2"/>
        <v>Sim</v>
      </c>
    </row>
    <row r="89" spans="1:4" x14ac:dyDescent="0.25">
      <c r="A89"/>
      <c r="D89" t="str">
        <f t="shared" si="2"/>
        <v>Sim</v>
      </c>
    </row>
    <row r="90" spans="1:4" x14ac:dyDescent="0.25">
      <c r="A90"/>
      <c r="D90" t="str">
        <f t="shared" si="2"/>
        <v>Sim</v>
      </c>
    </row>
    <row r="91" spans="1:4" x14ac:dyDescent="0.25">
      <c r="A91"/>
      <c r="D91" t="str">
        <f t="shared" si="2"/>
        <v>Sim</v>
      </c>
    </row>
    <row r="92" spans="1:4" x14ac:dyDescent="0.25">
      <c r="A92"/>
      <c r="D92" t="str">
        <f t="shared" si="2"/>
        <v>Sim</v>
      </c>
    </row>
    <row r="93" spans="1:4" x14ac:dyDescent="0.25">
      <c r="A93"/>
      <c r="D93" t="str">
        <f t="shared" si="2"/>
        <v>Sim</v>
      </c>
    </row>
    <row r="94" spans="1:4" x14ac:dyDescent="0.25">
      <c r="A94"/>
      <c r="D94" t="str">
        <f t="shared" si="2"/>
        <v>Sim</v>
      </c>
    </row>
    <row r="95" spans="1:4" x14ac:dyDescent="0.25">
      <c r="A95"/>
      <c r="D95" t="str">
        <f t="shared" si="2"/>
        <v>Sim</v>
      </c>
    </row>
    <row r="96" spans="1:4" x14ac:dyDescent="0.25">
      <c r="A96"/>
      <c r="D96" t="str">
        <f t="shared" si="2"/>
        <v>Sim</v>
      </c>
    </row>
    <row r="97" spans="1:4" x14ac:dyDescent="0.25">
      <c r="A97"/>
      <c r="D97" t="str">
        <f t="shared" si="2"/>
        <v>Sim</v>
      </c>
    </row>
    <row r="98" spans="1:4" x14ac:dyDescent="0.25">
      <c r="A98"/>
      <c r="D98" t="str">
        <f t="shared" si="2"/>
        <v>Sim</v>
      </c>
    </row>
    <row r="99" spans="1:4" x14ac:dyDescent="0.25">
      <c r="A99"/>
      <c r="D99" t="str">
        <f t="shared" si="2"/>
        <v>Sim</v>
      </c>
    </row>
    <row r="100" spans="1:4" x14ac:dyDescent="0.25">
      <c r="A100"/>
      <c r="D100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2381-ACDA-449C-8A17-866EAAF3262A}">
  <dimension ref="A1:H101"/>
  <sheetViews>
    <sheetView workbookViewId="0">
      <selection sqref="A1:G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 t="s">
        <v>211</v>
      </c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C3" t="s">
        <v>185</v>
      </c>
      <c r="D3" t="str">
        <f>IF(B3=C3, "Sim", "Não")</f>
        <v>Não</v>
      </c>
      <c r="F3" s="4" t="s">
        <v>10</v>
      </c>
      <c r="G3" s="3">
        <f>COUNTIF(D3:D105,"Não")</f>
        <v>99</v>
      </c>
    </row>
    <row r="4" spans="1:7" x14ac:dyDescent="0.25">
      <c r="A4" t="s">
        <v>1</v>
      </c>
      <c r="C4" t="s">
        <v>191</v>
      </c>
      <c r="D4" t="str">
        <f t="shared" ref="D4:D67" si="0">IF(B4=C4, "Sim", "Não")</f>
        <v>Não</v>
      </c>
      <c r="F4" s="4" t="s">
        <v>11</v>
      </c>
      <c r="G4" s="3">
        <f>SUM(G7:G25)</f>
        <v>99</v>
      </c>
    </row>
    <row r="5" spans="1:7" x14ac:dyDescent="0.25">
      <c r="A5" t="s">
        <v>1</v>
      </c>
      <c r="C5" t="s">
        <v>196</v>
      </c>
      <c r="D5" t="str">
        <f t="shared" si="0"/>
        <v>Não</v>
      </c>
    </row>
    <row r="6" spans="1:7" x14ac:dyDescent="0.25">
      <c r="A6" t="s">
        <v>1</v>
      </c>
      <c r="C6" t="s">
        <v>268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269</v>
      </c>
      <c r="D7" t="str">
        <f t="shared" si="0"/>
        <v>Não</v>
      </c>
      <c r="F7" s="7" t="s">
        <v>1</v>
      </c>
      <c r="G7" s="2">
        <f>COUNTIF(A:A,F7)</f>
        <v>35</v>
      </c>
    </row>
    <row r="8" spans="1:7" x14ac:dyDescent="0.25">
      <c r="A8" t="s">
        <v>1</v>
      </c>
      <c r="C8" t="s">
        <v>270</v>
      </c>
      <c r="D8" t="str">
        <f t="shared" si="0"/>
        <v>Não</v>
      </c>
      <c r="F8" s="7" t="s">
        <v>30</v>
      </c>
      <c r="G8" s="2">
        <f t="shared" ref="G8:G12" si="1">COUNTIF(A:A,F8)</f>
        <v>10</v>
      </c>
    </row>
    <row r="9" spans="1:7" x14ac:dyDescent="0.25">
      <c r="A9" t="s">
        <v>1</v>
      </c>
      <c r="C9" t="s">
        <v>192</v>
      </c>
      <c r="D9" t="str">
        <f t="shared" si="0"/>
        <v>Não</v>
      </c>
      <c r="F9" s="7" t="s">
        <v>4</v>
      </c>
      <c r="G9" s="2">
        <f t="shared" si="1"/>
        <v>6</v>
      </c>
    </row>
    <row r="10" spans="1:7" x14ac:dyDescent="0.25">
      <c r="A10" t="s">
        <v>1</v>
      </c>
      <c r="C10" t="s">
        <v>271</v>
      </c>
      <c r="D10" t="str">
        <f t="shared" si="0"/>
        <v>Não</v>
      </c>
      <c r="F10" s="7" t="s">
        <v>212</v>
      </c>
      <c r="G10" s="2">
        <f t="shared" si="1"/>
        <v>34</v>
      </c>
    </row>
    <row r="11" spans="1:7" x14ac:dyDescent="0.25">
      <c r="A11" t="s">
        <v>1</v>
      </c>
      <c r="C11" t="s">
        <v>193</v>
      </c>
      <c r="D11" t="str">
        <f t="shared" si="0"/>
        <v>Não</v>
      </c>
      <c r="F11" s="7" t="s">
        <v>5</v>
      </c>
      <c r="G11" s="2">
        <f t="shared" si="1"/>
        <v>8</v>
      </c>
    </row>
    <row r="12" spans="1:7" x14ac:dyDescent="0.25">
      <c r="A12" t="s">
        <v>1</v>
      </c>
      <c r="C12" t="s">
        <v>278</v>
      </c>
      <c r="D12" t="str">
        <f t="shared" si="0"/>
        <v>Não</v>
      </c>
      <c r="F12" s="7" t="s">
        <v>22</v>
      </c>
      <c r="G12" s="2">
        <f t="shared" si="1"/>
        <v>6</v>
      </c>
    </row>
    <row r="13" spans="1:7" x14ac:dyDescent="0.25">
      <c r="A13" t="s">
        <v>1</v>
      </c>
      <c r="C13" t="s">
        <v>279</v>
      </c>
      <c r="D13" t="str">
        <f t="shared" si="0"/>
        <v>Não</v>
      </c>
      <c r="F13" s="7"/>
      <c r="G13" s="2"/>
    </row>
    <row r="14" spans="1:7" x14ac:dyDescent="0.25">
      <c r="A14" t="s">
        <v>1</v>
      </c>
      <c r="C14" t="s">
        <v>189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14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167</v>
      </c>
      <c r="D16" t="str">
        <f t="shared" si="0"/>
        <v>Não</v>
      </c>
      <c r="F16" s="4"/>
      <c r="G16" s="2"/>
    </row>
    <row r="17" spans="1:7" x14ac:dyDescent="0.25">
      <c r="A17" t="s">
        <v>1</v>
      </c>
      <c r="C17" t="s">
        <v>272</v>
      </c>
      <c r="D17" t="str">
        <f t="shared" si="0"/>
        <v>Não</v>
      </c>
      <c r="G17" s="2"/>
    </row>
    <row r="18" spans="1:7" x14ac:dyDescent="0.25">
      <c r="A18" t="s">
        <v>1</v>
      </c>
      <c r="C18" t="s">
        <v>273</v>
      </c>
      <c r="D18" t="str">
        <f t="shared" si="0"/>
        <v>Não</v>
      </c>
      <c r="G18" s="2"/>
    </row>
    <row r="19" spans="1:7" x14ac:dyDescent="0.25">
      <c r="A19" t="s">
        <v>1</v>
      </c>
      <c r="C19" t="s">
        <v>31</v>
      </c>
      <c r="D19" t="str">
        <f t="shared" si="0"/>
        <v>Não</v>
      </c>
      <c r="G19" s="2"/>
    </row>
    <row r="20" spans="1:7" x14ac:dyDescent="0.25">
      <c r="A20" t="s">
        <v>1</v>
      </c>
      <c r="C20" t="s">
        <v>275</v>
      </c>
      <c r="D20" t="str">
        <f t="shared" si="0"/>
        <v>Não</v>
      </c>
      <c r="G20" s="2"/>
    </row>
    <row r="21" spans="1:7" x14ac:dyDescent="0.25">
      <c r="A21" t="s">
        <v>1</v>
      </c>
      <c r="C21" t="s">
        <v>274</v>
      </c>
      <c r="D21" t="str">
        <f t="shared" si="0"/>
        <v>Não</v>
      </c>
      <c r="G21" s="2"/>
    </row>
    <row r="22" spans="1:7" x14ac:dyDescent="0.25">
      <c r="A22" t="s">
        <v>1</v>
      </c>
      <c r="C22" t="s">
        <v>187</v>
      </c>
      <c r="D22" t="str">
        <f t="shared" si="0"/>
        <v>Não</v>
      </c>
      <c r="G22" s="2"/>
    </row>
    <row r="23" spans="1:7" x14ac:dyDescent="0.25">
      <c r="A23" t="s">
        <v>1</v>
      </c>
      <c r="C23" t="s">
        <v>101</v>
      </c>
      <c r="D23" t="str">
        <f t="shared" si="0"/>
        <v>Não</v>
      </c>
    </row>
    <row r="24" spans="1:7" x14ac:dyDescent="0.25">
      <c r="A24" t="s">
        <v>1</v>
      </c>
      <c r="C24" t="s">
        <v>276</v>
      </c>
      <c r="D24" t="str">
        <f t="shared" si="0"/>
        <v>Não</v>
      </c>
    </row>
    <row r="25" spans="1:7" x14ac:dyDescent="0.25">
      <c r="A25" t="s">
        <v>1</v>
      </c>
      <c r="C25" t="s">
        <v>277</v>
      </c>
      <c r="D25" t="str">
        <f t="shared" si="0"/>
        <v>Não</v>
      </c>
    </row>
    <row r="26" spans="1:7" x14ac:dyDescent="0.25">
      <c r="A26" t="s">
        <v>1</v>
      </c>
      <c r="C26" t="s">
        <v>194</v>
      </c>
      <c r="D26" t="str">
        <f t="shared" si="0"/>
        <v>Não</v>
      </c>
    </row>
    <row r="27" spans="1:7" x14ac:dyDescent="0.25">
      <c r="A27" t="s">
        <v>1</v>
      </c>
      <c r="C27" t="s">
        <v>110</v>
      </c>
      <c r="D27" t="str">
        <f t="shared" si="0"/>
        <v>Não</v>
      </c>
    </row>
    <row r="28" spans="1:7" x14ac:dyDescent="0.25">
      <c r="A28" t="s">
        <v>1</v>
      </c>
      <c r="C28" t="s">
        <v>166</v>
      </c>
      <c r="D28" t="str">
        <f t="shared" si="0"/>
        <v>Não</v>
      </c>
    </row>
    <row r="29" spans="1:7" x14ac:dyDescent="0.25">
      <c r="A29" t="s">
        <v>1</v>
      </c>
      <c r="C29" t="s">
        <v>166</v>
      </c>
      <c r="D29" t="str">
        <f t="shared" si="0"/>
        <v>Não</v>
      </c>
    </row>
    <row r="30" spans="1:7" x14ac:dyDescent="0.25">
      <c r="A30" t="s">
        <v>1</v>
      </c>
      <c r="C30" t="s">
        <v>166</v>
      </c>
      <c r="D30" t="str">
        <f t="shared" si="0"/>
        <v>Não</v>
      </c>
    </row>
    <row r="31" spans="1:7" x14ac:dyDescent="0.25">
      <c r="A31" t="s">
        <v>1</v>
      </c>
      <c r="C31" t="s">
        <v>166</v>
      </c>
      <c r="D31" t="str">
        <f t="shared" si="0"/>
        <v>Não</v>
      </c>
    </row>
    <row r="32" spans="1:7" x14ac:dyDescent="0.25">
      <c r="A32" t="s">
        <v>1</v>
      </c>
      <c r="C32" t="s">
        <v>166</v>
      </c>
      <c r="D32" t="str">
        <f t="shared" si="0"/>
        <v>Não</v>
      </c>
    </row>
    <row r="33" spans="1:4" x14ac:dyDescent="0.25">
      <c r="A33" t="s">
        <v>1</v>
      </c>
      <c r="C33" t="s">
        <v>166</v>
      </c>
      <c r="D33" t="str">
        <f t="shared" si="0"/>
        <v>Não</v>
      </c>
    </row>
    <row r="34" spans="1:4" x14ac:dyDescent="0.25">
      <c r="A34" t="s">
        <v>1</v>
      </c>
      <c r="C34" t="s">
        <v>19</v>
      </c>
      <c r="D34" t="str">
        <f t="shared" si="0"/>
        <v>Não</v>
      </c>
    </row>
    <row r="35" spans="1:4" x14ac:dyDescent="0.25">
      <c r="A35" t="s">
        <v>1</v>
      </c>
      <c r="C35" t="s">
        <v>19</v>
      </c>
      <c r="D35" t="str">
        <f t="shared" si="0"/>
        <v>Não</v>
      </c>
    </row>
    <row r="36" spans="1:4" x14ac:dyDescent="0.25">
      <c r="A36" t="s">
        <v>1</v>
      </c>
      <c r="C36" t="s">
        <v>6</v>
      </c>
      <c r="D36" t="str">
        <f t="shared" si="0"/>
        <v>Não</v>
      </c>
    </row>
    <row r="37" spans="1:4" x14ac:dyDescent="0.25">
      <c r="A37" t="s">
        <v>1</v>
      </c>
      <c r="C37" t="s">
        <v>6</v>
      </c>
      <c r="D37" t="str">
        <f t="shared" si="0"/>
        <v>Não</v>
      </c>
    </row>
    <row r="38" spans="1:4" x14ac:dyDescent="0.25">
      <c r="A38" t="s">
        <v>30</v>
      </c>
      <c r="C38" t="s">
        <v>28</v>
      </c>
      <c r="D38" t="str">
        <f t="shared" si="0"/>
        <v>Não</v>
      </c>
    </row>
    <row r="39" spans="1:4" x14ac:dyDescent="0.25">
      <c r="A39" t="s">
        <v>30</v>
      </c>
      <c r="C39" t="s">
        <v>174</v>
      </c>
      <c r="D39" t="str">
        <f t="shared" si="0"/>
        <v>Não</v>
      </c>
    </row>
    <row r="40" spans="1:4" x14ac:dyDescent="0.25">
      <c r="A40" t="s">
        <v>30</v>
      </c>
      <c r="C40" t="s">
        <v>197</v>
      </c>
      <c r="D40" t="str">
        <f t="shared" si="0"/>
        <v>Não</v>
      </c>
    </row>
    <row r="41" spans="1:4" x14ac:dyDescent="0.25">
      <c r="A41" t="s">
        <v>30</v>
      </c>
      <c r="C41" t="s">
        <v>258</v>
      </c>
      <c r="D41" t="str">
        <f t="shared" si="0"/>
        <v>Não</v>
      </c>
    </row>
    <row r="42" spans="1:4" x14ac:dyDescent="0.25">
      <c r="A42" t="s">
        <v>30</v>
      </c>
      <c r="C42" t="s">
        <v>259</v>
      </c>
      <c r="D42" t="str">
        <f t="shared" si="0"/>
        <v>Não</v>
      </c>
    </row>
    <row r="43" spans="1:4" x14ac:dyDescent="0.25">
      <c r="A43" t="s">
        <v>30</v>
      </c>
      <c r="C43" t="s">
        <v>260</v>
      </c>
      <c r="D43" t="str">
        <f t="shared" si="0"/>
        <v>Não</v>
      </c>
    </row>
    <row r="44" spans="1:4" x14ac:dyDescent="0.25">
      <c r="A44" t="s">
        <v>30</v>
      </c>
      <c r="C44" t="s">
        <v>172</v>
      </c>
      <c r="D44" t="str">
        <f t="shared" si="0"/>
        <v>Não</v>
      </c>
    </row>
    <row r="45" spans="1:4" x14ac:dyDescent="0.25">
      <c r="A45" t="s">
        <v>30</v>
      </c>
      <c r="C45" t="s">
        <v>173</v>
      </c>
      <c r="D45" t="str">
        <f t="shared" si="0"/>
        <v>Não</v>
      </c>
    </row>
    <row r="46" spans="1:4" x14ac:dyDescent="0.25">
      <c r="A46" t="s">
        <v>30</v>
      </c>
      <c r="C46" t="s">
        <v>262</v>
      </c>
      <c r="D46" t="str">
        <f t="shared" si="0"/>
        <v>Não</v>
      </c>
    </row>
    <row r="47" spans="1:4" x14ac:dyDescent="0.25">
      <c r="A47" t="s">
        <v>30</v>
      </c>
      <c r="C47" t="s">
        <v>261</v>
      </c>
      <c r="D47" t="str">
        <f t="shared" si="0"/>
        <v>Não</v>
      </c>
    </row>
    <row r="48" spans="1:4" x14ac:dyDescent="0.25">
      <c r="A48" t="s">
        <v>4</v>
      </c>
      <c r="C48" t="s">
        <v>257</v>
      </c>
      <c r="D48" t="str">
        <f t="shared" si="0"/>
        <v>Não</v>
      </c>
    </row>
    <row r="49" spans="1:8" x14ac:dyDescent="0.25">
      <c r="A49" t="s">
        <v>4</v>
      </c>
      <c r="C49" t="s">
        <v>263</v>
      </c>
      <c r="D49" t="str">
        <f t="shared" si="0"/>
        <v>Não</v>
      </c>
    </row>
    <row r="50" spans="1:8" x14ac:dyDescent="0.25">
      <c r="A50" t="s">
        <v>4</v>
      </c>
      <c r="C50" t="s">
        <v>280</v>
      </c>
      <c r="D50" t="str">
        <f t="shared" si="0"/>
        <v>Não</v>
      </c>
    </row>
    <row r="51" spans="1:8" x14ac:dyDescent="0.25">
      <c r="A51" t="s">
        <v>4</v>
      </c>
      <c r="C51" t="s">
        <v>104</v>
      </c>
      <c r="D51" t="str">
        <f t="shared" si="0"/>
        <v>Não</v>
      </c>
    </row>
    <row r="52" spans="1:8" x14ac:dyDescent="0.25">
      <c r="A52" t="s">
        <v>4</v>
      </c>
      <c r="C52" t="s">
        <v>281</v>
      </c>
      <c r="D52" t="str">
        <f t="shared" si="0"/>
        <v>Não</v>
      </c>
    </row>
    <row r="53" spans="1:8" x14ac:dyDescent="0.25">
      <c r="A53" t="s">
        <v>4</v>
      </c>
      <c r="C53" t="s">
        <v>282</v>
      </c>
      <c r="D53" t="str">
        <f t="shared" si="0"/>
        <v>Não</v>
      </c>
    </row>
    <row r="54" spans="1:8" x14ac:dyDescent="0.25">
      <c r="A54" t="s">
        <v>212</v>
      </c>
      <c r="C54" t="s">
        <v>213</v>
      </c>
      <c r="D54" t="str">
        <f t="shared" si="0"/>
        <v>Não</v>
      </c>
      <c r="E54">
        <v>1</v>
      </c>
      <c r="G54" t="s">
        <v>287</v>
      </c>
    </row>
    <row r="55" spans="1:8" x14ac:dyDescent="0.25">
      <c r="A55" t="s">
        <v>212</v>
      </c>
      <c r="C55" t="s">
        <v>214</v>
      </c>
      <c r="D55" t="str">
        <f t="shared" si="0"/>
        <v>Não</v>
      </c>
      <c r="E55">
        <v>2</v>
      </c>
      <c r="G55" t="s">
        <v>288</v>
      </c>
    </row>
    <row r="56" spans="1:8" x14ac:dyDescent="0.25">
      <c r="A56" t="s">
        <v>212</v>
      </c>
      <c r="C56" t="s">
        <v>215</v>
      </c>
      <c r="D56" t="str">
        <f t="shared" si="0"/>
        <v>Não</v>
      </c>
      <c r="E56">
        <v>3</v>
      </c>
      <c r="G56" t="s">
        <v>289</v>
      </c>
    </row>
    <row r="57" spans="1:8" x14ac:dyDescent="0.25">
      <c r="A57" t="s">
        <v>212</v>
      </c>
      <c r="C57" t="s">
        <v>291</v>
      </c>
      <c r="D57" t="str">
        <f t="shared" si="0"/>
        <v>Não</v>
      </c>
      <c r="E57">
        <v>2</v>
      </c>
      <c r="G57" t="s">
        <v>290</v>
      </c>
    </row>
    <row r="58" spans="1:8" x14ac:dyDescent="0.25">
      <c r="A58" t="s">
        <v>212</v>
      </c>
      <c r="C58" t="s">
        <v>218</v>
      </c>
      <c r="D58" t="str">
        <f t="shared" si="0"/>
        <v>Não</v>
      </c>
      <c r="E58">
        <v>1</v>
      </c>
    </row>
    <row r="59" spans="1:8" x14ac:dyDescent="0.25">
      <c r="A59" t="s">
        <v>212</v>
      </c>
      <c r="C59" t="s">
        <v>219</v>
      </c>
      <c r="D59" t="str">
        <f t="shared" si="0"/>
        <v>Não</v>
      </c>
      <c r="E59">
        <v>2</v>
      </c>
    </row>
    <row r="60" spans="1:8" x14ac:dyDescent="0.25">
      <c r="A60" t="s">
        <v>212</v>
      </c>
      <c r="C60" t="s">
        <v>231</v>
      </c>
      <c r="D60" t="str">
        <f t="shared" si="0"/>
        <v>Não</v>
      </c>
      <c r="E60">
        <v>2</v>
      </c>
    </row>
    <row r="61" spans="1:8" x14ac:dyDescent="0.25">
      <c r="A61" t="s">
        <v>212</v>
      </c>
      <c r="C61" t="s">
        <v>229</v>
      </c>
      <c r="D61" t="str">
        <f t="shared" si="0"/>
        <v>Não</v>
      </c>
      <c r="E61">
        <v>1</v>
      </c>
    </row>
    <row r="62" spans="1:8" x14ac:dyDescent="0.25">
      <c r="A62" t="s">
        <v>212</v>
      </c>
      <c r="C62" t="s">
        <v>232</v>
      </c>
      <c r="D62" t="str">
        <f t="shared" si="0"/>
        <v>Não</v>
      </c>
      <c r="E62">
        <v>3</v>
      </c>
      <c r="G62">
        <v>3</v>
      </c>
      <c r="H62" t="s">
        <v>246</v>
      </c>
    </row>
    <row r="63" spans="1:8" x14ac:dyDescent="0.25">
      <c r="A63" t="s">
        <v>212</v>
      </c>
      <c r="C63" t="s">
        <v>234</v>
      </c>
      <c r="D63" t="str">
        <f t="shared" si="0"/>
        <v>Não</v>
      </c>
      <c r="E63">
        <v>2</v>
      </c>
      <c r="G63">
        <v>3</v>
      </c>
      <c r="H63" t="s">
        <v>247</v>
      </c>
    </row>
    <row r="64" spans="1:8" x14ac:dyDescent="0.25">
      <c r="A64" t="s">
        <v>212</v>
      </c>
      <c r="C64" t="s">
        <v>235</v>
      </c>
      <c r="D64" t="str">
        <f t="shared" si="0"/>
        <v>Não</v>
      </c>
      <c r="E64">
        <v>3</v>
      </c>
      <c r="G64">
        <v>3</v>
      </c>
      <c r="H64" t="s">
        <v>249</v>
      </c>
    </row>
    <row r="65" spans="1:8" x14ac:dyDescent="0.25">
      <c r="A65" t="s">
        <v>212</v>
      </c>
      <c r="C65" t="s">
        <v>236</v>
      </c>
      <c r="D65" t="str">
        <f t="shared" si="0"/>
        <v>Não</v>
      </c>
      <c r="E65">
        <v>3</v>
      </c>
      <c r="G65">
        <v>3</v>
      </c>
      <c r="H65" t="s">
        <v>253</v>
      </c>
    </row>
    <row r="66" spans="1:8" x14ac:dyDescent="0.25">
      <c r="A66" t="s">
        <v>212</v>
      </c>
      <c r="C66" t="s">
        <v>237</v>
      </c>
      <c r="D66" t="str">
        <f t="shared" si="0"/>
        <v>Não</v>
      </c>
      <c r="E66">
        <v>3</v>
      </c>
      <c r="G66">
        <v>4</v>
      </c>
      <c r="H66" t="s">
        <v>254</v>
      </c>
    </row>
    <row r="67" spans="1:8" x14ac:dyDescent="0.25">
      <c r="A67" t="s">
        <v>212</v>
      </c>
      <c r="C67" t="s">
        <v>239</v>
      </c>
      <c r="D67" t="str">
        <f t="shared" si="0"/>
        <v>Não</v>
      </c>
      <c r="E67">
        <v>2</v>
      </c>
      <c r="G67">
        <v>3</v>
      </c>
      <c r="H67" t="s">
        <v>292</v>
      </c>
    </row>
    <row r="68" spans="1:8" x14ac:dyDescent="0.25">
      <c r="A68" t="s">
        <v>212</v>
      </c>
      <c r="C68" t="s">
        <v>242</v>
      </c>
      <c r="D68" t="str">
        <f t="shared" ref="D68:D101" si="2">IF(B68=C68, "Sim", "Não")</f>
        <v>Não</v>
      </c>
      <c r="E68">
        <v>2</v>
      </c>
      <c r="G68">
        <v>3</v>
      </c>
      <c r="H68" t="s">
        <v>256</v>
      </c>
    </row>
    <row r="69" spans="1:8" x14ac:dyDescent="0.25">
      <c r="A69" t="s">
        <v>212</v>
      </c>
      <c r="C69" t="s">
        <v>243</v>
      </c>
      <c r="D69" t="str">
        <f t="shared" si="2"/>
        <v>Não</v>
      </c>
      <c r="E69">
        <v>2</v>
      </c>
      <c r="G69">
        <v>3</v>
      </c>
      <c r="H69" t="s">
        <v>233</v>
      </c>
    </row>
    <row r="70" spans="1:8" x14ac:dyDescent="0.25">
      <c r="A70" t="s">
        <v>212</v>
      </c>
      <c r="C70" t="s">
        <v>250</v>
      </c>
      <c r="D70" t="str">
        <f t="shared" si="2"/>
        <v>Não</v>
      </c>
      <c r="E70">
        <v>2</v>
      </c>
      <c r="G70">
        <v>3</v>
      </c>
      <c r="H70" t="s">
        <v>216</v>
      </c>
    </row>
    <row r="71" spans="1:8" x14ac:dyDescent="0.25">
      <c r="A71" t="s">
        <v>212</v>
      </c>
      <c r="C71" t="s">
        <v>245</v>
      </c>
      <c r="D71" t="str">
        <f t="shared" si="2"/>
        <v>Não</v>
      </c>
      <c r="E71">
        <v>3</v>
      </c>
      <c r="G71">
        <v>4</v>
      </c>
      <c r="H71" t="s">
        <v>244</v>
      </c>
    </row>
    <row r="72" spans="1:8" x14ac:dyDescent="0.25">
      <c r="A72" t="s">
        <v>212</v>
      </c>
      <c r="C72" t="s">
        <v>241</v>
      </c>
      <c r="D72" t="str">
        <f t="shared" si="2"/>
        <v>Não</v>
      </c>
      <c r="E72">
        <v>3</v>
      </c>
      <c r="G72">
        <v>4</v>
      </c>
      <c r="H72" t="s">
        <v>240</v>
      </c>
    </row>
    <row r="73" spans="1:8" x14ac:dyDescent="0.25">
      <c r="A73" t="s">
        <v>212</v>
      </c>
      <c r="C73" t="s">
        <v>251</v>
      </c>
      <c r="D73" t="str">
        <f t="shared" si="2"/>
        <v>Não</v>
      </c>
      <c r="E73">
        <v>2</v>
      </c>
      <c r="G73">
        <v>3</v>
      </c>
      <c r="H73" t="s">
        <v>223</v>
      </c>
    </row>
    <row r="74" spans="1:8" x14ac:dyDescent="0.25">
      <c r="A74" t="s">
        <v>212</v>
      </c>
      <c r="C74" t="s">
        <v>238</v>
      </c>
      <c r="D74" t="str">
        <f t="shared" si="2"/>
        <v>Não</v>
      </c>
      <c r="E74">
        <v>3</v>
      </c>
    </row>
    <row r="75" spans="1:8" x14ac:dyDescent="0.25">
      <c r="A75" t="s">
        <v>212</v>
      </c>
      <c r="C75" t="s">
        <v>285</v>
      </c>
      <c r="D75" t="str">
        <f t="shared" si="2"/>
        <v>Não</v>
      </c>
      <c r="E75">
        <v>3</v>
      </c>
    </row>
    <row r="76" spans="1:8" x14ac:dyDescent="0.25">
      <c r="A76" t="s">
        <v>212</v>
      </c>
      <c r="C76" t="s">
        <v>230</v>
      </c>
      <c r="D76" t="str">
        <f t="shared" si="2"/>
        <v>Não</v>
      </c>
      <c r="E76">
        <v>3</v>
      </c>
    </row>
    <row r="77" spans="1:8" x14ac:dyDescent="0.25">
      <c r="A77" t="s">
        <v>212</v>
      </c>
      <c r="C77" t="s">
        <v>227</v>
      </c>
      <c r="D77" t="str">
        <f t="shared" si="2"/>
        <v>Não</v>
      </c>
      <c r="E77">
        <v>3</v>
      </c>
    </row>
    <row r="78" spans="1:8" x14ac:dyDescent="0.25">
      <c r="A78" t="s">
        <v>212</v>
      </c>
      <c r="C78" t="s">
        <v>248</v>
      </c>
      <c r="D78" t="str">
        <f t="shared" si="2"/>
        <v>Não</v>
      </c>
      <c r="E78">
        <v>2</v>
      </c>
    </row>
    <row r="79" spans="1:8" x14ac:dyDescent="0.25">
      <c r="A79" t="s">
        <v>212</v>
      </c>
      <c r="C79" t="s">
        <v>226</v>
      </c>
      <c r="D79" t="str">
        <f t="shared" si="2"/>
        <v>Não</v>
      </c>
      <c r="E79">
        <v>2</v>
      </c>
    </row>
    <row r="80" spans="1:8" x14ac:dyDescent="0.25">
      <c r="A80" t="s">
        <v>212</v>
      </c>
      <c r="C80" t="s">
        <v>225</v>
      </c>
      <c r="D80" t="str">
        <f t="shared" si="2"/>
        <v>Não</v>
      </c>
      <c r="E80">
        <v>2</v>
      </c>
    </row>
    <row r="81" spans="1:6" x14ac:dyDescent="0.25">
      <c r="A81" t="s">
        <v>212</v>
      </c>
      <c r="C81" t="s">
        <v>224</v>
      </c>
      <c r="D81" t="str">
        <f t="shared" si="2"/>
        <v>Não</v>
      </c>
      <c r="E81">
        <v>3</v>
      </c>
    </row>
    <row r="82" spans="1:6" x14ac:dyDescent="0.25">
      <c r="A82" t="s">
        <v>212</v>
      </c>
      <c r="C82" t="s">
        <v>252</v>
      </c>
      <c r="D82" t="str">
        <f t="shared" si="2"/>
        <v>Não</v>
      </c>
      <c r="E82">
        <v>2</v>
      </c>
    </row>
    <row r="83" spans="1:6" x14ac:dyDescent="0.25">
      <c r="A83" t="s">
        <v>212</v>
      </c>
      <c r="C83" t="s">
        <v>255</v>
      </c>
      <c r="D83" t="str">
        <f t="shared" si="2"/>
        <v>Não</v>
      </c>
      <c r="E83">
        <v>2</v>
      </c>
    </row>
    <row r="84" spans="1:6" x14ac:dyDescent="0.25">
      <c r="A84" t="s">
        <v>212</v>
      </c>
      <c r="C84" t="s">
        <v>220</v>
      </c>
      <c r="D84" t="str">
        <f t="shared" si="2"/>
        <v>Não</v>
      </c>
      <c r="E84">
        <v>3</v>
      </c>
    </row>
    <row r="85" spans="1:6" x14ac:dyDescent="0.25">
      <c r="A85" t="s">
        <v>212</v>
      </c>
      <c r="C85" t="s">
        <v>221</v>
      </c>
      <c r="D85" t="str">
        <f t="shared" si="2"/>
        <v>Não</v>
      </c>
      <c r="E85">
        <v>3</v>
      </c>
    </row>
    <row r="86" spans="1:6" x14ac:dyDescent="0.25">
      <c r="A86" t="s">
        <v>212</v>
      </c>
      <c r="C86" t="s">
        <v>217</v>
      </c>
      <c r="D86" t="str">
        <f t="shared" si="2"/>
        <v>Não</v>
      </c>
      <c r="E86">
        <v>3</v>
      </c>
    </row>
    <row r="87" spans="1:6" x14ac:dyDescent="0.25">
      <c r="A87" t="s">
        <v>212</v>
      </c>
      <c r="C87" t="s">
        <v>228</v>
      </c>
      <c r="D87" t="str">
        <f t="shared" si="2"/>
        <v>Não</v>
      </c>
      <c r="E87">
        <v>3</v>
      </c>
    </row>
    <row r="88" spans="1:6" x14ac:dyDescent="0.25">
      <c r="A88" t="s">
        <v>22</v>
      </c>
      <c r="C88" t="s">
        <v>266</v>
      </c>
      <c r="D88" t="str">
        <f t="shared" si="2"/>
        <v>Não</v>
      </c>
      <c r="F88" t="s">
        <v>284</v>
      </c>
    </row>
    <row r="89" spans="1:6" x14ac:dyDescent="0.25">
      <c r="A89" t="s">
        <v>22</v>
      </c>
      <c r="C89" t="s">
        <v>267</v>
      </c>
      <c r="D89" t="str">
        <f t="shared" si="2"/>
        <v>Não</v>
      </c>
    </row>
    <row r="90" spans="1:6" x14ac:dyDescent="0.25">
      <c r="A90" t="s">
        <v>22</v>
      </c>
      <c r="C90" t="s">
        <v>210</v>
      </c>
      <c r="D90" t="str">
        <f t="shared" si="2"/>
        <v>Não</v>
      </c>
    </row>
    <row r="91" spans="1:6" x14ac:dyDescent="0.25">
      <c r="A91" t="s">
        <v>22</v>
      </c>
      <c r="C91" t="s">
        <v>265</v>
      </c>
      <c r="D91" t="str">
        <f t="shared" si="2"/>
        <v>Não</v>
      </c>
    </row>
    <row r="92" spans="1:6" x14ac:dyDescent="0.25">
      <c r="A92" t="s">
        <v>22</v>
      </c>
      <c r="C92" t="s">
        <v>264</v>
      </c>
      <c r="D92" t="str">
        <f t="shared" si="2"/>
        <v>Não</v>
      </c>
    </row>
    <row r="93" spans="1:6" x14ac:dyDescent="0.25">
      <c r="A93" t="s">
        <v>22</v>
      </c>
      <c r="C93" t="s">
        <v>62</v>
      </c>
      <c r="D93" t="str">
        <f t="shared" si="2"/>
        <v>Não</v>
      </c>
    </row>
    <row r="94" spans="1:6" x14ac:dyDescent="0.25">
      <c r="A94" t="s">
        <v>5</v>
      </c>
      <c r="C94" t="s">
        <v>47</v>
      </c>
      <c r="D94" t="str">
        <f t="shared" si="2"/>
        <v>Não</v>
      </c>
    </row>
    <row r="95" spans="1:6" x14ac:dyDescent="0.25">
      <c r="A95" t="s">
        <v>5</v>
      </c>
      <c r="C95" t="s">
        <v>133</v>
      </c>
      <c r="D95" t="str">
        <f t="shared" si="2"/>
        <v>Não</v>
      </c>
    </row>
    <row r="96" spans="1:6" x14ac:dyDescent="0.25">
      <c r="A96" t="s">
        <v>5</v>
      </c>
      <c r="C96" t="s">
        <v>186</v>
      </c>
      <c r="D96" t="str">
        <f t="shared" si="2"/>
        <v>Não</v>
      </c>
    </row>
    <row r="97" spans="1:4" x14ac:dyDescent="0.25">
      <c r="A97" t="s">
        <v>5</v>
      </c>
      <c r="C97" t="s">
        <v>49</v>
      </c>
      <c r="D97" t="str">
        <f t="shared" si="2"/>
        <v>Não</v>
      </c>
    </row>
    <row r="98" spans="1:4" x14ac:dyDescent="0.25">
      <c r="A98" t="s">
        <v>5</v>
      </c>
      <c r="C98" t="s">
        <v>286</v>
      </c>
      <c r="D98" t="str">
        <f t="shared" si="2"/>
        <v>Não</v>
      </c>
    </row>
    <row r="99" spans="1:4" x14ac:dyDescent="0.25">
      <c r="A99" t="s">
        <v>5</v>
      </c>
      <c r="C99" t="s">
        <v>48</v>
      </c>
      <c r="D99" t="str">
        <f t="shared" si="2"/>
        <v>Não</v>
      </c>
    </row>
    <row r="100" spans="1:4" x14ac:dyDescent="0.25">
      <c r="A100" t="s">
        <v>5</v>
      </c>
      <c r="C100" t="s">
        <v>283</v>
      </c>
      <c r="D100" t="str">
        <f t="shared" si="2"/>
        <v>Não</v>
      </c>
    </row>
    <row r="101" spans="1:4" x14ac:dyDescent="0.25">
      <c r="A101" s="5" t="s">
        <v>5</v>
      </c>
      <c r="C101" t="s">
        <v>222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44D2-EDDB-49F3-A823-A563743018E1}">
  <dimension ref="A1:G101"/>
  <sheetViews>
    <sheetView topLeftCell="A29" workbookViewId="0">
      <selection activeCell="C94" sqref="C94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 t="s">
        <v>293</v>
      </c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t="s">
        <v>294</v>
      </c>
      <c r="C3" t="s">
        <v>294</v>
      </c>
      <c r="D3" t="str">
        <f>IF(B3=C3, "Sim", "Não")</f>
        <v>Sim</v>
      </c>
      <c r="F3" s="4" t="s">
        <v>10</v>
      </c>
      <c r="G3" s="3">
        <f>COUNTIF(D3:D105,"Não")</f>
        <v>0</v>
      </c>
    </row>
    <row r="4" spans="1:7" x14ac:dyDescent="0.25">
      <c r="A4" t="s">
        <v>1</v>
      </c>
      <c r="B4" t="s">
        <v>295</v>
      </c>
      <c r="C4" t="s">
        <v>295</v>
      </c>
      <c r="D4" t="str">
        <f t="shared" ref="D4:D67" si="0">IF(B4=C4, "Sim", "Não")</f>
        <v>Sim</v>
      </c>
      <c r="F4" s="4" t="s">
        <v>11</v>
      </c>
      <c r="G4" s="3">
        <f>SUM(G7:G25)</f>
        <v>99</v>
      </c>
    </row>
    <row r="5" spans="1:7" x14ac:dyDescent="0.25">
      <c r="A5" t="s">
        <v>1</v>
      </c>
      <c r="B5" t="s">
        <v>17</v>
      </c>
      <c r="C5" t="s">
        <v>17</v>
      </c>
      <c r="D5" t="str">
        <f t="shared" si="0"/>
        <v>Sim</v>
      </c>
    </row>
    <row r="6" spans="1:7" x14ac:dyDescent="0.25">
      <c r="A6" t="s">
        <v>1</v>
      </c>
      <c r="B6" t="s">
        <v>296</v>
      </c>
      <c r="C6" t="s">
        <v>296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t="s">
        <v>297</v>
      </c>
      <c r="C7" t="s">
        <v>297</v>
      </c>
      <c r="D7" t="str">
        <f t="shared" si="0"/>
        <v>Sim</v>
      </c>
      <c r="F7" s="7" t="s">
        <v>1</v>
      </c>
      <c r="G7" s="2">
        <f t="shared" ref="G7:G12" si="1">COUNTIF(A:A,F7)</f>
        <v>34</v>
      </c>
    </row>
    <row r="8" spans="1:7" x14ac:dyDescent="0.25">
      <c r="A8" t="s">
        <v>1</v>
      </c>
      <c r="B8" t="s">
        <v>298</v>
      </c>
      <c r="C8" t="s">
        <v>298</v>
      </c>
      <c r="D8" t="str">
        <f t="shared" si="0"/>
        <v>Sim</v>
      </c>
      <c r="F8" s="7" t="s">
        <v>30</v>
      </c>
      <c r="G8" s="2">
        <f t="shared" si="1"/>
        <v>15</v>
      </c>
    </row>
    <row r="9" spans="1:7" x14ac:dyDescent="0.25">
      <c r="A9" t="s">
        <v>1</v>
      </c>
      <c r="B9" t="s">
        <v>195</v>
      </c>
      <c r="C9" t="s">
        <v>195</v>
      </c>
      <c r="D9" t="str">
        <f t="shared" si="0"/>
        <v>Sim</v>
      </c>
      <c r="F9" s="7" t="s">
        <v>4</v>
      </c>
      <c r="G9" s="2">
        <f t="shared" si="1"/>
        <v>10</v>
      </c>
    </row>
    <row r="10" spans="1:7" x14ac:dyDescent="0.25">
      <c r="A10" t="s">
        <v>1</v>
      </c>
      <c r="B10" t="s">
        <v>299</v>
      </c>
      <c r="C10" t="s">
        <v>299</v>
      </c>
      <c r="D10" t="str">
        <f t="shared" si="0"/>
        <v>Sim</v>
      </c>
      <c r="F10" s="7" t="s">
        <v>202</v>
      </c>
      <c r="G10" s="2">
        <f t="shared" si="1"/>
        <v>9</v>
      </c>
    </row>
    <row r="11" spans="1:7" x14ac:dyDescent="0.25">
      <c r="A11" t="s">
        <v>1</v>
      </c>
      <c r="B11" t="s">
        <v>300</v>
      </c>
      <c r="C11" t="s">
        <v>300</v>
      </c>
      <c r="D11" t="str">
        <f t="shared" si="0"/>
        <v>Sim</v>
      </c>
      <c r="F11" s="7" t="s">
        <v>22</v>
      </c>
      <c r="G11" s="2">
        <f t="shared" si="1"/>
        <v>22</v>
      </c>
    </row>
    <row r="12" spans="1:7" x14ac:dyDescent="0.25">
      <c r="A12" t="s">
        <v>1</v>
      </c>
      <c r="B12" t="s">
        <v>14</v>
      </c>
      <c r="C12" t="s">
        <v>14</v>
      </c>
      <c r="D12" t="str">
        <f t="shared" si="0"/>
        <v>Sim</v>
      </c>
      <c r="F12" s="7" t="s">
        <v>5</v>
      </c>
      <c r="G12" s="2">
        <f t="shared" si="1"/>
        <v>9</v>
      </c>
    </row>
    <row r="13" spans="1:7" x14ac:dyDescent="0.25">
      <c r="A13" t="s">
        <v>1</v>
      </c>
      <c r="B13" t="s">
        <v>166</v>
      </c>
      <c r="C13" t="s">
        <v>166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B14" t="s">
        <v>166</v>
      </c>
      <c r="C14" t="s">
        <v>166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166</v>
      </c>
      <c r="C15" t="s">
        <v>166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166</v>
      </c>
      <c r="C16" t="s">
        <v>166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166</v>
      </c>
      <c r="C17" t="s">
        <v>166</v>
      </c>
      <c r="D17" t="str">
        <f t="shared" si="0"/>
        <v>Sim</v>
      </c>
    </row>
    <row r="18" spans="1:4" x14ac:dyDescent="0.25">
      <c r="A18" t="s">
        <v>1</v>
      </c>
      <c r="B18" t="s">
        <v>166</v>
      </c>
      <c r="C18" t="s">
        <v>166</v>
      </c>
      <c r="D18" t="str">
        <f t="shared" si="0"/>
        <v>Sim</v>
      </c>
    </row>
    <row r="19" spans="1:4" x14ac:dyDescent="0.25">
      <c r="A19" t="s">
        <v>1</v>
      </c>
      <c r="B19" t="s">
        <v>166</v>
      </c>
      <c r="C19" t="s">
        <v>166</v>
      </c>
      <c r="D19" t="str">
        <f t="shared" si="0"/>
        <v>Sim</v>
      </c>
    </row>
    <row r="20" spans="1:4" x14ac:dyDescent="0.25">
      <c r="A20" t="s">
        <v>1</v>
      </c>
      <c r="B20" t="s">
        <v>166</v>
      </c>
      <c r="C20" t="s">
        <v>166</v>
      </c>
      <c r="D20" t="str">
        <f t="shared" si="0"/>
        <v>Sim</v>
      </c>
    </row>
    <row r="21" spans="1:4" x14ac:dyDescent="0.25">
      <c r="A21" t="s">
        <v>1</v>
      </c>
      <c r="B21" t="s">
        <v>166</v>
      </c>
      <c r="C21" t="s">
        <v>166</v>
      </c>
      <c r="D21" t="str">
        <f t="shared" si="0"/>
        <v>Sim</v>
      </c>
    </row>
    <row r="22" spans="1:4" x14ac:dyDescent="0.25">
      <c r="A22" t="s">
        <v>1</v>
      </c>
      <c r="B22" t="s">
        <v>166</v>
      </c>
      <c r="C22" t="s">
        <v>166</v>
      </c>
      <c r="D22" t="str">
        <f t="shared" si="0"/>
        <v>Sim</v>
      </c>
    </row>
    <row r="23" spans="1:4" x14ac:dyDescent="0.25">
      <c r="A23" t="s">
        <v>1</v>
      </c>
      <c r="B23" t="s">
        <v>166</v>
      </c>
      <c r="C23" t="s">
        <v>166</v>
      </c>
      <c r="D23" t="str">
        <f t="shared" si="0"/>
        <v>Sim</v>
      </c>
    </row>
    <row r="24" spans="1:4" x14ac:dyDescent="0.25">
      <c r="A24" t="s">
        <v>1</v>
      </c>
      <c r="B24" t="s">
        <v>166</v>
      </c>
      <c r="C24" t="s">
        <v>166</v>
      </c>
      <c r="D24" t="str">
        <f t="shared" si="0"/>
        <v>Sim</v>
      </c>
    </row>
    <row r="25" spans="1:4" x14ac:dyDescent="0.25">
      <c r="A25" t="s">
        <v>1</v>
      </c>
      <c r="B25" t="s">
        <v>166</v>
      </c>
      <c r="C25" t="s">
        <v>166</v>
      </c>
      <c r="D25" t="str">
        <f t="shared" si="0"/>
        <v>Sim</v>
      </c>
    </row>
    <row r="26" spans="1:4" x14ac:dyDescent="0.25">
      <c r="A26" t="s">
        <v>1</v>
      </c>
      <c r="B26" t="s">
        <v>166</v>
      </c>
      <c r="C26" t="s">
        <v>166</v>
      </c>
      <c r="D26" t="str">
        <f t="shared" si="0"/>
        <v>Sim</v>
      </c>
    </row>
    <row r="27" spans="1:4" x14ac:dyDescent="0.25">
      <c r="A27" t="s">
        <v>1</v>
      </c>
      <c r="B27" t="s">
        <v>166</v>
      </c>
      <c r="C27" t="s">
        <v>166</v>
      </c>
      <c r="D27" t="str">
        <f t="shared" si="0"/>
        <v>Sim</v>
      </c>
    </row>
    <row r="28" spans="1:4" x14ac:dyDescent="0.25">
      <c r="A28" t="s">
        <v>1</v>
      </c>
      <c r="B28" t="s">
        <v>166</v>
      </c>
      <c r="C28" t="s">
        <v>166</v>
      </c>
      <c r="D28" t="str">
        <f t="shared" si="0"/>
        <v>Sim</v>
      </c>
    </row>
    <row r="29" spans="1:4" x14ac:dyDescent="0.25">
      <c r="A29" t="s">
        <v>1</v>
      </c>
      <c r="B29" t="s">
        <v>16</v>
      </c>
      <c r="C29" t="s">
        <v>16</v>
      </c>
      <c r="D29" t="str">
        <f t="shared" si="0"/>
        <v>Sim</v>
      </c>
    </row>
    <row r="30" spans="1:4" x14ac:dyDescent="0.25">
      <c r="A30" t="s">
        <v>1</v>
      </c>
      <c r="B30" t="s">
        <v>16</v>
      </c>
      <c r="C30" t="s">
        <v>16</v>
      </c>
      <c r="D30" t="str">
        <f t="shared" si="0"/>
        <v>Sim</v>
      </c>
    </row>
    <row r="31" spans="1:4" x14ac:dyDescent="0.25">
      <c r="A31" t="s">
        <v>1</v>
      </c>
      <c r="B31" t="s">
        <v>16</v>
      </c>
      <c r="C31" t="s">
        <v>16</v>
      </c>
      <c r="D31" t="str">
        <f t="shared" si="0"/>
        <v>Sim</v>
      </c>
    </row>
    <row r="32" spans="1:4" x14ac:dyDescent="0.25">
      <c r="A32" t="s">
        <v>1</v>
      </c>
      <c r="B32" t="s">
        <v>16</v>
      </c>
      <c r="C32" t="s">
        <v>16</v>
      </c>
      <c r="D32" t="str">
        <f t="shared" si="0"/>
        <v>Sim</v>
      </c>
    </row>
    <row r="33" spans="1:4" x14ac:dyDescent="0.25">
      <c r="A33" t="s">
        <v>1</v>
      </c>
      <c r="B33" t="s">
        <v>16</v>
      </c>
      <c r="C33" t="s">
        <v>16</v>
      </c>
      <c r="D33" t="str">
        <f t="shared" si="0"/>
        <v>Sim</v>
      </c>
    </row>
    <row r="34" spans="1:4" x14ac:dyDescent="0.25">
      <c r="A34" t="s">
        <v>1</v>
      </c>
      <c r="B34" t="s">
        <v>16</v>
      </c>
      <c r="C34" t="s">
        <v>16</v>
      </c>
      <c r="D34" t="str">
        <f t="shared" si="0"/>
        <v>Sim</v>
      </c>
    </row>
    <row r="35" spans="1:4" x14ac:dyDescent="0.25">
      <c r="A35" t="s">
        <v>1</v>
      </c>
      <c r="B35" t="s">
        <v>16</v>
      </c>
      <c r="C35" t="s">
        <v>16</v>
      </c>
      <c r="D35" t="str">
        <f t="shared" si="0"/>
        <v>Sim</v>
      </c>
    </row>
    <row r="36" spans="1:4" x14ac:dyDescent="0.25">
      <c r="A36" t="s">
        <v>1</v>
      </c>
      <c r="B36" t="s">
        <v>16</v>
      </c>
      <c r="C36" t="s">
        <v>16</v>
      </c>
      <c r="D36" t="str">
        <f t="shared" si="0"/>
        <v>Sim</v>
      </c>
    </row>
    <row r="37" spans="1:4" x14ac:dyDescent="0.25">
      <c r="A37" t="s">
        <v>30</v>
      </c>
      <c r="B37" t="s">
        <v>132</v>
      </c>
      <c r="C37" t="s">
        <v>132</v>
      </c>
      <c r="D37" t="str">
        <f t="shared" si="0"/>
        <v>Sim</v>
      </c>
    </row>
    <row r="38" spans="1:4" x14ac:dyDescent="0.25">
      <c r="A38" t="s">
        <v>30</v>
      </c>
      <c r="B38" t="s">
        <v>174</v>
      </c>
      <c r="C38" t="s">
        <v>174</v>
      </c>
      <c r="D38" t="str">
        <f t="shared" si="0"/>
        <v>Sim</v>
      </c>
    </row>
    <row r="39" spans="1:4" x14ac:dyDescent="0.25">
      <c r="A39" t="s">
        <v>30</v>
      </c>
      <c r="B39" t="s">
        <v>303</v>
      </c>
      <c r="C39" t="s">
        <v>303</v>
      </c>
      <c r="D39" t="str">
        <f t="shared" si="0"/>
        <v>Sim</v>
      </c>
    </row>
    <row r="40" spans="1:4" x14ac:dyDescent="0.25">
      <c r="A40" t="s">
        <v>30</v>
      </c>
      <c r="B40" t="s">
        <v>304</v>
      </c>
      <c r="C40" t="s">
        <v>304</v>
      </c>
      <c r="D40" t="str">
        <f t="shared" si="0"/>
        <v>Sim</v>
      </c>
    </row>
    <row r="41" spans="1:4" x14ac:dyDescent="0.25">
      <c r="A41" t="s">
        <v>30</v>
      </c>
      <c r="B41" t="s">
        <v>182</v>
      </c>
      <c r="C41" t="s">
        <v>182</v>
      </c>
      <c r="D41" t="str">
        <f t="shared" si="0"/>
        <v>Sim</v>
      </c>
    </row>
    <row r="42" spans="1:4" x14ac:dyDescent="0.25">
      <c r="A42" t="s">
        <v>30</v>
      </c>
      <c r="B42" t="s">
        <v>305</v>
      </c>
      <c r="C42" t="s">
        <v>305</v>
      </c>
      <c r="D42" t="str">
        <f t="shared" si="0"/>
        <v>Sim</v>
      </c>
    </row>
    <row r="43" spans="1:4" x14ac:dyDescent="0.25">
      <c r="A43" t="s">
        <v>30</v>
      </c>
      <c r="B43" t="s">
        <v>306</v>
      </c>
      <c r="C43" t="s">
        <v>306</v>
      </c>
      <c r="D43" t="str">
        <f t="shared" si="0"/>
        <v>Sim</v>
      </c>
    </row>
    <row r="44" spans="1:4" x14ac:dyDescent="0.25">
      <c r="A44" t="s">
        <v>30</v>
      </c>
      <c r="B44" t="s">
        <v>307</v>
      </c>
      <c r="C44" t="s">
        <v>307</v>
      </c>
      <c r="D44" t="str">
        <f t="shared" si="0"/>
        <v>Sim</v>
      </c>
    </row>
    <row r="45" spans="1:4" x14ac:dyDescent="0.25">
      <c r="A45" t="s">
        <v>30</v>
      </c>
      <c r="B45" t="s">
        <v>308</v>
      </c>
      <c r="C45" t="s">
        <v>308</v>
      </c>
      <c r="D45" t="str">
        <f t="shared" si="0"/>
        <v>Sim</v>
      </c>
    </row>
    <row r="46" spans="1:4" x14ac:dyDescent="0.25">
      <c r="A46" t="s">
        <v>30</v>
      </c>
      <c r="B46" t="s">
        <v>309</v>
      </c>
      <c r="C46" t="s">
        <v>309</v>
      </c>
      <c r="D46" t="str">
        <f t="shared" si="0"/>
        <v>Sim</v>
      </c>
    </row>
    <row r="47" spans="1:4" x14ac:dyDescent="0.25">
      <c r="A47" t="s">
        <v>30</v>
      </c>
      <c r="B47" t="s">
        <v>179</v>
      </c>
      <c r="C47" t="s">
        <v>179</v>
      </c>
      <c r="D47" t="str">
        <f t="shared" si="0"/>
        <v>Sim</v>
      </c>
    </row>
    <row r="48" spans="1:4" x14ac:dyDescent="0.25">
      <c r="A48" t="s">
        <v>30</v>
      </c>
      <c r="B48" t="s">
        <v>310</v>
      </c>
      <c r="C48" t="s">
        <v>310</v>
      </c>
      <c r="D48" t="str">
        <f t="shared" si="0"/>
        <v>Sim</v>
      </c>
    </row>
    <row r="49" spans="1:4" x14ac:dyDescent="0.25">
      <c r="A49" t="s">
        <v>30</v>
      </c>
      <c r="B49" t="s">
        <v>311</v>
      </c>
      <c r="C49" t="s">
        <v>311</v>
      </c>
      <c r="D49" t="str">
        <f t="shared" si="0"/>
        <v>Sim</v>
      </c>
    </row>
    <row r="50" spans="1:4" x14ac:dyDescent="0.25">
      <c r="A50" t="s">
        <v>30</v>
      </c>
      <c r="B50" t="s">
        <v>28</v>
      </c>
      <c r="C50" t="s">
        <v>28</v>
      </c>
      <c r="D50" t="str">
        <f t="shared" si="0"/>
        <v>Sim</v>
      </c>
    </row>
    <row r="51" spans="1:4" x14ac:dyDescent="0.25">
      <c r="A51" t="s">
        <v>30</v>
      </c>
      <c r="B51" t="s">
        <v>330</v>
      </c>
      <c r="C51" t="s">
        <v>330</v>
      </c>
      <c r="D51" t="str">
        <f t="shared" si="0"/>
        <v>Sim</v>
      </c>
    </row>
    <row r="52" spans="1:4" x14ac:dyDescent="0.25">
      <c r="A52" t="s">
        <v>4</v>
      </c>
      <c r="B52" t="s">
        <v>321</v>
      </c>
      <c r="C52" t="s">
        <v>321</v>
      </c>
      <c r="D52" t="str">
        <f t="shared" si="0"/>
        <v>Sim</v>
      </c>
    </row>
    <row r="53" spans="1:4" x14ac:dyDescent="0.25">
      <c r="A53" t="s">
        <v>4</v>
      </c>
      <c r="B53" t="s">
        <v>318</v>
      </c>
      <c r="C53" t="s">
        <v>318</v>
      </c>
      <c r="D53" t="str">
        <f t="shared" si="0"/>
        <v>Sim</v>
      </c>
    </row>
    <row r="54" spans="1:4" x14ac:dyDescent="0.25">
      <c r="A54" t="s">
        <v>4</v>
      </c>
      <c r="B54" t="s">
        <v>335</v>
      </c>
      <c r="C54" t="s">
        <v>335</v>
      </c>
      <c r="D54" t="str">
        <f t="shared" si="0"/>
        <v>Sim</v>
      </c>
    </row>
    <row r="55" spans="1:4" x14ac:dyDescent="0.25">
      <c r="A55" t="s">
        <v>4</v>
      </c>
      <c r="B55" t="s">
        <v>198</v>
      </c>
      <c r="C55" t="s">
        <v>198</v>
      </c>
      <c r="D55" t="str">
        <f t="shared" si="0"/>
        <v>Sim</v>
      </c>
    </row>
    <row r="56" spans="1:4" x14ac:dyDescent="0.25">
      <c r="A56" t="s">
        <v>4</v>
      </c>
      <c r="B56" t="s">
        <v>320</v>
      </c>
      <c r="C56" t="s">
        <v>320</v>
      </c>
      <c r="D56" t="str">
        <f t="shared" si="0"/>
        <v>Sim</v>
      </c>
    </row>
    <row r="57" spans="1:4" x14ac:dyDescent="0.25">
      <c r="A57" t="s">
        <v>4</v>
      </c>
      <c r="B57" t="s">
        <v>329</v>
      </c>
      <c r="C57" t="s">
        <v>329</v>
      </c>
      <c r="D57" t="str">
        <f t="shared" si="0"/>
        <v>Sim</v>
      </c>
    </row>
    <row r="58" spans="1:4" x14ac:dyDescent="0.25">
      <c r="A58" t="s">
        <v>4</v>
      </c>
      <c r="B58" t="s">
        <v>325</v>
      </c>
      <c r="C58" t="s">
        <v>325</v>
      </c>
      <c r="D58" t="str">
        <f t="shared" si="0"/>
        <v>Sim</v>
      </c>
    </row>
    <row r="59" spans="1:4" x14ac:dyDescent="0.25">
      <c r="A59" t="s">
        <v>4</v>
      </c>
      <c r="B59" t="s">
        <v>336</v>
      </c>
      <c r="C59" t="s">
        <v>336</v>
      </c>
      <c r="D59" t="str">
        <f t="shared" si="0"/>
        <v>Sim</v>
      </c>
    </row>
    <row r="60" spans="1:4" x14ac:dyDescent="0.25">
      <c r="A60" t="s">
        <v>4</v>
      </c>
      <c r="B60" t="s">
        <v>190</v>
      </c>
      <c r="C60" t="s">
        <v>190</v>
      </c>
      <c r="D60" t="str">
        <f t="shared" si="0"/>
        <v>Sim</v>
      </c>
    </row>
    <row r="61" spans="1:4" x14ac:dyDescent="0.25">
      <c r="A61" t="s">
        <v>4</v>
      </c>
      <c r="B61" t="s">
        <v>323</v>
      </c>
      <c r="C61" t="s">
        <v>323</v>
      </c>
      <c r="D61" t="str">
        <f t="shared" si="0"/>
        <v>Sim</v>
      </c>
    </row>
    <row r="62" spans="1:4" x14ac:dyDescent="0.25">
      <c r="A62" t="s">
        <v>202</v>
      </c>
      <c r="B62" t="s">
        <v>324</v>
      </c>
      <c r="C62" t="s">
        <v>324</v>
      </c>
      <c r="D62" t="str">
        <f t="shared" si="0"/>
        <v>Sim</v>
      </c>
    </row>
    <row r="63" spans="1:4" x14ac:dyDescent="0.25">
      <c r="A63" t="s">
        <v>202</v>
      </c>
      <c r="B63" t="s">
        <v>326</v>
      </c>
      <c r="C63" t="s">
        <v>326</v>
      </c>
      <c r="D63" t="str">
        <f t="shared" si="0"/>
        <v>Sim</v>
      </c>
    </row>
    <row r="64" spans="1:4" x14ac:dyDescent="0.25">
      <c r="A64" t="s">
        <v>202</v>
      </c>
      <c r="B64" t="s">
        <v>205</v>
      </c>
      <c r="C64" t="s">
        <v>205</v>
      </c>
      <c r="D64" t="str">
        <f t="shared" si="0"/>
        <v>Sim</v>
      </c>
    </row>
    <row r="65" spans="1:4" x14ac:dyDescent="0.25">
      <c r="A65" t="s">
        <v>202</v>
      </c>
      <c r="B65" t="s">
        <v>337</v>
      </c>
      <c r="C65" t="s">
        <v>337</v>
      </c>
      <c r="D65" t="str">
        <f t="shared" si="0"/>
        <v>Sim</v>
      </c>
    </row>
    <row r="66" spans="1:4" x14ac:dyDescent="0.25">
      <c r="A66" t="s">
        <v>202</v>
      </c>
      <c r="B66" t="s">
        <v>181</v>
      </c>
      <c r="C66" t="s">
        <v>181</v>
      </c>
      <c r="D66" t="str">
        <f t="shared" si="0"/>
        <v>Sim</v>
      </c>
    </row>
    <row r="67" spans="1:4" x14ac:dyDescent="0.25">
      <c r="A67" t="s">
        <v>202</v>
      </c>
      <c r="B67" t="s">
        <v>199</v>
      </c>
      <c r="C67" t="s">
        <v>199</v>
      </c>
      <c r="D67" t="str">
        <f t="shared" si="0"/>
        <v>Sim</v>
      </c>
    </row>
    <row r="68" spans="1:4" x14ac:dyDescent="0.25">
      <c r="A68" t="s">
        <v>202</v>
      </c>
      <c r="B68" t="s">
        <v>314</v>
      </c>
      <c r="C68" t="s">
        <v>314</v>
      </c>
      <c r="D68" t="str">
        <f t="shared" ref="D68:D89" si="2">IF(B68=C68, "Sim", "Não")</f>
        <v>Sim</v>
      </c>
    </row>
    <row r="69" spans="1:4" x14ac:dyDescent="0.25">
      <c r="A69" t="s">
        <v>202</v>
      </c>
      <c r="B69" t="s">
        <v>316</v>
      </c>
      <c r="C69" t="s">
        <v>316</v>
      </c>
      <c r="D69" t="str">
        <f t="shared" si="2"/>
        <v>Sim</v>
      </c>
    </row>
    <row r="70" spans="1:4" x14ac:dyDescent="0.25">
      <c r="A70" t="s">
        <v>202</v>
      </c>
      <c r="B70" t="s">
        <v>183</v>
      </c>
      <c r="C70" t="s">
        <v>183</v>
      </c>
      <c r="D70" t="str">
        <f t="shared" si="2"/>
        <v>Sim</v>
      </c>
    </row>
    <row r="71" spans="1:4" x14ac:dyDescent="0.25">
      <c r="A71" t="s">
        <v>22</v>
      </c>
      <c r="B71" t="s">
        <v>207</v>
      </c>
      <c r="C71" t="s">
        <v>207</v>
      </c>
      <c r="D71" t="str">
        <f t="shared" si="2"/>
        <v>Sim</v>
      </c>
    </row>
    <row r="72" spans="1:4" x14ac:dyDescent="0.25">
      <c r="A72" t="s">
        <v>22</v>
      </c>
      <c r="B72" t="s">
        <v>312</v>
      </c>
      <c r="C72" t="s">
        <v>312</v>
      </c>
      <c r="D72" t="str">
        <f t="shared" si="2"/>
        <v>Sim</v>
      </c>
    </row>
    <row r="73" spans="1:4" x14ac:dyDescent="0.25">
      <c r="A73" t="s">
        <v>22</v>
      </c>
      <c r="B73" t="s">
        <v>338</v>
      </c>
      <c r="C73" t="s">
        <v>338</v>
      </c>
      <c r="D73" t="str">
        <f t="shared" si="2"/>
        <v>Sim</v>
      </c>
    </row>
    <row r="74" spans="1:4" x14ac:dyDescent="0.25">
      <c r="A74" t="s">
        <v>22</v>
      </c>
      <c r="B74" t="s">
        <v>313</v>
      </c>
      <c r="C74" t="s">
        <v>313</v>
      </c>
      <c r="D74" t="str">
        <f t="shared" si="2"/>
        <v>Sim</v>
      </c>
    </row>
    <row r="75" spans="1:4" x14ac:dyDescent="0.25">
      <c r="A75" t="s">
        <v>22</v>
      </c>
      <c r="B75" t="s">
        <v>331</v>
      </c>
      <c r="C75" t="s">
        <v>331</v>
      </c>
      <c r="D75" t="str">
        <f t="shared" si="2"/>
        <v>Sim</v>
      </c>
    </row>
    <row r="76" spans="1:4" x14ac:dyDescent="0.25">
      <c r="A76" t="s">
        <v>22</v>
      </c>
      <c r="B76" t="s">
        <v>315</v>
      </c>
      <c r="C76" t="s">
        <v>315</v>
      </c>
      <c r="D76" t="str">
        <f t="shared" si="2"/>
        <v>Sim</v>
      </c>
    </row>
    <row r="77" spans="1:4" x14ac:dyDescent="0.25">
      <c r="A77" t="s">
        <v>22</v>
      </c>
      <c r="B77" t="s">
        <v>180</v>
      </c>
      <c r="C77" t="s">
        <v>180</v>
      </c>
      <c r="D77" t="str">
        <f t="shared" si="2"/>
        <v>Sim</v>
      </c>
    </row>
    <row r="78" spans="1:4" x14ac:dyDescent="0.25">
      <c r="A78" t="s">
        <v>22</v>
      </c>
      <c r="B78" t="s">
        <v>203</v>
      </c>
      <c r="C78" t="s">
        <v>203</v>
      </c>
      <c r="D78" t="str">
        <f t="shared" si="2"/>
        <v>Sim</v>
      </c>
    </row>
    <row r="79" spans="1:4" x14ac:dyDescent="0.25">
      <c r="A79" t="s">
        <v>22</v>
      </c>
      <c r="B79" t="s">
        <v>317</v>
      </c>
      <c r="C79" t="s">
        <v>317</v>
      </c>
      <c r="D79" t="str">
        <f t="shared" si="2"/>
        <v>Sim</v>
      </c>
    </row>
    <row r="80" spans="1:4" x14ac:dyDescent="0.25">
      <c r="A80" t="s">
        <v>22</v>
      </c>
      <c r="B80" t="s">
        <v>177</v>
      </c>
      <c r="C80" t="s">
        <v>177</v>
      </c>
      <c r="D80" t="str">
        <f t="shared" si="2"/>
        <v>Sim</v>
      </c>
    </row>
    <row r="81" spans="1:4" x14ac:dyDescent="0.25">
      <c r="A81" t="s">
        <v>22</v>
      </c>
      <c r="B81" t="s">
        <v>319</v>
      </c>
      <c r="C81" t="s">
        <v>319</v>
      </c>
      <c r="D81" t="str">
        <f t="shared" si="2"/>
        <v>Sim</v>
      </c>
    </row>
    <row r="82" spans="1:4" x14ac:dyDescent="0.25">
      <c r="A82" t="s">
        <v>22</v>
      </c>
      <c r="B82" t="s">
        <v>209</v>
      </c>
      <c r="C82" t="s">
        <v>209</v>
      </c>
      <c r="D82" t="str">
        <f t="shared" si="2"/>
        <v>Sim</v>
      </c>
    </row>
    <row r="83" spans="1:4" x14ac:dyDescent="0.25">
      <c r="A83" t="s">
        <v>22</v>
      </c>
      <c r="B83" t="s">
        <v>334</v>
      </c>
      <c r="C83" t="s">
        <v>334</v>
      </c>
      <c r="D83" t="str">
        <f t="shared" si="2"/>
        <v>Sim</v>
      </c>
    </row>
    <row r="84" spans="1:4" x14ac:dyDescent="0.25">
      <c r="A84" t="s">
        <v>22</v>
      </c>
      <c r="B84" t="s">
        <v>322</v>
      </c>
      <c r="C84" t="s">
        <v>322</v>
      </c>
      <c r="D84" t="str">
        <f t="shared" si="2"/>
        <v>Sim</v>
      </c>
    </row>
    <row r="85" spans="1:4" x14ac:dyDescent="0.25">
      <c r="A85" t="s">
        <v>22</v>
      </c>
      <c r="B85" t="s">
        <v>327</v>
      </c>
      <c r="C85" t="s">
        <v>327</v>
      </c>
      <c r="D85" t="str">
        <f t="shared" si="2"/>
        <v>Sim</v>
      </c>
    </row>
    <row r="86" spans="1:4" x14ac:dyDescent="0.25">
      <c r="A86" t="s">
        <v>22</v>
      </c>
      <c r="B86" t="s">
        <v>328</v>
      </c>
      <c r="C86" t="s">
        <v>328</v>
      </c>
      <c r="D86" t="str">
        <f t="shared" si="2"/>
        <v>Sim</v>
      </c>
    </row>
    <row r="87" spans="1:4" x14ac:dyDescent="0.25">
      <c r="A87" t="s">
        <v>22</v>
      </c>
      <c r="B87" t="s">
        <v>332</v>
      </c>
      <c r="C87" t="s">
        <v>332</v>
      </c>
      <c r="D87" t="str">
        <f t="shared" si="2"/>
        <v>Sim</v>
      </c>
    </row>
    <row r="88" spans="1:4" x14ac:dyDescent="0.25">
      <c r="A88" t="s">
        <v>22</v>
      </c>
      <c r="B88" t="s">
        <v>333</v>
      </c>
      <c r="C88" t="s">
        <v>333</v>
      </c>
      <c r="D88" t="str">
        <f t="shared" si="2"/>
        <v>Sim</v>
      </c>
    </row>
    <row r="89" spans="1:4" x14ac:dyDescent="0.25">
      <c r="A89" t="s">
        <v>22</v>
      </c>
      <c r="B89" t="s">
        <v>200</v>
      </c>
      <c r="C89" t="s">
        <v>200</v>
      </c>
      <c r="D89" t="str">
        <f t="shared" si="2"/>
        <v>Sim</v>
      </c>
    </row>
    <row r="90" spans="1:4" x14ac:dyDescent="0.25">
      <c r="A90" t="s">
        <v>22</v>
      </c>
      <c r="B90" t="s">
        <v>206</v>
      </c>
      <c r="C90" t="s">
        <v>206</v>
      </c>
      <c r="D90" t="str">
        <f>IF(B90=C90, "Sim", "Não")</f>
        <v>Sim</v>
      </c>
    </row>
    <row r="91" spans="1:4" x14ac:dyDescent="0.25">
      <c r="A91" t="s">
        <v>22</v>
      </c>
      <c r="B91" t="s">
        <v>201</v>
      </c>
      <c r="C91" t="s">
        <v>201</v>
      </c>
      <c r="D91" t="str">
        <f t="shared" ref="D91:D101" si="3">IF(B91=C91, "Sim", "Não")</f>
        <v>Sim</v>
      </c>
    </row>
    <row r="92" spans="1:4" x14ac:dyDescent="0.25">
      <c r="A92" t="s">
        <v>22</v>
      </c>
      <c r="B92" t="s">
        <v>188</v>
      </c>
      <c r="C92" t="s">
        <v>188</v>
      </c>
      <c r="D92" t="str">
        <f t="shared" si="3"/>
        <v>Sim</v>
      </c>
    </row>
    <row r="93" spans="1:4" x14ac:dyDescent="0.25">
      <c r="A93" t="s">
        <v>5</v>
      </c>
      <c r="B93" t="s">
        <v>204</v>
      </c>
      <c r="C93" t="s">
        <v>204</v>
      </c>
      <c r="D93" t="str">
        <f t="shared" si="3"/>
        <v>Sim</v>
      </c>
    </row>
    <row r="94" spans="1:4" x14ac:dyDescent="0.25">
      <c r="A94" t="s">
        <v>5</v>
      </c>
      <c r="B94" t="s">
        <v>184</v>
      </c>
      <c r="C94" t="s">
        <v>184</v>
      </c>
      <c r="D94" t="str">
        <f t="shared" si="3"/>
        <v>Sim</v>
      </c>
    </row>
    <row r="95" spans="1:4" x14ac:dyDescent="0.25">
      <c r="A95" t="s">
        <v>5</v>
      </c>
      <c r="B95" t="s">
        <v>133</v>
      </c>
      <c r="C95" t="s">
        <v>133</v>
      </c>
      <c r="D95" t="str">
        <f t="shared" si="3"/>
        <v>Sim</v>
      </c>
    </row>
    <row r="96" spans="1:4" x14ac:dyDescent="0.25">
      <c r="A96" t="s">
        <v>5</v>
      </c>
      <c r="B96" t="s">
        <v>178</v>
      </c>
      <c r="C96" t="s">
        <v>178</v>
      </c>
      <c r="D96" t="str">
        <f t="shared" si="3"/>
        <v>Sim</v>
      </c>
    </row>
    <row r="97" spans="1:4" x14ac:dyDescent="0.25">
      <c r="A97" t="s">
        <v>5</v>
      </c>
      <c r="B97" t="s">
        <v>208</v>
      </c>
      <c r="C97" t="s">
        <v>208</v>
      </c>
      <c r="D97" t="str">
        <f t="shared" si="3"/>
        <v>Sim</v>
      </c>
    </row>
    <row r="98" spans="1:4" x14ac:dyDescent="0.25">
      <c r="A98" t="s">
        <v>5</v>
      </c>
      <c r="B98" t="s">
        <v>301</v>
      </c>
      <c r="C98" t="s">
        <v>301</v>
      </c>
      <c r="D98" t="str">
        <f t="shared" si="3"/>
        <v>Sim</v>
      </c>
    </row>
    <row r="99" spans="1:4" x14ac:dyDescent="0.25">
      <c r="A99" t="s">
        <v>5</v>
      </c>
      <c r="B99" t="s">
        <v>302</v>
      </c>
      <c r="C99" t="s">
        <v>302</v>
      </c>
      <c r="D99" t="str">
        <f t="shared" si="3"/>
        <v>Sim</v>
      </c>
    </row>
    <row r="100" spans="1:4" x14ac:dyDescent="0.25">
      <c r="A100" t="s">
        <v>5</v>
      </c>
      <c r="B100" t="s">
        <v>175</v>
      </c>
      <c r="C100" t="s">
        <v>175</v>
      </c>
      <c r="D100" t="str">
        <f t="shared" si="3"/>
        <v>Sim</v>
      </c>
    </row>
    <row r="101" spans="1:4" x14ac:dyDescent="0.25">
      <c r="A101" s="5" t="s">
        <v>5</v>
      </c>
      <c r="B101" t="s">
        <v>176</v>
      </c>
      <c r="C101" t="s">
        <v>176</v>
      </c>
      <c r="D101" t="str">
        <f t="shared" si="3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187D-B074-4B16-BA83-21534C37E461}">
  <dimension ref="A1:G101"/>
  <sheetViews>
    <sheetView workbookViewId="0">
      <selection activeCell="C11" sqref="C1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 t="s">
        <v>123</v>
      </c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C3" t="s">
        <v>53</v>
      </c>
      <c r="D3" t="str">
        <f>IF(B3=C3, "Sim", "Não")</f>
        <v>Não</v>
      </c>
      <c r="F3" s="4" t="s">
        <v>10</v>
      </c>
      <c r="G3" s="3">
        <f>COUNTIF(D3:D105,"Não")</f>
        <v>90</v>
      </c>
    </row>
    <row r="4" spans="1:7" x14ac:dyDescent="0.25">
      <c r="A4" t="s">
        <v>1</v>
      </c>
      <c r="C4" t="s">
        <v>96</v>
      </c>
      <c r="D4" t="str">
        <f t="shared" ref="D4:D64" si="0">IF(B4=C4, "Sim", "Não")</f>
        <v>Não</v>
      </c>
      <c r="F4" s="4" t="s">
        <v>11</v>
      </c>
      <c r="G4" s="3">
        <f>SUM(G7:G25)</f>
        <v>99</v>
      </c>
    </row>
    <row r="5" spans="1:7" x14ac:dyDescent="0.25">
      <c r="A5" t="s">
        <v>1</v>
      </c>
      <c r="C5" t="s">
        <v>54</v>
      </c>
      <c r="D5" t="str">
        <f t="shared" si="0"/>
        <v>Não</v>
      </c>
    </row>
    <row r="6" spans="1:7" x14ac:dyDescent="0.25">
      <c r="A6" t="s">
        <v>1</v>
      </c>
      <c r="C6" t="s">
        <v>52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14</v>
      </c>
      <c r="D7" t="str">
        <f t="shared" si="0"/>
        <v>Não</v>
      </c>
      <c r="F7" s="7" t="s">
        <v>1</v>
      </c>
      <c r="G7" s="2">
        <f t="shared" ref="G7:G14" si="1">COUNTIF(A:A,F7)</f>
        <v>33</v>
      </c>
    </row>
    <row r="8" spans="1:7" x14ac:dyDescent="0.25">
      <c r="A8" t="s">
        <v>1</v>
      </c>
      <c r="C8" t="s">
        <v>97</v>
      </c>
      <c r="D8" t="str">
        <f t="shared" si="0"/>
        <v>Não</v>
      </c>
      <c r="F8" s="7" t="s">
        <v>30</v>
      </c>
      <c r="G8" s="2">
        <f t="shared" si="1"/>
        <v>15</v>
      </c>
    </row>
    <row r="9" spans="1:7" x14ac:dyDescent="0.25">
      <c r="A9" t="s">
        <v>1</v>
      </c>
      <c r="C9" t="s">
        <v>31</v>
      </c>
      <c r="D9" t="str">
        <f t="shared" si="0"/>
        <v>Não</v>
      </c>
      <c r="F9" s="7" t="s">
        <v>4</v>
      </c>
      <c r="G9" s="2">
        <f t="shared" si="1"/>
        <v>12</v>
      </c>
    </row>
    <row r="10" spans="1:7" x14ac:dyDescent="0.25">
      <c r="A10" t="s">
        <v>1</v>
      </c>
      <c r="C10" t="s">
        <v>99</v>
      </c>
      <c r="D10" t="str">
        <f t="shared" si="0"/>
        <v>Não</v>
      </c>
      <c r="F10" s="7" t="s">
        <v>56</v>
      </c>
      <c r="G10" s="2">
        <f t="shared" si="1"/>
        <v>17</v>
      </c>
    </row>
    <row r="11" spans="1:7" x14ac:dyDescent="0.25">
      <c r="A11" t="s">
        <v>1</v>
      </c>
      <c r="C11" t="s">
        <v>98</v>
      </c>
      <c r="D11" t="str">
        <f t="shared" si="0"/>
        <v>Não</v>
      </c>
      <c r="F11" s="7" t="s">
        <v>35</v>
      </c>
      <c r="G11" s="2">
        <f t="shared" si="1"/>
        <v>4</v>
      </c>
    </row>
    <row r="12" spans="1:7" x14ac:dyDescent="0.25">
      <c r="A12" t="s">
        <v>1</v>
      </c>
      <c r="C12" t="s">
        <v>34</v>
      </c>
      <c r="D12" t="str">
        <f t="shared" si="0"/>
        <v>Não</v>
      </c>
      <c r="F12" s="7" t="s">
        <v>41</v>
      </c>
      <c r="G12" s="2">
        <f t="shared" si="1"/>
        <v>11</v>
      </c>
    </row>
    <row r="13" spans="1:7" x14ac:dyDescent="0.25">
      <c r="A13" t="s">
        <v>1</v>
      </c>
      <c r="C13" t="s">
        <v>12</v>
      </c>
      <c r="D13" t="str">
        <f t="shared" si="0"/>
        <v>Não</v>
      </c>
      <c r="F13" s="7" t="s">
        <v>18</v>
      </c>
      <c r="G13" s="2">
        <f t="shared" si="1"/>
        <v>3</v>
      </c>
    </row>
    <row r="14" spans="1:7" x14ac:dyDescent="0.25">
      <c r="A14" t="s">
        <v>1</v>
      </c>
      <c r="C14" t="s">
        <v>103</v>
      </c>
      <c r="D14" t="str">
        <f t="shared" si="0"/>
        <v>Não</v>
      </c>
      <c r="F14" s="7" t="s">
        <v>21</v>
      </c>
      <c r="G14" s="2">
        <f t="shared" si="1"/>
        <v>4</v>
      </c>
    </row>
    <row r="15" spans="1:7" x14ac:dyDescent="0.25">
      <c r="A15" t="s">
        <v>1</v>
      </c>
      <c r="C15" t="s">
        <v>13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38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100</v>
      </c>
      <c r="D17" t="str">
        <f t="shared" si="0"/>
        <v>Não</v>
      </c>
    </row>
    <row r="18" spans="1:4" x14ac:dyDescent="0.25">
      <c r="A18" t="s">
        <v>1</v>
      </c>
      <c r="C18" t="s">
        <v>101</v>
      </c>
      <c r="D18" t="str">
        <f t="shared" si="0"/>
        <v>Não</v>
      </c>
    </row>
    <row r="19" spans="1:4" x14ac:dyDescent="0.25">
      <c r="A19" t="s">
        <v>1</v>
      </c>
      <c r="C19" t="s">
        <v>102</v>
      </c>
      <c r="D19" t="str">
        <f t="shared" si="0"/>
        <v>Não</v>
      </c>
    </row>
    <row r="20" spans="1:4" x14ac:dyDescent="0.25">
      <c r="A20" t="s">
        <v>1</v>
      </c>
      <c r="C20" t="s">
        <v>33</v>
      </c>
      <c r="D20" t="str">
        <f t="shared" si="0"/>
        <v>Não</v>
      </c>
    </row>
    <row r="21" spans="1:4" x14ac:dyDescent="0.25">
      <c r="A21" t="s">
        <v>1</v>
      </c>
      <c r="C21" t="s">
        <v>55</v>
      </c>
      <c r="D21" t="str">
        <f t="shared" si="0"/>
        <v>Não</v>
      </c>
    </row>
    <row r="22" spans="1:4" x14ac:dyDescent="0.25">
      <c r="A22" t="s">
        <v>1</v>
      </c>
      <c r="C22" t="s">
        <v>105</v>
      </c>
      <c r="D22" t="str">
        <f t="shared" si="0"/>
        <v>Não</v>
      </c>
    </row>
    <row r="23" spans="1:4" x14ac:dyDescent="0.25">
      <c r="A23" t="s">
        <v>1</v>
      </c>
      <c r="C23" t="s">
        <v>106</v>
      </c>
      <c r="D23" t="str">
        <f t="shared" si="0"/>
        <v>Não</v>
      </c>
    </row>
    <row r="24" spans="1:4" x14ac:dyDescent="0.25">
      <c r="A24" t="s">
        <v>1</v>
      </c>
      <c r="C24" t="s">
        <v>107</v>
      </c>
      <c r="D24" t="str">
        <f t="shared" si="0"/>
        <v>Não</v>
      </c>
    </row>
    <row r="25" spans="1:4" x14ac:dyDescent="0.25">
      <c r="A25" t="s">
        <v>1</v>
      </c>
      <c r="C25" t="s">
        <v>108</v>
      </c>
      <c r="D25" t="str">
        <f t="shared" si="0"/>
        <v>Não</v>
      </c>
    </row>
    <row r="26" spans="1:4" x14ac:dyDescent="0.25">
      <c r="A26" t="s">
        <v>1</v>
      </c>
      <c r="C26" t="s">
        <v>110</v>
      </c>
      <c r="D26" t="str">
        <f t="shared" si="0"/>
        <v>Não</v>
      </c>
    </row>
    <row r="27" spans="1:4" x14ac:dyDescent="0.25">
      <c r="A27" t="s">
        <v>1</v>
      </c>
      <c r="D27" t="str">
        <f t="shared" si="0"/>
        <v>Sim</v>
      </c>
    </row>
    <row r="28" spans="1:4" x14ac:dyDescent="0.25">
      <c r="A28" t="s">
        <v>1</v>
      </c>
      <c r="D28" t="str">
        <f t="shared" si="0"/>
        <v>Sim</v>
      </c>
    </row>
    <row r="29" spans="1:4" x14ac:dyDescent="0.25">
      <c r="A29" t="s">
        <v>1</v>
      </c>
      <c r="D29" t="str">
        <f t="shared" si="0"/>
        <v>Sim</v>
      </c>
    </row>
    <row r="30" spans="1:4" x14ac:dyDescent="0.25">
      <c r="A30" t="s">
        <v>1</v>
      </c>
      <c r="D30" t="str">
        <f t="shared" si="0"/>
        <v>Sim</v>
      </c>
    </row>
    <row r="31" spans="1:4" x14ac:dyDescent="0.25">
      <c r="A31" t="s">
        <v>1</v>
      </c>
      <c r="D31" t="str">
        <f t="shared" si="0"/>
        <v>Sim</v>
      </c>
    </row>
    <row r="32" spans="1:4" x14ac:dyDescent="0.25">
      <c r="A32" t="s">
        <v>1</v>
      </c>
      <c r="D32" t="str">
        <f t="shared" si="0"/>
        <v>Sim</v>
      </c>
    </row>
    <row r="33" spans="1:4" x14ac:dyDescent="0.25">
      <c r="A33" t="s">
        <v>1</v>
      </c>
      <c r="D33" t="str">
        <f t="shared" si="0"/>
        <v>Sim</v>
      </c>
    </row>
    <row r="34" spans="1:4" x14ac:dyDescent="0.25">
      <c r="A34" t="s">
        <v>1</v>
      </c>
      <c r="D34" t="str">
        <f t="shared" si="0"/>
        <v>Sim</v>
      </c>
    </row>
    <row r="35" spans="1:4" x14ac:dyDescent="0.25">
      <c r="A35" t="s">
        <v>1</v>
      </c>
      <c r="D35" t="str">
        <f t="shared" si="0"/>
        <v>Sim</v>
      </c>
    </row>
    <row r="36" spans="1:4" x14ac:dyDescent="0.25">
      <c r="A36" t="s">
        <v>30</v>
      </c>
      <c r="C36" t="s">
        <v>25</v>
      </c>
      <c r="D36" t="str">
        <f t="shared" si="0"/>
        <v>Não</v>
      </c>
    </row>
    <row r="37" spans="1:4" x14ac:dyDescent="0.25">
      <c r="A37" t="s">
        <v>30</v>
      </c>
      <c r="C37" t="s">
        <v>15</v>
      </c>
      <c r="D37" t="str">
        <f t="shared" si="0"/>
        <v>Não</v>
      </c>
    </row>
    <row r="38" spans="1:4" x14ac:dyDescent="0.25">
      <c r="A38" t="s">
        <v>30</v>
      </c>
      <c r="C38" t="s">
        <v>86</v>
      </c>
      <c r="D38" t="str">
        <f t="shared" si="0"/>
        <v>Não</v>
      </c>
    </row>
    <row r="39" spans="1:4" x14ac:dyDescent="0.25">
      <c r="A39" t="s">
        <v>30</v>
      </c>
      <c r="C39" t="s">
        <v>85</v>
      </c>
      <c r="D39" t="str">
        <f t="shared" si="0"/>
        <v>Não</v>
      </c>
    </row>
    <row r="40" spans="1:4" x14ac:dyDescent="0.25">
      <c r="A40" t="s">
        <v>30</v>
      </c>
      <c r="C40" t="s">
        <v>29</v>
      </c>
      <c r="D40" t="str">
        <f t="shared" si="0"/>
        <v>Não</v>
      </c>
    </row>
    <row r="41" spans="1:4" x14ac:dyDescent="0.25">
      <c r="A41" t="s">
        <v>30</v>
      </c>
      <c r="C41" t="s">
        <v>84</v>
      </c>
      <c r="D41" t="str">
        <f t="shared" si="0"/>
        <v>Não</v>
      </c>
    </row>
    <row r="42" spans="1:4" x14ac:dyDescent="0.25">
      <c r="A42" t="s">
        <v>30</v>
      </c>
      <c r="C42" t="s">
        <v>80</v>
      </c>
      <c r="D42" t="str">
        <f t="shared" si="0"/>
        <v>Não</v>
      </c>
    </row>
    <row r="43" spans="1:4" x14ac:dyDescent="0.25">
      <c r="A43" t="s">
        <v>30</v>
      </c>
      <c r="C43" t="s">
        <v>66</v>
      </c>
      <c r="D43" t="str">
        <f t="shared" si="0"/>
        <v>Não</v>
      </c>
    </row>
    <row r="44" spans="1:4" x14ac:dyDescent="0.25">
      <c r="A44" t="s">
        <v>30</v>
      </c>
      <c r="C44" t="s">
        <v>78</v>
      </c>
      <c r="D44" t="str">
        <f t="shared" si="0"/>
        <v>Não</v>
      </c>
    </row>
    <row r="45" spans="1:4" x14ac:dyDescent="0.25">
      <c r="A45" t="s">
        <v>30</v>
      </c>
      <c r="C45" t="s">
        <v>109</v>
      </c>
      <c r="D45" t="str">
        <f t="shared" si="0"/>
        <v>Não</v>
      </c>
    </row>
    <row r="46" spans="1:4" x14ac:dyDescent="0.25">
      <c r="A46" t="s">
        <v>30</v>
      </c>
      <c r="C46" t="s">
        <v>79</v>
      </c>
      <c r="D46" t="str">
        <f t="shared" si="0"/>
        <v>Não</v>
      </c>
    </row>
    <row r="47" spans="1:4" x14ac:dyDescent="0.25">
      <c r="A47" t="s">
        <v>30</v>
      </c>
      <c r="C47" t="s">
        <v>76</v>
      </c>
      <c r="D47" t="str">
        <f t="shared" si="0"/>
        <v>Não</v>
      </c>
    </row>
    <row r="48" spans="1:4" x14ac:dyDescent="0.25">
      <c r="A48" t="s">
        <v>30</v>
      </c>
      <c r="C48" t="s">
        <v>75</v>
      </c>
      <c r="D48" t="str">
        <f t="shared" si="0"/>
        <v>Não</v>
      </c>
    </row>
    <row r="49" spans="1:4" x14ac:dyDescent="0.25">
      <c r="A49" t="s">
        <v>30</v>
      </c>
      <c r="C49" t="s">
        <v>74</v>
      </c>
      <c r="D49" t="str">
        <f t="shared" si="0"/>
        <v>Não</v>
      </c>
    </row>
    <row r="50" spans="1:4" x14ac:dyDescent="0.25">
      <c r="A50" t="s">
        <v>30</v>
      </c>
      <c r="C50" t="s">
        <v>36</v>
      </c>
      <c r="D50" t="str">
        <f t="shared" si="0"/>
        <v>Não</v>
      </c>
    </row>
    <row r="51" spans="1:4" x14ac:dyDescent="0.25">
      <c r="A51" t="s">
        <v>4</v>
      </c>
      <c r="C51" t="s">
        <v>58</v>
      </c>
      <c r="D51" t="str">
        <f t="shared" si="0"/>
        <v>Não</v>
      </c>
    </row>
    <row r="52" spans="1:4" x14ac:dyDescent="0.25">
      <c r="A52" t="s">
        <v>4</v>
      </c>
      <c r="C52" t="s">
        <v>71</v>
      </c>
      <c r="D52" t="str">
        <f t="shared" si="0"/>
        <v>Não</v>
      </c>
    </row>
    <row r="53" spans="1:4" x14ac:dyDescent="0.25">
      <c r="A53" t="s">
        <v>4</v>
      </c>
      <c r="C53" t="s">
        <v>44</v>
      </c>
      <c r="D53" t="str">
        <f t="shared" si="0"/>
        <v>Não</v>
      </c>
    </row>
    <row r="54" spans="1:4" x14ac:dyDescent="0.25">
      <c r="A54" t="s">
        <v>4</v>
      </c>
      <c r="C54" t="s">
        <v>72</v>
      </c>
      <c r="D54" t="str">
        <f t="shared" si="0"/>
        <v>Não</v>
      </c>
    </row>
    <row r="55" spans="1:4" x14ac:dyDescent="0.25">
      <c r="A55" t="s">
        <v>4</v>
      </c>
      <c r="C55" t="s">
        <v>67</v>
      </c>
      <c r="D55" t="str">
        <f t="shared" si="0"/>
        <v>Não</v>
      </c>
    </row>
    <row r="56" spans="1:4" x14ac:dyDescent="0.25">
      <c r="A56" t="s">
        <v>4</v>
      </c>
      <c r="C56" t="s">
        <v>69</v>
      </c>
      <c r="D56" t="str">
        <f t="shared" si="0"/>
        <v>Não</v>
      </c>
    </row>
    <row r="57" spans="1:4" x14ac:dyDescent="0.25">
      <c r="A57" t="s">
        <v>4</v>
      </c>
      <c r="C57" t="s">
        <v>104</v>
      </c>
      <c r="D57" t="str">
        <f t="shared" si="0"/>
        <v>Não</v>
      </c>
    </row>
    <row r="58" spans="1:4" x14ac:dyDescent="0.25">
      <c r="A58" t="s">
        <v>4</v>
      </c>
      <c r="C58" t="s">
        <v>37</v>
      </c>
      <c r="D58" t="str">
        <f t="shared" si="0"/>
        <v>Não</v>
      </c>
    </row>
    <row r="59" spans="1:4" x14ac:dyDescent="0.25">
      <c r="A59" t="s">
        <v>4</v>
      </c>
      <c r="C59" t="s">
        <v>90</v>
      </c>
      <c r="D59" t="str">
        <f t="shared" si="0"/>
        <v>Não</v>
      </c>
    </row>
    <row r="60" spans="1:4" x14ac:dyDescent="0.25">
      <c r="A60" t="s">
        <v>4</v>
      </c>
      <c r="C60" t="s">
        <v>116</v>
      </c>
      <c r="D60" t="str">
        <f t="shared" si="0"/>
        <v>Não</v>
      </c>
    </row>
    <row r="61" spans="1:4" x14ac:dyDescent="0.25">
      <c r="A61" t="s">
        <v>4</v>
      </c>
      <c r="C61" t="s">
        <v>59</v>
      </c>
      <c r="D61" t="str">
        <f t="shared" si="0"/>
        <v>Não</v>
      </c>
    </row>
    <row r="62" spans="1:4" x14ac:dyDescent="0.25">
      <c r="A62" t="s">
        <v>4</v>
      </c>
      <c r="C62" t="s">
        <v>112</v>
      </c>
      <c r="D62" t="str">
        <f t="shared" si="0"/>
        <v>Não</v>
      </c>
    </row>
    <row r="63" spans="1:4" x14ac:dyDescent="0.25">
      <c r="A63" t="s">
        <v>56</v>
      </c>
      <c r="C63" t="s">
        <v>73</v>
      </c>
      <c r="D63" t="str">
        <f t="shared" si="0"/>
        <v>Não</v>
      </c>
    </row>
    <row r="64" spans="1:4" x14ac:dyDescent="0.25">
      <c r="A64" t="s">
        <v>56</v>
      </c>
      <c r="C64" t="s">
        <v>120</v>
      </c>
      <c r="D64" t="str">
        <f t="shared" si="0"/>
        <v>Não</v>
      </c>
    </row>
    <row r="65" spans="1:4" x14ac:dyDescent="0.25">
      <c r="A65" t="s">
        <v>56</v>
      </c>
      <c r="C65" t="s">
        <v>119</v>
      </c>
      <c r="D65" t="str">
        <f t="shared" ref="D65:D101" si="2">IF(B65=C65, "Sim", "Não")</f>
        <v>Não</v>
      </c>
    </row>
    <row r="66" spans="1:4" x14ac:dyDescent="0.25">
      <c r="A66" t="s">
        <v>56</v>
      </c>
      <c r="C66" t="s">
        <v>77</v>
      </c>
      <c r="D66" t="str">
        <f t="shared" si="2"/>
        <v>Não</v>
      </c>
    </row>
    <row r="67" spans="1:4" x14ac:dyDescent="0.25">
      <c r="A67" t="s">
        <v>56</v>
      </c>
      <c r="C67" t="s">
        <v>118</v>
      </c>
      <c r="D67" t="str">
        <f t="shared" si="2"/>
        <v>Não</v>
      </c>
    </row>
    <row r="68" spans="1:4" x14ac:dyDescent="0.25">
      <c r="A68" t="s">
        <v>56</v>
      </c>
      <c r="C68" t="s">
        <v>89</v>
      </c>
      <c r="D68" t="str">
        <f t="shared" si="2"/>
        <v>Não</v>
      </c>
    </row>
    <row r="69" spans="1:4" x14ac:dyDescent="0.25">
      <c r="A69" t="s">
        <v>56</v>
      </c>
      <c r="C69" t="s">
        <v>121</v>
      </c>
      <c r="D69" t="str">
        <f t="shared" si="2"/>
        <v>Não</v>
      </c>
    </row>
    <row r="70" spans="1:4" x14ac:dyDescent="0.25">
      <c r="A70" t="s">
        <v>56</v>
      </c>
      <c r="C70" t="s">
        <v>117</v>
      </c>
      <c r="D70" t="str">
        <f t="shared" si="2"/>
        <v>Não</v>
      </c>
    </row>
    <row r="71" spans="1:4" x14ac:dyDescent="0.25">
      <c r="A71" t="s">
        <v>56</v>
      </c>
      <c r="C71" t="s">
        <v>88</v>
      </c>
      <c r="D71" t="str">
        <f t="shared" si="2"/>
        <v>Não</v>
      </c>
    </row>
    <row r="72" spans="1:4" x14ac:dyDescent="0.25">
      <c r="A72" t="s">
        <v>56</v>
      </c>
      <c r="C72" t="s">
        <v>87</v>
      </c>
      <c r="D72" t="str">
        <f t="shared" si="2"/>
        <v>Não</v>
      </c>
    </row>
    <row r="73" spans="1:4" x14ac:dyDescent="0.25">
      <c r="A73" t="s">
        <v>56</v>
      </c>
      <c r="C73" t="s">
        <v>83</v>
      </c>
      <c r="D73" t="str">
        <f t="shared" si="2"/>
        <v>Não</v>
      </c>
    </row>
    <row r="74" spans="1:4" x14ac:dyDescent="0.25">
      <c r="A74" t="s">
        <v>56</v>
      </c>
      <c r="C74" t="s">
        <v>82</v>
      </c>
      <c r="D74" t="str">
        <f t="shared" si="2"/>
        <v>Não</v>
      </c>
    </row>
    <row r="75" spans="1:4" x14ac:dyDescent="0.25">
      <c r="A75" t="s">
        <v>56</v>
      </c>
      <c r="C75" t="s">
        <v>64</v>
      </c>
      <c r="D75" t="str">
        <f t="shared" si="2"/>
        <v>Não</v>
      </c>
    </row>
    <row r="76" spans="1:4" x14ac:dyDescent="0.25">
      <c r="A76" t="s">
        <v>56</v>
      </c>
      <c r="C76" t="s">
        <v>115</v>
      </c>
      <c r="D76" t="str">
        <f t="shared" si="2"/>
        <v>Não</v>
      </c>
    </row>
    <row r="77" spans="1:4" x14ac:dyDescent="0.25">
      <c r="A77" t="s">
        <v>56</v>
      </c>
      <c r="C77" t="s">
        <v>63</v>
      </c>
      <c r="D77" t="str">
        <f>IF(B77=C77, "Sim", "Não")</f>
        <v>Não</v>
      </c>
    </row>
    <row r="78" spans="1:4" x14ac:dyDescent="0.25">
      <c r="A78" t="s">
        <v>56</v>
      </c>
      <c r="C78" t="s">
        <v>45</v>
      </c>
      <c r="D78" t="str">
        <f t="shared" si="2"/>
        <v>Não</v>
      </c>
    </row>
    <row r="79" spans="1:4" x14ac:dyDescent="0.25">
      <c r="A79" t="s">
        <v>56</v>
      </c>
      <c r="C79" t="s">
        <v>57</v>
      </c>
      <c r="D79" t="str">
        <f t="shared" si="2"/>
        <v>Não</v>
      </c>
    </row>
    <row r="80" spans="1:4" x14ac:dyDescent="0.25">
      <c r="A80" t="s">
        <v>21</v>
      </c>
      <c r="C80" t="s">
        <v>111</v>
      </c>
      <c r="D80" t="str">
        <f t="shared" si="2"/>
        <v>Não</v>
      </c>
    </row>
    <row r="81" spans="1:4" x14ac:dyDescent="0.25">
      <c r="A81" t="s">
        <v>21</v>
      </c>
      <c r="C81" t="s">
        <v>39</v>
      </c>
      <c r="D81" t="str">
        <f t="shared" si="2"/>
        <v>Não</v>
      </c>
    </row>
    <row r="82" spans="1:4" x14ac:dyDescent="0.25">
      <c r="A82" t="s">
        <v>21</v>
      </c>
      <c r="C82" t="s">
        <v>23</v>
      </c>
      <c r="D82" t="str">
        <f t="shared" si="2"/>
        <v>Não</v>
      </c>
    </row>
    <row r="83" spans="1:4" x14ac:dyDescent="0.25">
      <c r="A83" t="s">
        <v>21</v>
      </c>
      <c r="C83" t="s">
        <v>68</v>
      </c>
      <c r="D83" t="str">
        <f t="shared" si="2"/>
        <v>Não</v>
      </c>
    </row>
    <row r="84" spans="1:4" x14ac:dyDescent="0.25">
      <c r="A84" t="s">
        <v>41</v>
      </c>
      <c r="C84" t="s">
        <v>61</v>
      </c>
      <c r="D84" t="str">
        <f t="shared" si="2"/>
        <v>Não</v>
      </c>
    </row>
    <row r="85" spans="1:4" x14ac:dyDescent="0.25">
      <c r="A85" t="s">
        <v>41</v>
      </c>
      <c r="C85" t="s">
        <v>60</v>
      </c>
      <c r="D85" t="str">
        <f t="shared" si="2"/>
        <v>Não</v>
      </c>
    </row>
    <row r="86" spans="1:4" x14ac:dyDescent="0.25">
      <c r="A86" t="s">
        <v>41</v>
      </c>
      <c r="C86" t="s">
        <v>92</v>
      </c>
      <c r="D86" t="str">
        <f t="shared" si="2"/>
        <v>Não</v>
      </c>
    </row>
    <row r="87" spans="1:4" x14ac:dyDescent="0.25">
      <c r="A87" t="s">
        <v>41</v>
      </c>
      <c r="C87" t="s">
        <v>91</v>
      </c>
      <c r="D87" t="str">
        <f t="shared" si="2"/>
        <v>Não</v>
      </c>
    </row>
    <row r="88" spans="1:4" x14ac:dyDescent="0.25">
      <c r="A88" t="s">
        <v>41</v>
      </c>
      <c r="C88" t="s">
        <v>51</v>
      </c>
      <c r="D88" t="str">
        <f t="shared" si="2"/>
        <v>Não</v>
      </c>
    </row>
    <row r="89" spans="1:4" x14ac:dyDescent="0.25">
      <c r="A89" t="s">
        <v>41</v>
      </c>
      <c r="C89" t="s">
        <v>81</v>
      </c>
      <c r="D89" t="str">
        <f t="shared" si="2"/>
        <v>Não</v>
      </c>
    </row>
    <row r="90" spans="1:4" x14ac:dyDescent="0.25">
      <c r="A90" t="s">
        <v>41</v>
      </c>
      <c r="C90" t="s">
        <v>50</v>
      </c>
      <c r="D90" t="str">
        <f t="shared" si="2"/>
        <v>Não</v>
      </c>
    </row>
    <row r="91" spans="1:4" x14ac:dyDescent="0.25">
      <c r="A91" t="s">
        <v>41</v>
      </c>
      <c r="C91" t="s">
        <v>93</v>
      </c>
      <c r="D91" t="str">
        <f t="shared" si="2"/>
        <v>Não</v>
      </c>
    </row>
    <row r="92" spans="1:4" x14ac:dyDescent="0.25">
      <c r="A92" t="s">
        <v>41</v>
      </c>
      <c r="C92" t="s">
        <v>94</v>
      </c>
      <c r="D92" t="str">
        <f t="shared" si="2"/>
        <v>Não</v>
      </c>
    </row>
    <row r="93" spans="1:4" x14ac:dyDescent="0.25">
      <c r="A93" t="s">
        <v>41</v>
      </c>
      <c r="C93" t="s">
        <v>70</v>
      </c>
      <c r="D93" t="str">
        <f t="shared" si="2"/>
        <v>Não</v>
      </c>
    </row>
    <row r="94" spans="1:4" x14ac:dyDescent="0.25">
      <c r="A94" t="s">
        <v>41</v>
      </c>
      <c r="C94" t="s">
        <v>95</v>
      </c>
      <c r="D94" t="str">
        <f t="shared" si="2"/>
        <v>Não</v>
      </c>
    </row>
    <row r="95" spans="1:4" x14ac:dyDescent="0.25">
      <c r="A95" t="s">
        <v>35</v>
      </c>
      <c r="C95" t="s">
        <v>65</v>
      </c>
      <c r="D95" t="str">
        <f t="shared" si="2"/>
        <v>Não</v>
      </c>
    </row>
    <row r="96" spans="1:4" x14ac:dyDescent="0.25">
      <c r="A96" t="s">
        <v>35</v>
      </c>
      <c r="C96" t="s">
        <v>62</v>
      </c>
      <c r="D96" t="str">
        <f t="shared" si="2"/>
        <v>Não</v>
      </c>
    </row>
    <row r="97" spans="1:4" x14ac:dyDescent="0.25">
      <c r="A97" t="s">
        <v>35</v>
      </c>
      <c r="C97" t="s">
        <v>40</v>
      </c>
      <c r="D97" t="str">
        <f t="shared" si="2"/>
        <v>Não</v>
      </c>
    </row>
    <row r="98" spans="1:4" x14ac:dyDescent="0.25">
      <c r="A98" t="s">
        <v>35</v>
      </c>
      <c r="C98" t="s">
        <v>113</v>
      </c>
      <c r="D98" t="str">
        <f t="shared" si="2"/>
        <v>Não</v>
      </c>
    </row>
    <row r="99" spans="1:4" x14ac:dyDescent="0.25">
      <c r="A99" t="s">
        <v>18</v>
      </c>
      <c r="C99" t="s">
        <v>122</v>
      </c>
      <c r="D99" t="str">
        <f t="shared" si="2"/>
        <v>Não</v>
      </c>
    </row>
    <row r="100" spans="1:4" x14ac:dyDescent="0.25">
      <c r="A100" t="s">
        <v>18</v>
      </c>
      <c r="C100" t="s">
        <v>114</v>
      </c>
      <c r="D100" t="str">
        <f t="shared" si="2"/>
        <v>Não</v>
      </c>
    </row>
    <row r="101" spans="1:4" x14ac:dyDescent="0.25">
      <c r="A101" s="5" t="s">
        <v>18</v>
      </c>
      <c r="C101" t="s">
        <v>43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DF98-B367-4C2C-A528-24A70873A07C}">
  <dimension ref="A1:G101"/>
  <sheetViews>
    <sheetView tabSelected="1" topLeftCell="A2" workbookViewId="0">
      <selection activeCell="C2" sqref="C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 t="s">
        <v>125</v>
      </c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C3" t="s">
        <v>163</v>
      </c>
      <c r="D3" t="str">
        <f>IF(B3=C3, "Sim", "Não")</f>
        <v>Não</v>
      </c>
      <c r="F3" s="4" t="s">
        <v>10</v>
      </c>
      <c r="G3" s="3">
        <f>COUNTIF(D3:D105,"Não")</f>
        <v>99</v>
      </c>
    </row>
    <row r="4" spans="1:7" x14ac:dyDescent="0.25">
      <c r="A4" t="s">
        <v>1</v>
      </c>
      <c r="C4" t="s">
        <v>96</v>
      </c>
      <c r="D4" t="str">
        <f t="shared" ref="D4:D67" si="0">IF(B4=C4, "Sim", "Não")</f>
        <v>Não</v>
      </c>
      <c r="F4" s="4" t="s">
        <v>11</v>
      </c>
      <c r="G4" s="3">
        <f>SUM(G7:G25)</f>
        <v>99</v>
      </c>
    </row>
    <row r="5" spans="1:7" x14ac:dyDescent="0.25">
      <c r="A5" t="s">
        <v>1</v>
      </c>
      <c r="C5" t="s">
        <v>164</v>
      </c>
      <c r="D5" t="str">
        <f t="shared" si="0"/>
        <v>Não</v>
      </c>
    </row>
    <row r="6" spans="1:7" x14ac:dyDescent="0.25">
      <c r="A6" t="s">
        <v>1</v>
      </c>
      <c r="C6" t="s">
        <v>14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31</v>
      </c>
      <c r="D7" t="str">
        <f t="shared" si="0"/>
        <v>Não</v>
      </c>
      <c r="F7" s="7" t="s">
        <v>1</v>
      </c>
      <c r="G7" s="2">
        <f>COUNTIF(A:A,F7)</f>
        <v>35</v>
      </c>
    </row>
    <row r="8" spans="1:7" x14ac:dyDescent="0.25">
      <c r="A8" t="s">
        <v>1</v>
      </c>
      <c r="C8" t="s">
        <v>165</v>
      </c>
      <c r="D8" t="str">
        <f t="shared" si="0"/>
        <v>Não</v>
      </c>
      <c r="F8" s="7" t="s">
        <v>30</v>
      </c>
      <c r="G8" s="2">
        <f t="shared" ref="G8:G13" si="1">COUNTIF(A:A,F8)</f>
        <v>12</v>
      </c>
    </row>
    <row r="9" spans="1:7" x14ac:dyDescent="0.25">
      <c r="A9" t="s">
        <v>1</v>
      </c>
      <c r="C9" t="s">
        <v>440</v>
      </c>
      <c r="D9" t="str">
        <f t="shared" si="0"/>
        <v>Não</v>
      </c>
      <c r="F9" s="7" t="s">
        <v>4</v>
      </c>
      <c r="G9" s="2">
        <f t="shared" si="1"/>
        <v>8</v>
      </c>
    </row>
    <row r="10" spans="1:7" x14ac:dyDescent="0.25">
      <c r="A10" t="s">
        <v>1</v>
      </c>
      <c r="C10" t="s">
        <v>17</v>
      </c>
      <c r="D10" t="str">
        <f t="shared" si="0"/>
        <v>Não</v>
      </c>
      <c r="F10" s="7" t="s">
        <v>126</v>
      </c>
      <c r="G10" s="2">
        <f t="shared" si="1"/>
        <v>21</v>
      </c>
    </row>
    <row r="11" spans="1:7" x14ac:dyDescent="0.25">
      <c r="A11" t="s">
        <v>1</v>
      </c>
      <c r="C11" t="s">
        <v>272</v>
      </c>
      <c r="D11" t="str">
        <f t="shared" si="0"/>
        <v>Não</v>
      </c>
      <c r="F11" s="7" t="s">
        <v>42</v>
      </c>
      <c r="G11" s="2">
        <f t="shared" si="1"/>
        <v>10</v>
      </c>
    </row>
    <row r="12" spans="1:7" x14ac:dyDescent="0.25">
      <c r="A12" t="s">
        <v>1</v>
      </c>
      <c r="C12" t="s">
        <v>446</v>
      </c>
      <c r="D12" t="str">
        <f t="shared" si="0"/>
        <v>Não</v>
      </c>
      <c r="F12" s="7" t="s">
        <v>22</v>
      </c>
      <c r="G12" s="2">
        <f t="shared" si="1"/>
        <v>13</v>
      </c>
    </row>
    <row r="13" spans="1:7" x14ac:dyDescent="0.25">
      <c r="A13" t="s">
        <v>1</v>
      </c>
      <c r="C13" t="s">
        <v>447</v>
      </c>
      <c r="D13" t="str">
        <f t="shared" si="0"/>
        <v>Não</v>
      </c>
      <c r="F13" s="7" t="s">
        <v>20</v>
      </c>
      <c r="G13" s="2">
        <f t="shared" si="1"/>
        <v>0</v>
      </c>
    </row>
    <row r="14" spans="1:7" x14ac:dyDescent="0.25">
      <c r="A14" t="s">
        <v>1</v>
      </c>
      <c r="C14" t="s">
        <v>448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449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450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451</v>
      </c>
      <c r="D17" t="str">
        <f t="shared" si="0"/>
        <v>Não</v>
      </c>
    </row>
    <row r="18" spans="1:4" x14ac:dyDescent="0.25">
      <c r="A18" t="s">
        <v>1</v>
      </c>
      <c r="C18" t="s">
        <v>167</v>
      </c>
      <c r="D18" t="str">
        <f t="shared" si="0"/>
        <v>Não</v>
      </c>
    </row>
    <row r="19" spans="1:4" x14ac:dyDescent="0.25">
      <c r="A19" t="s">
        <v>1</v>
      </c>
      <c r="C19" t="s">
        <v>168</v>
      </c>
      <c r="D19" t="str">
        <f t="shared" si="0"/>
        <v>Não</v>
      </c>
    </row>
    <row r="20" spans="1:4" x14ac:dyDescent="0.25">
      <c r="A20" t="s">
        <v>1</v>
      </c>
      <c r="C20" t="s">
        <v>169</v>
      </c>
      <c r="D20" t="str">
        <f t="shared" si="0"/>
        <v>Não</v>
      </c>
    </row>
    <row r="21" spans="1:4" x14ac:dyDescent="0.25">
      <c r="A21" t="s">
        <v>1</v>
      </c>
      <c r="C21" t="s">
        <v>170</v>
      </c>
      <c r="D21" t="str">
        <f t="shared" si="0"/>
        <v>Não</v>
      </c>
    </row>
    <row r="22" spans="1:4" x14ac:dyDescent="0.25">
      <c r="A22" t="s">
        <v>1</v>
      </c>
      <c r="C22" t="s">
        <v>97</v>
      </c>
      <c r="D22" t="str">
        <f t="shared" si="0"/>
        <v>Não</v>
      </c>
    </row>
    <row r="23" spans="1:4" x14ac:dyDescent="0.25">
      <c r="A23" t="s">
        <v>1</v>
      </c>
      <c r="C23" t="s">
        <v>171</v>
      </c>
      <c r="D23" t="str">
        <f t="shared" si="0"/>
        <v>Não</v>
      </c>
    </row>
    <row r="24" spans="1:4" x14ac:dyDescent="0.25">
      <c r="A24" t="s">
        <v>1</v>
      </c>
      <c r="C24" t="s">
        <v>32</v>
      </c>
      <c r="D24" t="str">
        <f t="shared" si="0"/>
        <v>Não</v>
      </c>
    </row>
    <row r="25" spans="1:4" x14ac:dyDescent="0.25">
      <c r="A25" t="s">
        <v>1</v>
      </c>
      <c r="C25" t="s">
        <v>443</v>
      </c>
      <c r="D25" t="str">
        <f t="shared" si="0"/>
        <v>Não</v>
      </c>
    </row>
    <row r="26" spans="1:4" x14ac:dyDescent="0.25">
      <c r="A26" t="s">
        <v>1</v>
      </c>
      <c r="C26" t="s">
        <v>444</v>
      </c>
      <c r="D26" t="str">
        <f t="shared" si="0"/>
        <v>Não</v>
      </c>
    </row>
    <row r="27" spans="1:4" x14ac:dyDescent="0.25">
      <c r="A27" t="s">
        <v>1</v>
      </c>
      <c r="C27" t="s">
        <v>445</v>
      </c>
      <c r="D27" t="str">
        <f t="shared" si="0"/>
        <v>Não</v>
      </c>
    </row>
    <row r="28" spans="1:4" x14ac:dyDescent="0.25">
      <c r="A28" t="s">
        <v>1</v>
      </c>
      <c r="C28" t="s">
        <v>19</v>
      </c>
      <c r="D28" t="str">
        <f t="shared" si="0"/>
        <v>Não</v>
      </c>
    </row>
    <row r="29" spans="1:4" x14ac:dyDescent="0.25">
      <c r="A29" t="s">
        <v>1</v>
      </c>
      <c r="C29" t="s">
        <v>19</v>
      </c>
      <c r="D29" t="str">
        <f t="shared" si="0"/>
        <v>Não</v>
      </c>
    </row>
    <row r="30" spans="1:4" x14ac:dyDescent="0.25">
      <c r="A30" t="s">
        <v>1</v>
      </c>
      <c r="C30" t="s">
        <v>166</v>
      </c>
      <c r="D30" t="str">
        <f t="shared" si="0"/>
        <v>Não</v>
      </c>
    </row>
    <row r="31" spans="1:4" x14ac:dyDescent="0.25">
      <c r="A31" t="s">
        <v>1</v>
      </c>
      <c r="C31" t="s">
        <v>166</v>
      </c>
      <c r="D31" t="str">
        <f t="shared" si="0"/>
        <v>Não</v>
      </c>
    </row>
    <row r="32" spans="1:4" x14ac:dyDescent="0.25">
      <c r="A32" t="s">
        <v>1</v>
      </c>
      <c r="C32" t="s">
        <v>2</v>
      </c>
      <c r="D32" t="str">
        <f t="shared" si="0"/>
        <v>Não</v>
      </c>
    </row>
    <row r="33" spans="1:4" x14ac:dyDescent="0.25">
      <c r="A33" t="s">
        <v>1</v>
      </c>
      <c r="C33" t="s">
        <v>2</v>
      </c>
      <c r="D33" t="str">
        <f t="shared" si="0"/>
        <v>Não</v>
      </c>
    </row>
    <row r="34" spans="1:4" x14ac:dyDescent="0.25">
      <c r="A34" t="s">
        <v>1</v>
      </c>
      <c r="C34" t="s">
        <v>6</v>
      </c>
      <c r="D34" t="str">
        <f t="shared" si="0"/>
        <v>Não</v>
      </c>
    </row>
    <row r="35" spans="1:4" x14ac:dyDescent="0.25">
      <c r="A35" t="s">
        <v>1</v>
      </c>
      <c r="C35" t="s">
        <v>6</v>
      </c>
      <c r="D35" t="str">
        <f t="shared" si="0"/>
        <v>Não</v>
      </c>
    </row>
    <row r="36" spans="1:4" x14ac:dyDescent="0.25">
      <c r="A36" t="s">
        <v>1</v>
      </c>
      <c r="C36" t="s">
        <v>16</v>
      </c>
      <c r="D36" t="str">
        <f t="shared" si="0"/>
        <v>Não</v>
      </c>
    </row>
    <row r="37" spans="1:4" x14ac:dyDescent="0.25">
      <c r="A37" t="s">
        <v>1</v>
      </c>
      <c r="C37" t="s">
        <v>16</v>
      </c>
      <c r="D37" t="str">
        <f t="shared" si="0"/>
        <v>Não</v>
      </c>
    </row>
    <row r="38" spans="1:4" x14ac:dyDescent="0.25">
      <c r="A38" t="s">
        <v>30</v>
      </c>
      <c r="C38" t="s">
        <v>435</v>
      </c>
      <c r="D38" t="str">
        <f t="shared" si="0"/>
        <v>Não</v>
      </c>
    </row>
    <row r="39" spans="1:4" x14ac:dyDescent="0.25">
      <c r="A39" t="s">
        <v>30</v>
      </c>
      <c r="C39" t="s">
        <v>436</v>
      </c>
      <c r="D39" t="str">
        <f t="shared" si="0"/>
        <v>Não</v>
      </c>
    </row>
    <row r="40" spans="1:4" x14ac:dyDescent="0.25">
      <c r="A40" t="s">
        <v>30</v>
      </c>
      <c r="C40" t="s">
        <v>264</v>
      </c>
      <c r="D40" t="str">
        <f t="shared" si="0"/>
        <v>Não</v>
      </c>
    </row>
    <row r="41" spans="1:4" x14ac:dyDescent="0.25">
      <c r="A41" t="s">
        <v>30</v>
      </c>
      <c r="C41" t="s">
        <v>310</v>
      </c>
      <c r="D41" t="str">
        <f t="shared" si="0"/>
        <v>Não</v>
      </c>
    </row>
    <row r="42" spans="1:4" x14ac:dyDescent="0.25">
      <c r="A42" t="s">
        <v>30</v>
      </c>
      <c r="C42" t="s">
        <v>438</v>
      </c>
      <c r="D42" t="str">
        <f t="shared" si="0"/>
        <v>Não</v>
      </c>
    </row>
    <row r="43" spans="1:4" x14ac:dyDescent="0.25">
      <c r="A43" t="s">
        <v>30</v>
      </c>
      <c r="C43" t="s">
        <v>439</v>
      </c>
      <c r="D43" t="str">
        <f t="shared" si="0"/>
        <v>Não</v>
      </c>
    </row>
    <row r="44" spans="1:4" x14ac:dyDescent="0.25">
      <c r="A44" t="s">
        <v>30</v>
      </c>
      <c r="C44" t="s">
        <v>433</v>
      </c>
      <c r="D44" t="str">
        <f t="shared" si="0"/>
        <v>Não</v>
      </c>
    </row>
    <row r="45" spans="1:4" x14ac:dyDescent="0.25">
      <c r="A45" t="s">
        <v>30</v>
      </c>
      <c r="C45" t="s">
        <v>428</v>
      </c>
      <c r="D45" t="str">
        <f t="shared" si="0"/>
        <v>Não</v>
      </c>
    </row>
    <row r="46" spans="1:4" x14ac:dyDescent="0.25">
      <c r="A46" t="s">
        <v>30</v>
      </c>
      <c r="C46" t="s">
        <v>427</v>
      </c>
      <c r="D46" t="str">
        <f t="shared" si="0"/>
        <v>Não</v>
      </c>
    </row>
    <row r="47" spans="1:4" x14ac:dyDescent="0.25">
      <c r="A47" t="s">
        <v>30</v>
      </c>
      <c r="C47" t="s">
        <v>425</v>
      </c>
      <c r="D47" t="str">
        <f t="shared" si="0"/>
        <v>Não</v>
      </c>
    </row>
    <row r="48" spans="1:4" x14ac:dyDescent="0.25">
      <c r="A48" t="s">
        <v>30</v>
      </c>
      <c r="C48" t="s">
        <v>154</v>
      </c>
      <c r="D48" t="str">
        <f t="shared" si="0"/>
        <v>Não</v>
      </c>
    </row>
    <row r="49" spans="1:5" x14ac:dyDescent="0.25">
      <c r="A49" t="s">
        <v>30</v>
      </c>
      <c r="C49" t="s">
        <v>145</v>
      </c>
      <c r="D49" t="str">
        <f t="shared" si="0"/>
        <v>Não</v>
      </c>
    </row>
    <row r="50" spans="1:5" x14ac:dyDescent="0.25">
      <c r="A50" t="s">
        <v>4</v>
      </c>
      <c r="C50" t="s">
        <v>422</v>
      </c>
      <c r="D50" t="str">
        <f t="shared" si="0"/>
        <v>Não</v>
      </c>
    </row>
    <row r="51" spans="1:5" x14ac:dyDescent="0.25">
      <c r="A51" t="s">
        <v>4</v>
      </c>
      <c r="C51" t="s">
        <v>151</v>
      </c>
      <c r="D51" t="str">
        <f t="shared" si="0"/>
        <v>Não</v>
      </c>
    </row>
    <row r="52" spans="1:5" x14ac:dyDescent="0.25">
      <c r="A52" t="s">
        <v>4</v>
      </c>
      <c r="C52" t="s">
        <v>147</v>
      </c>
      <c r="D52" t="str">
        <f t="shared" si="0"/>
        <v>Não</v>
      </c>
    </row>
    <row r="53" spans="1:5" x14ac:dyDescent="0.25">
      <c r="A53" t="s">
        <v>4</v>
      </c>
      <c r="C53" t="s">
        <v>148</v>
      </c>
      <c r="D53" t="str">
        <f t="shared" si="0"/>
        <v>Não</v>
      </c>
    </row>
    <row r="54" spans="1:5" x14ac:dyDescent="0.25">
      <c r="A54" t="s">
        <v>4</v>
      </c>
      <c r="C54" t="s">
        <v>153</v>
      </c>
      <c r="D54" t="str">
        <f t="shared" si="0"/>
        <v>Não</v>
      </c>
    </row>
    <row r="55" spans="1:5" x14ac:dyDescent="0.25">
      <c r="A55" t="s">
        <v>4</v>
      </c>
      <c r="C55" t="s">
        <v>156</v>
      </c>
      <c r="D55" t="str">
        <f t="shared" si="0"/>
        <v>Não</v>
      </c>
    </row>
    <row r="56" spans="1:5" x14ac:dyDescent="0.25">
      <c r="A56" t="s">
        <v>4</v>
      </c>
      <c r="C56" t="s">
        <v>430</v>
      </c>
      <c r="D56" t="str">
        <f t="shared" si="0"/>
        <v>Não</v>
      </c>
      <c r="E56" t="s">
        <v>159</v>
      </c>
    </row>
    <row r="57" spans="1:5" x14ac:dyDescent="0.25">
      <c r="A57" t="s">
        <v>4</v>
      </c>
      <c r="C57" t="s">
        <v>146</v>
      </c>
      <c r="D57" t="str">
        <f t="shared" si="0"/>
        <v>Não</v>
      </c>
      <c r="E57" t="s">
        <v>158</v>
      </c>
    </row>
    <row r="58" spans="1:5" x14ac:dyDescent="0.25">
      <c r="A58" t="s">
        <v>126</v>
      </c>
      <c r="C58" t="s">
        <v>129</v>
      </c>
      <c r="D58" t="str">
        <f t="shared" si="0"/>
        <v>Não</v>
      </c>
    </row>
    <row r="59" spans="1:5" x14ac:dyDescent="0.25">
      <c r="A59" t="s">
        <v>126</v>
      </c>
      <c r="C59" t="s">
        <v>130</v>
      </c>
      <c r="D59" t="str">
        <f t="shared" si="0"/>
        <v>Não</v>
      </c>
    </row>
    <row r="60" spans="1:5" x14ac:dyDescent="0.25">
      <c r="A60" t="s">
        <v>126</v>
      </c>
      <c r="C60" t="s">
        <v>131</v>
      </c>
      <c r="D60" t="str">
        <f t="shared" si="0"/>
        <v>Não</v>
      </c>
    </row>
    <row r="61" spans="1:5" x14ac:dyDescent="0.25">
      <c r="A61" t="s">
        <v>126</v>
      </c>
      <c r="C61" t="s">
        <v>127</v>
      </c>
      <c r="D61" t="str">
        <f t="shared" si="0"/>
        <v>Não</v>
      </c>
    </row>
    <row r="62" spans="1:5" x14ac:dyDescent="0.25">
      <c r="A62" t="s">
        <v>126</v>
      </c>
      <c r="C62" t="s">
        <v>128</v>
      </c>
      <c r="D62" t="str">
        <f t="shared" si="0"/>
        <v>Não</v>
      </c>
    </row>
    <row r="63" spans="1:5" x14ac:dyDescent="0.25">
      <c r="A63" t="s">
        <v>126</v>
      </c>
      <c r="C63" t="s">
        <v>134</v>
      </c>
      <c r="D63" t="str">
        <f t="shared" si="0"/>
        <v>Não</v>
      </c>
    </row>
    <row r="64" spans="1:5" x14ac:dyDescent="0.25">
      <c r="A64" t="s">
        <v>126</v>
      </c>
      <c r="C64" t="s">
        <v>135</v>
      </c>
      <c r="D64" t="str">
        <f t="shared" si="0"/>
        <v>Não</v>
      </c>
    </row>
    <row r="65" spans="1:4" x14ac:dyDescent="0.25">
      <c r="A65" t="s">
        <v>126</v>
      </c>
      <c r="C65" t="s">
        <v>136</v>
      </c>
      <c r="D65" t="str">
        <f t="shared" si="0"/>
        <v>Não</v>
      </c>
    </row>
    <row r="66" spans="1:4" x14ac:dyDescent="0.25">
      <c r="A66" t="s">
        <v>126</v>
      </c>
      <c r="C66" t="s">
        <v>137</v>
      </c>
      <c r="D66" t="str">
        <f t="shared" si="0"/>
        <v>Não</v>
      </c>
    </row>
    <row r="67" spans="1:4" x14ac:dyDescent="0.25">
      <c r="A67" t="s">
        <v>126</v>
      </c>
      <c r="C67" t="s">
        <v>138</v>
      </c>
      <c r="D67" t="str">
        <f t="shared" si="0"/>
        <v>Não</v>
      </c>
    </row>
    <row r="68" spans="1:4" x14ac:dyDescent="0.25">
      <c r="A68" t="s">
        <v>126</v>
      </c>
      <c r="C68" t="s">
        <v>139</v>
      </c>
      <c r="D68" t="str">
        <f t="shared" ref="D68:D101" si="2">IF(B68=C68, "Sim", "Não")</f>
        <v>Não</v>
      </c>
    </row>
    <row r="69" spans="1:4" x14ac:dyDescent="0.25">
      <c r="A69" t="s">
        <v>126</v>
      </c>
      <c r="C69" t="s">
        <v>141</v>
      </c>
      <c r="D69" t="str">
        <f t="shared" si="2"/>
        <v>Não</v>
      </c>
    </row>
    <row r="70" spans="1:4" x14ac:dyDescent="0.25">
      <c r="A70" t="s">
        <v>126</v>
      </c>
      <c r="C70" t="s">
        <v>142</v>
      </c>
      <c r="D70" t="str">
        <f t="shared" si="2"/>
        <v>Não</v>
      </c>
    </row>
    <row r="71" spans="1:4" x14ac:dyDescent="0.25">
      <c r="A71" t="s">
        <v>126</v>
      </c>
      <c r="C71" t="s">
        <v>143</v>
      </c>
      <c r="D71" t="str">
        <f t="shared" si="2"/>
        <v>Não</v>
      </c>
    </row>
    <row r="72" spans="1:4" x14ac:dyDescent="0.25">
      <c r="A72" t="s">
        <v>126</v>
      </c>
      <c r="C72" t="s">
        <v>144</v>
      </c>
      <c r="D72" t="str">
        <f t="shared" si="2"/>
        <v>Não</v>
      </c>
    </row>
    <row r="73" spans="1:4" x14ac:dyDescent="0.25">
      <c r="A73" t="s">
        <v>126</v>
      </c>
      <c r="C73" t="s">
        <v>417</v>
      </c>
      <c r="D73" t="str">
        <f t="shared" si="2"/>
        <v>Não</v>
      </c>
    </row>
    <row r="74" spans="1:4" x14ac:dyDescent="0.25">
      <c r="A74" t="s">
        <v>126</v>
      </c>
      <c r="C74" t="s">
        <v>418</v>
      </c>
      <c r="D74" t="str">
        <f t="shared" si="2"/>
        <v>Não</v>
      </c>
    </row>
    <row r="75" spans="1:4" x14ac:dyDescent="0.25">
      <c r="A75" t="s">
        <v>126</v>
      </c>
      <c r="C75" t="s">
        <v>419</v>
      </c>
      <c r="D75" t="str">
        <f t="shared" si="2"/>
        <v>Não</v>
      </c>
    </row>
    <row r="76" spans="1:4" x14ac:dyDescent="0.25">
      <c r="A76" t="s">
        <v>126</v>
      </c>
      <c r="C76" t="s">
        <v>420</v>
      </c>
      <c r="D76" t="str">
        <f t="shared" si="2"/>
        <v>Não</v>
      </c>
    </row>
    <row r="77" spans="1:4" x14ac:dyDescent="0.25">
      <c r="A77" t="s">
        <v>126</v>
      </c>
      <c r="C77" t="s">
        <v>421</v>
      </c>
      <c r="D77" t="str">
        <f t="shared" si="2"/>
        <v>Não</v>
      </c>
    </row>
    <row r="78" spans="1:4" x14ac:dyDescent="0.25">
      <c r="A78" t="s">
        <v>126</v>
      </c>
      <c r="C78" t="s">
        <v>140</v>
      </c>
      <c r="D78" t="str">
        <f t="shared" si="2"/>
        <v>Não</v>
      </c>
    </row>
    <row r="79" spans="1:4" x14ac:dyDescent="0.25">
      <c r="A79" t="s">
        <v>42</v>
      </c>
      <c r="C79" t="s">
        <v>26</v>
      </c>
      <c r="D79" t="str">
        <f t="shared" si="2"/>
        <v>Não</v>
      </c>
    </row>
    <row r="80" spans="1:4" x14ac:dyDescent="0.25">
      <c r="A80" t="s">
        <v>42</v>
      </c>
      <c r="C80" t="s">
        <v>24</v>
      </c>
      <c r="D80" t="str">
        <f t="shared" si="2"/>
        <v>Não</v>
      </c>
    </row>
    <row r="81" spans="1:6" x14ac:dyDescent="0.25">
      <c r="A81" t="s">
        <v>42</v>
      </c>
      <c r="C81" t="s">
        <v>27</v>
      </c>
      <c r="D81" t="str">
        <f t="shared" si="2"/>
        <v>Não</v>
      </c>
    </row>
    <row r="82" spans="1:6" x14ac:dyDescent="0.25">
      <c r="A82" t="s">
        <v>42</v>
      </c>
      <c r="C82" t="s">
        <v>133</v>
      </c>
      <c r="D82" t="str">
        <f t="shared" si="2"/>
        <v>Não</v>
      </c>
    </row>
    <row r="83" spans="1:6" x14ac:dyDescent="0.25">
      <c r="A83" t="s">
        <v>42</v>
      </c>
      <c r="C83" t="s">
        <v>47</v>
      </c>
      <c r="D83" t="str">
        <f t="shared" si="2"/>
        <v>Não</v>
      </c>
    </row>
    <row r="84" spans="1:6" x14ac:dyDescent="0.25">
      <c r="A84" t="s">
        <v>42</v>
      </c>
      <c r="C84" t="s">
        <v>155</v>
      </c>
      <c r="D84" t="str">
        <f t="shared" si="2"/>
        <v>Não</v>
      </c>
    </row>
    <row r="85" spans="1:6" x14ac:dyDescent="0.25">
      <c r="A85" t="s">
        <v>42</v>
      </c>
      <c r="C85" t="s">
        <v>161</v>
      </c>
      <c r="D85" t="str">
        <f t="shared" si="2"/>
        <v>Não</v>
      </c>
    </row>
    <row r="86" spans="1:6" x14ac:dyDescent="0.25">
      <c r="A86" t="s">
        <v>42</v>
      </c>
      <c r="C86" t="s">
        <v>46</v>
      </c>
      <c r="D86" t="str">
        <f t="shared" si="2"/>
        <v>Não</v>
      </c>
    </row>
    <row r="87" spans="1:6" x14ac:dyDescent="0.25">
      <c r="A87" t="s">
        <v>42</v>
      </c>
      <c r="C87" t="s">
        <v>441</v>
      </c>
      <c r="D87" t="str">
        <f t="shared" si="2"/>
        <v>Não</v>
      </c>
    </row>
    <row r="88" spans="1:6" x14ac:dyDescent="0.25">
      <c r="A88" t="s">
        <v>42</v>
      </c>
      <c r="C88" t="s">
        <v>160</v>
      </c>
      <c r="D88" t="str">
        <f t="shared" si="2"/>
        <v>Não</v>
      </c>
    </row>
    <row r="89" spans="1:6" x14ac:dyDescent="0.25">
      <c r="A89" t="s">
        <v>22</v>
      </c>
      <c r="B89" t="s">
        <v>442</v>
      </c>
      <c r="C89" t="s">
        <v>124</v>
      </c>
      <c r="D89" t="str">
        <f t="shared" si="2"/>
        <v>Não</v>
      </c>
      <c r="F89" s="3" t="s">
        <v>424</v>
      </c>
    </row>
    <row r="90" spans="1:6" x14ac:dyDescent="0.25">
      <c r="A90" t="s">
        <v>22</v>
      </c>
      <c r="C90" t="s">
        <v>434</v>
      </c>
      <c r="D90" t="str">
        <f t="shared" si="2"/>
        <v>Não</v>
      </c>
    </row>
    <row r="91" spans="1:6" x14ac:dyDescent="0.25">
      <c r="A91" t="s">
        <v>22</v>
      </c>
      <c r="C91" t="s">
        <v>149</v>
      </c>
      <c r="D91" t="str">
        <f t="shared" si="2"/>
        <v>Não</v>
      </c>
    </row>
    <row r="92" spans="1:6" x14ac:dyDescent="0.25">
      <c r="A92" t="s">
        <v>22</v>
      </c>
      <c r="C92" t="s">
        <v>162</v>
      </c>
      <c r="D92" t="str">
        <f t="shared" si="2"/>
        <v>Não</v>
      </c>
    </row>
    <row r="93" spans="1:6" x14ac:dyDescent="0.25">
      <c r="A93" t="s">
        <v>22</v>
      </c>
      <c r="C93" t="s">
        <v>150</v>
      </c>
      <c r="D93" t="str">
        <f t="shared" si="2"/>
        <v>Não</v>
      </c>
    </row>
    <row r="94" spans="1:6" x14ac:dyDescent="0.25">
      <c r="A94" t="s">
        <v>22</v>
      </c>
      <c r="C94" t="s">
        <v>437</v>
      </c>
      <c r="D94" t="str">
        <f t="shared" si="2"/>
        <v>Não</v>
      </c>
    </row>
    <row r="95" spans="1:6" x14ac:dyDescent="0.25">
      <c r="A95" t="s">
        <v>22</v>
      </c>
      <c r="C95" t="s">
        <v>432</v>
      </c>
      <c r="D95" t="str">
        <f t="shared" si="2"/>
        <v>Não</v>
      </c>
    </row>
    <row r="96" spans="1:6" x14ac:dyDescent="0.25">
      <c r="A96" t="s">
        <v>22</v>
      </c>
      <c r="C96" t="s">
        <v>431</v>
      </c>
      <c r="D96" t="str">
        <f t="shared" si="2"/>
        <v>Não</v>
      </c>
    </row>
    <row r="97" spans="1:4" x14ac:dyDescent="0.25">
      <c r="A97" t="s">
        <v>22</v>
      </c>
      <c r="C97" t="s">
        <v>429</v>
      </c>
      <c r="D97" t="str">
        <f t="shared" si="2"/>
        <v>Não</v>
      </c>
    </row>
    <row r="98" spans="1:4" x14ac:dyDescent="0.25">
      <c r="A98" t="s">
        <v>22</v>
      </c>
      <c r="C98" t="s">
        <v>157</v>
      </c>
      <c r="D98" t="str">
        <f t="shared" si="2"/>
        <v>Não</v>
      </c>
    </row>
    <row r="99" spans="1:4" x14ac:dyDescent="0.25">
      <c r="A99" t="s">
        <v>22</v>
      </c>
      <c r="C99" t="s">
        <v>426</v>
      </c>
      <c r="D99" t="str">
        <f t="shared" si="2"/>
        <v>Não</v>
      </c>
    </row>
    <row r="100" spans="1:4" x14ac:dyDescent="0.25">
      <c r="A100" t="s">
        <v>22</v>
      </c>
      <c r="C100" t="s">
        <v>152</v>
      </c>
      <c r="D100" t="str">
        <f t="shared" si="2"/>
        <v>Não</v>
      </c>
    </row>
    <row r="101" spans="1:4" x14ac:dyDescent="0.25">
      <c r="A101" s="5" t="s">
        <v>22</v>
      </c>
      <c r="C101" t="s">
        <v>423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D364-56D0-4F94-AE5C-929BE8F07A25}">
  <dimension ref="A1:G100"/>
  <sheetViews>
    <sheetView workbookViewId="0">
      <selection activeCell="F103" sqref="F103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 t="s">
        <v>339</v>
      </c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C3" t="s">
        <v>96</v>
      </c>
      <c r="D3" t="str">
        <f>IF(B3=C3, "Sim", "Não")</f>
        <v>Não</v>
      </c>
      <c r="F3" s="4" t="s">
        <v>10</v>
      </c>
      <c r="G3" s="3">
        <f>COUNTIF(D3:D105,"Não")</f>
        <v>71</v>
      </c>
    </row>
    <row r="4" spans="1:7" x14ac:dyDescent="0.25">
      <c r="A4" t="s">
        <v>1</v>
      </c>
      <c r="C4" t="s">
        <v>391</v>
      </c>
      <c r="D4" t="str">
        <f t="shared" ref="D4:D67" si="0">IF(B4=C4, "Sim", "Não")</f>
        <v>Não</v>
      </c>
      <c r="F4" s="4" t="s">
        <v>11</v>
      </c>
      <c r="G4" s="3">
        <f>SUM(G7:G25)</f>
        <v>98</v>
      </c>
    </row>
    <row r="5" spans="1:7" x14ac:dyDescent="0.25">
      <c r="A5" t="s">
        <v>1</v>
      </c>
      <c r="C5" t="s">
        <v>392</v>
      </c>
      <c r="D5" t="str">
        <f t="shared" si="0"/>
        <v>Não</v>
      </c>
    </row>
    <row r="6" spans="1:7" x14ac:dyDescent="0.25">
      <c r="A6" t="s">
        <v>1</v>
      </c>
      <c r="C6" t="s">
        <v>393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D7" t="str">
        <f t="shared" si="0"/>
        <v>Sim</v>
      </c>
      <c r="F7" s="7" t="s">
        <v>1</v>
      </c>
      <c r="G7" s="2">
        <f>COUNTIF(A:A,F7)</f>
        <v>31</v>
      </c>
    </row>
    <row r="8" spans="1:7" x14ac:dyDescent="0.25">
      <c r="A8" t="s">
        <v>1</v>
      </c>
      <c r="D8" t="str">
        <f t="shared" si="0"/>
        <v>Sim</v>
      </c>
      <c r="F8" s="7" t="s">
        <v>30</v>
      </c>
      <c r="G8" s="2">
        <f t="shared" ref="G8:G12" si="1">COUNTIF(A:A,F8)</f>
        <v>8</v>
      </c>
    </row>
    <row r="9" spans="1:7" x14ac:dyDescent="0.25">
      <c r="A9" t="s">
        <v>1</v>
      </c>
      <c r="D9" t="str">
        <f t="shared" si="0"/>
        <v>Sim</v>
      </c>
      <c r="F9" s="7" t="s">
        <v>340</v>
      </c>
      <c r="G9" s="2">
        <f t="shared" si="1"/>
        <v>10</v>
      </c>
    </row>
    <row r="10" spans="1:7" x14ac:dyDescent="0.25">
      <c r="A10" t="s">
        <v>1</v>
      </c>
      <c r="D10" t="str">
        <f t="shared" si="0"/>
        <v>Sim</v>
      </c>
      <c r="F10" s="7" t="s">
        <v>341</v>
      </c>
      <c r="G10" s="2">
        <f t="shared" si="1"/>
        <v>38</v>
      </c>
    </row>
    <row r="11" spans="1:7" x14ac:dyDescent="0.25">
      <c r="A11" t="s">
        <v>1</v>
      </c>
      <c r="D11" t="str">
        <f t="shared" si="0"/>
        <v>Sim</v>
      </c>
      <c r="F11" s="7" t="s">
        <v>342</v>
      </c>
      <c r="G11" s="2">
        <f t="shared" si="1"/>
        <v>4</v>
      </c>
    </row>
    <row r="12" spans="1:7" x14ac:dyDescent="0.25">
      <c r="A12" t="s">
        <v>1</v>
      </c>
      <c r="D12" t="str">
        <f t="shared" si="0"/>
        <v>Sim</v>
      </c>
      <c r="F12" s="7" t="s">
        <v>21</v>
      </c>
      <c r="G12" s="2">
        <f t="shared" si="1"/>
        <v>7</v>
      </c>
    </row>
    <row r="13" spans="1:7" x14ac:dyDescent="0.25">
      <c r="A13" t="s">
        <v>1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D16" t="str">
        <f t="shared" si="0"/>
        <v>Sim</v>
      </c>
      <c r="F16" s="4"/>
      <c r="G16" s="2"/>
    </row>
    <row r="17" spans="1:7" x14ac:dyDescent="0.25">
      <c r="A17" t="s">
        <v>1</v>
      </c>
      <c r="D17" t="str">
        <f t="shared" si="0"/>
        <v>Sim</v>
      </c>
      <c r="G17" s="2"/>
    </row>
    <row r="18" spans="1:7" x14ac:dyDescent="0.25">
      <c r="A18" t="s">
        <v>1</v>
      </c>
      <c r="D18" t="str">
        <f t="shared" si="0"/>
        <v>Sim</v>
      </c>
      <c r="G18" s="2"/>
    </row>
    <row r="19" spans="1:7" x14ac:dyDescent="0.25">
      <c r="A19" t="s">
        <v>1</v>
      </c>
      <c r="D19" t="str">
        <f t="shared" si="0"/>
        <v>Sim</v>
      </c>
      <c r="G19" s="2"/>
    </row>
    <row r="20" spans="1:7" x14ac:dyDescent="0.25">
      <c r="A20" t="s">
        <v>1</v>
      </c>
      <c r="D20" t="str">
        <f t="shared" si="0"/>
        <v>Sim</v>
      </c>
      <c r="G20" s="2"/>
    </row>
    <row r="21" spans="1:7" x14ac:dyDescent="0.25">
      <c r="A21" t="s">
        <v>1</v>
      </c>
      <c r="D21" t="str">
        <f t="shared" si="0"/>
        <v>Sim</v>
      </c>
      <c r="G21" s="2"/>
    </row>
    <row r="22" spans="1:7" x14ac:dyDescent="0.25">
      <c r="A22" t="s">
        <v>1</v>
      </c>
      <c r="D22" t="str">
        <f t="shared" si="0"/>
        <v>Sim</v>
      </c>
      <c r="G22" s="2"/>
    </row>
    <row r="23" spans="1:7" x14ac:dyDescent="0.25">
      <c r="A23" t="s">
        <v>1</v>
      </c>
      <c r="D23" t="str">
        <f t="shared" si="0"/>
        <v>Sim</v>
      </c>
      <c r="G23" s="2"/>
    </row>
    <row r="24" spans="1:7" x14ac:dyDescent="0.25">
      <c r="A24" t="s">
        <v>1</v>
      </c>
      <c r="D24" t="str">
        <f t="shared" si="0"/>
        <v>Sim</v>
      </c>
      <c r="G24" s="2"/>
    </row>
    <row r="25" spans="1:7" x14ac:dyDescent="0.25">
      <c r="A25" t="s">
        <v>1</v>
      </c>
      <c r="D25" t="str">
        <f t="shared" si="0"/>
        <v>Sim</v>
      </c>
      <c r="G25" s="2"/>
    </row>
    <row r="26" spans="1:7" x14ac:dyDescent="0.25">
      <c r="A26" t="s">
        <v>1</v>
      </c>
      <c r="D26" t="str">
        <f t="shared" si="0"/>
        <v>Sim</v>
      </c>
      <c r="G26" s="2"/>
    </row>
    <row r="27" spans="1:7" x14ac:dyDescent="0.25">
      <c r="A27" t="s">
        <v>1</v>
      </c>
      <c r="D27" t="str">
        <f t="shared" si="0"/>
        <v>Sim</v>
      </c>
      <c r="G27" s="2"/>
    </row>
    <row r="28" spans="1:7" x14ac:dyDescent="0.25">
      <c r="A28" t="s">
        <v>1</v>
      </c>
      <c r="D28" t="str">
        <f t="shared" si="0"/>
        <v>Sim</v>
      </c>
      <c r="G28" s="2"/>
    </row>
    <row r="29" spans="1:7" x14ac:dyDescent="0.25">
      <c r="A29" t="s">
        <v>1</v>
      </c>
      <c r="D29" t="str">
        <f t="shared" si="0"/>
        <v>Sim</v>
      </c>
    </row>
    <row r="30" spans="1:7" x14ac:dyDescent="0.25">
      <c r="A30" t="s">
        <v>1</v>
      </c>
      <c r="D30" t="str">
        <f t="shared" si="0"/>
        <v>Sim</v>
      </c>
    </row>
    <row r="31" spans="1:7" x14ac:dyDescent="0.25">
      <c r="A31" t="s">
        <v>1</v>
      </c>
      <c r="D31" t="str">
        <f t="shared" si="0"/>
        <v>Sim</v>
      </c>
    </row>
    <row r="32" spans="1:7" x14ac:dyDescent="0.25">
      <c r="A32" t="s">
        <v>1</v>
      </c>
      <c r="D32" t="str">
        <f t="shared" si="0"/>
        <v>Sim</v>
      </c>
    </row>
    <row r="33" spans="1:4" x14ac:dyDescent="0.25">
      <c r="A33" t="s">
        <v>1</v>
      </c>
      <c r="D33" t="str">
        <f t="shared" si="0"/>
        <v>Sim</v>
      </c>
    </row>
    <row r="34" spans="1:4" x14ac:dyDescent="0.25">
      <c r="A34" t="s">
        <v>30</v>
      </c>
      <c r="C34" t="s">
        <v>28</v>
      </c>
      <c r="D34" t="str">
        <f t="shared" si="0"/>
        <v>Não</v>
      </c>
    </row>
    <row r="35" spans="1:4" x14ac:dyDescent="0.25">
      <c r="A35" t="s">
        <v>30</v>
      </c>
      <c r="C35" t="s">
        <v>29</v>
      </c>
      <c r="D35" t="str">
        <f t="shared" si="0"/>
        <v>Não</v>
      </c>
    </row>
    <row r="36" spans="1:4" x14ac:dyDescent="0.25">
      <c r="A36" t="s">
        <v>30</v>
      </c>
      <c r="C36" t="s">
        <v>397</v>
      </c>
      <c r="D36" t="str">
        <f t="shared" si="0"/>
        <v>Não</v>
      </c>
    </row>
    <row r="37" spans="1:4" x14ac:dyDescent="0.25">
      <c r="A37" t="s">
        <v>30</v>
      </c>
      <c r="C37" t="s">
        <v>398</v>
      </c>
      <c r="D37" t="str">
        <f t="shared" si="0"/>
        <v>Não</v>
      </c>
    </row>
    <row r="38" spans="1:4" x14ac:dyDescent="0.25">
      <c r="A38" t="s">
        <v>30</v>
      </c>
      <c r="C38" t="s">
        <v>85</v>
      </c>
      <c r="D38" t="str">
        <f t="shared" si="0"/>
        <v>Não</v>
      </c>
    </row>
    <row r="39" spans="1:4" x14ac:dyDescent="0.25">
      <c r="A39" t="s">
        <v>30</v>
      </c>
      <c r="C39" t="s">
        <v>400</v>
      </c>
      <c r="D39" t="str">
        <f t="shared" si="0"/>
        <v>Não</v>
      </c>
    </row>
    <row r="40" spans="1:4" x14ac:dyDescent="0.25">
      <c r="A40" t="s">
        <v>30</v>
      </c>
      <c r="C40" t="s">
        <v>401</v>
      </c>
      <c r="D40" t="str">
        <f t="shared" si="0"/>
        <v>Não</v>
      </c>
    </row>
    <row r="41" spans="1:4" x14ac:dyDescent="0.25">
      <c r="A41" t="s">
        <v>30</v>
      </c>
      <c r="C41" t="s">
        <v>403</v>
      </c>
      <c r="D41" t="str">
        <f t="shared" si="0"/>
        <v>Não</v>
      </c>
    </row>
    <row r="42" spans="1:4" x14ac:dyDescent="0.25">
      <c r="A42" t="s">
        <v>340</v>
      </c>
      <c r="B42" t="s">
        <v>37</v>
      </c>
      <c r="C42" t="s">
        <v>344</v>
      </c>
      <c r="D42" t="str">
        <f t="shared" si="0"/>
        <v>Não</v>
      </c>
    </row>
    <row r="43" spans="1:4" x14ac:dyDescent="0.25">
      <c r="A43" t="s">
        <v>340</v>
      </c>
      <c r="B43" t="s">
        <v>415</v>
      </c>
      <c r="C43" t="s">
        <v>116</v>
      </c>
      <c r="D43" t="str">
        <f t="shared" si="0"/>
        <v>Não</v>
      </c>
    </row>
    <row r="44" spans="1:4" x14ac:dyDescent="0.25">
      <c r="A44" t="s">
        <v>340</v>
      </c>
      <c r="C44" t="s">
        <v>81</v>
      </c>
      <c r="D44" t="str">
        <f t="shared" si="0"/>
        <v>Não</v>
      </c>
    </row>
    <row r="45" spans="1:4" x14ac:dyDescent="0.25">
      <c r="A45" t="s">
        <v>340</v>
      </c>
      <c r="C45" t="s">
        <v>356</v>
      </c>
      <c r="D45" t="str">
        <f t="shared" si="0"/>
        <v>Não</v>
      </c>
    </row>
    <row r="46" spans="1:4" x14ac:dyDescent="0.25">
      <c r="A46" t="s">
        <v>340</v>
      </c>
      <c r="C46" t="s">
        <v>44</v>
      </c>
      <c r="D46" t="str">
        <f t="shared" si="0"/>
        <v>Não</v>
      </c>
    </row>
    <row r="47" spans="1:4" x14ac:dyDescent="0.25">
      <c r="A47" t="s">
        <v>340</v>
      </c>
      <c r="C47" t="s">
        <v>407</v>
      </c>
      <c r="D47" t="str">
        <f t="shared" si="0"/>
        <v>Não</v>
      </c>
    </row>
    <row r="48" spans="1:4" x14ac:dyDescent="0.25">
      <c r="A48" t="s">
        <v>340</v>
      </c>
      <c r="C48" t="s">
        <v>412</v>
      </c>
      <c r="D48" t="str">
        <f t="shared" si="0"/>
        <v>Não</v>
      </c>
    </row>
    <row r="49" spans="1:4" x14ac:dyDescent="0.25">
      <c r="A49" t="s">
        <v>340</v>
      </c>
      <c r="C49" t="s">
        <v>91</v>
      </c>
      <c r="D49" t="str">
        <f t="shared" si="0"/>
        <v>Não</v>
      </c>
    </row>
    <row r="50" spans="1:4" x14ac:dyDescent="0.25">
      <c r="A50" t="s">
        <v>340</v>
      </c>
      <c r="C50" t="s">
        <v>343</v>
      </c>
      <c r="D50" t="str">
        <f t="shared" si="0"/>
        <v>Não</v>
      </c>
    </row>
    <row r="51" spans="1:4" x14ac:dyDescent="0.25">
      <c r="A51" t="s">
        <v>340</v>
      </c>
      <c r="C51" t="s">
        <v>70</v>
      </c>
      <c r="D51" t="str">
        <f t="shared" si="0"/>
        <v>Não</v>
      </c>
    </row>
    <row r="52" spans="1:4" x14ac:dyDescent="0.25">
      <c r="A52" t="s">
        <v>341</v>
      </c>
      <c r="C52" t="s">
        <v>345</v>
      </c>
      <c r="D52" t="str">
        <f t="shared" si="0"/>
        <v>Não</v>
      </c>
    </row>
    <row r="53" spans="1:4" x14ac:dyDescent="0.25">
      <c r="A53" t="s">
        <v>341</v>
      </c>
      <c r="C53" t="s">
        <v>346</v>
      </c>
      <c r="D53" t="str">
        <f t="shared" si="0"/>
        <v>Não</v>
      </c>
    </row>
    <row r="54" spans="1:4" x14ac:dyDescent="0.25">
      <c r="A54" t="s">
        <v>341</v>
      </c>
      <c r="C54" t="s">
        <v>347</v>
      </c>
      <c r="D54" t="str">
        <f t="shared" si="0"/>
        <v>Não</v>
      </c>
    </row>
    <row r="55" spans="1:4" x14ac:dyDescent="0.25">
      <c r="A55" t="s">
        <v>341</v>
      </c>
      <c r="C55" t="s">
        <v>348</v>
      </c>
      <c r="D55" t="str">
        <f t="shared" si="0"/>
        <v>Não</v>
      </c>
    </row>
    <row r="56" spans="1:4" x14ac:dyDescent="0.25">
      <c r="A56" t="s">
        <v>341</v>
      </c>
      <c r="C56" t="s">
        <v>349</v>
      </c>
      <c r="D56" t="str">
        <f t="shared" si="0"/>
        <v>Não</v>
      </c>
    </row>
    <row r="57" spans="1:4" x14ac:dyDescent="0.25">
      <c r="A57" t="s">
        <v>341</v>
      </c>
      <c r="C57" t="s">
        <v>350</v>
      </c>
      <c r="D57" t="str">
        <f t="shared" si="0"/>
        <v>Não</v>
      </c>
    </row>
    <row r="58" spans="1:4" x14ac:dyDescent="0.25">
      <c r="A58" t="s">
        <v>341</v>
      </c>
      <c r="C58" t="s">
        <v>351</v>
      </c>
      <c r="D58" t="str">
        <f t="shared" si="0"/>
        <v>Não</v>
      </c>
    </row>
    <row r="59" spans="1:4" x14ac:dyDescent="0.25">
      <c r="A59" t="s">
        <v>341</v>
      </c>
      <c r="C59" t="s">
        <v>352</v>
      </c>
      <c r="D59" t="str">
        <f t="shared" si="0"/>
        <v>Não</v>
      </c>
    </row>
    <row r="60" spans="1:4" x14ac:dyDescent="0.25">
      <c r="A60" t="s">
        <v>341</v>
      </c>
      <c r="C60" t="s">
        <v>353</v>
      </c>
      <c r="D60" t="str">
        <f t="shared" si="0"/>
        <v>Não</v>
      </c>
    </row>
    <row r="61" spans="1:4" x14ac:dyDescent="0.25">
      <c r="A61" t="s">
        <v>341</v>
      </c>
      <c r="C61" t="s">
        <v>354</v>
      </c>
      <c r="D61" t="str">
        <f t="shared" si="0"/>
        <v>Não</v>
      </c>
    </row>
    <row r="62" spans="1:4" x14ac:dyDescent="0.25">
      <c r="A62" t="s">
        <v>341</v>
      </c>
      <c r="C62" t="s">
        <v>355</v>
      </c>
      <c r="D62" t="str">
        <f t="shared" si="0"/>
        <v>Não</v>
      </c>
    </row>
    <row r="63" spans="1:4" x14ac:dyDescent="0.25">
      <c r="A63" t="s">
        <v>341</v>
      </c>
      <c r="B63" t="s">
        <v>404</v>
      </c>
      <c r="C63" t="s">
        <v>357</v>
      </c>
      <c r="D63" t="str">
        <f t="shared" si="0"/>
        <v>Não</v>
      </c>
    </row>
    <row r="64" spans="1:4" x14ac:dyDescent="0.25">
      <c r="A64" t="s">
        <v>341</v>
      </c>
      <c r="B64" t="s">
        <v>402</v>
      </c>
      <c r="C64" t="s">
        <v>358</v>
      </c>
      <c r="D64" t="str">
        <f t="shared" si="0"/>
        <v>Não</v>
      </c>
    </row>
    <row r="65" spans="1:4" x14ac:dyDescent="0.25">
      <c r="A65" t="s">
        <v>341</v>
      </c>
      <c r="B65" t="s">
        <v>388</v>
      </c>
      <c r="C65" t="s">
        <v>359</v>
      </c>
      <c r="D65" t="str">
        <f t="shared" si="0"/>
        <v>Não</v>
      </c>
    </row>
    <row r="66" spans="1:4" x14ac:dyDescent="0.25">
      <c r="A66" t="s">
        <v>341</v>
      </c>
      <c r="B66" t="s">
        <v>374</v>
      </c>
      <c r="C66" t="s">
        <v>360</v>
      </c>
      <c r="D66" t="str">
        <f t="shared" si="0"/>
        <v>Não</v>
      </c>
    </row>
    <row r="67" spans="1:4" x14ac:dyDescent="0.25">
      <c r="A67" t="s">
        <v>341</v>
      </c>
      <c r="B67" t="s">
        <v>390</v>
      </c>
      <c r="C67" t="s">
        <v>361</v>
      </c>
      <c r="D67" t="str">
        <f t="shared" si="0"/>
        <v>Não</v>
      </c>
    </row>
    <row r="68" spans="1:4" x14ac:dyDescent="0.25">
      <c r="A68" t="s">
        <v>341</v>
      </c>
      <c r="C68" t="s">
        <v>362</v>
      </c>
      <c r="D68" t="str">
        <f t="shared" ref="D68:D100" si="2">IF(B68=C68, "Sim", "Não")</f>
        <v>Não</v>
      </c>
    </row>
    <row r="69" spans="1:4" x14ac:dyDescent="0.25">
      <c r="A69" t="s">
        <v>341</v>
      </c>
      <c r="C69" t="s">
        <v>363</v>
      </c>
      <c r="D69" t="str">
        <f t="shared" si="2"/>
        <v>Não</v>
      </c>
    </row>
    <row r="70" spans="1:4" x14ac:dyDescent="0.25">
      <c r="A70" t="s">
        <v>341</v>
      </c>
      <c r="B70" t="s">
        <v>409</v>
      </c>
      <c r="C70" t="s">
        <v>364</v>
      </c>
      <c r="D70" t="str">
        <f t="shared" si="2"/>
        <v>Não</v>
      </c>
    </row>
    <row r="71" spans="1:4" x14ac:dyDescent="0.25">
      <c r="A71" t="s">
        <v>341</v>
      </c>
      <c r="B71" t="s">
        <v>61</v>
      </c>
      <c r="C71" t="s">
        <v>365</v>
      </c>
      <c r="D71" t="str">
        <f t="shared" si="2"/>
        <v>Não</v>
      </c>
    </row>
    <row r="72" spans="1:4" x14ac:dyDescent="0.25">
      <c r="A72" t="s">
        <v>341</v>
      </c>
      <c r="B72" t="s">
        <v>60</v>
      </c>
      <c r="C72" t="s">
        <v>366</v>
      </c>
      <c r="D72" t="str">
        <f t="shared" si="2"/>
        <v>Não</v>
      </c>
    </row>
    <row r="73" spans="1:4" x14ac:dyDescent="0.25">
      <c r="A73" t="s">
        <v>341</v>
      </c>
      <c r="B73" t="s">
        <v>410</v>
      </c>
      <c r="C73" t="s">
        <v>367</v>
      </c>
      <c r="D73" t="str">
        <f t="shared" si="2"/>
        <v>Não</v>
      </c>
    </row>
    <row r="74" spans="1:4" x14ac:dyDescent="0.25">
      <c r="A74" t="s">
        <v>341</v>
      </c>
      <c r="C74" t="s">
        <v>368</v>
      </c>
      <c r="D74" t="str">
        <f t="shared" si="2"/>
        <v>Não</v>
      </c>
    </row>
    <row r="75" spans="1:4" x14ac:dyDescent="0.25">
      <c r="A75" t="s">
        <v>341</v>
      </c>
      <c r="C75" t="s">
        <v>369</v>
      </c>
      <c r="D75" t="str">
        <f t="shared" si="2"/>
        <v>Não</v>
      </c>
    </row>
    <row r="76" spans="1:4" x14ac:dyDescent="0.25">
      <c r="A76" t="s">
        <v>341</v>
      </c>
      <c r="B76" t="s">
        <v>389</v>
      </c>
      <c r="C76" t="s">
        <v>370</v>
      </c>
      <c r="D76" t="str">
        <f t="shared" si="2"/>
        <v>Não</v>
      </c>
    </row>
    <row r="77" spans="1:4" x14ac:dyDescent="0.25">
      <c r="A77" t="s">
        <v>341</v>
      </c>
      <c r="B77" t="s">
        <v>387</v>
      </c>
      <c r="C77" t="s">
        <v>371</v>
      </c>
      <c r="D77" t="str">
        <f t="shared" si="2"/>
        <v>Não</v>
      </c>
    </row>
    <row r="78" spans="1:4" x14ac:dyDescent="0.25">
      <c r="A78" t="s">
        <v>341</v>
      </c>
      <c r="B78" t="s">
        <v>386</v>
      </c>
      <c r="C78" t="s">
        <v>372</v>
      </c>
      <c r="D78" t="str">
        <f t="shared" si="2"/>
        <v>Não</v>
      </c>
    </row>
    <row r="79" spans="1:4" x14ac:dyDescent="0.25">
      <c r="A79" t="s">
        <v>341</v>
      </c>
      <c r="B79" t="s">
        <v>385</v>
      </c>
      <c r="C79" t="s">
        <v>375</v>
      </c>
      <c r="D79" t="str">
        <f t="shared" si="2"/>
        <v>Não</v>
      </c>
    </row>
    <row r="80" spans="1:4" x14ac:dyDescent="0.25">
      <c r="A80" t="s">
        <v>341</v>
      </c>
      <c r="C80" t="s">
        <v>376</v>
      </c>
      <c r="D80" t="str">
        <f t="shared" si="2"/>
        <v>Não</v>
      </c>
    </row>
    <row r="81" spans="1:4" x14ac:dyDescent="0.25">
      <c r="A81" t="s">
        <v>341</v>
      </c>
      <c r="C81" t="s">
        <v>377</v>
      </c>
      <c r="D81" t="str">
        <f t="shared" si="2"/>
        <v>Não</v>
      </c>
    </row>
    <row r="82" spans="1:4" x14ac:dyDescent="0.25">
      <c r="A82" t="s">
        <v>341</v>
      </c>
      <c r="C82" t="s">
        <v>379</v>
      </c>
      <c r="D82" t="str">
        <f t="shared" si="2"/>
        <v>Não</v>
      </c>
    </row>
    <row r="83" spans="1:4" x14ac:dyDescent="0.25">
      <c r="A83" t="s">
        <v>341</v>
      </c>
      <c r="C83" t="s">
        <v>380</v>
      </c>
      <c r="D83" t="str">
        <f t="shared" si="2"/>
        <v>Não</v>
      </c>
    </row>
    <row r="84" spans="1:4" x14ac:dyDescent="0.25">
      <c r="A84" t="s">
        <v>341</v>
      </c>
      <c r="C84" t="s">
        <v>383</v>
      </c>
      <c r="D84" t="str">
        <f t="shared" si="2"/>
        <v>Não</v>
      </c>
    </row>
    <row r="85" spans="1:4" x14ac:dyDescent="0.25">
      <c r="A85" t="s">
        <v>341</v>
      </c>
      <c r="C85" t="s">
        <v>394</v>
      </c>
      <c r="D85" t="str">
        <f t="shared" si="2"/>
        <v>Não</v>
      </c>
    </row>
    <row r="86" spans="1:4" x14ac:dyDescent="0.25">
      <c r="A86" t="s">
        <v>341</v>
      </c>
      <c r="B86" t="s">
        <v>384</v>
      </c>
      <c r="C86" t="s">
        <v>381</v>
      </c>
      <c r="D86" t="str">
        <f t="shared" si="2"/>
        <v>Não</v>
      </c>
    </row>
    <row r="87" spans="1:4" x14ac:dyDescent="0.25">
      <c r="A87" t="s">
        <v>341</v>
      </c>
      <c r="B87" t="s">
        <v>382</v>
      </c>
      <c r="C87" t="s">
        <v>395</v>
      </c>
      <c r="D87" t="str">
        <f t="shared" si="2"/>
        <v>Não</v>
      </c>
    </row>
    <row r="88" spans="1:4" x14ac:dyDescent="0.25">
      <c r="A88" t="s">
        <v>341</v>
      </c>
      <c r="B88" t="s">
        <v>378</v>
      </c>
      <c r="C88" t="s">
        <v>396</v>
      </c>
      <c r="D88" t="str">
        <f t="shared" si="2"/>
        <v>Não</v>
      </c>
    </row>
    <row r="89" spans="1:4" x14ac:dyDescent="0.25">
      <c r="A89" t="s">
        <v>341</v>
      </c>
      <c r="B89" t="s">
        <v>373</v>
      </c>
      <c r="C89" t="s">
        <v>399</v>
      </c>
      <c r="D89" t="str">
        <f t="shared" si="2"/>
        <v>Não</v>
      </c>
    </row>
    <row r="90" spans="1:4" x14ac:dyDescent="0.25">
      <c r="A90" t="s">
        <v>342</v>
      </c>
      <c r="C90" t="s">
        <v>43</v>
      </c>
      <c r="D90" t="str">
        <f t="shared" si="2"/>
        <v>Não</v>
      </c>
    </row>
    <row r="91" spans="1:4" x14ac:dyDescent="0.25">
      <c r="A91" t="s">
        <v>342</v>
      </c>
      <c r="C91" t="s">
        <v>408</v>
      </c>
      <c r="D91" t="str">
        <f t="shared" si="2"/>
        <v>Não</v>
      </c>
    </row>
    <row r="92" spans="1:4" x14ac:dyDescent="0.25">
      <c r="A92" t="s">
        <v>342</v>
      </c>
      <c r="C92" t="s">
        <v>416</v>
      </c>
      <c r="D92" t="str">
        <f t="shared" si="2"/>
        <v>Não</v>
      </c>
    </row>
    <row r="93" spans="1:4" x14ac:dyDescent="0.25">
      <c r="A93" t="s">
        <v>342</v>
      </c>
      <c r="C93" t="s">
        <v>90</v>
      </c>
      <c r="D93" t="str">
        <f t="shared" si="2"/>
        <v>Não</v>
      </c>
    </row>
    <row r="94" spans="1:4" x14ac:dyDescent="0.25">
      <c r="A94" t="s">
        <v>21</v>
      </c>
      <c r="C94" t="s">
        <v>405</v>
      </c>
      <c r="D94" t="str">
        <f t="shared" si="2"/>
        <v>Não</v>
      </c>
    </row>
    <row r="95" spans="1:4" x14ac:dyDescent="0.25">
      <c r="A95" t="s">
        <v>21</v>
      </c>
      <c r="C95" t="s">
        <v>406</v>
      </c>
      <c r="D95" t="str">
        <f t="shared" si="2"/>
        <v>Não</v>
      </c>
    </row>
    <row r="96" spans="1:4" x14ac:dyDescent="0.25">
      <c r="A96" t="s">
        <v>21</v>
      </c>
      <c r="C96" t="s">
        <v>26</v>
      </c>
      <c r="D96" t="str">
        <f t="shared" si="2"/>
        <v>Não</v>
      </c>
    </row>
    <row r="97" spans="1:4" x14ac:dyDescent="0.25">
      <c r="A97" t="s">
        <v>21</v>
      </c>
      <c r="C97" t="s">
        <v>57</v>
      </c>
      <c r="D97" t="str">
        <f t="shared" si="2"/>
        <v>Não</v>
      </c>
    </row>
    <row r="98" spans="1:4" x14ac:dyDescent="0.25">
      <c r="A98" t="s">
        <v>21</v>
      </c>
      <c r="C98" t="s">
        <v>411</v>
      </c>
      <c r="D98" t="str">
        <f t="shared" si="2"/>
        <v>Não</v>
      </c>
    </row>
    <row r="99" spans="1:4" x14ac:dyDescent="0.25">
      <c r="A99" t="s">
        <v>21</v>
      </c>
      <c r="C99" t="s">
        <v>413</v>
      </c>
      <c r="D99" t="str">
        <f t="shared" si="2"/>
        <v>Não</v>
      </c>
    </row>
    <row r="100" spans="1:4" x14ac:dyDescent="0.25">
      <c r="A100" t="s">
        <v>21</v>
      </c>
      <c r="C100" t="s">
        <v>414</v>
      </c>
      <c r="D100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Modelo</vt:lpstr>
      <vt:lpstr>Gishath</vt:lpstr>
      <vt:lpstr>Pé</vt:lpstr>
      <vt:lpstr>Animar</vt:lpstr>
      <vt:lpstr>Go-Shintai</vt:lpstr>
      <vt:lpstr>Fblthp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Scalvi</dc:creator>
  <cp:lastModifiedBy>Marcelo Fernandes Scalvi</cp:lastModifiedBy>
  <dcterms:created xsi:type="dcterms:W3CDTF">2021-12-09T15:36:16Z</dcterms:created>
  <dcterms:modified xsi:type="dcterms:W3CDTF">2025-12-12T18:49:56Z</dcterms:modified>
</cp:coreProperties>
</file>