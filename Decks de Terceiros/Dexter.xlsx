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Magic\Decks de Terceiros\"/>
    </mc:Choice>
  </mc:AlternateContent>
  <xr:revisionPtr revIDLastSave="0" documentId="13_ncr:1_{C0936A39-5D94-4415-860D-42D346FC9754}" xr6:coauthVersionLast="47" xr6:coauthVersionMax="47" xr10:uidLastSave="{00000000-0000-0000-0000-000000000000}"/>
  <bookViews>
    <workbookView xWindow="-120" yWindow="-120" windowWidth="29040" windowHeight="15720" tabRatio="626" activeTab="1" xr2:uid="{CC72415A-D2E5-4D77-82BF-05A7B4384BC9}"/>
  </bookViews>
  <sheets>
    <sheet name="Atraxa" sheetId="71" r:id="rId1"/>
    <sheet name="Elfos" sheetId="72" r:id="rId2"/>
    <sheet name="Tovolar" sheetId="69" r:id="rId3"/>
    <sheet name="Kaalia" sheetId="68" r:id="rId4"/>
    <sheet name="Yarok" sheetId="70" r:id="rId5"/>
    <sheet name="RinSeri" sheetId="66" r:id="rId6"/>
    <sheet name="Ladinos" sheetId="6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7" i="72" l="1"/>
  <c r="E88" i="72"/>
  <c r="K7" i="72"/>
  <c r="E102" i="72"/>
  <c r="E101" i="72"/>
  <c r="E100" i="72"/>
  <c r="E99" i="72"/>
  <c r="E98" i="72"/>
  <c r="E97" i="72"/>
  <c r="E96" i="72"/>
  <c r="E95" i="72"/>
  <c r="E94" i="72"/>
  <c r="E93" i="72"/>
  <c r="E92" i="72"/>
  <c r="E91" i="72"/>
  <c r="E90" i="72"/>
  <c r="E89" i="72"/>
  <c r="E76" i="72"/>
  <c r="E77" i="72"/>
  <c r="E86" i="72"/>
  <c r="E85" i="72"/>
  <c r="E84" i="72"/>
  <c r="E83" i="72"/>
  <c r="E82" i="72"/>
  <c r="E81" i="72"/>
  <c r="E80" i="72"/>
  <c r="E79" i="72"/>
  <c r="E78" i="72"/>
  <c r="E75" i="72"/>
  <c r="E74" i="72"/>
  <c r="E73" i="72"/>
  <c r="E72" i="72"/>
  <c r="E71" i="72"/>
  <c r="E70" i="72"/>
  <c r="E69" i="72"/>
  <c r="E68" i="72"/>
  <c r="E67" i="72"/>
  <c r="E66" i="72"/>
  <c r="E65" i="72"/>
  <c r="E64" i="72"/>
  <c r="E63" i="72"/>
  <c r="E62" i="72"/>
  <c r="E61" i="72"/>
  <c r="E60" i="72"/>
  <c r="E59" i="72"/>
  <c r="E58" i="72"/>
  <c r="E57" i="72"/>
  <c r="E56" i="72"/>
  <c r="E55" i="72"/>
  <c r="E54" i="72"/>
  <c r="E53" i="72"/>
  <c r="E52" i="72"/>
  <c r="E51" i="72"/>
  <c r="E50" i="72"/>
  <c r="E49" i="72"/>
  <c r="E48" i="72"/>
  <c r="E47" i="72"/>
  <c r="E46" i="72"/>
  <c r="E45" i="72"/>
  <c r="E44" i="72"/>
  <c r="E43" i="72"/>
  <c r="E42" i="72"/>
  <c r="E41" i="72"/>
  <c r="E40" i="72"/>
  <c r="E39" i="72"/>
  <c r="E38" i="72"/>
  <c r="E37" i="72"/>
  <c r="E36" i="72"/>
  <c r="E35" i="72"/>
  <c r="E34" i="72"/>
  <c r="E33" i="72"/>
  <c r="E32" i="72"/>
  <c r="E31" i="72"/>
  <c r="E30" i="72"/>
  <c r="E29" i="72"/>
  <c r="E28" i="72"/>
  <c r="E27" i="72"/>
  <c r="E26" i="72"/>
  <c r="E25" i="72"/>
  <c r="E24" i="72"/>
  <c r="E23" i="72"/>
  <c r="E22" i="72"/>
  <c r="E21" i="72"/>
  <c r="E20" i="72"/>
  <c r="E19" i="72"/>
  <c r="E18" i="72"/>
  <c r="E17" i="72"/>
  <c r="E16" i="72"/>
  <c r="E15" i="72"/>
  <c r="H14" i="72"/>
  <c r="E14" i="72"/>
  <c r="H13" i="72"/>
  <c r="E13" i="72"/>
  <c r="H12" i="72"/>
  <c r="E12" i="72"/>
  <c r="H11" i="72"/>
  <c r="E11" i="72"/>
  <c r="H10" i="72"/>
  <c r="E10" i="72"/>
  <c r="H9" i="72"/>
  <c r="E9" i="72"/>
  <c r="H8" i="72"/>
  <c r="E8" i="72"/>
  <c r="H7" i="72"/>
  <c r="E7" i="72"/>
  <c r="E6" i="72"/>
  <c r="E5" i="72"/>
  <c r="E4" i="72"/>
  <c r="E3" i="72"/>
  <c r="D60" i="71"/>
  <c r="D61" i="71"/>
  <c r="D62" i="71"/>
  <c r="G21" i="71"/>
  <c r="D102" i="71"/>
  <c r="G9" i="71"/>
  <c r="G10" i="71"/>
  <c r="G11" i="71"/>
  <c r="G12" i="71"/>
  <c r="G13" i="71"/>
  <c r="G14" i="71"/>
  <c r="G15" i="71"/>
  <c r="G16" i="71"/>
  <c r="G17" i="71"/>
  <c r="G18" i="71"/>
  <c r="G19" i="71"/>
  <c r="G20" i="71"/>
  <c r="D4" i="71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5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H3" i="72" l="1"/>
  <c r="H4" i="72"/>
  <c r="G8" i="71"/>
  <c r="G7" i="71"/>
  <c r="D3" i="71"/>
  <c r="G16" i="70"/>
  <c r="G15" i="70"/>
  <c r="D92" i="70"/>
  <c r="D93" i="70"/>
  <c r="D94" i="70"/>
  <c r="D95" i="70"/>
  <c r="D96" i="70"/>
  <c r="D97" i="70"/>
  <c r="G14" i="70"/>
  <c r="D101" i="70"/>
  <c r="D100" i="70"/>
  <c r="D99" i="70"/>
  <c r="D98" i="70"/>
  <c r="D91" i="70"/>
  <c r="D90" i="70"/>
  <c r="D89" i="70"/>
  <c r="D88" i="70"/>
  <c r="D87" i="70"/>
  <c r="D86" i="70"/>
  <c r="D85" i="70"/>
  <c r="D84" i="70"/>
  <c r="D83" i="70"/>
  <c r="D82" i="70"/>
  <c r="D81" i="70"/>
  <c r="D80" i="70"/>
  <c r="D79" i="70"/>
  <c r="D78" i="70"/>
  <c r="D77" i="70"/>
  <c r="D76" i="70"/>
  <c r="D75" i="70"/>
  <c r="D74" i="70"/>
  <c r="D73" i="70"/>
  <c r="D72" i="70"/>
  <c r="D71" i="70"/>
  <c r="D70" i="70"/>
  <c r="D69" i="70"/>
  <c r="D68" i="70"/>
  <c r="D67" i="70"/>
  <c r="D66" i="70"/>
  <c r="D65" i="70"/>
  <c r="D64" i="70"/>
  <c r="D63" i="70"/>
  <c r="D62" i="70"/>
  <c r="D61" i="70"/>
  <c r="D60" i="70"/>
  <c r="D59" i="70"/>
  <c r="D58" i="70"/>
  <c r="D57" i="70"/>
  <c r="D56" i="70"/>
  <c r="D55" i="70"/>
  <c r="D54" i="70"/>
  <c r="D53" i="70"/>
  <c r="D52" i="70"/>
  <c r="D51" i="70"/>
  <c r="D50" i="70"/>
  <c r="D49" i="70"/>
  <c r="D48" i="70"/>
  <c r="D47" i="70"/>
  <c r="D46" i="70"/>
  <c r="D45" i="70"/>
  <c r="D44" i="70"/>
  <c r="D43" i="70"/>
  <c r="D42" i="70"/>
  <c r="D41" i="70"/>
  <c r="D40" i="70"/>
  <c r="D39" i="70"/>
  <c r="D38" i="70"/>
  <c r="D37" i="70"/>
  <c r="D36" i="70"/>
  <c r="D35" i="70"/>
  <c r="D34" i="70"/>
  <c r="D33" i="70"/>
  <c r="D32" i="70"/>
  <c r="D31" i="70"/>
  <c r="D30" i="70"/>
  <c r="D29" i="70"/>
  <c r="D28" i="70"/>
  <c r="D27" i="70"/>
  <c r="D26" i="70"/>
  <c r="D25" i="70"/>
  <c r="D24" i="70"/>
  <c r="D23" i="70"/>
  <c r="D22" i="70"/>
  <c r="D21" i="70"/>
  <c r="D20" i="70"/>
  <c r="D19" i="70"/>
  <c r="D18" i="70"/>
  <c r="D17" i="70"/>
  <c r="D16" i="70"/>
  <c r="D15" i="70"/>
  <c r="D14" i="70"/>
  <c r="G13" i="70"/>
  <c r="D13" i="70"/>
  <c r="G12" i="70"/>
  <c r="D12" i="70"/>
  <c r="G11" i="70"/>
  <c r="D11" i="70"/>
  <c r="G10" i="70"/>
  <c r="D10" i="70"/>
  <c r="G9" i="70"/>
  <c r="D9" i="70"/>
  <c r="G8" i="70"/>
  <c r="D8" i="70"/>
  <c r="G7" i="70"/>
  <c r="D7" i="70"/>
  <c r="D6" i="70"/>
  <c r="D5" i="70"/>
  <c r="D4" i="70"/>
  <c r="D3" i="70"/>
  <c r="D101" i="69"/>
  <c r="D100" i="69"/>
  <c r="D99" i="69"/>
  <c r="D98" i="69"/>
  <c r="D97" i="69"/>
  <c r="D96" i="69"/>
  <c r="D95" i="69"/>
  <c r="D94" i="69"/>
  <c r="D93" i="69"/>
  <c r="D92" i="69"/>
  <c r="D91" i="69"/>
  <c r="D90" i="69"/>
  <c r="D89" i="69"/>
  <c r="D88" i="69"/>
  <c r="D87" i="69"/>
  <c r="D86" i="69"/>
  <c r="D85" i="69"/>
  <c r="D84" i="69"/>
  <c r="D83" i="69"/>
  <c r="D82" i="69"/>
  <c r="D81" i="69"/>
  <c r="D80" i="69"/>
  <c r="D79" i="69"/>
  <c r="D78" i="69"/>
  <c r="D77" i="69"/>
  <c r="D76" i="69"/>
  <c r="D75" i="69"/>
  <c r="D74" i="69"/>
  <c r="D73" i="69"/>
  <c r="D72" i="69"/>
  <c r="D71" i="69"/>
  <c r="D70" i="69"/>
  <c r="D69" i="69"/>
  <c r="D68" i="69"/>
  <c r="D67" i="69"/>
  <c r="D66" i="69"/>
  <c r="D65" i="69"/>
  <c r="D64" i="69"/>
  <c r="D63" i="69"/>
  <c r="D62" i="69"/>
  <c r="D61" i="69"/>
  <c r="D60" i="69"/>
  <c r="D59" i="69"/>
  <c r="D58" i="69"/>
  <c r="D57" i="69"/>
  <c r="D56" i="69"/>
  <c r="D55" i="69"/>
  <c r="D54" i="69"/>
  <c r="D53" i="69"/>
  <c r="D52" i="69"/>
  <c r="D51" i="69"/>
  <c r="D50" i="69"/>
  <c r="D49" i="69"/>
  <c r="D48" i="69"/>
  <c r="D47" i="69"/>
  <c r="D46" i="69"/>
  <c r="D45" i="69"/>
  <c r="D44" i="69"/>
  <c r="D43" i="69"/>
  <c r="D42" i="69"/>
  <c r="D41" i="69"/>
  <c r="D40" i="69"/>
  <c r="D39" i="69"/>
  <c r="D38" i="69"/>
  <c r="D37" i="69"/>
  <c r="D36" i="69"/>
  <c r="D35" i="69"/>
  <c r="D34" i="69"/>
  <c r="D33" i="69"/>
  <c r="D32" i="69"/>
  <c r="D31" i="69"/>
  <c r="D30" i="69"/>
  <c r="D29" i="69"/>
  <c r="D28" i="69"/>
  <c r="D27" i="69"/>
  <c r="D26" i="69"/>
  <c r="D25" i="69"/>
  <c r="D24" i="69"/>
  <c r="D23" i="69"/>
  <c r="D22" i="69"/>
  <c r="D21" i="69"/>
  <c r="D20" i="69"/>
  <c r="D19" i="69"/>
  <c r="D18" i="69"/>
  <c r="D17" i="69"/>
  <c r="D16" i="69"/>
  <c r="G15" i="69"/>
  <c r="D15" i="69"/>
  <c r="G14" i="69"/>
  <c r="D14" i="69"/>
  <c r="G13" i="69"/>
  <c r="D13" i="69"/>
  <c r="G12" i="69"/>
  <c r="D12" i="69"/>
  <c r="G11" i="69"/>
  <c r="D11" i="69"/>
  <c r="G10" i="69"/>
  <c r="D10" i="69"/>
  <c r="G9" i="69"/>
  <c r="D9" i="69"/>
  <c r="G8" i="69"/>
  <c r="D8" i="69"/>
  <c r="G7" i="69"/>
  <c r="D7" i="69"/>
  <c r="D6" i="69"/>
  <c r="D5" i="69"/>
  <c r="D4" i="69"/>
  <c r="D3" i="69"/>
  <c r="D41" i="68"/>
  <c r="G15" i="68"/>
  <c r="G10" i="68"/>
  <c r="G11" i="68"/>
  <c r="G12" i="68"/>
  <c r="G13" i="68"/>
  <c r="D101" i="68"/>
  <c r="D100" i="68"/>
  <c r="D99" i="68"/>
  <c r="D98" i="68"/>
  <c r="D97" i="68"/>
  <c r="D96" i="68"/>
  <c r="D95" i="68"/>
  <c r="D94" i="68"/>
  <c r="D93" i="68"/>
  <c r="D92" i="68"/>
  <c r="D91" i="68"/>
  <c r="D90" i="68"/>
  <c r="D89" i="68"/>
  <c r="D88" i="68"/>
  <c r="D87" i="68"/>
  <c r="D86" i="68"/>
  <c r="D85" i="68"/>
  <c r="D84" i="68"/>
  <c r="D83" i="68"/>
  <c r="D82" i="68"/>
  <c r="D81" i="68"/>
  <c r="D80" i="68"/>
  <c r="D79" i="68"/>
  <c r="D78" i="68"/>
  <c r="D77" i="68"/>
  <c r="D76" i="68"/>
  <c r="D75" i="68"/>
  <c r="D74" i="68"/>
  <c r="D73" i="68"/>
  <c r="D72" i="68"/>
  <c r="D71" i="68"/>
  <c r="D70" i="68"/>
  <c r="D69" i="68"/>
  <c r="D68" i="68"/>
  <c r="D67" i="68"/>
  <c r="D66" i="68"/>
  <c r="D65" i="68"/>
  <c r="D64" i="68"/>
  <c r="D63" i="68"/>
  <c r="D62" i="68"/>
  <c r="D61" i="68"/>
  <c r="D60" i="68"/>
  <c r="D59" i="68"/>
  <c r="D58" i="68"/>
  <c r="D57" i="68"/>
  <c r="D56" i="68"/>
  <c r="D55" i="68"/>
  <c r="D54" i="68"/>
  <c r="D53" i="68"/>
  <c r="D52" i="68"/>
  <c r="D51" i="68"/>
  <c r="D50" i="68"/>
  <c r="D49" i="68"/>
  <c r="D48" i="68"/>
  <c r="D47" i="68"/>
  <c r="D46" i="68"/>
  <c r="D45" i="68"/>
  <c r="D44" i="68"/>
  <c r="D43" i="68"/>
  <c r="D42" i="68"/>
  <c r="D40" i="68"/>
  <c r="D39" i="68"/>
  <c r="D38" i="68"/>
  <c r="D37" i="68"/>
  <c r="D36" i="68"/>
  <c r="D35" i="68"/>
  <c r="D34" i="68"/>
  <c r="D33" i="68"/>
  <c r="D32" i="68"/>
  <c r="D31" i="68"/>
  <c r="D30" i="68"/>
  <c r="D29" i="68"/>
  <c r="D28" i="68"/>
  <c r="D27" i="68"/>
  <c r="D26" i="68"/>
  <c r="D25" i="68"/>
  <c r="D24" i="68"/>
  <c r="D23" i="68"/>
  <c r="D22" i="68"/>
  <c r="D21" i="68"/>
  <c r="D20" i="68"/>
  <c r="D19" i="68"/>
  <c r="D18" i="68"/>
  <c r="D17" i="68"/>
  <c r="D16" i="68"/>
  <c r="D15" i="68"/>
  <c r="G14" i="68"/>
  <c r="D14" i="68"/>
  <c r="D13" i="68"/>
  <c r="D12" i="68"/>
  <c r="D11" i="68"/>
  <c r="D10" i="68"/>
  <c r="G9" i="68"/>
  <c r="D9" i="68"/>
  <c r="G8" i="68"/>
  <c r="D8" i="68"/>
  <c r="G7" i="68"/>
  <c r="D7" i="68"/>
  <c r="D6" i="68"/>
  <c r="D5" i="68"/>
  <c r="D4" i="68"/>
  <c r="D3" i="68"/>
  <c r="D100" i="67"/>
  <c r="D99" i="67"/>
  <c r="D98" i="67"/>
  <c r="D97" i="67"/>
  <c r="D96" i="67"/>
  <c r="D95" i="67"/>
  <c r="D94" i="67"/>
  <c r="D93" i="67"/>
  <c r="D92" i="67"/>
  <c r="D91" i="67"/>
  <c r="D90" i="67"/>
  <c r="D89" i="67"/>
  <c r="D88" i="67"/>
  <c r="D87" i="67"/>
  <c r="D86" i="67"/>
  <c r="D85" i="67"/>
  <c r="D84" i="67"/>
  <c r="D83" i="67"/>
  <c r="D82" i="67"/>
  <c r="D81" i="67"/>
  <c r="D80" i="67"/>
  <c r="D79" i="67"/>
  <c r="D78" i="67"/>
  <c r="D77" i="67"/>
  <c r="D76" i="67"/>
  <c r="D75" i="67"/>
  <c r="D74" i="67"/>
  <c r="D73" i="67"/>
  <c r="D72" i="67"/>
  <c r="D71" i="67"/>
  <c r="D70" i="67"/>
  <c r="D69" i="67"/>
  <c r="D68" i="67"/>
  <c r="D67" i="67"/>
  <c r="D66" i="67"/>
  <c r="D65" i="67"/>
  <c r="D64" i="67"/>
  <c r="D63" i="67"/>
  <c r="D62" i="67"/>
  <c r="D61" i="67"/>
  <c r="D60" i="67"/>
  <c r="D59" i="67"/>
  <c r="D58" i="67"/>
  <c r="D57" i="67"/>
  <c r="D56" i="67"/>
  <c r="D55" i="67"/>
  <c r="D54" i="67"/>
  <c r="D53" i="67"/>
  <c r="D52" i="67"/>
  <c r="D51" i="67"/>
  <c r="D50" i="67"/>
  <c r="D49" i="67"/>
  <c r="D48" i="67"/>
  <c r="D47" i="67"/>
  <c r="D46" i="67"/>
  <c r="D45" i="67"/>
  <c r="D44" i="67"/>
  <c r="D43" i="67"/>
  <c r="D42" i="67"/>
  <c r="D41" i="67"/>
  <c r="D40" i="67"/>
  <c r="D39" i="67"/>
  <c r="D38" i="67"/>
  <c r="D37" i="67"/>
  <c r="D36" i="67"/>
  <c r="D35" i="67"/>
  <c r="D34" i="67"/>
  <c r="D33" i="67"/>
  <c r="D32" i="67"/>
  <c r="D31" i="67"/>
  <c r="D30" i="67"/>
  <c r="D29" i="67"/>
  <c r="D28" i="67"/>
  <c r="D27" i="67"/>
  <c r="D26" i="67"/>
  <c r="D25" i="67"/>
  <c r="D24" i="67"/>
  <c r="D23" i="67"/>
  <c r="D22" i="67"/>
  <c r="D21" i="67"/>
  <c r="D20" i="67"/>
  <c r="D19" i="67"/>
  <c r="D18" i="67"/>
  <c r="D17" i="67"/>
  <c r="D16" i="67"/>
  <c r="D15" i="67"/>
  <c r="D14" i="67"/>
  <c r="D13" i="67"/>
  <c r="G12" i="67"/>
  <c r="D12" i="67"/>
  <c r="G11" i="67"/>
  <c r="D11" i="67"/>
  <c r="G10" i="67"/>
  <c r="D10" i="67"/>
  <c r="G9" i="67"/>
  <c r="D9" i="67"/>
  <c r="G8" i="67"/>
  <c r="D8" i="67"/>
  <c r="G7" i="67"/>
  <c r="D7" i="67"/>
  <c r="D6" i="67"/>
  <c r="D5" i="67"/>
  <c r="D4" i="67"/>
  <c r="D3" i="67"/>
  <c r="D100" i="66"/>
  <c r="D99" i="66"/>
  <c r="D98" i="66"/>
  <c r="D97" i="66"/>
  <c r="D96" i="66"/>
  <c r="D95" i="66"/>
  <c r="D94" i="66"/>
  <c r="D93" i="66"/>
  <c r="D92" i="66"/>
  <c r="D91" i="66"/>
  <c r="D90" i="66"/>
  <c r="D89" i="66"/>
  <c r="D88" i="66"/>
  <c r="D87" i="66"/>
  <c r="D86" i="66"/>
  <c r="D85" i="66"/>
  <c r="D84" i="66"/>
  <c r="D83" i="66"/>
  <c r="D82" i="66"/>
  <c r="D81" i="66"/>
  <c r="D80" i="66"/>
  <c r="D79" i="66"/>
  <c r="D78" i="66"/>
  <c r="D77" i="66"/>
  <c r="D76" i="66"/>
  <c r="D75" i="66"/>
  <c r="D74" i="66"/>
  <c r="D73" i="66"/>
  <c r="D72" i="66"/>
  <c r="D71" i="66"/>
  <c r="D70" i="66"/>
  <c r="D69" i="66"/>
  <c r="D68" i="66"/>
  <c r="D67" i="66"/>
  <c r="D66" i="66"/>
  <c r="D65" i="66"/>
  <c r="D64" i="66"/>
  <c r="D63" i="66"/>
  <c r="D62" i="66"/>
  <c r="D61" i="66"/>
  <c r="D60" i="66"/>
  <c r="D59" i="66"/>
  <c r="D58" i="66"/>
  <c r="D57" i="66"/>
  <c r="D56" i="66"/>
  <c r="D55" i="66"/>
  <c r="D54" i="66"/>
  <c r="D53" i="66"/>
  <c r="D52" i="66"/>
  <c r="D51" i="66"/>
  <c r="D50" i="66"/>
  <c r="D49" i="66"/>
  <c r="D48" i="66"/>
  <c r="D47" i="66"/>
  <c r="D46" i="66"/>
  <c r="D45" i="66"/>
  <c r="D44" i="66"/>
  <c r="D43" i="66"/>
  <c r="D42" i="66"/>
  <c r="D41" i="66"/>
  <c r="D40" i="66"/>
  <c r="D39" i="66"/>
  <c r="D38" i="66"/>
  <c r="D37" i="66"/>
  <c r="D36" i="66"/>
  <c r="D35" i="66"/>
  <c r="D34" i="66"/>
  <c r="D33" i="66"/>
  <c r="D32" i="66"/>
  <c r="D31" i="66"/>
  <c r="D30" i="66"/>
  <c r="D29" i="66"/>
  <c r="D28" i="66"/>
  <c r="D27" i="66"/>
  <c r="D26" i="66"/>
  <c r="D25" i="66"/>
  <c r="D24" i="66"/>
  <c r="D23" i="66"/>
  <c r="D22" i="66"/>
  <c r="D21" i="66"/>
  <c r="D20" i="66"/>
  <c r="D19" i="66"/>
  <c r="D18" i="66"/>
  <c r="D17" i="66"/>
  <c r="G16" i="66"/>
  <c r="D16" i="66"/>
  <c r="G15" i="66"/>
  <c r="D15" i="66"/>
  <c r="G14" i="66"/>
  <c r="D14" i="66"/>
  <c r="G13" i="66"/>
  <c r="D13" i="66"/>
  <c r="G12" i="66"/>
  <c r="D12" i="66"/>
  <c r="G11" i="66"/>
  <c r="D11" i="66"/>
  <c r="G10" i="66"/>
  <c r="D10" i="66"/>
  <c r="G9" i="66"/>
  <c r="D9" i="66"/>
  <c r="G8" i="66"/>
  <c r="D8" i="66"/>
  <c r="G7" i="66"/>
  <c r="G4" i="66" s="1"/>
  <c r="D7" i="66"/>
  <c r="D6" i="66"/>
  <c r="D5" i="66"/>
  <c r="D4" i="66"/>
  <c r="D3" i="66"/>
  <c r="G3" i="71" l="1"/>
  <c r="G4" i="71"/>
  <c r="G3" i="66"/>
  <c r="G3" i="70"/>
  <c r="G4" i="70"/>
  <c r="G3" i="69"/>
  <c r="G4" i="69"/>
  <c r="G3" i="68"/>
  <c r="G4" i="68"/>
  <c r="G3" i="67"/>
  <c r="G4" i="67"/>
</calcChain>
</file>

<file path=xl/sharedStrings.xml><?xml version="1.0" encoding="utf-8"?>
<sst xmlns="http://schemas.openxmlformats.org/spreadsheetml/2006/main" count="1518" uniqueCount="689">
  <si>
    <t>Função</t>
  </si>
  <si>
    <t>Terreno</t>
  </si>
  <si>
    <t>Island</t>
  </si>
  <si>
    <t>Funções</t>
  </si>
  <si>
    <t>Draw</t>
  </si>
  <si>
    <t>Remoção</t>
  </si>
  <si>
    <t>Mountain</t>
  </si>
  <si>
    <t>Counterspell</t>
  </si>
  <si>
    <t>Carta Final</t>
  </si>
  <si>
    <t>Carta Atual</t>
  </si>
  <si>
    <t>Carta Ideal</t>
  </si>
  <si>
    <t>Mudanças Faltando</t>
  </si>
  <si>
    <t>Total de Cartas</t>
  </si>
  <si>
    <t>Command Tower</t>
  </si>
  <si>
    <t>Swamp</t>
  </si>
  <si>
    <t>Bojuka Bog</t>
  </si>
  <si>
    <t>Utilidade</t>
  </si>
  <si>
    <t>Swiftfoot Boots</t>
  </si>
  <si>
    <t>Negate</t>
  </si>
  <si>
    <t>Sol Ring</t>
  </si>
  <si>
    <t>Mystic Sanctuary</t>
  </si>
  <si>
    <t>Access Tunnel</t>
  </si>
  <si>
    <t>Arcane Signet</t>
  </si>
  <si>
    <t>Ramp</t>
  </si>
  <si>
    <t>Exotic Orchard</t>
  </si>
  <si>
    <t>Ghostly Flicker</t>
  </si>
  <si>
    <t>Lightning Greaves</t>
  </si>
  <si>
    <t>Conjurer's Closet</t>
  </si>
  <si>
    <t>Controle</t>
  </si>
  <si>
    <t>Dimir Signet</t>
  </si>
  <si>
    <t>Underground River</t>
  </si>
  <si>
    <t>Drowned Catacomb</t>
  </si>
  <si>
    <t>Solemn Simulacrum</t>
  </si>
  <si>
    <t>Reliquary Tower</t>
  </si>
  <si>
    <t>Glasspool Mimic</t>
  </si>
  <si>
    <t>Ghostly Pilferer</t>
  </si>
  <si>
    <t>Forest</t>
  </si>
  <si>
    <t>Cultivate</t>
  </si>
  <si>
    <t>Kodama's Reach</t>
  </si>
  <si>
    <t>Rampant Growth</t>
  </si>
  <si>
    <t>Anule</t>
  </si>
  <si>
    <t>Pongify</t>
  </si>
  <si>
    <t>Crop Rotation</t>
  </si>
  <si>
    <t>Valor</t>
  </si>
  <si>
    <t>Eternal Witness</t>
  </si>
  <si>
    <t>Ravenous Chupacabra</t>
  </si>
  <si>
    <t>Reclamation Sage</t>
  </si>
  <si>
    <t>Wood Elves</t>
  </si>
  <si>
    <t>Massacre Wurm</t>
  </si>
  <si>
    <t>Baleful Strix</t>
  </si>
  <si>
    <t>Mulldrifter</t>
  </si>
  <si>
    <t>Hostage Taker</t>
  </si>
  <si>
    <t>Oona's Blackguard</t>
  </si>
  <si>
    <t>Bident of Thassa</t>
  </si>
  <si>
    <t>Finalizador</t>
  </si>
  <si>
    <t>An Offer you Can't Refuse</t>
  </si>
  <si>
    <t>Grim Hireling</t>
  </si>
  <si>
    <t>Faerie Vandal</t>
  </si>
  <si>
    <t>Varragoth, Bloodsky Sire</t>
  </si>
  <si>
    <t>Sunken Hollow</t>
  </si>
  <si>
    <t>Temple of Deceit</t>
  </si>
  <si>
    <t>Invisible Stalker</t>
  </si>
  <si>
    <t>Merfolk Windrobber</t>
  </si>
  <si>
    <t>Topiary Stomper</t>
  </si>
  <si>
    <t>Herald's Horn</t>
  </si>
  <si>
    <t>Path of Ancestry</t>
  </si>
  <si>
    <t>Unclaimed Territory</t>
  </si>
  <si>
    <t>Secluded Courtyard</t>
  </si>
  <si>
    <t>Myriad Landscape</t>
  </si>
  <si>
    <t>Whirlwind Denial</t>
  </si>
  <si>
    <t>Filter Out</t>
  </si>
  <si>
    <t>Thada Adel, Acquisitor</t>
  </si>
  <si>
    <t>Thought Vessel</t>
  </si>
  <si>
    <t>Adaptive Automaton</t>
  </si>
  <si>
    <t>Tireless Tracker</t>
  </si>
  <si>
    <t>Tribute to the World Tree</t>
  </si>
  <si>
    <t>Guardian Project</t>
  </si>
  <si>
    <t>Soul of the Harvest</t>
  </si>
  <si>
    <t>Lotus Cobra</t>
  </si>
  <si>
    <t>Coiling Oracle</t>
  </si>
  <si>
    <t>Risen Reef</t>
  </si>
  <si>
    <t>Avenger of Zendikar</t>
  </si>
  <si>
    <t>Panharmonicon</t>
  </si>
  <si>
    <t>Tireless Provisioner</t>
  </si>
  <si>
    <t>Scute Swarm</t>
  </si>
  <si>
    <t>Springbloom Druid</t>
  </si>
  <si>
    <t>Uro, Titan of Nature's Wrath</t>
  </si>
  <si>
    <t>Aether Channeler</t>
  </si>
  <si>
    <t>Kodama of the East Tree</t>
  </si>
  <si>
    <t>Aesi, Tyrant of Gyre Strait</t>
  </si>
  <si>
    <t>Venser, Shaper Savant</t>
  </si>
  <si>
    <t>Elvish Visionary</t>
  </si>
  <si>
    <t>Wall of Blossoms</t>
  </si>
  <si>
    <t>Roiling Regrowth</t>
  </si>
  <si>
    <t>Sakura-Tribe Scout</t>
  </si>
  <si>
    <t>Rin and Seri</t>
  </si>
  <si>
    <t>Ladinos</t>
  </si>
  <si>
    <t>Leyline of Anticipation</t>
  </si>
  <si>
    <t>Soaring Thought-Thief</t>
  </si>
  <si>
    <t>Nothorious Throng</t>
  </si>
  <si>
    <t>Sygg, River Cutthroat</t>
  </si>
  <si>
    <t>Frogtosser Banneret</t>
  </si>
  <si>
    <t>Stinkdrinker Bandit</t>
  </si>
  <si>
    <t>Thieves's Guild Enforcer</t>
  </si>
  <si>
    <t>Slither Blade</t>
  </si>
  <si>
    <t>Notion Thief</t>
  </si>
  <si>
    <t>Triton Shorestalker</t>
  </si>
  <si>
    <t>Changeling Outcast</t>
  </si>
  <si>
    <t>Nightstalker Scavenger</t>
  </si>
  <si>
    <t>Marang River Prowler</t>
  </si>
  <si>
    <t>Krydle of Baldur's Gate</t>
  </si>
  <si>
    <t>Faerie Mastermind</t>
  </si>
  <si>
    <t>Mercurial Spelldancer</t>
  </si>
  <si>
    <t>Consuming Aberration</t>
  </si>
  <si>
    <t>Dauthi Voidstalker</t>
  </si>
  <si>
    <t>Nightveil Sprite</t>
  </si>
  <si>
    <t>Prosperous Thief</t>
  </si>
  <si>
    <t>Looter il-Kor</t>
  </si>
  <si>
    <t>Cephalid Facetaker</t>
  </si>
  <si>
    <t>Inkfathom Infiltrator</t>
  </si>
  <si>
    <t>Silver-Fur Master</t>
  </si>
  <si>
    <t>Nighthowler</t>
  </si>
  <si>
    <t>Blighted Agent</t>
  </si>
  <si>
    <t>Morbid Oportunist</t>
  </si>
  <si>
    <t>True-Name Nemesis</t>
  </si>
  <si>
    <t>Aetherblade Agent</t>
  </si>
  <si>
    <t>Inkfathom Witch</t>
  </si>
  <si>
    <t>Drown in the Loch</t>
  </si>
  <si>
    <t>Aetherize</t>
  </si>
  <si>
    <t>Price of Fame</t>
  </si>
  <si>
    <t>Infernal Grasp</t>
  </si>
  <si>
    <t>Go for the Throat</t>
  </si>
  <si>
    <t>Reality Shift</t>
  </si>
  <si>
    <t>Countersquall</t>
  </si>
  <si>
    <t>Hero's Downfall</t>
  </si>
  <si>
    <t>Scheming Symmetry</t>
  </si>
  <si>
    <t>Obelisk of Urd</t>
  </si>
  <si>
    <t>Sword of the Animist</t>
  </si>
  <si>
    <t>Military Intellignece</t>
  </si>
  <si>
    <t>Castle Vantress</t>
  </si>
  <si>
    <t>Castle Lochtwain</t>
  </si>
  <si>
    <t>Scavenger Grounds</t>
  </si>
  <si>
    <t>Rivendell</t>
  </si>
  <si>
    <t>Tainted Isle</t>
  </si>
  <si>
    <t>Ashiok, Dream Render</t>
  </si>
  <si>
    <t>Kaalia Flyiers</t>
  </si>
  <si>
    <t>Proteção</t>
  </si>
  <si>
    <t>Anguished Unmaking</t>
  </si>
  <si>
    <t>Boros Signet</t>
  </si>
  <si>
    <t>Rakdos Signet</t>
  </si>
  <si>
    <t>Orzhov Signet</t>
  </si>
  <si>
    <t>Fellwar Stone</t>
  </si>
  <si>
    <t>Talisman of Indulgence</t>
  </si>
  <si>
    <t>Talisman of Hierarchy</t>
  </si>
  <si>
    <t>Talisman of Conviction</t>
  </si>
  <si>
    <t>Anjo</t>
  </si>
  <si>
    <t>Dragão</t>
  </si>
  <si>
    <t>Demônio</t>
  </si>
  <si>
    <t>Gisela, Blade of Goldnight</t>
  </si>
  <si>
    <t>Aurelia, the Warleader</t>
  </si>
  <si>
    <t>Sephara, Sky's Blade</t>
  </si>
  <si>
    <t>Liesa, Forgotten Archangel</t>
  </si>
  <si>
    <t>Master of Cruelties</t>
  </si>
  <si>
    <t>Rakdos, Patron of Chaos</t>
  </si>
  <si>
    <t>Vilis, Broker of Blood</t>
  </si>
  <si>
    <t>Avacyn, Angel of Hope</t>
  </si>
  <si>
    <t>Rune-Scarred Demon</t>
  </si>
  <si>
    <t>Kaalia, Zenith Seeker</t>
  </si>
  <si>
    <t>Drana and Linvala</t>
  </si>
  <si>
    <t>Isshin, Two Heavens as One</t>
  </si>
  <si>
    <t>Reya Dawnbringer</t>
  </si>
  <si>
    <t>Lord of the Void</t>
  </si>
  <si>
    <t>Balefire Dragon</t>
  </si>
  <si>
    <t>Angel of Serenity</t>
  </si>
  <si>
    <t>Mother of Runes</t>
  </si>
  <si>
    <t>Serra's Emissary</t>
  </si>
  <si>
    <t>Hellkite Tyrant</t>
  </si>
  <si>
    <t>Terror of the Peaks</t>
  </si>
  <si>
    <t>Aurelia, the Law Above</t>
  </si>
  <si>
    <t>Bloodthirster</t>
  </si>
  <si>
    <t>Razaketh, the Foulblooded</t>
  </si>
  <si>
    <t>Blast-Furnace Hellkite</t>
  </si>
  <si>
    <t>Akroma, Angel of Wrath</t>
  </si>
  <si>
    <t>Archfiend of Despair</t>
  </si>
  <si>
    <t>Ob Nixilis, Unshackled</t>
  </si>
  <si>
    <t>Bloodgift Demon</t>
  </si>
  <si>
    <t>Burning-Rune Demon</t>
  </si>
  <si>
    <t>Phyrexian Arena</t>
  </si>
  <si>
    <t>Drakuseth, Maw of Flames</t>
  </si>
  <si>
    <t>Grand Abolisher</t>
  </si>
  <si>
    <t>Firemane Commando</t>
  </si>
  <si>
    <t>Aegis Angel</t>
  </si>
  <si>
    <t>Platinum Angel</t>
  </si>
  <si>
    <t>Strionic Ressonator</t>
  </si>
  <si>
    <t>Harvester of Souls</t>
  </si>
  <si>
    <t>Sower of Discord</t>
  </si>
  <si>
    <t>Utvara Hellkite</t>
  </si>
  <si>
    <t>Demonlord Belzenlok</t>
  </si>
  <si>
    <t>Angelic Skirmisher</t>
  </si>
  <si>
    <t>Emeria Shepherd</t>
  </si>
  <si>
    <t>Generous Gift</t>
  </si>
  <si>
    <t>Stroke of Midnight</t>
  </si>
  <si>
    <t>Thrill of Possibility</t>
  </si>
  <si>
    <t>Demand Answers</t>
  </si>
  <si>
    <t>Read the Bones</t>
  </si>
  <si>
    <t>Diabolic Tutor</t>
  </si>
  <si>
    <t>Sign in Blood</t>
  </si>
  <si>
    <t>Night's Whisper</t>
  </si>
  <si>
    <t>Painful Truths</t>
  </si>
  <si>
    <t>Insatiable Avarice</t>
  </si>
  <si>
    <t>Unholy Annex // Ritual Chamber</t>
  </si>
  <si>
    <t>Phyrexian Reclamation</t>
  </si>
  <si>
    <t>Liliana's Contract</t>
  </si>
  <si>
    <t>Kaya's Ghostform</t>
  </si>
  <si>
    <t>Haystack</t>
  </si>
  <si>
    <t>Damn</t>
  </si>
  <si>
    <t>Versão Forte</t>
  </si>
  <si>
    <t>Versão Mais Forte</t>
  </si>
  <si>
    <t>Archfiend of Depravity</t>
  </si>
  <si>
    <t>Kothophed, Soul Hoarder</t>
  </si>
  <si>
    <t>Reckoner's Bargain</t>
  </si>
  <si>
    <t>Village Rites</t>
  </si>
  <si>
    <t>Costly Plunder</t>
  </si>
  <si>
    <t>Wedding Ring</t>
  </si>
  <si>
    <t>Battle Angels of Tyr</t>
  </si>
  <si>
    <t>Mangara, the Diplomat</t>
  </si>
  <si>
    <t>Hoarding Broodlord</t>
  </si>
  <si>
    <t>Tyrant's Familiar</t>
  </si>
  <si>
    <t>Incinerator of the Guilty</t>
  </si>
  <si>
    <t>Demanding Dragon</t>
  </si>
  <si>
    <t>Scourge of the Throne</t>
  </si>
  <si>
    <t>Rapacious Dragon</t>
  </si>
  <si>
    <t>Arena of Glory</t>
  </si>
  <si>
    <t>Rogue's Passage</t>
  </si>
  <si>
    <t>Vault of the Archangel</t>
  </si>
  <si>
    <t>Hall of the Bandit Lord</t>
  </si>
  <si>
    <t>Minas Tirith</t>
  </si>
  <si>
    <t>Command Beacon</t>
  </si>
  <si>
    <t>Slayer's Stronghold</t>
  </si>
  <si>
    <t>Spinerock Knoll</t>
  </si>
  <si>
    <t>Nomad Outpost</t>
  </si>
  <si>
    <t>Savai Triome</t>
  </si>
  <si>
    <t>Godless Shrine</t>
  </si>
  <si>
    <t>Blood Crypt</t>
  </si>
  <si>
    <t>Sacred Foundry</t>
  </si>
  <si>
    <t>Isolated Chapel</t>
  </si>
  <si>
    <t>Clifftop Retreat</t>
  </si>
  <si>
    <t>Dragonskull Summit</t>
  </si>
  <si>
    <t>Caves of Koilos</t>
  </si>
  <si>
    <t>Battlefield Forge</t>
  </si>
  <si>
    <t>Sulfurous Springs</t>
  </si>
  <si>
    <t>Orzhov Basilica</t>
  </si>
  <si>
    <t>Shattered Landscape</t>
  </si>
  <si>
    <t>Temple of Silence</t>
  </si>
  <si>
    <t>Temple of Triumph</t>
  </si>
  <si>
    <t>Rakdos Carnarium</t>
  </si>
  <si>
    <t>City of Brass</t>
  </si>
  <si>
    <t>Rugged Prairie</t>
  </si>
  <si>
    <t>Fetid Heath</t>
  </si>
  <si>
    <t>Graven Cairns</t>
  </si>
  <si>
    <t>Temple of Malice</t>
  </si>
  <si>
    <t>Plaza of Heroes</t>
  </si>
  <si>
    <t>Plains</t>
  </si>
  <si>
    <t>Tovolar Crepúsculo</t>
  </si>
  <si>
    <t>Boros Garrison</t>
  </si>
  <si>
    <t>Untimely Malfunction</t>
  </si>
  <si>
    <t>Suporte</t>
  </si>
  <si>
    <t>Combate</t>
  </si>
  <si>
    <t>Kessig Naturalist</t>
  </si>
  <si>
    <t>Tovolar's Huntmaster</t>
  </si>
  <si>
    <t>Outland Liberator</t>
  </si>
  <si>
    <t>Immerwolf</t>
  </si>
  <si>
    <t>Howlpack Piper</t>
  </si>
  <si>
    <t>Mayor of Avabruck</t>
  </si>
  <si>
    <t>The Celestus</t>
  </si>
  <si>
    <t>Hound Tamer</t>
  </si>
  <si>
    <t>Full Moon's Rise</t>
  </si>
  <si>
    <t>Avabruck Caretaker</t>
  </si>
  <si>
    <t>Scorned Villager</t>
  </si>
  <si>
    <t>Arlinn, the Pack's Hope</t>
  </si>
  <si>
    <t>Howlpack Resurgence</t>
  </si>
  <si>
    <t>Nightpack Ambusher</t>
  </si>
  <si>
    <t>Ill-Tempered Loner</t>
  </si>
  <si>
    <t>Huntmaster of the Fells</t>
  </si>
  <si>
    <t>Duskwatch Recruiter</t>
  </si>
  <si>
    <t>Moonmist</t>
  </si>
  <si>
    <t>Howling Moon</t>
  </si>
  <si>
    <t>Reckless Stormseeker</t>
  </si>
  <si>
    <t>Village Watch</t>
  </si>
  <si>
    <t>Kruin Outlaw</t>
  </si>
  <si>
    <t>Weaver of Blossoms</t>
  </si>
  <si>
    <t>Hollowhenge Overlord</t>
  </si>
  <si>
    <t>Geier Reach Bandit</t>
  </si>
  <si>
    <t>Werewolf Pack Leader</t>
  </si>
  <si>
    <t>Instigator Gang</t>
  </si>
  <si>
    <t>Sage of Ancient Lore</t>
  </si>
  <si>
    <t>Ulrich of the Krallenhorde</t>
  </si>
  <si>
    <t>Child of the Pack</t>
  </si>
  <si>
    <t>Breakneck Rider</t>
  </si>
  <si>
    <t>Cemetery Prowler</t>
  </si>
  <si>
    <t>Hermit of the Natterknolls</t>
  </si>
  <si>
    <t>Volatile Arsonist</t>
  </si>
  <si>
    <t>Silverfur Partisan</t>
  </si>
  <si>
    <t>Ascendant Packleader</t>
  </si>
  <si>
    <t>Packsong Pup</t>
  </si>
  <si>
    <t>Mondronen Shaman</t>
  </si>
  <si>
    <t>Cult of the Waxing Moon</t>
  </si>
  <si>
    <t>Wolfkin Outcast</t>
  </si>
  <si>
    <t>Enduring Courage</t>
  </si>
  <si>
    <t>Daybreak Ranger</t>
  </si>
  <si>
    <t>Afflicted Deserter</t>
  </si>
  <si>
    <t>Roaming Throne</t>
  </si>
  <si>
    <t>Goblin Anarchomancer</t>
  </si>
  <si>
    <t>Realmwalker</t>
  </si>
  <si>
    <t>Lambholt Elder</t>
  </si>
  <si>
    <t>Spirit of the Hunt</t>
  </si>
  <si>
    <t>Beast Within</t>
  </si>
  <si>
    <t>Moonlight Hunt</t>
  </si>
  <si>
    <t>Heroic Intervention</t>
  </si>
  <si>
    <t>Chaos Warp</t>
  </si>
  <si>
    <t>Great Train Heist</t>
  </si>
  <si>
    <t>Return to Nature</t>
  </si>
  <si>
    <t>Archdruid's Charm</t>
  </si>
  <si>
    <t>Wrap in Vigor</t>
  </si>
  <si>
    <t>Savage Beating</t>
  </si>
  <si>
    <t>Khalni Ambush</t>
  </si>
  <si>
    <t>Signal the Clans</t>
  </si>
  <si>
    <t>Ram Through</t>
  </si>
  <si>
    <t>Overpowering Attack</t>
  </si>
  <si>
    <t>Relentless Assault</t>
  </si>
  <si>
    <t>Bala Ged Recovery</t>
  </si>
  <si>
    <t>Bridgeworks Battle</t>
  </si>
  <si>
    <t>Triumph of the Hordes</t>
  </si>
  <si>
    <t>Overwhelming Stampede</t>
  </si>
  <si>
    <t>The Great Henge</t>
  </si>
  <si>
    <t>Rhythm of the Wild</t>
  </si>
  <si>
    <t>Unnatural Growth</t>
  </si>
  <si>
    <t>Aggravated Assault</t>
  </si>
  <si>
    <t>Lurking Predators</t>
  </si>
  <si>
    <t>Asceticism</t>
  </si>
  <si>
    <t>Arlinn Kord</t>
  </si>
  <si>
    <t>Domri, Anarch of Bolas</t>
  </si>
  <si>
    <t>Vivien, Champion of the Wilds</t>
  </si>
  <si>
    <t>Kessig Wolf Run</t>
  </si>
  <si>
    <t>Three Tree City</t>
  </si>
  <si>
    <t>Skarrg, the Rage Pits</t>
  </si>
  <si>
    <t>Castle Embereth</t>
  </si>
  <si>
    <t>Mosswort Bridge</t>
  </si>
  <si>
    <t>Temple of the False God</t>
  </si>
  <si>
    <t>Mina and Denn, Wildborn</t>
  </si>
  <si>
    <t>Classe: Druida</t>
  </si>
  <si>
    <t>Exploration</t>
  </si>
  <si>
    <t>Rites of Flourishing</t>
  </si>
  <si>
    <t>Wayward Swordtooth</t>
  </si>
  <si>
    <t>Burgeoning</t>
  </si>
  <si>
    <t>Skyshroud Ranger</t>
  </si>
  <si>
    <t>Gruul Turf</t>
  </si>
  <si>
    <t>Cinder Glade</t>
  </si>
  <si>
    <t>Rootbound Crag</t>
  </si>
  <si>
    <t>Mossfire Valley</t>
  </si>
  <si>
    <t>Briga de Bar</t>
  </si>
  <si>
    <t>Nykthos, Shrine to Nyx</t>
  </si>
  <si>
    <t>Rhonas's Monument</t>
  </si>
  <si>
    <t>Blink</t>
  </si>
  <si>
    <t>Mass</t>
  </si>
  <si>
    <t>Fangkeeper's Familiar</t>
  </si>
  <si>
    <t>Warden of the Grove</t>
  </si>
  <si>
    <t>Draw Rec</t>
  </si>
  <si>
    <t>Draw Etb</t>
  </si>
  <si>
    <t>Tatyova, Benthic Druid</t>
  </si>
  <si>
    <t>Assassin's Trophy</t>
  </si>
  <si>
    <t>Field of the Dead</t>
  </si>
  <si>
    <t>Thassa, Deep-Dwelling</t>
  </si>
  <si>
    <t>Farhaven Elf</t>
  </si>
  <si>
    <t>Deadeye Navigator</t>
  </si>
  <si>
    <t>Muldrotha, the Gravetide</t>
  </si>
  <si>
    <t>Createrhoof Behemoth</t>
  </si>
  <si>
    <t>Clifftop Lookout</t>
  </si>
  <si>
    <t>Springheart Nantuko</t>
  </si>
  <si>
    <t>Honest Rutstein</t>
  </si>
  <si>
    <t>Displace</t>
  </si>
  <si>
    <t>Na Offer you Can't Refuse</t>
  </si>
  <si>
    <t>Entish Restoration</t>
  </si>
  <si>
    <t>Saw in Half</t>
  </si>
  <si>
    <t>Toxic Deluge</t>
  </si>
  <si>
    <t>Chthoninan Nightmare</t>
  </si>
  <si>
    <t>Invasion of Zendikar</t>
  </si>
  <si>
    <t>Invasion of Ikoria</t>
  </si>
  <si>
    <t>Bujoka Bog</t>
  </si>
  <si>
    <t>Moosworth Bridge</t>
  </si>
  <si>
    <t>Mystic Sacntuary</t>
  </si>
  <si>
    <t>Alchemist's Refuge</t>
  </si>
  <si>
    <t>Hinterland Harbor</t>
  </si>
  <si>
    <t>Woodland Cemetery</t>
  </si>
  <si>
    <t>Fabled Passage</t>
  </si>
  <si>
    <t>Yavimaya Coast</t>
  </si>
  <si>
    <t>Llanowar Wastes</t>
  </si>
  <si>
    <t>Man-o'-War</t>
  </si>
  <si>
    <t>Essence Flux</t>
  </si>
  <si>
    <t>Illusionost's Stratagem</t>
  </si>
  <si>
    <t>Sword of Heart and Home</t>
  </si>
  <si>
    <t>Birthing Pod</t>
  </si>
  <si>
    <t>Dusk Legion Zealot</t>
  </si>
  <si>
    <t>Yarok Mass</t>
  </si>
  <si>
    <t>Commander</t>
  </si>
  <si>
    <t>Atraxa Infect</t>
  </si>
  <si>
    <t>Peter Parker's Camera</t>
  </si>
  <si>
    <t>Prologue to Phyresis</t>
  </si>
  <si>
    <t>Vraska's Fall</t>
  </si>
  <si>
    <t>Ichor Rats</t>
  </si>
  <si>
    <t>Phyresis Outbreak</t>
  </si>
  <si>
    <t>Venerated Rotpriest</t>
  </si>
  <si>
    <t>Bloated Contaminator</t>
  </si>
  <si>
    <t>Infectious Bite</t>
  </si>
  <si>
    <t>Ixhel, Scion of Atraxa</t>
  </si>
  <si>
    <t>Tekuthal, Inquiry Dominus</t>
  </si>
  <si>
    <t>Vraska, Betrayal's Sting</t>
  </si>
  <si>
    <t>Evolution Sage</t>
  </si>
  <si>
    <t>Ezuri, Stalker of Spheres</t>
  </si>
  <si>
    <t>Thrummingbird</t>
  </si>
  <si>
    <t>Skrelv, Defector Mite</t>
  </si>
  <si>
    <t>Contaminant Grafter</t>
  </si>
  <si>
    <t>Swords to Plowshares</t>
  </si>
  <si>
    <t>Tezzeret's Gambit</t>
  </si>
  <si>
    <t>Norn's Decree</t>
  </si>
  <si>
    <t>Voidwing Hybrid</t>
  </si>
  <si>
    <t>Skithiryx, the Blight Dragon</t>
  </si>
  <si>
    <t>Tainted Observer</t>
  </si>
  <si>
    <t>Blightbelly Rat</t>
  </si>
  <si>
    <t>Phyrexian Swarmlord</t>
  </si>
  <si>
    <t>Plague Stinger</t>
  </si>
  <si>
    <t>Vishgraz, the Doomhive</t>
  </si>
  <si>
    <t>Metastatic Evangel</t>
  </si>
  <si>
    <t>Norn's Choirmaster</t>
  </si>
  <si>
    <t>Dreamtide Whale</t>
  </si>
  <si>
    <t>Bilious Skulldweller</t>
  </si>
  <si>
    <t>Viridian Corrupter</t>
  </si>
  <si>
    <t>Tyrranax Rex</t>
  </si>
  <si>
    <t>Plague Myr</t>
  </si>
  <si>
    <t>Necrogen Rotpriest</t>
  </si>
  <si>
    <t>Viral Drake</t>
  </si>
  <si>
    <t>Pestilent Syphoner</t>
  </si>
  <si>
    <t>Myr Convert</t>
  </si>
  <si>
    <t>Bloodroot Apothecary</t>
  </si>
  <si>
    <t>Hand of the Praetors</t>
  </si>
  <si>
    <t>Glistener Elf</t>
  </si>
  <si>
    <t>Grateful Apparition</t>
  </si>
  <si>
    <t>Phyrexian Censor</t>
  </si>
  <si>
    <t>Blight Mamba</t>
  </si>
  <si>
    <t>Brimaz, Blight of Oreskos</t>
  </si>
  <si>
    <t>Ichorclaw Myr</t>
  </si>
  <si>
    <t>Patrolling Peacemaker</t>
  </si>
  <si>
    <t>Fynn, the Fangbearer</t>
  </si>
  <si>
    <t>Venser, Corpse Puppet</t>
  </si>
  <si>
    <t>Scheming Aspirant</t>
  </si>
  <si>
    <t>Crawling Chorus</t>
  </si>
  <si>
    <t>Deepglow Skate</t>
  </si>
  <si>
    <t>Experimental Augury</t>
  </si>
  <si>
    <t>Tainted Strike</t>
  </si>
  <si>
    <t>Radstorm</t>
  </si>
  <si>
    <t>Atomize</t>
  </si>
  <si>
    <t>Whisper of the Dross</t>
  </si>
  <si>
    <t>Steady Progress</t>
  </si>
  <si>
    <t>Serum Snare</t>
  </si>
  <si>
    <t>Corrupted Resolve</t>
  </si>
  <si>
    <t>Dovin's Veto</t>
  </si>
  <si>
    <t>Unnatural Restoration</t>
  </si>
  <si>
    <t>Farseek</t>
  </si>
  <si>
    <t>Selesnya Signet</t>
  </si>
  <si>
    <t>Simic Signet</t>
  </si>
  <si>
    <t>Golgari Signet</t>
  </si>
  <si>
    <t>Contentious Plan</t>
  </si>
  <si>
    <t>Vat Emergence</t>
  </si>
  <si>
    <t>Geth's Summons</t>
  </si>
  <si>
    <t>Caress of Phyrexia</t>
  </si>
  <si>
    <t>Noxious Assault</t>
  </si>
  <si>
    <t>Smell Fear</t>
  </si>
  <si>
    <t>Trailblazer's Boots</t>
  </si>
  <si>
    <t>Insight Engine</t>
  </si>
  <si>
    <t>Whispersilk Cloak</t>
  </si>
  <si>
    <t>Skrelv's Hive</t>
  </si>
  <si>
    <t>Necrogen Communion</t>
  </si>
  <si>
    <t>Corrupted Conscience</t>
  </si>
  <si>
    <t>Four Knocks</t>
  </si>
  <si>
    <t>Tamiyo, Field Researcher</t>
  </si>
  <si>
    <t>Azorius Signet</t>
  </si>
  <si>
    <t>Everflowing Chalice</t>
  </si>
  <si>
    <t>Astral Cornucopia</t>
  </si>
  <si>
    <t>Opulent Palace</t>
  </si>
  <si>
    <t>Arcane Sanctum</t>
  </si>
  <si>
    <t>Seaside Citadel</t>
  </si>
  <si>
    <t>The Seedcore</t>
  </si>
  <si>
    <t>Mirrex</t>
  </si>
  <si>
    <t>Tetsuko Umezawa, Fugitive</t>
  </si>
  <si>
    <t>Midnight Pathlighter</t>
  </si>
  <si>
    <t>Gossip's Talent</t>
  </si>
  <si>
    <t>Keen Duelist</t>
  </si>
  <si>
    <t>Parker Luck</t>
  </si>
  <si>
    <t>Divine Presence</t>
  </si>
  <si>
    <t>Dark Confidant</t>
  </si>
  <si>
    <t>Twilight Prophet</t>
  </si>
  <si>
    <t>Dark Tutelage</t>
  </si>
  <si>
    <t>Darkstar Augur</t>
  </si>
  <si>
    <t>Call of the Ring</t>
  </si>
  <si>
    <t>Behind the Scenes</t>
  </si>
  <si>
    <t>Open into Wonder</t>
  </si>
  <si>
    <t>Champion of Lambholt</t>
  </si>
  <si>
    <t>Atomic Microsizer</t>
  </si>
  <si>
    <t>Escape Tunnel</t>
  </si>
  <si>
    <t>Reverse the Polarity</t>
  </si>
  <si>
    <t>Silver Shroud Costume</t>
  </si>
  <si>
    <t>Family's Favor</t>
  </si>
  <si>
    <t>Goliath Hatchery</t>
  </si>
  <si>
    <t>Ohran Frostfang</t>
  </si>
  <si>
    <t>Global</t>
  </si>
  <si>
    <t>Dusk // Dawn</t>
  </si>
  <si>
    <t>Criaturinha</t>
  </si>
  <si>
    <t>Tarolho</t>
  </si>
  <si>
    <t>Giver of Runes</t>
  </si>
  <si>
    <t>Flux Channeler</t>
  </si>
  <si>
    <t>Versátil</t>
  </si>
  <si>
    <t>Evasão</t>
  </si>
  <si>
    <t>Sobreviver</t>
  </si>
  <si>
    <t>MacCready, Lamplight Mayor</t>
  </si>
  <si>
    <t>Path to Exile</t>
  </si>
  <si>
    <t>Arcane Denial</t>
  </si>
  <si>
    <t>Opções de Remoção</t>
  </si>
  <si>
    <t>Opções de Anule</t>
  </si>
  <si>
    <t>Opções de Global</t>
  </si>
  <si>
    <t>Opções de Evasão</t>
  </si>
  <si>
    <t>Opções de Versátil</t>
  </si>
  <si>
    <t>Opções de Proliferar</t>
  </si>
  <si>
    <t>Proliferar</t>
  </si>
  <si>
    <t>&lt;- Complicada, tira a evasão das suas e nem tanto infect assim, mas pode fechar o jogo sem combate</t>
  </si>
  <si>
    <t>Sidar Kondo of Jamuraa</t>
  </si>
  <si>
    <t>Opções de Criaturinhas</t>
  </si>
  <si>
    <t>Opções de Proteção</t>
  </si>
  <si>
    <t>Opções de Tarolho</t>
  </si>
  <si>
    <t>Three Visits</t>
  </si>
  <si>
    <t>Harrow</t>
  </si>
  <si>
    <t>Opções de Ramp -&gt; ou full artefato ou full mágicas</t>
  </si>
  <si>
    <t>Indatha Triome</t>
  </si>
  <si>
    <t>Zagoth Triome</t>
  </si>
  <si>
    <t>Spara's Headquarters</t>
  </si>
  <si>
    <t>Raffine's Tower</t>
  </si>
  <si>
    <t>Glacial Fortress</t>
  </si>
  <si>
    <t>Sunpetal Grove</t>
  </si>
  <si>
    <t>Seachrome Coast</t>
  </si>
  <si>
    <t>Darkslick Shores</t>
  </si>
  <si>
    <t>Razorverge Thicket</t>
  </si>
  <si>
    <t>Concealed Courtyard</t>
  </si>
  <si>
    <t>Blooming Marsh</t>
  </si>
  <si>
    <t>Botanical Sanctum</t>
  </si>
  <si>
    <t>Ash Barrens</t>
  </si>
  <si>
    <t>Temple of Plenty</t>
  </si>
  <si>
    <t>Temple of Malady</t>
  </si>
  <si>
    <t>Terramorphic Expanse</t>
  </si>
  <si>
    <t>Evolving Wilds</t>
  </si>
  <si>
    <t>Infectious Inquiry</t>
  </si>
  <si>
    <t>Opções de Drawzinho</t>
  </si>
  <si>
    <t>Drawzinho</t>
  </si>
  <si>
    <t>Opções de Draw -&gt; Se sobrar mana, coloca uma dessas no lugar de ramp</t>
  </si>
  <si>
    <t>Trocar Depois</t>
  </si>
  <si>
    <t>Montar Já</t>
  </si>
  <si>
    <t>Sandsteppe Citadel</t>
  </si>
  <si>
    <t>Temple of Enlightenment</t>
  </si>
  <si>
    <t>Temple of Mystery</t>
  </si>
  <si>
    <t>Earth</t>
  </si>
  <si>
    <t>Fire</t>
  </si>
  <si>
    <t>Water</t>
  </si>
  <si>
    <t>Air</t>
  </si>
  <si>
    <t>Função 2</t>
  </si>
  <si>
    <t>Elfos</t>
  </si>
  <si>
    <t>Pump</t>
  </si>
  <si>
    <t>Utility</t>
  </si>
  <si>
    <t>Morcant's Loyalist</t>
  </si>
  <si>
    <t>Champions of the Perfect</t>
  </si>
  <si>
    <t>Selfless Safewright</t>
  </si>
  <si>
    <t>Virulent Emissary</t>
  </si>
  <si>
    <t>Eclipsed Elf</t>
  </si>
  <si>
    <t>Elvish Archdruid</t>
  </si>
  <si>
    <t>Flourishing Defenses</t>
  </si>
  <si>
    <t>Lathril, Blade of the Elves</t>
  </si>
  <si>
    <t>Imperious Perfect</t>
  </si>
  <si>
    <t>Priest of Titania</t>
  </si>
  <si>
    <t>Lys Alana Huntmaster</t>
  </si>
  <si>
    <t>Token</t>
  </si>
  <si>
    <t>Elvish Warmaster</t>
  </si>
  <si>
    <t>Leaf-Crowned Visionary</t>
  </si>
  <si>
    <t>Marwyn, the Nurturer</t>
  </si>
  <si>
    <t>Elvish Mystic</t>
  </si>
  <si>
    <t>Llanowar Elves</t>
  </si>
  <si>
    <t>Beast Whisperer</t>
  </si>
  <si>
    <t>Tyvar Kell</t>
  </si>
  <si>
    <t>Dionus, Elvish Archdruid</t>
  </si>
  <si>
    <t>Elvish Promenade</t>
  </si>
  <si>
    <t>Elven Ambush</t>
  </si>
  <si>
    <t>Seedborn Muse</t>
  </si>
  <si>
    <t>Poison-Tip Archer</t>
  </si>
  <si>
    <t>Fyndhorn Elves</t>
  </si>
  <si>
    <t>Dwynen, Gilt-Leaf Daen</t>
  </si>
  <si>
    <t>Wolverine Riders</t>
  </si>
  <si>
    <t>Shaman of the Pack</t>
  </si>
  <si>
    <t>Ezuri, Renegade Leader</t>
  </si>
  <si>
    <t>Massacre Girl, Known Killer</t>
  </si>
  <si>
    <t>High Perfect Morcant</t>
  </si>
  <si>
    <t>Generous Patron</t>
  </si>
  <si>
    <t>Circle of Dreams Druid</t>
  </si>
  <si>
    <t>Elvish Harbinger</t>
  </si>
  <si>
    <t>Elvish Champion</t>
  </si>
  <si>
    <t>Tyvar the Bellicose</t>
  </si>
  <si>
    <t>Eladamri, Korvecdal</t>
  </si>
  <si>
    <t>Elves of Deep Shadow</t>
  </si>
  <si>
    <t>Abomination of Llanowar</t>
  </si>
  <si>
    <t>Galadhrim Brigade</t>
  </si>
  <si>
    <t>Immaculate Magistrate</t>
  </si>
  <si>
    <t>Skemfar Shadowsage</t>
  </si>
  <si>
    <t>Canopy Tactician</t>
  </si>
  <si>
    <t>Tromell, Seymour's Butler</t>
  </si>
  <si>
    <t>Wirewood Channeler</t>
  </si>
  <si>
    <t>Moon-Vigil Adherents</t>
  </si>
  <si>
    <t>Dawnhand Dissident</t>
  </si>
  <si>
    <t>Arbor Elf</t>
  </si>
  <si>
    <t>Joraga Warcaller</t>
  </si>
  <si>
    <t>Lys Alana Dignitary</t>
  </si>
  <si>
    <t>Devoted Druid</t>
  </si>
  <si>
    <t>Evolution Witness</t>
  </si>
  <si>
    <t>Skemfar Avenger</t>
  </si>
  <si>
    <t>Wellwisher</t>
  </si>
  <si>
    <t>Arwen, Weaver of Hope</t>
  </si>
  <si>
    <t>Pollenbright Druid</t>
  </si>
  <si>
    <t>Hapatra, Vizier of Poisons</t>
  </si>
  <si>
    <t>Essence Warden</t>
  </si>
  <si>
    <t>Disciple of Freyalise</t>
  </si>
  <si>
    <t>Miara, Thorn of the Glade</t>
  </si>
  <si>
    <t>Galadhrim Ambush</t>
  </si>
  <si>
    <t>Revitalizing Repast</t>
  </si>
  <si>
    <t>Golgari Charm</t>
  </si>
  <si>
    <t>Windswift Slice</t>
  </si>
  <si>
    <t>Return Upon the Tide</t>
  </si>
  <si>
    <t>Pact of the Serpent</t>
  </si>
  <si>
    <t>Genesis Wave</t>
  </si>
  <si>
    <t>Sylvan Offering</t>
  </si>
  <si>
    <t>Chronicle of Victory</t>
  </si>
  <si>
    <t>Dawn-Blessed Pennant</t>
  </si>
  <si>
    <t>Vanquisher's Banner</t>
  </si>
  <si>
    <t>Elderfang Venom</t>
  </si>
  <si>
    <t>Prowess of the Fair</t>
  </si>
  <si>
    <t>Blowfly Infestation</t>
  </si>
  <si>
    <t>Morcant's Eyes</t>
  </si>
  <si>
    <t>Springleaf Parade</t>
  </si>
  <si>
    <t>Elven Chorus</t>
  </si>
  <si>
    <t>Presence of Gond</t>
  </si>
  <si>
    <t>Deathreap Ritual</t>
  </si>
  <si>
    <t>Tale of Katara and Toph</t>
  </si>
  <si>
    <t>Tyvar, Jubilant Brawler</t>
  </si>
  <si>
    <t>Freyalise, Llanowar's Fury</t>
  </si>
  <si>
    <t>Wirewood Lodge</t>
  </si>
  <si>
    <t>Karn's Bastion</t>
  </si>
  <si>
    <t>Evendo, Waking Haven</t>
  </si>
  <si>
    <t>Nesting Grounds</t>
  </si>
  <si>
    <t>Inkmoth Nexus</t>
  </si>
  <si>
    <t>Secret Tunnel</t>
  </si>
  <si>
    <t>Patchwork Banner</t>
  </si>
  <si>
    <t>Eclipsed Realms</t>
  </si>
  <si>
    <t>Twilight Mire</t>
  </si>
  <si>
    <t>Tainted Wood</t>
  </si>
  <si>
    <t>Abundant Countryside</t>
  </si>
  <si>
    <t>Elvish Guidance</t>
  </si>
  <si>
    <t>Mutable Explorer</t>
  </si>
  <si>
    <t>Beastcaller Savant</t>
  </si>
  <si>
    <t>Joraga Treespeaker</t>
  </si>
  <si>
    <t>Rishkar, Peema Renegade</t>
  </si>
  <si>
    <t>Llanowar Loamspeaker</t>
  </si>
  <si>
    <t>Jaspera Sentinel</t>
  </si>
  <si>
    <t>Gwenna, Eyes of Gaea</t>
  </si>
  <si>
    <t>Ecological Appreciation</t>
  </si>
  <si>
    <t>Evolutionary Leap</t>
  </si>
  <si>
    <t>Fauna Shaman</t>
  </si>
  <si>
    <t>Skyshroud Poacher</t>
  </si>
  <si>
    <t>Prime Speaker Vannifar</t>
  </si>
  <si>
    <t>Yisan, the Wanderer Bard</t>
  </si>
  <si>
    <t>Masked Vandal</t>
  </si>
  <si>
    <t>Marvin, Murderous Mimic</t>
  </si>
  <si>
    <t>Yeva, Nature's Herald</t>
  </si>
  <si>
    <t>Elvish Regrower</t>
  </si>
  <si>
    <t>Copperhorn Scout</t>
  </si>
  <si>
    <t>Wirewood Symbiote</t>
  </si>
  <si>
    <t>Elvish Soultiller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</si>
</sst>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;[Red]&quot;R$ 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BF513E81-F883-4FA2-8592-222FD0BAAB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F6D51-9D21-4281-8D62-B1422C424EB7}">
  <dimension ref="A1:L102"/>
  <sheetViews>
    <sheetView workbookViewId="0">
      <selection activeCell="A2" sqref="A1:G1048576"/>
    </sheetView>
  </sheetViews>
  <sheetFormatPr defaultRowHeight="15" x14ac:dyDescent="0.25"/>
  <cols>
    <col min="1" max="1" width="11.85546875" style="3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8" t="s">
        <v>405</v>
      </c>
      <c r="B1" s="8"/>
      <c r="C1" s="8"/>
      <c r="D1" s="8"/>
      <c r="E1" s="8"/>
      <c r="F1" s="8"/>
      <c r="G1" s="8"/>
    </row>
    <row r="2" spans="1:7" x14ac:dyDescent="0.25">
      <c r="A2" s="4" t="s">
        <v>0</v>
      </c>
      <c r="B2" s="4" t="s">
        <v>562</v>
      </c>
      <c r="C2" s="4" t="s">
        <v>563</v>
      </c>
      <c r="D2" s="4" t="s">
        <v>8</v>
      </c>
    </row>
    <row r="3" spans="1:7" x14ac:dyDescent="0.25">
      <c r="A3" s="3" t="s">
        <v>404</v>
      </c>
      <c r="D3" t="str">
        <f>IF(B3=C3, "Sim", "Não")</f>
        <v>Sim</v>
      </c>
      <c r="F3" s="4" t="s">
        <v>11</v>
      </c>
      <c r="G3" s="3">
        <f>COUNTIF(D3:D106,"Não")</f>
        <v>99</v>
      </c>
    </row>
    <row r="4" spans="1:7" x14ac:dyDescent="0.25">
      <c r="A4" s="3" t="s">
        <v>1</v>
      </c>
      <c r="C4" t="s">
        <v>233</v>
      </c>
      <c r="D4" t="str">
        <f t="shared" ref="D4:D67" si="0">IF(B4=C4, "Sim", "Não")</f>
        <v>Não</v>
      </c>
      <c r="F4" s="4" t="s">
        <v>12</v>
      </c>
      <c r="G4" s="3">
        <f>SUM(G7:G25)</f>
        <v>100</v>
      </c>
    </row>
    <row r="5" spans="1:7" x14ac:dyDescent="0.25">
      <c r="A5" s="3" t="s">
        <v>1</v>
      </c>
      <c r="C5" t="s">
        <v>21</v>
      </c>
      <c r="D5" t="str">
        <f t="shared" si="0"/>
        <v>Não</v>
      </c>
    </row>
    <row r="6" spans="1:7" x14ac:dyDescent="0.25">
      <c r="A6" s="3" t="s">
        <v>1</v>
      </c>
      <c r="C6" t="s">
        <v>508</v>
      </c>
      <c r="D6" t="str">
        <f t="shared" si="0"/>
        <v>Não</v>
      </c>
      <c r="F6" s="6" t="s">
        <v>3</v>
      </c>
      <c r="G6" s="1"/>
    </row>
    <row r="7" spans="1:7" x14ac:dyDescent="0.25">
      <c r="A7" s="3" t="s">
        <v>1</v>
      </c>
      <c r="C7" t="s">
        <v>13</v>
      </c>
      <c r="D7" t="str">
        <f t="shared" si="0"/>
        <v>Não</v>
      </c>
      <c r="F7" s="7" t="s">
        <v>404</v>
      </c>
      <c r="G7" s="2">
        <f t="shared" ref="G7:G21" si="1">COUNTIF(A:A,F7)</f>
        <v>1</v>
      </c>
    </row>
    <row r="8" spans="1:7" x14ac:dyDescent="0.25">
      <c r="A8" s="3" t="s">
        <v>1</v>
      </c>
      <c r="C8" t="s">
        <v>24</v>
      </c>
      <c r="D8" t="str">
        <f t="shared" si="0"/>
        <v>Não</v>
      </c>
      <c r="F8" s="7" t="s">
        <v>1</v>
      </c>
      <c r="G8" s="2">
        <f t="shared" si="1"/>
        <v>33</v>
      </c>
    </row>
    <row r="9" spans="1:7" x14ac:dyDescent="0.25">
      <c r="A9" s="3" t="s">
        <v>1</v>
      </c>
      <c r="C9" t="s">
        <v>491</v>
      </c>
      <c r="D9" t="str">
        <f t="shared" si="0"/>
        <v>Não</v>
      </c>
      <c r="F9" s="7" t="s">
        <v>23</v>
      </c>
      <c r="G9" s="2">
        <f t="shared" si="1"/>
        <v>10</v>
      </c>
    </row>
    <row r="10" spans="1:7" x14ac:dyDescent="0.25">
      <c r="A10" s="3" t="s">
        <v>1</v>
      </c>
      <c r="C10" t="s">
        <v>492</v>
      </c>
      <c r="D10" t="str">
        <f t="shared" si="0"/>
        <v>Não</v>
      </c>
      <c r="F10" s="7" t="s">
        <v>4</v>
      </c>
      <c r="G10" s="2">
        <f t="shared" si="1"/>
        <v>8</v>
      </c>
    </row>
    <row r="11" spans="1:7" x14ac:dyDescent="0.25">
      <c r="A11" s="3" t="s">
        <v>1</v>
      </c>
      <c r="C11" t="s">
        <v>394</v>
      </c>
      <c r="D11" t="str">
        <f t="shared" si="0"/>
        <v>Não</v>
      </c>
      <c r="F11" s="7" t="s">
        <v>146</v>
      </c>
      <c r="G11" s="2">
        <f t="shared" si="1"/>
        <v>5</v>
      </c>
    </row>
    <row r="12" spans="1:7" x14ac:dyDescent="0.25">
      <c r="A12" s="3" t="s">
        <v>1</v>
      </c>
      <c r="C12" t="s">
        <v>553</v>
      </c>
      <c r="D12" t="str">
        <f t="shared" si="0"/>
        <v>Não</v>
      </c>
      <c r="F12" s="7" t="s">
        <v>5</v>
      </c>
      <c r="G12" s="2">
        <f t="shared" si="1"/>
        <v>4</v>
      </c>
    </row>
    <row r="13" spans="1:7" x14ac:dyDescent="0.25">
      <c r="A13" s="3" t="s">
        <v>1</v>
      </c>
      <c r="B13" t="s">
        <v>541</v>
      </c>
      <c r="C13" t="s">
        <v>564</v>
      </c>
      <c r="D13" t="str">
        <f t="shared" si="0"/>
        <v>Não</v>
      </c>
      <c r="F13" s="3" t="s">
        <v>40</v>
      </c>
      <c r="G13" s="2">
        <f t="shared" si="1"/>
        <v>2</v>
      </c>
    </row>
    <row r="14" spans="1:7" x14ac:dyDescent="0.25">
      <c r="A14" s="3" t="s">
        <v>1</v>
      </c>
      <c r="B14" t="s">
        <v>542</v>
      </c>
      <c r="C14" t="s">
        <v>488</v>
      </c>
      <c r="D14" t="str">
        <f t="shared" si="0"/>
        <v>Não</v>
      </c>
      <c r="F14" s="7" t="s">
        <v>514</v>
      </c>
      <c r="G14" s="2">
        <f t="shared" si="1"/>
        <v>1</v>
      </c>
    </row>
    <row r="15" spans="1:7" x14ac:dyDescent="0.25">
      <c r="A15" s="3" t="s">
        <v>1</v>
      </c>
      <c r="B15" t="s">
        <v>544</v>
      </c>
      <c r="C15" t="s">
        <v>489</v>
      </c>
      <c r="D15" t="str">
        <f t="shared" si="0"/>
        <v>Não</v>
      </c>
      <c r="F15" s="3" t="s">
        <v>516</v>
      </c>
      <c r="G15" s="2">
        <f t="shared" si="1"/>
        <v>14</v>
      </c>
    </row>
    <row r="16" spans="1:7" x14ac:dyDescent="0.25">
      <c r="A16" s="3" t="s">
        <v>1</v>
      </c>
      <c r="B16" t="s">
        <v>543</v>
      </c>
      <c r="C16" t="s">
        <v>490</v>
      </c>
      <c r="D16" t="str">
        <f t="shared" si="0"/>
        <v>Não</v>
      </c>
      <c r="F16" s="3" t="s">
        <v>517</v>
      </c>
      <c r="G16" s="2">
        <f t="shared" si="1"/>
        <v>3</v>
      </c>
    </row>
    <row r="17" spans="1:7" x14ac:dyDescent="0.25">
      <c r="A17" s="3" t="s">
        <v>1</v>
      </c>
      <c r="B17" t="s">
        <v>393</v>
      </c>
      <c r="C17" t="s">
        <v>555</v>
      </c>
      <c r="D17" t="str">
        <f t="shared" si="0"/>
        <v>Não</v>
      </c>
      <c r="F17" s="3" t="s">
        <v>532</v>
      </c>
      <c r="G17" s="2">
        <f t="shared" si="1"/>
        <v>3</v>
      </c>
    </row>
    <row r="18" spans="1:7" x14ac:dyDescent="0.25">
      <c r="A18" s="3" t="s">
        <v>1</v>
      </c>
      <c r="B18" t="s">
        <v>545</v>
      </c>
      <c r="C18" t="s">
        <v>565</v>
      </c>
      <c r="D18" t="str">
        <f t="shared" si="0"/>
        <v>Não</v>
      </c>
      <c r="F18" s="3" t="s">
        <v>520</v>
      </c>
      <c r="G18" s="2">
        <f t="shared" si="1"/>
        <v>3</v>
      </c>
    </row>
    <row r="19" spans="1:7" x14ac:dyDescent="0.25">
      <c r="A19" s="3" t="s">
        <v>1</v>
      </c>
      <c r="B19" t="s">
        <v>31</v>
      </c>
      <c r="C19" t="s">
        <v>60</v>
      </c>
      <c r="D19" t="str">
        <f t="shared" si="0"/>
        <v>Não</v>
      </c>
      <c r="F19" s="3" t="s">
        <v>522</v>
      </c>
      <c r="G19" s="2">
        <f t="shared" si="1"/>
        <v>3</v>
      </c>
    </row>
    <row r="20" spans="1:7" x14ac:dyDescent="0.25">
      <c r="A20" s="3" t="s">
        <v>1</v>
      </c>
      <c r="B20" t="s">
        <v>546</v>
      </c>
      <c r="C20" t="s">
        <v>554</v>
      </c>
      <c r="D20" t="str">
        <f t="shared" si="0"/>
        <v>Não</v>
      </c>
      <c r="F20" s="3" t="s">
        <v>521</v>
      </c>
      <c r="G20" s="2">
        <f t="shared" si="1"/>
        <v>4</v>
      </c>
    </row>
    <row r="21" spans="1:7" x14ac:dyDescent="0.25">
      <c r="A21" s="3" t="s">
        <v>1</v>
      </c>
      <c r="B21" t="s">
        <v>245</v>
      </c>
      <c r="C21" t="s">
        <v>253</v>
      </c>
      <c r="D21" t="str">
        <f t="shared" si="0"/>
        <v>Não</v>
      </c>
      <c r="F21" s="3" t="s">
        <v>560</v>
      </c>
      <c r="G21" s="2">
        <f t="shared" si="1"/>
        <v>6</v>
      </c>
    </row>
    <row r="22" spans="1:7" x14ac:dyDescent="0.25">
      <c r="A22" s="3" t="s">
        <v>1</v>
      </c>
      <c r="B22" t="s">
        <v>392</v>
      </c>
      <c r="C22" t="s">
        <v>566</v>
      </c>
      <c r="D22" t="str">
        <f t="shared" si="0"/>
        <v>Não</v>
      </c>
    </row>
    <row r="23" spans="1:7" x14ac:dyDescent="0.25">
      <c r="A23" s="3" t="s">
        <v>1</v>
      </c>
      <c r="B23" t="s">
        <v>547</v>
      </c>
      <c r="C23" t="s">
        <v>556</v>
      </c>
      <c r="D23" t="str">
        <f t="shared" si="0"/>
        <v>Não</v>
      </c>
    </row>
    <row r="24" spans="1:7" x14ac:dyDescent="0.25">
      <c r="A24" s="3" t="s">
        <v>1</v>
      </c>
      <c r="B24" t="s">
        <v>548</v>
      </c>
      <c r="C24" t="s">
        <v>557</v>
      </c>
      <c r="D24" t="str">
        <f t="shared" si="0"/>
        <v>Não</v>
      </c>
    </row>
    <row r="25" spans="1:7" x14ac:dyDescent="0.25">
      <c r="A25" s="3" t="s">
        <v>1</v>
      </c>
      <c r="B25" t="s">
        <v>549</v>
      </c>
      <c r="C25" t="s">
        <v>36</v>
      </c>
      <c r="D25" t="str">
        <f t="shared" si="0"/>
        <v>Não</v>
      </c>
    </row>
    <row r="26" spans="1:7" x14ac:dyDescent="0.25">
      <c r="A26" s="3" t="s">
        <v>1</v>
      </c>
      <c r="B26" t="s">
        <v>550</v>
      </c>
      <c r="C26" t="s">
        <v>262</v>
      </c>
      <c r="D26" t="str">
        <f t="shared" si="0"/>
        <v>Não</v>
      </c>
    </row>
    <row r="27" spans="1:7" x14ac:dyDescent="0.25">
      <c r="A27" s="3" t="s">
        <v>1</v>
      </c>
      <c r="B27" t="s">
        <v>551</v>
      </c>
      <c r="C27" t="s">
        <v>2</v>
      </c>
      <c r="D27" t="str">
        <f t="shared" si="0"/>
        <v>Não</v>
      </c>
    </row>
    <row r="28" spans="1:7" x14ac:dyDescent="0.25">
      <c r="A28" s="3" t="s">
        <v>1</v>
      </c>
      <c r="B28" t="s">
        <v>552</v>
      </c>
      <c r="C28" t="s">
        <v>14</v>
      </c>
      <c r="D28" t="str">
        <f t="shared" si="0"/>
        <v>Não</v>
      </c>
    </row>
    <row r="29" spans="1:7" x14ac:dyDescent="0.25">
      <c r="A29" s="3" t="s">
        <v>1</v>
      </c>
      <c r="C29" t="s">
        <v>36</v>
      </c>
      <c r="D29" t="str">
        <f t="shared" si="0"/>
        <v>Não</v>
      </c>
    </row>
    <row r="30" spans="1:7" x14ac:dyDescent="0.25">
      <c r="A30" s="3" t="s">
        <v>1</v>
      </c>
      <c r="C30" t="s">
        <v>36</v>
      </c>
      <c r="D30" t="str">
        <f t="shared" si="0"/>
        <v>Não</v>
      </c>
    </row>
    <row r="31" spans="1:7" x14ac:dyDescent="0.25">
      <c r="A31" s="3" t="s">
        <v>1</v>
      </c>
      <c r="C31" t="s">
        <v>14</v>
      </c>
      <c r="D31" t="str">
        <f t="shared" si="0"/>
        <v>Não</v>
      </c>
    </row>
    <row r="32" spans="1:7" x14ac:dyDescent="0.25">
      <c r="A32" s="3" t="s">
        <v>1</v>
      </c>
      <c r="C32" t="s">
        <v>14</v>
      </c>
      <c r="D32" t="str">
        <f t="shared" si="0"/>
        <v>Não</v>
      </c>
    </row>
    <row r="33" spans="1:7" x14ac:dyDescent="0.25">
      <c r="A33" s="3" t="s">
        <v>1</v>
      </c>
      <c r="C33" t="s">
        <v>2</v>
      </c>
      <c r="D33" t="str">
        <f t="shared" si="0"/>
        <v>Não</v>
      </c>
    </row>
    <row r="34" spans="1:7" x14ac:dyDescent="0.25">
      <c r="A34" s="3" t="s">
        <v>1</v>
      </c>
      <c r="C34" t="s">
        <v>2</v>
      </c>
      <c r="D34" t="str">
        <f t="shared" si="0"/>
        <v>Não</v>
      </c>
    </row>
    <row r="35" spans="1:7" x14ac:dyDescent="0.25">
      <c r="A35" s="3" t="s">
        <v>1</v>
      </c>
      <c r="C35" t="s">
        <v>262</v>
      </c>
      <c r="D35" t="str">
        <f t="shared" si="0"/>
        <v>Não</v>
      </c>
    </row>
    <row r="36" spans="1:7" x14ac:dyDescent="0.25">
      <c r="A36" s="3" t="s">
        <v>1</v>
      </c>
      <c r="C36" t="s">
        <v>262</v>
      </c>
      <c r="D36" t="str">
        <f t="shared" si="0"/>
        <v>Não</v>
      </c>
    </row>
    <row r="37" spans="1:7" x14ac:dyDescent="0.25">
      <c r="A37" s="3" t="s">
        <v>23</v>
      </c>
      <c r="C37" t="s">
        <v>19</v>
      </c>
      <c r="D37" t="str">
        <f t="shared" si="0"/>
        <v>Não</v>
      </c>
      <c r="E37" t="s">
        <v>540</v>
      </c>
      <c r="F37"/>
    </row>
    <row r="38" spans="1:7" x14ac:dyDescent="0.25">
      <c r="A38" s="3" t="s">
        <v>23</v>
      </c>
      <c r="C38" t="s">
        <v>22</v>
      </c>
      <c r="D38" t="str">
        <f t="shared" si="0"/>
        <v>Não</v>
      </c>
      <c r="E38" s="5" t="s">
        <v>39</v>
      </c>
      <c r="G38" s="5" t="s">
        <v>38</v>
      </c>
    </row>
    <row r="39" spans="1:7" x14ac:dyDescent="0.25">
      <c r="A39" s="3" t="s">
        <v>23</v>
      </c>
      <c r="C39" t="s">
        <v>468</v>
      </c>
      <c r="D39" t="str">
        <f t="shared" si="0"/>
        <v>Não</v>
      </c>
      <c r="E39" s="5" t="s">
        <v>467</v>
      </c>
      <c r="G39" s="5" t="s">
        <v>539</v>
      </c>
    </row>
    <row r="40" spans="1:7" x14ac:dyDescent="0.25">
      <c r="A40" s="3" t="s">
        <v>23</v>
      </c>
      <c r="C40" t="s">
        <v>150</v>
      </c>
      <c r="D40" t="str">
        <f t="shared" si="0"/>
        <v>Não</v>
      </c>
      <c r="E40" s="5" t="s">
        <v>538</v>
      </c>
      <c r="G40" s="5" t="s">
        <v>382</v>
      </c>
    </row>
    <row r="41" spans="1:7" x14ac:dyDescent="0.25">
      <c r="A41" s="3" t="s">
        <v>23</v>
      </c>
      <c r="C41" t="s">
        <v>469</v>
      </c>
      <c r="D41" t="str">
        <f t="shared" si="0"/>
        <v>Não</v>
      </c>
      <c r="E41" s="5" t="s">
        <v>37</v>
      </c>
    </row>
    <row r="42" spans="1:7" x14ac:dyDescent="0.25">
      <c r="A42" s="3" t="s">
        <v>23</v>
      </c>
      <c r="C42" t="s">
        <v>470</v>
      </c>
      <c r="D42" t="str">
        <f t="shared" si="0"/>
        <v>Não</v>
      </c>
      <c r="E42" s="5"/>
    </row>
    <row r="43" spans="1:7" x14ac:dyDescent="0.25">
      <c r="A43" s="3" t="s">
        <v>23</v>
      </c>
      <c r="C43" t="s">
        <v>29</v>
      </c>
      <c r="D43" t="str">
        <f t="shared" si="0"/>
        <v>Não</v>
      </c>
      <c r="E43" s="5"/>
    </row>
    <row r="44" spans="1:7" x14ac:dyDescent="0.25">
      <c r="A44" s="3" t="s">
        <v>23</v>
      </c>
      <c r="C44" t="s">
        <v>485</v>
      </c>
      <c r="D44" t="str">
        <f t="shared" si="0"/>
        <v>Não</v>
      </c>
      <c r="E44" s="5"/>
    </row>
    <row r="45" spans="1:7" x14ac:dyDescent="0.25">
      <c r="A45" s="3" t="s">
        <v>23</v>
      </c>
      <c r="C45" t="s">
        <v>486</v>
      </c>
      <c r="D45" t="str">
        <f t="shared" si="0"/>
        <v>Não</v>
      </c>
    </row>
    <row r="46" spans="1:7" x14ac:dyDescent="0.25">
      <c r="A46" s="3" t="s">
        <v>23</v>
      </c>
      <c r="C46" t="s">
        <v>487</v>
      </c>
      <c r="D46" t="str">
        <f t="shared" si="0"/>
        <v>Não</v>
      </c>
    </row>
    <row r="47" spans="1:7" x14ac:dyDescent="0.25">
      <c r="A47" s="3" t="s">
        <v>4</v>
      </c>
      <c r="C47" t="s">
        <v>418</v>
      </c>
      <c r="D47" t="str">
        <f t="shared" si="0"/>
        <v>Não</v>
      </c>
      <c r="E47" t="s">
        <v>561</v>
      </c>
      <c r="F47"/>
    </row>
    <row r="48" spans="1:7" x14ac:dyDescent="0.25">
      <c r="A48" s="3" t="s">
        <v>4</v>
      </c>
      <c r="B48" t="s">
        <v>421</v>
      </c>
      <c r="C48" t="s">
        <v>501</v>
      </c>
      <c r="D48" t="str">
        <f t="shared" si="0"/>
        <v>Não</v>
      </c>
      <c r="E48" t="s">
        <v>187</v>
      </c>
      <c r="F48"/>
      <c r="G48" t="s">
        <v>499</v>
      </c>
    </row>
    <row r="49" spans="1:7" x14ac:dyDescent="0.25">
      <c r="A49" s="3" t="s">
        <v>4</v>
      </c>
      <c r="C49" t="s">
        <v>478</v>
      </c>
      <c r="D49" t="str">
        <f t="shared" si="0"/>
        <v>Não</v>
      </c>
      <c r="E49" t="s">
        <v>500</v>
      </c>
      <c r="F49"/>
      <c r="G49" t="s">
        <v>496</v>
      </c>
    </row>
    <row r="50" spans="1:7" x14ac:dyDescent="0.25">
      <c r="A50" s="3" t="s">
        <v>4</v>
      </c>
      <c r="C50" t="s">
        <v>484</v>
      </c>
      <c r="D50" t="str">
        <f t="shared" si="0"/>
        <v>Não</v>
      </c>
      <c r="E50" t="s">
        <v>416</v>
      </c>
      <c r="F50"/>
      <c r="G50" t="s">
        <v>497</v>
      </c>
    </row>
    <row r="51" spans="1:7" x14ac:dyDescent="0.25">
      <c r="A51" s="3" t="s">
        <v>4</v>
      </c>
      <c r="C51" t="s">
        <v>414</v>
      </c>
      <c r="D51" t="str">
        <f t="shared" si="0"/>
        <v>Não</v>
      </c>
      <c r="E51" t="s">
        <v>503</v>
      </c>
      <c r="F51"/>
      <c r="G51" t="s">
        <v>502</v>
      </c>
    </row>
    <row r="52" spans="1:7" x14ac:dyDescent="0.25">
      <c r="A52" s="3" t="s">
        <v>4</v>
      </c>
      <c r="B52" t="s">
        <v>424</v>
      </c>
      <c r="C52" t="s">
        <v>483</v>
      </c>
      <c r="D52" t="str">
        <f t="shared" si="0"/>
        <v>Não</v>
      </c>
    </row>
    <row r="53" spans="1:7" x14ac:dyDescent="0.25">
      <c r="A53" s="3" t="s">
        <v>4</v>
      </c>
      <c r="C53" t="s">
        <v>225</v>
      </c>
      <c r="D53" t="str">
        <f t="shared" si="0"/>
        <v>Não</v>
      </c>
    </row>
    <row r="54" spans="1:7" x14ac:dyDescent="0.25">
      <c r="A54" s="3" t="s">
        <v>4</v>
      </c>
      <c r="B54" t="s">
        <v>513</v>
      </c>
      <c r="C54" t="s">
        <v>512</v>
      </c>
      <c r="D54" t="str">
        <f t="shared" si="0"/>
        <v>Não</v>
      </c>
    </row>
    <row r="55" spans="1:7" x14ac:dyDescent="0.25">
      <c r="A55" s="3" t="s">
        <v>560</v>
      </c>
      <c r="C55" t="s">
        <v>505</v>
      </c>
      <c r="D55" t="str">
        <f t="shared" si="0"/>
        <v>Não</v>
      </c>
    </row>
    <row r="56" spans="1:7" x14ac:dyDescent="0.25">
      <c r="A56" s="3" t="s">
        <v>560</v>
      </c>
      <c r="C56" t="s">
        <v>474</v>
      </c>
      <c r="D56" t="str">
        <f t="shared" si="0"/>
        <v>Não</v>
      </c>
      <c r="F56" s="3" t="s">
        <v>559</v>
      </c>
    </row>
    <row r="57" spans="1:7" x14ac:dyDescent="0.25">
      <c r="A57" s="3" t="s">
        <v>560</v>
      </c>
      <c r="C57" t="s">
        <v>462</v>
      </c>
      <c r="D57" t="str">
        <f t="shared" si="0"/>
        <v>Não</v>
      </c>
      <c r="F57" t="s">
        <v>423</v>
      </c>
    </row>
    <row r="58" spans="1:7" x14ac:dyDescent="0.25">
      <c r="A58" s="3" t="s">
        <v>560</v>
      </c>
      <c r="C58" t="s">
        <v>457</v>
      </c>
      <c r="D58" t="str">
        <f t="shared" si="0"/>
        <v>Não</v>
      </c>
      <c r="F58" t="s">
        <v>471</v>
      </c>
    </row>
    <row r="59" spans="1:7" x14ac:dyDescent="0.25">
      <c r="A59" s="3" t="s">
        <v>560</v>
      </c>
      <c r="C59" t="s">
        <v>407</v>
      </c>
      <c r="D59" t="str">
        <f t="shared" si="0"/>
        <v>Não</v>
      </c>
    </row>
    <row r="60" spans="1:7" x14ac:dyDescent="0.25">
      <c r="A60" s="3" t="s">
        <v>560</v>
      </c>
      <c r="C60" t="s">
        <v>558</v>
      </c>
      <c r="D60" t="str">
        <f t="shared" si="0"/>
        <v>Não</v>
      </c>
    </row>
    <row r="61" spans="1:7" x14ac:dyDescent="0.25">
      <c r="A61" s="3" t="s">
        <v>146</v>
      </c>
      <c r="B61" t="s">
        <v>420</v>
      </c>
      <c r="C61" t="s">
        <v>481</v>
      </c>
      <c r="D61" t="str">
        <f t="shared" si="0"/>
        <v>Não</v>
      </c>
      <c r="E61" s="9" t="s">
        <v>536</v>
      </c>
      <c r="F61" s="9"/>
      <c r="G61" s="9"/>
    </row>
    <row r="62" spans="1:7" x14ac:dyDescent="0.25">
      <c r="A62" s="3" t="s">
        <v>146</v>
      </c>
      <c r="C62" t="s">
        <v>26</v>
      </c>
      <c r="D62" t="str">
        <f t="shared" si="0"/>
        <v>Não</v>
      </c>
      <c r="E62" t="s">
        <v>174</v>
      </c>
      <c r="F62"/>
    </row>
    <row r="63" spans="1:7" x14ac:dyDescent="0.25">
      <c r="A63" s="3" t="s">
        <v>146</v>
      </c>
      <c r="C63" t="s">
        <v>479</v>
      </c>
      <c r="D63" t="str">
        <f t="shared" si="0"/>
        <v>Não</v>
      </c>
      <c r="E63" t="s">
        <v>518</v>
      </c>
      <c r="F63"/>
    </row>
    <row r="64" spans="1:7" x14ac:dyDescent="0.25">
      <c r="A64" s="3" t="s">
        <v>146</v>
      </c>
      <c r="C64" t="s">
        <v>17</v>
      </c>
      <c r="D64" t="str">
        <f t="shared" si="0"/>
        <v>Não</v>
      </c>
      <c r="F64"/>
    </row>
    <row r="65" spans="1:12" x14ac:dyDescent="0.25">
      <c r="A65" s="3" t="s">
        <v>146</v>
      </c>
      <c r="B65" t="s">
        <v>510</v>
      </c>
      <c r="C65" t="s">
        <v>511</v>
      </c>
      <c r="D65" t="str">
        <f t="shared" si="0"/>
        <v>Não</v>
      </c>
      <c r="E65" s="9" t="s">
        <v>526</v>
      </c>
      <c r="F65" s="9"/>
      <c r="G65" s="9"/>
      <c r="I65" s="9" t="s">
        <v>527</v>
      </c>
      <c r="J65" s="9"/>
      <c r="K65" s="9" t="s">
        <v>528</v>
      </c>
      <c r="L65" s="9"/>
    </row>
    <row r="66" spans="1:12" x14ac:dyDescent="0.25">
      <c r="A66" s="3" t="s">
        <v>5</v>
      </c>
      <c r="C66" t="s">
        <v>147</v>
      </c>
      <c r="D66" t="str">
        <f t="shared" si="0"/>
        <v>Não</v>
      </c>
      <c r="E66" t="s">
        <v>461</v>
      </c>
      <c r="F66"/>
      <c r="G66" t="s">
        <v>460</v>
      </c>
      <c r="I66" t="s">
        <v>18</v>
      </c>
      <c r="K66" t="s">
        <v>410</v>
      </c>
    </row>
    <row r="67" spans="1:12" x14ac:dyDescent="0.25">
      <c r="A67" s="3" t="s">
        <v>5</v>
      </c>
      <c r="C67" t="s">
        <v>370</v>
      </c>
      <c r="D67" t="str">
        <f t="shared" si="0"/>
        <v>Não</v>
      </c>
      <c r="E67" t="s">
        <v>422</v>
      </c>
      <c r="F67"/>
      <c r="G67" t="s">
        <v>413</v>
      </c>
      <c r="I67" t="s">
        <v>464</v>
      </c>
      <c r="K67" t="s">
        <v>515</v>
      </c>
    </row>
    <row r="68" spans="1:12" x14ac:dyDescent="0.25">
      <c r="A68" s="3" t="s">
        <v>5</v>
      </c>
      <c r="C68" t="s">
        <v>316</v>
      </c>
      <c r="D68" t="str">
        <f t="shared" ref="D68:D102" si="2">IF(B68=C68, "Sim", "Não")</f>
        <v>Não</v>
      </c>
      <c r="E68" t="s">
        <v>524</v>
      </c>
      <c r="F68"/>
      <c r="G68" t="s">
        <v>200</v>
      </c>
      <c r="I68" t="s">
        <v>525</v>
      </c>
    </row>
    <row r="69" spans="1:12" x14ac:dyDescent="0.25">
      <c r="A69" s="3" t="s">
        <v>5</v>
      </c>
      <c r="C69" t="s">
        <v>408</v>
      </c>
      <c r="D69" t="str">
        <f t="shared" si="2"/>
        <v>Não</v>
      </c>
      <c r="E69" t="s">
        <v>463</v>
      </c>
      <c r="F69"/>
    </row>
    <row r="70" spans="1:12" x14ac:dyDescent="0.25">
      <c r="A70" s="3" t="s">
        <v>40</v>
      </c>
      <c r="C70" t="s">
        <v>509</v>
      </c>
      <c r="D70" t="str">
        <f t="shared" si="2"/>
        <v>Não</v>
      </c>
      <c r="E70" t="s">
        <v>476</v>
      </c>
      <c r="F70"/>
    </row>
    <row r="71" spans="1:12" x14ac:dyDescent="0.25">
      <c r="A71" s="3" t="s">
        <v>40</v>
      </c>
      <c r="C71" t="s">
        <v>465</v>
      </c>
      <c r="D71" t="str">
        <f t="shared" si="2"/>
        <v>Não</v>
      </c>
      <c r="E71" t="s">
        <v>436</v>
      </c>
      <c r="F71"/>
    </row>
    <row r="72" spans="1:12" x14ac:dyDescent="0.25">
      <c r="A72" s="3" t="s">
        <v>514</v>
      </c>
      <c r="C72" t="s">
        <v>215</v>
      </c>
      <c r="D72" t="str">
        <f t="shared" si="2"/>
        <v>Não</v>
      </c>
      <c r="F72"/>
    </row>
    <row r="73" spans="1:12" x14ac:dyDescent="0.25">
      <c r="A73" s="3" t="s">
        <v>516</v>
      </c>
      <c r="C73" t="s">
        <v>480</v>
      </c>
      <c r="D73" t="str">
        <f t="shared" si="2"/>
        <v>Não</v>
      </c>
    </row>
    <row r="74" spans="1:12" x14ac:dyDescent="0.25">
      <c r="A74" s="3" t="s">
        <v>516</v>
      </c>
      <c r="C74" t="s">
        <v>452</v>
      </c>
      <c r="D74" t="str">
        <f t="shared" si="2"/>
        <v>Não</v>
      </c>
    </row>
    <row r="75" spans="1:12" x14ac:dyDescent="0.25">
      <c r="A75" s="3" t="s">
        <v>516</v>
      </c>
      <c r="C75" t="s">
        <v>411</v>
      </c>
      <c r="D75" t="str">
        <f t="shared" si="2"/>
        <v>Não</v>
      </c>
    </row>
    <row r="76" spans="1:12" x14ac:dyDescent="0.25">
      <c r="A76" s="3" t="s">
        <v>516</v>
      </c>
      <c r="C76" t="s">
        <v>409</v>
      </c>
      <c r="D76" t="str">
        <f t="shared" si="2"/>
        <v>Não</v>
      </c>
    </row>
    <row r="77" spans="1:12" x14ac:dyDescent="0.25">
      <c r="A77" s="3" t="s">
        <v>516</v>
      </c>
      <c r="C77" t="s">
        <v>440</v>
      </c>
      <c r="D77" t="str">
        <f t="shared" si="2"/>
        <v>Não</v>
      </c>
      <c r="E77" s="9" t="s">
        <v>535</v>
      </c>
      <c r="F77" s="9"/>
      <c r="G77" s="9"/>
    </row>
    <row r="78" spans="1:12" x14ac:dyDescent="0.25">
      <c r="A78" s="3" t="s">
        <v>516</v>
      </c>
      <c r="C78" t="s">
        <v>439</v>
      </c>
      <c r="D78" t="str">
        <f t="shared" si="2"/>
        <v>Não</v>
      </c>
      <c r="E78" t="s">
        <v>450</v>
      </c>
      <c r="F78"/>
      <c r="G78" t="s">
        <v>442</v>
      </c>
    </row>
    <row r="79" spans="1:12" x14ac:dyDescent="0.25">
      <c r="A79" s="3" t="s">
        <v>516</v>
      </c>
      <c r="C79" t="s">
        <v>453</v>
      </c>
      <c r="D79" t="str">
        <f t="shared" si="2"/>
        <v>Não</v>
      </c>
      <c r="E79" t="s">
        <v>448</v>
      </c>
      <c r="F79"/>
      <c r="G79" t="s">
        <v>445</v>
      </c>
    </row>
    <row r="80" spans="1:12" x14ac:dyDescent="0.25">
      <c r="A80" s="3" t="s">
        <v>516</v>
      </c>
      <c r="C80" t="s">
        <v>122</v>
      </c>
      <c r="D80" t="str">
        <f t="shared" si="2"/>
        <v>Não</v>
      </c>
      <c r="E80" t="s">
        <v>455</v>
      </c>
      <c r="F80"/>
    </row>
    <row r="81" spans="1:12" x14ac:dyDescent="0.25">
      <c r="A81" s="3" t="s">
        <v>516</v>
      </c>
      <c r="C81" t="s">
        <v>425</v>
      </c>
      <c r="D81" t="str">
        <f t="shared" si="2"/>
        <v>Não</v>
      </c>
      <c r="F81"/>
    </row>
    <row r="82" spans="1:12" x14ac:dyDescent="0.25">
      <c r="A82" s="3" t="s">
        <v>516</v>
      </c>
      <c r="C82" t="s">
        <v>428</v>
      </c>
      <c r="D82" t="str">
        <f t="shared" si="2"/>
        <v>Não</v>
      </c>
      <c r="F82"/>
    </row>
    <row r="83" spans="1:12" x14ac:dyDescent="0.25">
      <c r="A83" s="3" t="s">
        <v>516</v>
      </c>
      <c r="C83" t="s">
        <v>430</v>
      </c>
      <c r="D83" t="str">
        <f t="shared" si="2"/>
        <v>Não</v>
      </c>
      <c r="F83"/>
    </row>
    <row r="84" spans="1:12" x14ac:dyDescent="0.25">
      <c r="A84" s="3" t="s">
        <v>516</v>
      </c>
      <c r="C84" t="s">
        <v>435</v>
      </c>
      <c r="D84" t="str">
        <f t="shared" si="2"/>
        <v>Não</v>
      </c>
      <c r="F84"/>
    </row>
    <row r="85" spans="1:12" x14ac:dyDescent="0.25">
      <c r="A85" s="3" t="s">
        <v>516</v>
      </c>
      <c r="C85" t="s">
        <v>438</v>
      </c>
      <c r="D85" t="str">
        <f t="shared" si="2"/>
        <v>Não</v>
      </c>
      <c r="F85"/>
    </row>
    <row r="86" spans="1:12" x14ac:dyDescent="0.25">
      <c r="A86" s="3" t="s">
        <v>516</v>
      </c>
      <c r="C86" t="s">
        <v>441</v>
      </c>
      <c r="D86" t="str">
        <f t="shared" si="2"/>
        <v>Não</v>
      </c>
      <c r="E86" s="9" t="s">
        <v>537</v>
      </c>
      <c r="F86" s="9"/>
      <c r="H86" s="9" t="s">
        <v>531</v>
      </c>
      <c r="I86" s="9"/>
      <c r="J86" s="9"/>
      <c r="K86" s="9"/>
      <c r="L86" s="9"/>
    </row>
    <row r="87" spans="1:12" x14ac:dyDescent="0.25">
      <c r="A87" s="3" t="s">
        <v>517</v>
      </c>
      <c r="C87" t="s">
        <v>429</v>
      </c>
      <c r="D87" t="str">
        <f t="shared" si="2"/>
        <v>Não</v>
      </c>
      <c r="E87" t="s">
        <v>426</v>
      </c>
      <c r="F87"/>
      <c r="H87" t="s">
        <v>417</v>
      </c>
      <c r="J87" t="s">
        <v>434</v>
      </c>
      <c r="L87" t="s">
        <v>451</v>
      </c>
    </row>
    <row r="88" spans="1:12" x14ac:dyDescent="0.25">
      <c r="A88" s="3" t="s">
        <v>517</v>
      </c>
      <c r="C88" t="s">
        <v>431</v>
      </c>
      <c r="D88" t="str">
        <f t="shared" si="2"/>
        <v>Não</v>
      </c>
      <c r="E88" t="s">
        <v>437</v>
      </c>
      <c r="F88"/>
      <c r="H88" t="s">
        <v>449</v>
      </c>
      <c r="J88" t="s">
        <v>433</v>
      </c>
      <c r="L88" t="s">
        <v>519</v>
      </c>
    </row>
    <row r="89" spans="1:12" x14ac:dyDescent="0.25">
      <c r="A89" s="3" t="s">
        <v>517</v>
      </c>
      <c r="C89" t="s">
        <v>412</v>
      </c>
      <c r="D89" t="str">
        <f t="shared" si="2"/>
        <v>Não</v>
      </c>
      <c r="F89"/>
      <c r="H89" t="s">
        <v>432</v>
      </c>
      <c r="J89" t="s">
        <v>456</v>
      </c>
    </row>
    <row r="90" spans="1:12" x14ac:dyDescent="0.25">
      <c r="A90" s="3" t="s">
        <v>532</v>
      </c>
      <c r="B90" t="s">
        <v>415</v>
      </c>
      <c r="C90" t="s">
        <v>419</v>
      </c>
      <c r="D90" t="str">
        <f t="shared" si="2"/>
        <v>Não</v>
      </c>
      <c r="F90"/>
    </row>
    <row r="91" spans="1:12" x14ac:dyDescent="0.25">
      <c r="A91" s="3" t="s">
        <v>532</v>
      </c>
      <c r="B91" t="s">
        <v>459</v>
      </c>
      <c r="C91" t="s">
        <v>446</v>
      </c>
      <c r="D91" t="str">
        <f t="shared" si="2"/>
        <v>Não</v>
      </c>
      <c r="F91"/>
    </row>
    <row r="92" spans="1:12" x14ac:dyDescent="0.25">
      <c r="A92" s="3" t="s">
        <v>532</v>
      </c>
      <c r="C92" t="s">
        <v>427</v>
      </c>
      <c r="D92" t="str">
        <f t="shared" si="2"/>
        <v>Não</v>
      </c>
      <c r="F92"/>
    </row>
    <row r="93" spans="1:12" x14ac:dyDescent="0.25">
      <c r="A93" s="3" t="s">
        <v>520</v>
      </c>
      <c r="C93" t="s">
        <v>406</v>
      </c>
      <c r="D93" t="str">
        <f t="shared" si="2"/>
        <v>Não</v>
      </c>
      <c r="E93" s="9" t="s">
        <v>529</v>
      </c>
      <c r="F93" s="9"/>
      <c r="G93" s="9"/>
      <c r="J93" s="9" t="s">
        <v>530</v>
      </c>
      <c r="K93" s="9"/>
    </row>
    <row r="94" spans="1:12" x14ac:dyDescent="0.25">
      <c r="A94" s="3" t="s">
        <v>520</v>
      </c>
      <c r="C94" t="s">
        <v>466</v>
      </c>
      <c r="D94" t="str">
        <f t="shared" si="2"/>
        <v>Não</v>
      </c>
      <c r="E94" s="5" t="s">
        <v>494</v>
      </c>
      <c r="F94"/>
      <c r="G94" t="s">
        <v>477</v>
      </c>
      <c r="J94" t="s">
        <v>458</v>
      </c>
    </row>
    <row r="95" spans="1:12" x14ac:dyDescent="0.25">
      <c r="A95" s="3" t="s">
        <v>520</v>
      </c>
      <c r="B95" t="s">
        <v>443</v>
      </c>
      <c r="C95" t="s">
        <v>473</v>
      </c>
      <c r="D95" t="str">
        <f t="shared" si="2"/>
        <v>Não</v>
      </c>
      <c r="E95" t="s">
        <v>475</v>
      </c>
      <c r="F95"/>
      <c r="G95" t="s">
        <v>534</v>
      </c>
      <c r="J95" t="s">
        <v>472</v>
      </c>
    </row>
    <row r="96" spans="1:12" x14ac:dyDescent="0.25">
      <c r="A96" s="3" t="s">
        <v>522</v>
      </c>
      <c r="C96" t="s">
        <v>454</v>
      </c>
      <c r="D96" t="str">
        <f t="shared" si="2"/>
        <v>Não</v>
      </c>
      <c r="E96" t="s">
        <v>507</v>
      </c>
      <c r="F96"/>
      <c r="J96" t="s">
        <v>444</v>
      </c>
      <c r="L96" t="s">
        <v>533</v>
      </c>
    </row>
    <row r="97" spans="1:10" x14ac:dyDescent="0.25">
      <c r="A97" s="3" t="s">
        <v>522</v>
      </c>
      <c r="C97" t="s">
        <v>498</v>
      </c>
      <c r="D97" t="str">
        <f t="shared" si="2"/>
        <v>Não</v>
      </c>
      <c r="F97"/>
      <c r="J97" t="s">
        <v>481</v>
      </c>
    </row>
    <row r="98" spans="1:10" x14ac:dyDescent="0.25">
      <c r="A98" s="3" t="s">
        <v>522</v>
      </c>
      <c r="C98" t="s">
        <v>447</v>
      </c>
      <c r="D98" t="str">
        <f t="shared" si="2"/>
        <v>Não</v>
      </c>
      <c r="J98" t="s">
        <v>482</v>
      </c>
    </row>
    <row r="99" spans="1:10" x14ac:dyDescent="0.25">
      <c r="A99" s="3" t="s">
        <v>521</v>
      </c>
      <c r="C99" t="s">
        <v>506</v>
      </c>
      <c r="D99" t="str">
        <f t="shared" si="2"/>
        <v>Não</v>
      </c>
    </row>
    <row r="100" spans="1:10" x14ac:dyDescent="0.25">
      <c r="A100" s="3" t="s">
        <v>521</v>
      </c>
      <c r="C100" s="5" t="s">
        <v>493</v>
      </c>
      <c r="D100" t="str">
        <f t="shared" si="2"/>
        <v>Não</v>
      </c>
    </row>
    <row r="101" spans="1:10" x14ac:dyDescent="0.25">
      <c r="A101" s="3" t="s">
        <v>521</v>
      </c>
      <c r="B101" t="s">
        <v>523</v>
      </c>
      <c r="C101" t="s">
        <v>495</v>
      </c>
      <c r="D101" t="str">
        <f t="shared" si="2"/>
        <v>Não</v>
      </c>
    </row>
    <row r="102" spans="1:10" x14ac:dyDescent="0.25">
      <c r="A102" s="3" t="s">
        <v>521</v>
      </c>
      <c r="C102" t="s">
        <v>504</v>
      </c>
      <c r="D102" t="str">
        <f t="shared" si="2"/>
        <v>Não</v>
      </c>
    </row>
  </sheetData>
  <mergeCells count="10">
    <mergeCell ref="A1:G1"/>
    <mergeCell ref="E65:G65"/>
    <mergeCell ref="I65:J65"/>
    <mergeCell ref="K65:L65"/>
    <mergeCell ref="E93:G93"/>
    <mergeCell ref="J93:K93"/>
    <mergeCell ref="E77:G77"/>
    <mergeCell ref="E61:G61"/>
    <mergeCell ref="H86:L86"/>
    <mergeCell ref="E86:F8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AB08-5330-49F2-A0C4-8B72760E99CE}">
  <dimension ref="A1:R110"/>
  <sheetViews>
    <sheetView tabSelected="1" topLeftCell="A75" workbookViewId="0">
      <selection activeCell="G99" sqref="G99"/>
    </sheetView>
  </sheetViews>
  <sheetFormatPr defaultRowHeight="15" x14ac:dyDescent="0.25"/>
  <cols>
    <col min="1" max="2" width="11.85546875" style="3" customWidth="1"/>
    <col min="3" max="4" width="38.7109375" customWidth="1"/>
    <col min="5" max="5" width="11.7109375" customWidth="1"/>
    <col min="6" max="6" width="4.28515625" customWidth="1"/>
    <col min="7" max="7" width="22.7109375" style="3" customWidth="1"/>
    <col min="8" max="8" width="8.7109375" customWidth="1"/>
    <col min="10" max="10" width="24.5703125" bestFit="1" customWidth="1"/>
  </cols>
  <sheetData>
    <row r="1" spans="1:11" ht="21" x14ac:dyDescent="0.25">
      <c r="A1" s="8" t="s">
        <v>572</v>
      </c>
      <c r="B1" s="8"/>
      <c r="C1" s="8"/>
      <c r="D1" s="8"/>
      <c r="E1" s="8"/>
      <c r="F1" s="8"/>
      <c r="G1" s="8"/>
      <c r="H1" s="8"/>
    </row>
    <row r="2" spans="1:11" x14ac:dyDescent="0.25">
      <c r="A2" s="4" t="s">
        <v>0</v>
      </c>
      <c r="B2" s="4" t="s">
        <v>571</v>
      </c>
      <c r="C2" s="4" t="s">
        <v>562</v>
      </c>
      <c r="D2" s="4" t="s">
        <v>563</v>
      </c>
      <c r="E2" s="4" t="s">
        <v>8</v>
      </c>
    </row>
    <row r="3" spans="1:11" x14ac:dyDescent="0.25">
      <c r="A3" s="3" t="s">
        <v>404</v>
      </c>
      <c r="D3" t="s">
        <v>605</v>
      </c>
      <c r="E3" t="str">
        <f>IF(C3=D3, "Sim", "Não")</f>
        <v>Não</v>
      </c>
      <c r="G3" s="4" t="s">
        <v>11</v>
      </c>
      <c r="H3" s="3">
        <f>COUNTIF(E3:E106,"Não")</f>
        <v>98</v>
      </c>
    </row>
    <row r="4" spans="1:11" x14ac:dyDescent="0.25">
      <c r="A4" s="3" t="s">
        <v>1</v>
      </c>
      <c r="D4" t="s">
        <v>633</v>
      </c>
      <c r="E4" t="str">
        <f t="shared" ref="E4:E67" si="0">IF(C4=D4, "Sim", "Não")</f>
        <v>Não</v>
      </c>
      <c r="G4" s="4" t="s">
        <v>12</v>
      </c>
      <c r="H4" s="3">
        <f>SUM(H7:H25)</f>
        <v>52</v>
      </c>
    </row>
    <row r="5" spans="1:11" x14ac:dyDescent="0.25">
      <c r="A5" s="3" t="s">
        <v>1</v>
      </c>
      <c r="D5" t="s">
        <v>636</v>
      </c>
      <c r="E5" t="str">
        <f t="shared" si="0"/>
        <v>Não</v>
      </c>
    </row>
    <row r="6" spans="1:11" x14ac:dyDescent="0.25">
      <c r="A6" s="3" t="s">
        <v>1</v>
      </c>
      <c r="D6" t="s">
        <v>330</v>
      </c>
      <c r="E6" t="str">
        <f t="shared" si="0"/>
        <v>Não</v>
      </c>
      <c r="G6" s="6" t="s">
        <v>3</v>
      </c>
      <c r="H6" s="1"/>
      <c r="J6" s="6" t="s">
        <v>3</v>
      </c>
      <c r="K6" s="1"/>
    </row>
    <row r="7" spans="1:11" x14ac:dyDescent="0.25">
      <c r="A7" s="3" t="s">
        <v>1</v>
      </c>
      <c r="D7" t="s">
        <v>657</v>
      </c>
      <c r="E7" t="str">
        <f t="shared" si="0"/>
        <v>Não</v>
      </c>
      <c r="G7" s="7" t="s">
        <v>404</v>
      </c>
      <c r="H7" s="2">
        <f t="shared" ref="H7:H14" si="1">COUNTIF(A:A,G7)</f>
        <v>1</v>
      </c>
      <c r="J7" s="7" t="s">
        <v>4</v>
      </c>
      <c r="K7" s="2">
        <f>COUNTIF(B:B,J7)</f>
        <v>0</v>
      </c>
    </row>
    <row r="8" spans="1:11" x14ac:dyDescent="0.25">
      <c r="A8" s="3" t="s">
        <v>1</v>
      </c>
      <c r="D8" t="s">
        <v>658</v>
      </c>
      <c r="E8" t="str">
        <f t="shared" si="0"/>
        <v>Não</v>
      </c>
      <c r="G8" s="7" t="s">
        <v>1</v>
      </c>
      <c r="H8" s="2">
        <f t="shared" si="1"/>
        <v>35</v>
      </c>
      <c r="J8" s="7" t="s">
        <v>23</v>
      </c>
      <c r="K8" s="2">
        <v>16</v>
      </c>
    </row>
    <row r="9" spans="1:11" x14ac:dyDescent="0.25">
      <c r="A9" s="3" t="s">
        <v>1</v>
      </c>
      <c r="D9" t="s">
        <v>15</v>
      </c>
      <c r="E9" t="str">
        <f t="shared" si="0"/>
        <v>Não</v>
      </c>
      <c r="G9" s="7" t="s">
        <v>23</v>
      </c>
      <c r="H9" s="2">
        <f t="shared" si="1"/>
        <v>16</v>
      </c>
      <c r="J9" s="7" t="s">
        <v>5</v>
      </c>
      <c r="K9" s="2">
        <v>9</v>
      </c>
    </row>
    <row r="10" spans="1:11" x14ac:dyDescent="0.25">
      <c r="A10" s="3" t="s">
        <v>1</v>
      </c>
      <c r="D10" t="s">
        <v>33</v>
      </c>
      <c r="E10" t="str">
        <f t="shared" si="0"/>
        <v>Não</v>
      </c>
      <c r="G10" s="7" t="s">
        <v>568</v>
      </c>
      <c r="H10" s="2">
        <f t="shared" si="1"/>
        <v>0</v>
      </c>
      <c r="J10" s="7" t="s">
        <v>146</v>
      </c>
      <c r="K10" s="2">
        <v>3</v>
      </c>
    </row>
    <row r="11" spans="1:11" x14ac:dyDescent="0.25">
      <c r="A11" s="3" t="s">
        <v>1</v>
      </c>
      <c r="D11" t="s">
        <v>659</v>
      </c>
      <c r="E11" t="str">
        <f t="shared" si="0"/>
        <v>Não</v>
      </c>
      <c r="G11" s="7" t="s">
        <v>567</v>
      </c>
      <c r="H11" s="2">
        <f t="shared" si="1"/>
        <v>0</v>
      </c>
      <c r="J11" s="7" t="s">
        <v>267</v>
      </c>
      <c r="K11" s="2">
        <v>8</v>
      </c>
    </row>
    <row r="12" spans="1:11" x14ac:dyDescent="0.25">
      <c r="A12" s="3" t="s">
        <v>1</v>
      </c>
      <c r="D12" t="s">
        <v>660</v>
      </c>
      <c r="E12" t="str">
        <f t="shared" si="0"/>
        <v>Não</v>
      </c>
      <c r="G12" s="7" t="s">
        <v>569</v>
      </c>
      <c r="H12" s="2">
        <f t="shared" si="1"/>
        <v>0</v>
      </c>
      <c r="J12" s="7"/>
      <c r="K12" s="2"/>
    </row>
    <row r="13" spans="1:11" x14ac:dyDescent="0.25">
      <c r="A13" s="3" t="s">
        <v>1</v>
      </c>
      <c r="D13" t="s">
        <v>661</v>
      </c>
      <c r="E13" t="str">
        <f t="shared" si="0"/>
        <v>Não</v>
      </c>
      <c r="G13" s="3" t="s">
        <v>570</v>
      </c>
      <c r="H13" s="2">
        <f t="shared" si="1"/>
        <v>0</v>
      </c>
      <c r="J13" s="3"/>
      <c r="K13" s="2"/>
    </row>
    <row r="14" spans="1:11" x14ac:dyDescent="0.25">
      <c r="A14" s="3" t="s">
        <v>1</v>
      </c>
      <c r="D14" t="s">
        <v>662</v>
      </c>
      <c r="E14" t="str">
        <f t="shared" si="0"/>
        <v>Não</v>
      </c>
      <c r="G14" s="7" t="s">
        <v>266</v>
      </c>
      <c r="H14" s="2">
        <f t="shared" si="1"/>
        <v>0</v>
      </c>
      <c r="J14" s="7"/>
      <c r="K14" s="2"/>
    </row>
    <row r="15" spans="1:11" x14ac:dyDescent="0.25">
      <c r="A15" s="3" t="s">
        <v>1</v>
      </c>
      <c r="D15" t="s">
        <v>13</v>
      </c>
      <c r="E15" t="str">
        <f t="shared" si="0"/>
        <v>Não</v>
      </c>
      <c r="H15" s="2"/>
      <c r="J15" s="3"/>
      <c r="K15" s="2"/>
    </row>
    <row r="16" spans="1:11" x14ac:dyDescent="0.25">
      <c r="A16" s="3" t="s">
        <v>1</v>
      </c>
      <c r="D16" t="s">
        <v>65</v>
      </c>
      <c r="E16" t="str">
        <f t="shared" si="0"/>
        <v>Não</v>
      </c>
      <c r="H16" s="2"/>
    </row>
    <row r="17" spans="1:8" x14ac:dyDescent="0.25">
      <c r="A17" s="3" t="s">
        <v>1</v>
      </c>
      <c r="D17" t="s">
        <v>664</v>
      </c>
      <c r="E17" t="str">
        <f t="shared" si="0"/>
        <v>Não</v>
      </c>
      <c r="H17" s="2"/>
    </row>
    <row r="18" spans="1:8" x14ac:dyDescent="0.25">
      <c r="A18" s="3" t="s">
        <v>1</v>
      </c>
      <c r="D18" t="s">
        <v>24</v>
      </c>
      <c r="E18" t="str">
        <f t="shared" si="0"/>
        <v>Não</v>
      </c>
      <c r="H18" s="2"/>
    </row>
    <row r="19" spans="1:8" x14ac:dyDescent="0.25">
      <c r="A19" s="3" t="s">
        <v>1</v>
      </c>
      <c r="D19" t="s">
        <v>393</v>
      </c>
      <c r="E19" t="str">
        <f t="shared" si="0"/>
        <v>Não</v>
      </c>
      <c r="H19" s="2"/>
    </row>
    <row r="20" spans="1:8" x14ac:dyDescent="0.25">
      <c r="A20" s="3" t="s">
        <v>1</v>
      </c>
      <c r="D20" t="s">
        <v>396</v>
      </c>
      <c r="E20" t="str">
        <f t="shared" si="0"/>
        <v>Não</v>
      </c>
      <c r="H20" s="2"/>
    </row>
    <row r="21" spans="1:8" x14ac:dyDescent="0.25">
      <c r="A21" s="3" t="s">
        <v>1</v>
      </c>
      <c r="D21" t="s">
        <v>665</v>
      </c>
      <c r="E21" t="str">
        <f t="shared" si="0"/>
        <v>Não</v>
      </c>
      <c r="H21" s="2"/>
    </row>
    <row r="22" spans="1:8" x14ac:dyDescent="0.25">
      <c r="A22" s="3" t="s">
        <v>1</v>
      </c>
      <c r="D22" t="s">
        <v>666</v>
      </c>
      <c r="E22" t="str">
        <f t="shared" si="0"/>
        <v>Não</v>
      </c>
    </row>
    <row r="23" spans="1:8" x14ac:dyDescent="0.25">
      <c r="A23" s="3" t="s">
        <v>1</v>
      </c>
      <c r="D23" t="s">
        <v>67</v>
      </c>
      <c r="E23" t="str">
        <f t="shared" si="0"/>
        <v>Não</v>
      </c>
    </row>
    <row r="24" spans="1:8" x14ac:dyDescent="0.25">
      <c r="A24" s="3" t="s">
        <v>1</v>
      </c>
      <c r="D24" t="s">
        <v>66</v>
      </c>
      <c r="E24" t="str">
        <f t="shared" si="0"/>
        <v>Não</v>
      </c>
    </row>
    <row r="25" spans="1:8" x14ac:dyDescent="0.25">
      <c r="A25" s="3" t="s">
        <v>1</v>
      </c>
      <c r="D25" t="s">
        <v>667</v>
      </c>
      <c r="E25" t="str">
        <f t="shared" si="0"/>
        <v>Não</v>
      </c>
    </row>
    <row r="26" spans="1:8" x14ac:dyDescent="0.25">
      <c r="A26" s="3" t="s">
        <v>1</v>
      </c>
      <c r="D26" t="s">
        <v>36</v>
      </c>
      <c r="E26" t="str">
        <f t="shared" si="0"/>
        <v>Não</v>
      </c>
    </row>
    <row r="27" spans="1:8" x14ac:dyDescent="0.25">
      <c r="A27" s="3" t="s">
        <v>1</v>
      </c>
      <c r="D27" t="s">
        <v>36</v>
      </c>
      <c r="E27" t="str">
        <f t="shared" si="0"/>
        <v>Não</v>
      </c>
    </row>
    <row r="28" spans="1:8" x14ac:dyDescent="0.25">
      <c r="A28" s="3" t="s">
        <v>1</v>
      </c>
      <c r="D28" t="s">
        <v>36</v>
      </c>
      <c r="E28" t="str">
        <f t="shared" si="0"/>
        <v>Não</v>
      </c>
    </row>
    <row r="29" spans="1:8" x14ac:dyDescent="0.25">
      <c r="A29" s="3" t="s">
        <v>1</v>
      </c>
      <c r="D29" t="s">
        <v>36</v>
      </c>
      <c r="E29" t="str">
        <f t="shared" si="0"/>
        <v>Não</v>
      </c>
    </row>
    <row r="30" spans="1:8" x14ac:dyDescent="0.25">
      <c r="A30" s="3" t="s">
        <v>1</v>
      </c>
      <c r="D30" t="s">
        <v>36</v>
      </c>
      <c r="E30" t="str">
        <f t="shared" si="0"/>
        <v>Não</v>
      </c>
    </row>
    <row r="31" spans="1:8" x14ac:dyDescent="0.25">
      <c r="A31" s="3" t="s">
        <v>1</v>
      </c>
      <c r="D31" t="s">
        <v>36</v>
      </c>
      <c r="E31" t="str">
        <f t="shared" si="0"/>
        <v>Não</v>
      </c>
    </row>
    <row r="32" spans="1:8" x14ac:dyDescent="0.25">
      <c r="A32" s="3" t="s">
        <v>1</v>
      </c>
      <c r="D32" t="s">
        <v>36</v>
      </c>
      <c r="E32" t="str">
        <f t="shared" si="0"/>
        <v>Não</v>
      </c>
    </row>
    <row r="33" spans="1:8" x14ac:dyDescent="0.25">
      <c r="A33" s="3" t="s">
        <v>1</v>
      </c>
      <c r="D33" t="s">
        <v>36</v>
      </c>
      <c r="E33" t="str">
        <f t="shared" si="0"/>
        <v>Não</v>
      </c>
    </row>
    <row r="34" spans="1:8" x14ac:dyDescent="0.25">
      <c r="A34" s="3" t="s">
        <v>1</v>
      </c>
      <c r="D34" t="s">
        <v>14</v>
      </c>
      <c r="E34" t="str">
        <f t="shared" si="0"/>
        <v>Não</v>
      </c>
    </row>
    <row r="35" spans="1:8" x14ac:dyDescent="0.25">
      <c r="A35" s="3" t="s">
        <v>1</v>
      </c>
      <c r="D35" t="s">
        <v>14</v>
      </c>
      <c r="E35" t="str">
        <f t="shared" si="0"/>
        <v>Não</v>
      </c>
    </row>
    <row r="36" spans="1:8" x14ac:dyDescent="0.25">
      <c r="A36" s="3" t="s">
        <v>1</v>
      </c>
      <c r="D36" t="s">
        <v>14</v>
      </c>
      <c r="E36" t="str">
        <f t="shared" si="0"/>
        <v>Não</v>
      </c>
    </row>
    <row r="37" spans="1:8" x14ac:dyDescent="0.25">
      <c r="A37" s="3" t="s">
        <v>1</v>
      </c>
      <c r="D37" t="s">
        <v>14</v>
      </c>
      <c r="E37" t="str">
        <f t="shared" si="0"/>
        <v>Não</v>
      </c>
      <c r="G37"/>
    </row>
    <row r="38" spans="1:8" x14ac:dyDescent="0.25">
      <c r="A38" s="3" t="s">
        <v>1</v>
      </c>
      <c r="D38" t="s">
        <v>14</v>
      </c>
      <c r="E38" t="str">
        <f t="shared" si="0"/>
        <v>Não</v>
      </c>
      <c r="F38" s="5"/>
      <c r="H38" s="5"/>
    </row>
    <row r="39" spans="1:8" x14ac:dyDescent="0.25">
      <c r="A39" s="3" t="s">
        <v>23</v>
      </c>
      <c r="C39" t="s">
        <v>670</v>
      </c>
      <c r="D39" t="s">
        <v>85</v>
      </c>
      <c r="E39" t="str">
        <f t="shared" si="0"/>
        <v>Não</v>
      </c>
      <c r="F39" s="5" t="s">
        <v>64</v>
      </c>
      <c r="H39" s="5"/>
    </row>
    <row r="40" spans="1:8" x14ac:dyDescent="0.25">
      <c r="A40" s="3" t="s">
        <v>23</v>
      </c>
      <c r="C40" t="s">
        <v>671</v>
      </c>
      <c r="D40" t="s">
        <v>625</v>
      </c>
      <c r="E40" t="str">
        <f t="shared" si="0"/>
        <v>Não</v>
      </c>
      <c r="F40" s="5" t="s">
        <v>663</v>
      </c>
      <c r="H40" s="5"/>
    </row>
    <row r="41" spans="1:8" x14ac:dyDescent="0.25">
      <c r="A41" s="3" t="s">
        <v>23</v>
      </c>
      <c r="C41" t="s">
        <v>672</v>
      </c>
      <c r="D41" t="s">
        <v>47</v>
      </c>
      <c r="E41" t="str">
        <f t="shared" si="0"/>
        <v>Não</v>
      </c>
      <c r="F41" s="5" t="s">
        <v>650</v>
      </c>
    </row>
    <row r="42" spans="1:8" x14ac:dyDescent="0.25">
      <c r="A42" s="3" t="s">
        <v>23</v>
      </c>
      <c r="C42" t="s">
        <v>673</v>
      </c>
      <c r="D42" t="s">
        <v>619</v>
      </c>
      <c r="E42" t="str">
        <f t="shared" si="0"/>
        <v>Não</v>
      </c>
      <c r="F42" s="5" t="s">
        <v>617</v>
      </c>
    </row>
    <row r="43" spans="1:8" x14ac:dyDescent="0.25">
      <c r="A43" s="3" t="s">
        <v>23</v>
      </c>
      <c r="C43" t="s">
        <v>674</v>
      </c>
      <c r="D43" t="s">
        <v>622</v>
      </c>
      <c r="E43" t="str">
        <f t="shared" si="0"/>
        <v>Não</v>
      </c>
      <c r="F43" s="5" t="s">
        <v>607</v>
      </c>
    </row>
    <row r="44" spans="1:8" x14ac:dyDescent="0.25">
      <c r="A44" s="3" t="s">
        <v>23</v>
      </c>
      <c r="C44" t="s">
        <v>675</v>
      </c>
      <c r="D44" t="s">
        <v>669</v>
      </c>
      <c r="E44" t="str">
        <f t="shared" si="0"/>
        <v>Não</v>
      </c>
      <c r="F44" s="5" t="s">
        <v>593</v>
      </c>
    </row>
    <row r="45" spans="1:8" x14ac:dyDescent="0.25">
      <c r="A45" s="3" t="s">
        <v>23</v>
      </c>
      <c r="D45" t="s">
        <v>612</v>
      </c>
      <c r="E45" t="str">
        <f t="shared" si="0"/>
        <v>Não</v>
      </c>
    </row>
    <row r="46" spans="1:8" x14ac:dyDescent="0.25">
      <c r="A46" s="3" t="s">
        <v>23</v>
      </c>
      <c r="D46" t="s">
        <v>608</v>
      </c>
      <c r="E46" t="str">
        <f t="shared" si="0"/>
        <v>Não</v>
      </c>
    </row>
    <row r="47" spans="1:8" x14ac:dyDescent="0.25">
      <c r="A47" s="3" t="s">
        <v>23</v>
      </c>
      <c r="D47" t="s">
        <v>668</v>
      </c>
      <c r="E47" t="str">
        <f t="shared" si="0"/>
        <v>Não</v>
      </c>
      <c r="G47"/>
    </row>
    <row r="48" spans="1:8" x14ac:dyDescent="0.25">
      <c r="A48" s="3" t="s">
        <v>23</v>
      </c>
      <c r="D48" t="s">
        <v>599</v>
      </c>
      <c r="E48" t="str">
        <f t="shared" si="0"/>
        <v>Não</v>
      </c>
      <c r="G48"/>
    </row>
    <row r="49" spans="1:7" x14ac:dyDescent="0.25">
      <c r="A49" s="3" t="s">
        <v>23</v>
      </c>
      <c r="D49" t="s">
        <v>624</v>
      </c>
      <c r="E49" t="str">
        <f t="shared" si="0"/>
        <v>Não</v>
      </c>
      <c r="G49"/>
    </row>
    <row r="50" spans="1:7" x14ac:dyDescent="0.25">
      <c r="A50" s="3" t="s">
        <v>23</v>
      </c>
      <c r="D50" t="s">
        <v>591</v>
      </c>
      <c r="E50" t="str">
        <f t="shared" si="0"/>
        <v>Não</v>
      </c>
      <c r="G50"/>
    </row>
    <row r="51" spans="1:7" x14ac:dyDescent="0.25">
      <c r="A51" s="3" t="s">
        <v>23</v>
      </c>
      <c r="D51" t="s">
        <v>590</v>
      </c>
      <c r="E51" t="str">
        <f t="shared" si="0"/>
        <v>Não</v>
      </c>
      <c r="G51"/>
    </row>
    <row r="52" spans="1:7" x14ac:dyDescent="0.25">
      <c r="A52" s="3" t="s">
        <v>23</v>
      </c>
      <c r="D52" t="s">
        <v>589</v>
      </c>
      <c r="E52" t="str">
        <f t="shared" si="0"/>
        <v>Não</v>
      </c>
    </row>
    <row r="53" spans="1:7" x14ac:dyDescent="0.25">
      <c r="A53" s="3" t="s">
        <v>23</v>
      </c>
      <c r="D53" t="s">
        <v>580</v>
      </c>
      <c r="E53" t="str">
        <f t="shared" si="0"/>
        <v>Não</v>
      </c>
    </row>
    <row r="54" spans="1:7" x14ac:dyDescent="0.25">
      <c r="A54" s="3" t="s">
        <v>23</v>
      </c>
      <c r="D54" t="s">
        <v>584</v>
      </c>
      <c r="E54" t="str">
        <f t="shared" si="0"/>
        <v>Não</v>
      </c>
    </row>
    <row r="55" spans="1:7" x14ac:dyDescent="0.25">
      <c r="A55" s="3" t="s">
        <v>4</v>
      </c>
      <c r="C55" t="s">
        <v>676</v>
      </c>
      <c r="D55" t="s">
        <v>604</v>
      </c>
      <c r="E55" t="str">
        <f t="shared" si="0"/>
        <v>Não</v>
      </c>
      <c r="F55" t="s">
        <v>643</v>
      </c>
    </row>
    <row r="56" spans="1:7" x14ac:dyDescent="0.25">
      <c r="A56" s="3" t="s">
        <v>4</v>
      </c>
      <c r="C56" t="s">
        <v>677</v>
      </c>
      <c r="D56" t="s">
        <v>313</v>
      </c>
      <c r="E56" t="str">
        <f t="shared" si="0"/>
        <v>Não</v>
      </c>
      <c r="F56" t="s">
        <v>645</v>
      </c>
    </row>
    <row r="57" spans="1:7" x14ac:dyDescent="0.25">
      <c r="A57" s="3" t="s">
        <v>4</v>
      </c>
      <c r="C57" t="s">
        <v>678</v>
      </c>
      <c r="D57" t="s">
        <v>588</v>
      </c>
      <c r="E57" t="str">
        <f t="shared" si="0"/>
        <v>Não</v>
      </c>
      <c r="F57" t="s">
        <v>651</v>
      </c>
      <c r="G57"/>
    </row>
    <row r="58" spans="1:7" x14ac:dyDescent="0.25">
      <c r="A58" s="3" t="s">
        <v>4</v>
      </c>
      <c r="C58" t="s">
        <v>679</v>
      </c>
      <c r="D58" t="s">
        <v>634</v>
      </c>
      <c r="E58" t="str">
        <f t="shared" si="0"/>
        <v>Não</v>
      </c>
      <c r="F58" t="s">
        <v>611</v>
      </c>
      <c r="G58"/>
    </row>
    <row r="59" spans="1:7" x14ac:dyDescent="0.25">
      <c r="A59" s="3" t="s">
        <v>4</v>
      </c>
      <c r="C59" t="s">
        <v>680</v>
      </c>
      <c r="D59" t="s">
        <v>606</v>
      </c>
      <c r="E59" t="str">
        <f t="shared" si="0"/>
        <v>Não</v>
      </c>
    </row>
    <row r="60" spans="1:7" x14ac:dyDescent="0.25">
      <c r="A60" s="3" t="s">
        <v>4</v>
      </c>
      <c r="C60" t="s">
        <v>681</v>
      </c>
      <c r="D60" t="s">
        <v>653</v>
      </c>
      <c r="E60" t="str">
        <f t="shared" si="0"/>
        <v>Não</v>
      </c>
    </row>
    <row r="61" spans="1:7" x14ac:dyDescent="0.25">
      <c r="A61" s="3" t="s">
        <v>4</v>
      </c>
      <c r="D61" t="s">
        <v>558</v>
      </c>
      <c r="E61" t="str">
        <f t="shared" si="0"/>
        <v>Não</v>
      </c>
      <c r="G61"/>
    </row>
    <row r="62" spans="1:7" x14ac:dyDescent="0.25">
      <c r="A62" s="3" t="s">
        <v>4</v>
      </c>
      <c r="E62" t="str">
        <f t="shared" si="0"/>
        <v>Sim</v>
      </c>
      <c r="G62"/>
    </row>
    <row r="63" spans="1:7" x14ac:dyDescent="0.25">
      <c r="A63" s="3" t="s">
        <v>4</v>
      </c>
      <c r="D63" t="s">
        <v>621</v>
      </c>
      <c r="E63" t="str">
        <f t="shared" si="0"/>
        <v>Não</v>
      </c>
      <c r="G63"/>
    </row>
    <row r="64" spans="1:7" x14ac:dyDescent="0.25">
      <c r="A64" s="3" t="s">
        <v>4</v>
      </c>
      <c r="D64" t="s">
        <v>592</v>
      </c>
      <c r="E64" t="str">
        <f t="shared" si="0"/>
        <v>Não</v>
      </c>
      <c r="G64"/>
    </row>
    <row r="65" spans="1:10" x14ac:dyDescent="0.25">
      <c r="A65" s="3" t="s">
        <v>4</v>
      </c>
      <c r="D65" t="s">
        <v>576</v>
      </c>
      <c r="E65" t="str">
        <f t="shared" si="0"/>
        <v>Não</v>
      </c>
      <c r="G65"/>
    </row>
    <row r="66" spans="1:10" x14ac:dyDescent="0.25">
      <c r="A66" s="3" t="s">
        <v>4</v>
      </c>
      <c r="D66" t="s">
        <v>627</v>
      </c>
      <c r="E66" t="str">
        <f t="shared" si="0"/>
        <v>Não</v>
      </c>
      <c r="G66"/>
    </row>
    <row r="67" spans="1:10" x14ac:dyDescent="0.25">
      <c r="A67" s="3" t="s">
        <v>4</v>
      </c>
      <c r="D67" t="s">
        <v>579</v>
      </c>
      <c r="E67" t="str">
        <f t="shared" si="0"/>
        <v>Não</v>
      </c>
      <c r="G67" s="5"/>
      <c r="H67" s="5"/>
      <c r="I67" s="5"/>
      <c r="J67" s="5"/>
    </row>
    <row r="68" spans="1:10" x14ac:dyDescent="0.25">
      <c r="A68" s="3" t="s">
        <v>4</v>
      </c>
      <c r="E68" t="str">
        <f t="shared" ref="E68:E101" si="2">IF(C68=D68, "Sim", "Não")</f>
        <v>Sim</v>
      </c>
      <c r="G68" s="5"/>
      <c r="H68" s="5"/>
      <c r="I68" s="5"/>
      <c r="J68" s="5"/>
    </row>
    <row r="69" spans="1:10" x14ac:dyDescent="0.25">
      <c r="A69" s="3" t="s">
        <v>4</v>
      </c>
      <c r="D69" t="s">
        <v>640</v>
      </c>
      <c r="E69" t="str">
        <f t="shared" si="2"/>
        <v>Não</v>
      </c>
      <c r="G69" s="5"/>
      <c r="H69" s="5"/>
      <c r="I69" s="5"/>
      <c r="J69" s="5"/>
    </row>
    <row r="70" spans="1:10" x14ac:dyDescent="0.25">
      <c r="A70" s="3" t="s">
        <v>4</v>
      </c>
      <c r="D70" t="s">
        <v>641</v>
      </c>
      <c r="E70" t="str">
        <f t="shared" si="2"/>
        <v>Não</v>
      </c>
      <c r="G70" s="5"/>
      <c r="H70" s="5"/>
      <c r="I70" s="5"/>
      <c r="J70" s="5"/>
    </row>
    <row r="71" spans="1:10" x14ac:dyDescent="0.25">
      <c r="A71" s="3" t="s">
        <v>573</v>
      </c>
      <c r="C71" t="s">
        <v>618</v>
      </c>
      <c r="D71" t="s">
        <v>575</v>
      </c>
      <c r="E71" t="str">
        <f t="shared" si="2"/>
        <v>Não</v>
      </c>
      <c r="G71" s="5"/>
      <c r="H71" s="5"/>
      <c r="I71" s="5"/>
      <c r="J71" s="5"/>
    </row>
    <row r="72" spans="1:10" x14ac:dyDescent="0.25">
      <c r="A72" s="3" t="s">
        <v>573</v>
      </c>
      <c r="C72" t="s">
        <v>620</v>
      </c>
      <c r="D72" t="s">
        <v>600</v>
      </c>
      <c r="E72" t="str">
        <f t="shared" si="2"/>
        <v>Não</v>
      </c>
      <c r="G72" s="5"/>
      <c r="H72" s="5"/>
      <c r="I72" s="5"/>
      <c r="J72" s="5"/>
    </row>
    <row r="73" spans="1:10" x14ac:dyDescent="0.25">
      <c r="A73" s="3" t="s">
        <v>573</v>
      </c>
      <c r="C73" t="s">
        <v>623</v>
      </c>
      <c r="D73" t="s">
        <v>603</v>
      </c>
      <c r="E73" t="str">
        <f t="shared" si="2"/>
        <v>Não</v>
      </c>
      <c r="G73" s="5"/>
      <c r="H73" s="5"/>
      <c r="I73" s="5"/>
      <c r="J73" s="5"/>
    </row>
    <row r="74" spans="1:10" x14ac:dyDescent="0.25">
      <c r="A74" s="3" t="s">
        <v>573</v>
      </c>
      <c r="C74" t="s">
        <v>629</v>
      </c>
      <c r="D74" t="s">
        <v>609</v>
      </c>
      <c r="E74" t="str">
        <f t="shared" si="2"/>
        <v>Não</v>
      </c>
      <c r="G74" s="5"/>
      <c r="H74" s="5"/>
      <c r="I74" s="5"/>
      <c r="J74" s="5"/>
    </row>
    <row r="75" spans="1:10" x14ac:dyDescent="0.25">
      <c r="A75" s="3" t="s">
        <v>573</v>
      </c>
      <c r="C75" t="s">
        <v>654</v>
      </c>
      <c r="D75" t="s">
        <v>610</v>
      </c>
      <c r="E75" t="str">
        <f t="shared" si="2"/>
        <v>Não</v>
      </c>
      <c r="G75" s="5"/>
      <c r="H75" s="5"/>
      <c r="I75" s="5"/>
      <c r="J75" s="5"/>
    </row>
    <row r="76" spans="1:10" x14ac:dyDescent="0.25">
      <c r="A76" s="3" t="s">
        <v>573</v>
      </c>
      <c r="D76" t="s">
        <v>613</v>
      </c>
      <c r="E76" t="str">
        <f>IF(C76=D76, "Sim", "Não")</f>
        <v>Não</v>
      </c>
      <c r="G76"/>
    </row>
    <row r="77" spans="1:10" x14ac:dyDescent="0.25">
      <c r="A77" s="3" t="s">
        <v>573</v>
      </c>
      <c r="D77" t="s">
        <v>614</v>
      </c>
      <c r="E77" t="str">
        <f>IF(C77=D77, "Sim", "Não")</f>
        <v>Não</v>
      </c>
      <c r="G77"/>
    </row>
    <row r="78" spans="1:10" x14ac:dyDescent="0.25">
      <c r="A78" s="3" t="s">
        <v>573</v>
      </c>
      <c r="D78" t="s">
        <v>615</v>
      </c>
      <c r="E78" t="str">
        <f t="shared" si="2"/>
        <v>Não</v>
      </c>
      <c r="G78" s="5"/>
      <c r="H78" s="5"/>
      <c r="I78" s="5"/>
      <c r="J78" s="5"/>
    </row>
    <row r="79" spans="1:10" x14ac:dyDescent="0.25">
      <c r="A79" s="3" t="s">
        <v>574</v>
      </c>
      <c r="C79" t="s">
        <v>626</v>
      </c>
      <c r="D79" t="s">
        <v>616</v>
      </c>
      <c r="E79" t="str">
        <f t="shared" si="2"/>
        <v>Não</v>
      </c>
      <c r="F79" t="s">
        <v>646</v>
      </c>
      <c r="G79" s="5"/>
      <c r="H79" s="5"/>
      <c r="I79" s="5"/>
      <c r="J79" s="5"/>
    </row>
    <row r="80" spans="1:10" x14ac:dyDescent="0.25">
      <c r="A80" s="3" t="s">
        <v>574</v>
      </c>
      <c r="C80" t="s">
        <v>628</v>
      </c>
      <c r="D80" t="s">
        <v>602</v>
      </c>
      <c r="E80" t="str">
        <f t="shared" si="2"/>
        <v>Não</v>
      </c>
      <c r="F80" t="s">
        <v>683</v>
      </c>
      <c r="G80" s="5"/>
      <c r="H80" s="5"/>
      <c r="I80" s="5"/>
      <c r="J80" s="5"/>
    </row>
    <row r="81" spans="1:18" x14ac:dyDescent="0.25">
      <c r="A81" s="3" t="s">
        <v>574</v>
      </c>
      <c r="C81" t="s">
        <v>630</v>
      </c>
      <c r="D81" t="s">
        <v>578</v>
      </c>
      <c r="E81" t="str">
        <f t="shared" si="2"/>
        <v>Não</v>
      </c>
      <c r="F81" t="s">
        <v>684</v>
      </c>
      <c r="G81" s="5"/>
      <c r="H81" s="5"/>
      <c r="I81" s="5"/>
      <c r="J81" s="5"/>
    </row>
    <row r="82" spans="1:18" x14ac:dyDescent="0.25">
      <c r="A82" s="3" t="s">
        <v>574</v>
      </c>
      <c r="C82" t="s">
        <v>631</v>
      </c>
      <c r="D82" t="s">
        <v>581</v>
      </c>
      <c r="E82" t="str">
        <f t="shared" si="2"/>
        <v>Não</v>
      </c>
      <c r="F82" t="s">
        <v>685</v>
      </c>
      <c r="G82" s="5"/>
      <c r="H82" s="5"/>
      <c r="I82" s="5"/>
      <c r="J82" s="5"/>
    </row>
    <row r="83" spans="1:18" x14ac:dyDescent="0.25">
      <c r="A83" s="3" t="s">
        <v>574</v>
      </c>
      <c r="C83" t="s">
        <v>632</v>
      </c>
      <c r="D83" t="s">
        <v>582</v>
      </c>
      <c r="E83" t="str">
        <f t="shared" si="2"/>
        <v>Não</v>
      </c>
      <c r="F83" t="s">
        <v>686</v>
      </c>
      <c r="G83" s="5"/>
      <c r="H83" s="5"/>
      <c r="I83" s="5"/>
      <c r="J83" s="5"/>
    </row>
    <row r="84" spans="1:18" x14ac:dyDescent="0.25">
      <c r="A84" s="3" t="s">
        <v>574</v>
      </c>
      <c r="C84" t="s">
        <v>648</v>
      </c>
      <c r="D84" t="s">
        <v>417</v>
      </c>
      <c r="E84" t="str">
        <f t="shared" si="2"/>
        <v>Não</v>
      </c>
      <c r="F84" t="s">
        <v>687</v>
      </c>
      <c r="G84" s="5"/>
      <c r="H84" s="5"/>
      <c r="I84" s="5"/>
      <c r="J84" s="5"/>
    </row>
    <row r="85" spans="1:18" x14ac:dyDescent="0.25">
      <c r="A85" s="3" t="s">
        <v>574</v>
      </c>
      <c r="C85" t="s">
        <v>655</v>
      </c>
      <c r="D85" t="s">
        <v>594</v>
      </c>
      <c r="E85" t="str">
        <f t="shared" si="2"/>
        <v>Não</v>
      </c>
      <c r="G85" s="5"/>
      <c r="H85" s="5"/>
      <c r="I85" s="5"/>
      <c r="J85" s="5"/>
    </row>
    <row r="86" spans="1:18" x14ac:dyDescent="0.25">
      <c r="A86" s="3" t="s">
        <v>574</v>
      </c>
      <c r="C86" t="s">
        <v>416</v>
      </c>
      <c r="D86" t="s">
        <v>598</v>
      </c>
      <c r="E86" t="str">
        <f t="shared" si="2"/>
        <v>Não</v>
      </c>
      <c r="F86" t="s">
        <v>597</v>
      </c>
      <c r="G86"/>
    </row>
    <row r="87" spans="1:18" x14ac:dyDescent="0.25">
      <c r="A87" s="3" t="s">
        <v>5</v>
      </c>
      <c r="D87" t="s">
        <v>408</v>
      </c>
      <c r="E87" t="str">
        <f t="shared" si="2"/>
        <v>Não</v>
      </c>
      <c r="F87" t="s">
        <v>460</v>
      </c>
      <c r="G87"/>
    </row>
    <row r="88" spans="1:18" x14ac:dyDescent="0.25">
      <c r="A88" s="3" t="s">
        <v>5</v>
      </c>
      <c r="C88" t="s">
        <v>682</v>
      </c>
      <c r="D88" t="s">
        <v>316</v>
      </c>
      <c r="E88" t="str">
        <f t="shared" si="2"/>
        <v>Não</v>
      </c>
      <c r="F88" t="s">
        <v>656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18" x14ac:dyDescent="0.25">
      <c r="A89" s="3" t="s">
        <v>5</v>
      </c>
      <c r="C89" t="s">
        <v>413</v>
      </c>
      <c r="D89" s="5" t="s">
        <v>370</v>
      </c>
      <c r="E89" t="str">
        <f t="shared" si="2"/>
        <v>Não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 x14ac:dyDescent="0.25">
      <c r="A90" s="3" t="s">
        <v>5</v>
      </c>
      <c r="C90" t="s">
        <v>638</v>
      </c>
      <c r="D90" t="s">
        <v>46</v>
      </c>
      <c r="E90" t="str">
        <f t="shared" si="2"/>
        <v>Não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18" x14ac:dyDescent="0.25">
      <c r="A91" s="3" t="s">
        <v>586</v>
      </c>
      <c r="C91" t="s">
        <v>635</v>
      </c>
      <c r="D91" t="s">
        <v>601</v>
      </c>
      <c r="E91" t="str">
        <f t="shared" si="2"/>
        <v>Não</v>
      </c>
      <c r="F91" t="s">
        <v>647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 x14ac:dyDescent="0.25">
      <c r="A92" s="3" t="s">
        <v>586</v>
      </c>
      <c r="C92" t="s">
        <v>652</v>
      </c>
      <c r="D92" t="s">
        <v>596</v>
      </c>
      <c r="E92" t="str">
        <f t="shared" si="2"/>
        <v>Não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18" x14ac:dyDescent="0.25">
      <c r="A93" s="3" t="s">
        <v>586</v>
      </c>
      <c r="C93" t="s">
        <v>642</v>
      </c>
      <c r="D93" t="s">
        <v>595</v>
      </c>
      <c r="E93" t="str">
        <f t="shared" si="2"/>
        <v>Não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 x14ac:dyDescent="0.25">
      <c r="A94" s="3" t="s">
        <v>586</v>
      </c>
      <c r="C94" t="s">
        <v>649</v>
      </c>
      <c r="D94" t="s">
        <v>587</v>
      </c>
      <c r="E94" t="str">
        <f t="shared" si="2"/>
        <v>Não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 x14ac:dyDescent="0.25">
      <c r="A95" s="3" t="s">
        <v>586</v>
      </c>
      <c r="D95" t="s">
        <v>583</v>
      </c>
      <c r="E95" t="str">
        <f t="shared" si="2"/>
        <v>Não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 x14ac:dyDescent="0.25">
      <c r="A96" s="3" t="s">
        <v>586</v>
      </c>
      <c r="D96" t="s">
        <v>585</v>
      </c>
      <c r="E96" t="str">
        <f t="shared" si="2"/>
        <v>Não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1:18" x14ac:dyDescent="0.25">
      <c r="A97" s="3" t="s">
        <v>146</v>
      </c>
      <c r="D97" t="s">
        <v>577</v>
      </c>
      <c r="E97" t="str">
        <f t="shared" si="2"/>
        <v>Não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 x14ac:dyDescent="0.25">
      <c r="A98" s="3" t="s">
        <v>146</v>
      </c>
      <c r="D98" t="s">
        <v>318</v>
      </c>
      <c r="E98" t="str">
        <f t="shared" si="2"/>
        <v>Não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1:18" x14ac:dyDescent="0.25">
      <c r="A99" s="3" t="s">
        <v>146</v>
      </c>
      <c r="D99" t="s">
        <v>637</v>
      </c>
      <c r="E99" t="str">
        <f t="shared" si="2"/>
        <v>Não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 x14ac:dyDescent="0.25">
      <c r="A100" s="3" t="s">
        <v>146</v>
      </c>
      <c r="D100" s="5" t="s">
        <v>639</v>
      </c>
      <c r="E100" t="str">
        <f t="shared" si="2"/>
        <v>Não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18" x14ac:dyDescent="0.25">
      <c r="A101" s="3" t="s">
        <v>146</v>
      </c>
      <c r="D101" t="s">
        <v>644</v>
      </c>
      <c r="E101" t="str">
        <f t="shared" si="2"/>
        <v>Não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 x14ac:dyDescent="0.25">
      <c r="A102" s="3" t="s">
        <v>146</v>
      </c>
      <c r="D102" t="s">
        <v>688</v>
      </c>
      <c r="E102" t="str">
        <f>IF(C102=D102, "Sim", "Não")</f>
        <v>Não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spans="1:18" x14ac:dyDescent="0.25"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1:18" x14ac:dyDescent="0.25"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spans="1:18" x14ac:dyDescent="0.25"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spans="1:18" x14ac:dyDescent="0.25"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spans="1:18" x14ac:dyDescent="0.25"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1:18" x14ac:dyDescent="0.25"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18" x14ac:dyDescent="0.25"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1:18" x14ac:dyDescent="0.25"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41EB7-F52D-4F8C-9D61-64BB9BDF1769}">
  <dimension ref="A1:G103"/>
  <sheetViews>
    <sheetView topLeftCell="A81" workbookViewId="0">
      <selection activeCell="A81" sqref="A1:G1048576"/>
    </sheetView>
  </sheetViews>
  <sheetFormatPr defaultRowHeight="15" x14ac:dyDescent="0.25"/>
  <cols>
    <col min="1" max="1" width="11.85546875" style="3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8" t="s">
        <v>263</v>
      </c>
      <c r="B1" s="8"/>
      <c r="C1" s="8"/>
      <c r="D1" s="8"/>
      <c r="E1" s="8"/>
      <c r="F1" s="8"/>
      <c r="G1" s="8"/>
    </row>
    <row r="2" spans="1:7" x14ac:dyDescent="0.25">
      <c r="A2" s="4" t="s">
        <v>0</v>
      </c>
      <c r="B2" s="4" t="s">
        <v>216</v>
      </c>
      <c r="C2" s="4" t="s">
        <v>217</v>
      </c>
      <c r="D2" s="4" t="s">
        <v>8</v>
      </c>
    </row>
    <row r="3" spans="1:7" x14ac:dyDescent="0.25">
      <c r="A3" s="3" t="s">
        <v>1</v>
      </c>
      <c r="B3" t="s">
        <v>325</v>
      </c>
      <c r="D3" t="str">
        <f>IF(B3=C3, "Sim", "Não")</f>
        <v>Não</v>
      </c>
      <c r="F3" s="4" t="s">
        <v>11</v>
      </c>
      <c r="G3" s="3">
        <f>COUNTIF(D3:D106,"Não")</f>
        <v>99</v>
      </c>
    </row>
    <row r="4" spans="1:7" x14ac:dyDescent="0.25">
      <c r="A4" s="3" t="s">
        <v>1</v>
      </c>
      <c r="B4" t="s">
        <v>331</v>
      </c>
      <c r="D4" t="str">
        <f t="shared" ref="D4:D68" si="0">IF(B4=C4, "Sim", "Não")</f>
        <v>Não</v>
      </c>
      <c r="F4" s="4" t="s">
        <v>12</v>
      </c>
      <c r="G4" s="3">
        <f>SUM(G7:G25)</f>
        <v>67</v>
      </c>
    </row>
    <row r="5" spans="1:7" x14ac:dyDescent="0.25">
      <c r="A5" s="3" t="s">
        <v>1</v>
      </c>
      <c r="B5" t="s">
        <v>343</v>
      </c>
      <c r="D5" t="str">
        <f t="shared" si="0"/>
        <v>Não</v>
      </c>
    </row>
    <row r="6" spans="1:7" x14ac:dyDescent="0.25">
      <c r="A6" s="3" t="s">
        <v>1</v>
      </c>
      <c r="B6" t="s">
        <v>33</v>
      </c>
      <c r="D6" t="str">
        <f t="shared" si="0"/>
        <v>Não</v>
      </c>
      <c r="F6" s="6" t="s">
        <v>3</v>
      </c>
      <c r="G6" s="1"/>
    </row>
    <row r="7" spans="1:7" x14ac:dyDescent="0.25">
      <c r="A7" s="3" t="s">
        <v>1</v>
      </c>
      <c r="B7" t="s">
        <v>233</v>
      </c>
      <c r="D7" t="str">
        <f t="shared" si="0"/>
        <v>Não</v>
      </c>
      <c r="F7" s="7" t="s">
        <v>1</v>
      </c>
      <c r="G7" s="2">
        <f t="shared" ref="G7:G15" si="1">COUNTIF(A:A,F7)</f>
        <v>34</v>
      </c>
    </row>
    <row r="8" spans="1:7" x14ac:dyDescent="0.25">
      <c r="A8" s="3" t="s">
        <v>1</v>
      </c>
      <c r="B8" t="s">
        <v>345</v>
      </c>
      <c r="D8" t="str">
        <f t="shared" si="0"/>
        <v>Não</v>
      </c>
      <c r="F8" s="7" t="s">
        <v>23</v>
      </c>
      <c r="G8" s="2">
        <f t="shared" si="1"/>
        <v>8</v>
      </c>
    </row>
    <row r="9" spans="1:7" x14ac:dyDescent="0.25">
      <c r="A9" s="3" t="s">
        <v>1</v>
      </c>
      <c r="B9" t="s">
        <v>346</v>
      </c>
      <c r="D9" t="str">
        <f t="shared" si="0"/>
        <v>Não</v>
      </c>
      <c r="F9" s="7" t="s">
        <v>4</v>
      </c>
      <c r="G9" s="2">
        <f t="shared" si="1"/>
        <v>8</v>
      </c>
    </row>
    <row r="10" spans="1:7" x14ac:dyDescent="0.25">
      <c r="A10" s="3" t="s">
        <v>1</v>
      </c>
      <c r="B10" t="s">
        <v>347</v>
      </c>
      <c r="D10" t="str">
        <f t="shared" si="0"/>
        <v>Não</v>
      </c>
      <c r="F10" s="7" t="s">
        <v>146</v>
      </c>
      <c r="G10" s="2">
        <f t="shared" si="1"/>
        <v>6</v>
      </c>
    </row>
    <row r="11" spans="1:7" x14ac:dyDescent="0.25">
      <c r="A11" s="3" t="s">
        <v>1</v>
      </c>
      <c r="B11" t="s">
        <v>348</v>
      </c>
      <c r="D11" t="str">
        <f t="shared" si="0"/>
        <v>Não</v>
      </c>
      <c r="F11" s="7" t="s">
        <v>5</v>
      </c>
      <c r="G11" s="2">
        <f t="shared" si="1"/>
        <v>6</v>
      </c>
    </row>
    <row r="12" spans="1:7" x14ac:dyDescent="0.25">
      <c r="A12" s="3" t="s">
        <v>1</v>
      </c>
      <c r="B12" t="s">
        <v>13</v>
      </c>
      <c r="D12" t="str">
        <f t="shared" si="0"/>
        <v>Não</v>
      </c>
      <c r="F12" s="3" t="s">
        <v>157</v>
      </c>
      <c r="G12" s="2">
        <f t="shared" si="1"/>
        <v>0</v>
      </c>
    </row>
    <row r="13" spans="1:7" x14ac:dyDescent="0.25">
      <c r="A13" s="3" t="s">
        <v>1</v>
      </c>
      <c r="B13" t="s">
        <v>356</v>
      </c>
      <c r="D13" t="str">
        <f t="shared" si="0"/>
        <v>Não</v>
      </c>
      <c r="F13" s="7" t="s">
        <v>155</v>
      </c>
      <c r="G13" s="2">
        <f t="shared" si="1"/>
        <v>0</v>
      </c>
    </row>
    <row r="14" spans="1:7" x14ac:dyDescent="0.25">
      <c r="A14" s="3" t="s">
        <v>1</v>
      </c>
      <c r="B14" t="s">
        <v>357</v>
      </c>
      <c r="D14" t="str">
        <f t="shared" si="0"/>
        <v>Não</v>
      </c>
      <c r="F14" s="7" t="s">
        <v>156</v>
      </c>
      <c r="G14" s="2">
        <f t="shared" si="1"/>
        <v>0</v>
      </c>
    </row>
    <row r="15" spans="1:7" x14ac:dyDescent="0.25">
      <c r="A15" s="3" t="s">
        <v>1</v>
      </c>
      <c r="B15" t="s">
        <v>65</v>
      </c>
      <c r="D15" t="str">
        <f t="shared" si="0"/>
        <v>Não</v>
      </c>
      <c r="F15" s="3" t="s">
        <v>16</v>
      </c>
      <c r="G15" s="2">
        <f t="shared" si="1"/>
        <v>5</v>
      </c>
    </row>
    <row r="16" spans="1:7" x14ac:dyDescent="0.25">
      <c r="A16" s="3" t="s">
        <v>1</v>
      </c>
      <c r="B16" t="s">
        <v>358</v>
      </c>
      <c r="D16" t="str">
        <f t="shared" si="0"/>
        <v>Não</v>
      </c>
      <c r="F16" s="4"/>
      <c r="G16" s="2"/>
    </row>
    <row r="17" spans="1:4" x14ac:dyDescent="0.25">
      <c r="A17" s="3" t="s">
        <v>1</v>
      </c>
      <c r="B17" t="s">
        <v>359</v>
      </c>
      <c r="D17" t="str">
        <f t="shared" si="0"/>
        <v>Não</v>
      </c>
    </row>
    <row r="18" spans="1:4" x14ac:dyDescent="0.25">
      <c r="A18" s="3" t="s">
        <v>1</v>
      </c>
      <c r="B18" t="s">
        <v>67</v>
      </c>
      <c r="D18" t="str">
        <f t="shared" si="0"/>
        <v>Não</v>
      </c>
    </row>
    <row r="19" spans="1:4" x14ac:dyDescent="0.25">
      <c r="A19" s="3" t="s">
        <v>1</v>
      </c>
      <c r="B19" t="s">
        <v>66</v>
      </c>
      <c r="D19" t="str">
        <f t="shared" si="0"/>
        <v>Não</v>
      </c>
    </row>
    <row r="20" spans="1:4" x14ac:dyDescent="0.25">
      <c r="A20" s="3" t="s">
        <v>1</v>
      </c>
      <c r="B20" t="s">
        <v>24</v>
      </c>
      <c r="D20" t="str">
        <f t="shared" si="0"/>
        <v>Não</v>
      </c>
    </row>
    <row r="21" spans="1:4" x14ac:dyDescent="0.25">
      <c r="A21" s="3" t="s">
        <v>1</v>
      </c>
      <c r="B21" t="s">
        <v>36</v>
      </c>
      <c r="C21" t="s">
        <v>344</v>
      </c>
      <c r="D21" t="str">
        <f t="shared" si="0"/>
        <v>Não</v>
      </c>
    </row>
    <row r="22" spans="1:4" x14ac:dyDescent="0.25">
      <c r="A22" s="3" t="s">
        <v>1</v>
      </c>
      <c r="B22" t="s">
        <v>36</v>
      </c>
      <c r="D22" t="str">
        <f t="shared" si="0"/>
        <v>Não</v>
      </c>
    </row>
    <row r="23" spans="1:4" x14ac:dyDescent="0.25">
      <c r="A23" s="3" t="s">
        <v>1</v>
      </c>
      <c r="B23" t="s">
        <v>36</v>
      </c>
      <c r="D23" t="str">
        <f t="shared" si="0"/>
        <v>Não</v>
      </c>
    </row>
    <row r="24" spans="1:4" x14ac:dyDescent="0.25">
      <c r="A24" s="3" t="s">
        <v>1</v>
      </c>
      <c r="B24" t="s">
        <v>36</v>
      </c>
      <c r="D24" t="str">
        <f t="shared" si="0"/>
        <v>Não</v>
      </c>
    </row>
    <row r="25" spans="1:4" x14ac:dyDescent="0.25">
      <c r="A25" s="3" t="s">
        <v>1</v>
      </c>
      <c r="B25" t="s">
        <v>36</v>
      </c>
      <c r="D25" t="str">
        <f t="shared" si="0"/>
        <v>Não</v>
      </c>
    </row>
    <row r="26" spans="1:4" x14ac:dyDescent="0.25">
      <c r="A26" s="3" t="s">
        <v>1</v>
      </c>
      <c r="B26" t="s">
        <v>36</v>
      </c>
      <c r="D26" t="str">
        <f t="shared" si="0"/>
        <v>Não</v>
      </c>
    </row>
    <row r="27" spans="1:4" x14ac:dyDescent="0.25">
      <c r="A27" s="3" t="s">
        <v>1</v>
      </c>
      <c r="B27" t="s">
        <v>36</v>
      </c>
      <c r="D27" t="str">
        <f t="shared" si="0"/>
        <v>Não</v>
      </c>
    </row>
    <row r="28" spans="1:4" x14ac:dyDescent="0.25">
      <c r="A28" s="3" t="s">
        <v>1</v>
      </c>
      <c r="B28" t="s">
        <v>36</v>
      </c>
      <c r="D28" t="str">
        <f t="shared" si="0"/>
        <v>Não</v>
      </c>
    </row>
    <row r="29" spans="1:4" x14ac:dyDescent="0.25">
      <c r="A29" s="3" t="s">
        <v>1</v>
      </c>
      <c r="B29" t="s">
        <v>6</v>
      </c>
      <c r="C29" t="s">
        <v>330</v>
      </c>
      <c r="D29" t="str">
        <f t="shared" si="0"/>
        <v>Não</v>
      </c>
    </row>
    <row r="30" spans="1:4" x14ac:dyDescent="0.25">
      <c r="A30" s="3" t="s">
        <v>1</v>
      </c>
      <c r="B30" t="s">
        <v>6</v>
      </c>
      <c r="C30" t="s">
        <v>361</v>
      </c>
      <c r="D30" t="str">
        <f t="shared" si="0"/>
        <v>Não</v>
      </c>
    </row>
    <row r="31" spans="1:4" x14ac:dyDescent="0.25">
      <c r="A31" s="3" t="s">
        <v>1</v>
      </c>
      <c r="B31" t="s">
        <v>6</v>
      </c>
      <c r="D31" t="str">
        <f t="shared" si="0"/>
        <v>Não</v>
      </c>
    </row>
    <row r="32" spans="1:4" x14ac:dyDescent="0.25">
      <c r="A32" s="3" t="s">
        <v>1</v>
      </c>
      <c r="B32" t="s">
        <v>6</v>
      </c>
      <c r="D32" t="str">
        <f t="shared" si="0"/>
        <v>Não</v>
      </c>
    </row>
    <row r="33" spans="1:4" x14ac:dyDescent="0.25">
      <c r="A33" s="3" t="s">
        <v>1</v>
      </c>
      <c r="B33" t="s">
        <v>6</v>
      </c>
      <c r="D33" t="str">
        <f t="shared" si="0"/>
        <v>Não</v>
      </c>
    </row>
    <row r="34" spans="1:4" x14ac:dyDescent="0.25">
      <c r="A34" s="3" t="s">
        <v>1</v>
      </c>
      <c r="B34" t="s">
        <v>6</v>
      </c>
      <c r="D34" t="str">
        <f t="shared" si="0"/>
        <v>Não</v>
      </c>
    </row>
    <row r="35" spans="1:4" x14ac:dyDescent="0.25">
      <c r="A35" s="3" t="s">
        <v>1</v>
      </c>
      <c r="B35" t="s">
        <v>6</v>
      </c>
      <c r="D35" t="str">
        <f t="shared" si="0"/>
        <v>Não</v>
      </c>
    </row>
    <row r="36" spans="1:4" x14ac:dyDescent="0.25">
      <c r="A36" s="3" t="s">
        <v>1</v>
      </c>
      <c r="B36" t="s">
        <v>6</v>
      </c>
      <c r="D36" t="str">
        <f t="shared" si="0"/>
        <v>Não</v>
      </c>
    </row>
    <row r="37" spans="1:4" x14ac:dyDescent="0.25">
      <c r="A37" s="3" t="s">
        <v>23</v>
      </c>
      <c r="B37" t="s">
        <v>94</v>
      </c>
      <c r="C37" t="s">
        <v>354</v>
      </c>
      <c r="D37" t="str">
        <f t="shared" si="0"/>
        <v>Não</v>
      </c>
    </row>
    <row r="38" spans="1:4" x14ac:dyDescent="0.25">
      <c r="A38" s="3" t="s">
        <v>23</v>
      </c>
      <c r="B38" t="s">
        <v>355</v>
      </c>
      <c r="C38" t="s">
        <v>351</v>
      </c>
      <c r="D38" t="str">
        <f t="shared" si="0"/>
        <v>Não</v>
      </c>
    </row>
    <row r="39" spans="1:4" x14ac:dyDescent="0.25">
      <c r="A39" s="3" t="s">
        <v>23</v>
      </c>
      <c r="B39" t="s">
        <v>352</v>
      </c>
      <c r="C39" t="s">
        <v>353</v>
      </c>
      <c r="D39" t="str">
        <f t="shared" si="0"/>
        <v>Não</v>
      </c>
    </row>
    <row r="40" spans="1:4" x14ac:dyDescent="0.25">
      <c r="A40" s="3" t="s">
        <v>23</v>
      </c>
      <c r="B40" t="s">
        <v>350</v>
      </c>
      <c r="C40" t="s">
        <v>362</v>
      </c>
      <c r="D40" t="str">
        <f t="shared" si="0"/>
        <v>Não</v>
      </c>
    </row>
    <row r="41" spans="1:4" x14ac:dyDescent="0.25">
      <c r="A41" s="3" t="s">
        <v>23</v>
      </c>
      <c r="B41" t="s">
        <v>341</v>
      </c>
      <c r="D41" t="str">
        <f t="shared" si="0"/>
        <v>Não</v>
      </c>
    </row>
    <row r="42" spans="1:4" x14ac:dyDescent="0.25">
      <c r="A42" s="3" t="s">
        <v>23</v>
      </c>
      <c r="B42" t="s">
        <v>349</v>
      </c>
      <c r="D42" t="str">
        <f t="shared" si="0"/>
        <v>Não</v>
      </c>
    </row>
    <row r="43" spans="1:4" x14ac:dyDescent="0.25">
      <c r="A43" s="3" t="s">
        <v>23</v>
      </c>
      <c r="B43" t="s">
        <v>312</v>
      </c>
      <c r="D43" t="str">
        <f t="shared" si="0"/>
        <v>Não</v>
      </c>
    </row>
    <row r="44" spans="1:4" x14ac:dyDescent="0.25">
      <c r="A44" s="3" t="s">
        <v>23</v>
      </c>
      <c r="B44" t="s">
        <v>274</v>
      </c>
      <c r="D44" t="str">
        <f t="shared" si="0"/>
        <v>Não</v>
      </c>
    </row>
    <row r="45" spans="1:4" x14ac:dyDescent="0.25">
      <c r="A45" s="3" t="s">
        <v>4</v>
      </c>
      <c r="B45" t="s">
        <v>300</v>
      </c>
      <c r="D45" t="str">
        <f t="shared" si="0"/>
        <v>Não</v>
      </c>
    </row>
    <row r="46" spans="1:4" x14ac:dyDescent="0.25">
      <c r="A46" s="3" t="s">
        <v>4</v>
      </c>
      <c r="B46" t="s">
        <v>284</v>
      </c>
      <c r="D46" t="str">
        <f t="shared" si="0"/>
        <v>Não</v>
      </c>
    </row>
    <row r="47" spans="1:4" x14ac:dyDescent="0.25">
      <c r="A47" s="3" t="s">
        <v>4</v>
      </c>
      <c r="B47" t="s">
        <v>293</v>
      </c>
      <c r="D47" t="str">
        <f t="shared" si="0"/>
        <v>Não</v>
      </c>
    </row>
    <row r="48" spans="1:4" x14ac:dyDescent="0.25">
      <c r="A48" s="3" t="s">
        <v>4</v>
      </c>
      <c r="B48" t="s">
        <v>307</v>
      </c>
      <c r="C48" t="s">
        <v>338</v>
      </c>
      <c r="D48" t="str">
        <f t="shared" si="0"/>
        <v>Não</v>
      </c>
    </row>
    <row r="49" spans="1:6" x14ac:dyDescent="0.25">
      <c r="A49" s="3" t="s">
        <v>4</v>
      </c>
      <c r="B49" t="s">
        <v>313</v>
      </c>
      <c r="D49" t="str">
        <f t="shared" si="0"/>
        <v>Não</v>
      </c>
    </row>
    <row r="50" spans="1:6" x14ac:dyDescent="0.25">
      <c r="A50" s="3" t="s">
        <v>4</v>
      </c>
      <c r="B50" t="s">
        <v>314</v>
      </c>
      <c r="C50" t="s">
        <v>334</v>
      </c>
      <c r="D50" t="str">
        <f t="shared" si="0"/>
        <v>Não</v>
      </c>
    </row>
    <row r="51" spans="1:6" x14ac:dyDescent="0.25">
      <c r="A51" s="3" t="s">
        <v>4</v>
      </c>
      <c r="B51" t="s">
        <v>326</v>
      </c>
      <c r="D51" t="str">
        <f t="shared" si="0"/>
        <v>Não</v>
      </c>
    </row>
    <row r="52" spans="1:6" x14ac:dyDescent="0.25">
      <c r="A52" s="3" t="s">
        <v>4</v>
      </c>
      <c r="B52" t="s">
        <v>342</v>
      </c>
      <c r="D52" t="str">
        <f t="shared" si="0"/>
        <v>Não</v>
      </c>
    </row>
    <row r="53" spans="1:6" x14ac:dyDescent="0.25">
      <c r="A53" s="3" t="s">
        <v>266</v>
      </c>
      <c r="B53" t="s">
        <v>309</v>
      </c>
      <c r="D53" t="str">
        <f t="shared" si="0"/>
        <v>Não</v>
      </c>
    </row>
    <row r="54" spans="1:6" x14ac:dyDescent="0.25">
      <c r="A54" s="3" t="s">
        <v>266</v>
      </c>
      <c r="B54" t="s">
        <v>310</v>
      </c>
      <c r="C54" t="s">
        <v>299</v>
      </c>
      <c r="D54" t="str">
        <f t="shared" si="0"/>
        <v>Não</v>
      </c>
    </row>
    <row r="55" spans="1:6" x14ac:dyDescent="0.25">
      <c r="A55" s="3" t="s">
        <v>266</v>
      </c>
      <c r="B55" t="s">
        <v>268</v>
      </c>
      <c r="D55" t="str">
        <f t="shared" si="0"/>
        <v>Não</v>
      </c>
    </row>
    <row r="56" spans="1:6" x14ac:dyDescent="0.25">
      <c r="A56" s="3" t="s">
        <v>266</v>
      </c>
      <c r="B56" t="s">
        <v>270</v>
      </c>
      <c r="D56" t="str">
        <f t="shared" si="0"/>
        <v>Não</v>
      </c>
    </row>
    <row r="57" spans="1:6" x14ac:dyDescent="0.25">
      <c r="A57" s="3" t="s">
        <v>266</v>
      </c>
      <c r="B57" t="s">
        <v>272</v>
      </c>
      <c r="D57" t="str">
        <f t="shared" si="0"/>
        <v>Não</v>
      </c>
    </row>
    <row r="58" spans="1:6" x14ac:dyDescent="0.25">
      <c r="A58" s="3" t="s">
        <v>266</v>
      </c>
      <c r="B58" t="s">
        <v>278</v>
      </c>
      <c r="D58" t="str">
        <f t="shared" si="0"/>
        <v>Não</v>
      </c>
    </row>
    <row r="59" spans="1:6" x14ac:dyDescent="0.25">
      <c r="A59" s="3" t="s">
        <v>266</v>
      </c>
      <c r="B59" t="s">
        <v>292</v>
      </c>
      <c r="D59" t="str">
        <f t="shared" si="0"/>
        <v>Não</v>
      </c>
    </row>
    <row r="60" spans="1:6" x14ac:dyDescent="0.25">
      <c r="A60" s="3" t="s">
        <v>266</v>
      </c>
      <c r="B60" t="s">
        <v>290</v>
      </c>
      <c r="D60" t="str">
        <f>IF(B60=C60, "Sim", "Não")</f>
        <v>Não</v>
      </c>
    </row>
    <row r="61" spans="1:6" x14ac:dyDescent="0.25">
      <c r="A61" s="3" t="s">
        <v>266</v>
      </c>
      <c r="B61" t="s">
        <v>302</v>
      </c>
      <c r="D61" t="str">
        <f t="shared" si="0"/>
        <v>Não</v>
      </c>
    </row>
    <row r="62" spans="1:6" x14ac:dyDescent="0.25">
      <c r="A62" s="3" t="s">
        <v>267</v>
      </c>
      <c r="B62" t="s">
        <v>303</v>
      </c>
      <c r="D62" t="str">
        <f t="shared" si="0"/>
        <v>Não</v>
      </c>
      <c r="F62"/>
    </row>
    <row r="63" spans="1:6" x14ac:dyDescent="0.25">
      <c r="A63" s="3" t="s">
        <v>267</v>
      </c>
      <c r="B63" t="s">
        <v>304</v>
      </c>
      <c r="D63" t="str">
        <f t="shared" si="0"/>
        <v>Não</v>
      </c>
      <c r="F63"/>
    </row>
    <row r="64" spans="1:6" x14ac:dyDescent="0.25">
      <c r="A64" s="3" t="s">
        <v>267</v>
      </c>
      <c r="B64" t="s">
        <v>271</v>
      </c>
      <c r="D64" t="str">
        <f>IF(B64=C64, "Sim", "Não")</f>
        <v>Não</v>
      </c>
      <c r="F64"/>
    </row>
    <row r="65" spans="1:6" x14ac:dyDescent="0.25">
      <c r="A65" s="3" t="s">
        <v>267</v>
      </c>
      <c r="B65" t="s">
        <v>273</v>
      </c>
      <c r="D65" t="str">
        <f t="shared" si="0"/>
        <v>Não</v>
      </c>
      <c r="F65"/>
    </row>
    <row r="66" spans="1:6" x14ac:dyDescent="0.25">
      <c r="A66" s="3" t="s">
        <v>267</v>
      </c>
      <c r="B66" t="s">
        <v>275</v>
      </c>
      <c r="D66" t="str">
        <f t="shared" si="0"/>
        <v>Não</v>
      </c>
      <c r="F66"/>
    </row>
    <row r="67" spans="1:6" x14ac:dyDescent="0.25">
      <c r="A67" s="3" t="s">
        <v>267</v>
      </c>
      <c r="B67" t="s">
        <v>287</v>
      </c>
      <c r="D67" t="str">
        <f t="shared" si="0"/>
        <v>Não</v>
      </c>
      <c r="F67"/>
    </row>
    <row r="68" spans="1:6" x14ac:dyDescent="0.25">
      <c r="A68" s="3" t="s">
        <v>267</v>
      </c>
      <c r="B68" t="s">
        <v>289</v>
      </c>
      <c r="D68" t="str">
        <f t="shared" si="0"/>
        <v>Não</v>
      </c>
      <c r="F68"/>
    </row>
    <row r="69" spans="1:6" x14ac:dyDescent="0.25">
      <c r="A69" s="3" t="s">
        <v>267</v>
      </c>
      <c r="B69" t="s">
        <v>298</v>
      </c>
      <c r="D69" t="str">
        <f t="shared" ref="D69:D101" si="2">IF(B69=C69, "Sim", "Não")</f>
        <v>Não</v>
      </c>
      <c r="F69"/>
    </row>
    <row r="70" spans="1:6" x14ac:dyDescent="0.25">
      <c r="A70" s="3" t="s">
        <v>267</v>
      </c>
      <c r="B70" t="s">
        <v>281</v>
      </c>
      <c r="D70" t="str">
        <f t="shared" si="2"/>
        <v>Não</v>
      </c>
      <c r="F70"/>
    </row>
    <row r="71" spans="1:6" x14ac:dyDescent="0.25">
      <c r="A71" s="3" t="s">
        <v>267</v>
      </c>
      <c r="B71" t="s">
        <v>282</v>
      </c>
      <c r="D71" t="str">
        <f t="shared" si="2"/>
        <v>Não</v>
      </c>
      <c r="F71"/>
    </row>
    <row r="72" spans="1:6" x14ac:dyDescent="0.25">
      <c r="A72" s="3" t="s">
        <v>267</v>
      </c>
      <c r="B72" t="s">
        <v>283</v>
      </c>
      <c r="D72" t="str">
        <f t="shared" si="2"/>
        <v>Não</v>
      </c>
      <c r="F72"/>
    </row>
    <row r="73" spans="1:6" x14ac:dyDescent="0.25">
      <c r="A73" s="3" t="s">
        <v>267</v>
      </c>
      <c r="B73" t="s">
        <v>297</v>
      </c>
      <c r="D73" t="str">
        <f t="shared" si="2"/>
        <v>Não</v>
      </c>
      <c r="F73"/>
    </row>
    <row r="74" spans="1:6" x14ac:dyDescent="0.25">
      <c r="A74" s="3" t="s">
        <v>267</v>
      </c>
      <c r="B74" t="s">
        <v>305</v>
      </c>
      <c r="D74" t="str">
        <f t="shared" si="2"/>
        <v>Não</v>
      </c>
      <c r="F74"/>
    </row>
    <row r="75" spans="1:6" x14ac:dyDescent="0.25">
      <c r="A75" s="3" t="s">
        <v>267</v>
      </c>
      <c r="B75" t="s">
        <v>296</v>
      </c>
      <c r="D75" t="str">
        <f t="shared" si="2"/>
        <v>Não</v>
      </c>
      <c r="F75"/>
    </row>
    <row r="76" spans="1:6" x14ac:dyDescent="0.25">
      <c r="A76" s="3" t="s">
        <v>267</v>
      </c>
      <c r="B76" t="s">
        <v>295</v>
      </c>
      <c r="C76" t="s">
        <v>277</v>
      </c>
      <c r="D76" t="str">
        <f t="shared" si="2"/>
        <v>Não</v>
      </c>
      <c r="F76"/>
    </row>
    <row r="77" spans="1:6" x14ac:dyDescent="0.25">
      <c r="A77" s="3" t="s">
        <v>267</v>
      </c>
      <c r="B77" t="s">
        <v>301</v>
      </c>
      <c r="D77" t="str">
        <f t="shared" si="2"/>
        <v>Não</v>
      </c>
      <c r="F77"/>
    </row>
    <row r="78" spans="1:6" x14ac:dyDescent="0.25">
      <c r="A78" s="3" t="s">
        <v>267</v>
      </c>
      <c r="B78" t="s">
        <v>294</v>
      </c>
      <c r="D78" t="str">
        <f t="shared" si="2"/>
        <v>Não</v>
      </c>
      <c r="F78"/>
    </row>
    <row r="79" spans="1:6" x14ac:dyDescent="0.25">
      <c r="A79" s="3" t="s">
        <v>267</v>
      </c>
      <c r="B79" t="s">
        <v>269</v>
      </c>
      <c r="D79" t="str">
        <f t="shared" si="2"/>
        <v>Não</v>
      </c>
      <c r="F79"/>
    </row>
    <row r="80" spans="1:6" x14ac:dyDescent="0.25">
      <c r="A80" s="3" t="s">
        <v>267</v>
      </c>
      <c r="B80" t="s">
        <v>288</v>
      </c>
      <c r="D80" t="str">
        <f t="shared" si="2"/>
        <v>Não</v>
      </c>
      <c r="F80"/>
    </row>
    <row r="81" spans="1:6" x14ac:dyDescent="0.25">
      <c r="A81" s="3" t="s">
        <v>16</v>
      </c>
      <c r="B81" t="s">
        <v>280</v>
      </c>
      <c r="C81" t="s">
        <v>336</v>
      </c>
      <c r="D81" t="str">
        <f t="shared" si="2"/>
        <v>Não</v>
      </c>
      <c r="F81"/>
    </row>
    <row r="82" spans="1:6" x14ac:dyDescent="0.25">
      <c r="A82" s="3" t="s">
        <v>16</v>
      </c>
      <c r="B82" t="s">
        <v>286</v>
      </c>
      <c r="C82" t="s">
        <v>279</v>
      </c>
      <c r="D82" t="str">
        <f t="shared" si="2"/>
        <v>Não</v>
      </c>
      <c r="F82"/>
    </row>
    <row r="83" spans="1:6" x14ac:dyDescent="0.25">
      <c r="A83" s="3" t="s">
        <v>16</v>
      </c>
      <c r="B83" t="s">
        <v>306</v>
      </c>
      <c r="D83" t="str">
        <f t="shared" si="2"/>
        <v>Não</v>
      </c>
      <c r="F83"/>
    </row>
    <row r="84" spans="1:6" x14ac:dyDescent="0.25">
      <c r="A84" s="3" t="s">
        <v>16</v>
      </c>
      <c r="B84" t="s">
        <v>340</v>
      </c>
      <c r="C84" t="s">
        <v>311</v>
      </c>
      <c r="D84" t="str">
        <f t="shared" si="2"/>
        <v>Não</v>
      </c>
      <c r="F84"/>
    </row>
    <row r="85" spans="1:6" x14ac:dyDescent="0.25">
      <c r="A85" s="3" t="s">
        <v>16</v>
      </c>
      <c r="B85" t="s">
        <v>308</v>
      </c>
      <c r="C85" t="s">
        <v>291</v>
      </c>
      <c r="D85" t="str">
        <f>IF(B85=C85, "Sim", "Não")</f>
        <v>Não</v>
      </c>
      <c r="F85"/>
    </row>
    <row r="86" spans="1:6" x14ac:dyDescent="0.25">
      <c r="A86" s="3" t="s">
        <v>360</v>
      </c>
      <c r="B86" t="s">
        <v>320</v>
      </c>
      <c r="D86" t="str">
        <f t="shared" si="2"/>
        <v>Não</v>
      </c>
      <c r="F86"/>
    </row>
    <row r="87" spans="1:6" x14ac:dyDescent="0.25">
      <c r="A87" s="3" t="s">
        <v>360</v>
      </c>
      <c r="B87" t="s">
        <v>333</v>
      </c>
      <c r="C87" t="s">
        <v>332</v>
      </c>
      <c r="D87" t="str">
        <f t="shared" si="2"/>
        <v>Não</v>
      </c>
      <c r="F87"/>
    </row>
    <row r="88" spans="1:6" x14ac:dyDescent="0.25">
      <c r="A88" s="3" t="s">
        <v>360</v>
      </c>
      <c r="B88" t="s">
        <v>328</v>
      </c>
      <c r="C88" t="s">
        <v>324</v>
      </c>
      <c r="D88" t="str">
        <f t="shared" si="2"/>
        <v>Não</v>
      </c>
      <c r="F88"/>
    </row>
    <row r="89" spans="1:6" x14ac:dyDescent="0.25">
      <c r="A89" s="3" t="s">
        <v>360</v>
      </c>
      <c r="B89" t="s">
        <v>329</v>
      </c>
      <c r="C89" t="s">
        <v>337</v>
      </c>
      <c r="D89" t="str">
        <f t="shared" si="2"/>
        <v>Não</v>
      </c>
      <c r="F89"/>
    </row>
    <row r="90" spans="1:6" x14ac:dyDescent="0.25">
      <c r="A90" s="3" t="s">
        <v>5</v>
      </c>
      <c r="B90" t="s">
        <v>265</v>
      </c>
      <c r="D90" t="str">
        <f t="shared" si="2"/>
        <v>Não</v>
      </c>
      <c r="F90"/>
    </row>
    <row r="91" spans="1:6" x14ac:dyDescent="0.25">
      <c r="A91" s="3" t="s">
        <v>5</v>
      </c>
      <c r="B91" t="s">
        <v>316</v>
      </c>
      <c r="D91" t="str">
        <f t="shared" si="2"/>
        <v>Não</v>
      </c>
      <c r="F91"/>
    </row>
    <row r="92" spans="1:6" x14ac:dyDescent="0.25">
      <c r="A92" s="3" t="s">
        <v>5</v>
      </c>
      <c r="B92" t="s">
        <v>317</v>
      </c>
      <c r="D92" t="str">
        <f t="shared" si="2"/>
        <v>Não</v>
      </c>
      <c r="F92"/>
    </row>
    <row r="93" spans="1:6" x14ac:dyDescent="0.25">
      <c r="A93" s="3" t="s">
        <v>5</v>
      </c>
      <c r="B93" t="s">
        <v>319</v>
      </c>
      <c r="D93" t="str">
        <f t="shared" si="2"/>
        <v>Não</v>
      </c>
      <c r="F93"/>
    </row>
    <row r="94" spans="1:6" x14ac:dyDescent="0.25">
      <c r="A94" s="3" t="s">
        <v>5</v>
      </c>
      <c r="B94" t="s">
        <v>321</v>
      </c>
      <c r="D94" t="str">
        <f t="shared" si="2"/>
        <v>Não</v>
      </c>
      <c r="F94"/>
    </row>
    <row r="95" spans="1:6" x14ac:dyDescent="0.25">
      <c r="A95" s="3" t="s">
        <v>5</v>
      </c>
      <c r="B95" t="s">
        <v>327</v>
      </c>
      <c r="C95" t="s">
        <v>322</v>
      </c>
      <c r="D95" t="str">
        <f t="shared" si="2"/>
        <v>Não</v>
      </c>
      <c r="F95"/>
    </row>
    <row r="96" spans="1:6" x14ac:dyDescent="0.25">
      <c r="A96" s="3" t="s">
        <v>146</v>
      </c>
      <c r="B96" t="s">
        <v>276</v>
      </c>
      <c r="D96" t="str">
        <f t="shared" si="2"/>
        <v>Não</v>
      </c>
      <c r="F96"/>
    </row>
    <row r="97" spans="1:6" x14ac:dyDescent="0.25">
      <c r="A97" s="3" t="s">
        <v>146</v>
      </c>
      <c r="B97" t="s">
        <v>285</v>
      </c>
      <c r="D97" t="str">
        <f t="shared" si="2"/>
        <v>Não</v>
      </c>
      <c r="F97"/>
    </row>
    <row r="98" spans="1:6" x14ac:dyDescent="0.25">
      <c r="A98" s="3" t="s">
        <v>146</v>
      </c>
      <c r="B98" t="s">
        <v>315</v>
      </c>
      <c r="D98" t="str">
        <f t="shared" si="2"/>
        <v>Não</v>
      </c>
      <c r="F98"/>
    </row>
    <row r="99" spans="1:6" x14ac:dyDescent="0.25">
      <c r="A99" s="3" t="s">
        <v>146</v>
      </c>
      <c r="B99" t="s">
        <v>323</v>
      </c>
      <c r="C99" t="s">
        <v>318</v>
      </c>
      <c r="D99" t="str">
        <f t="shared" si="2"/>
        <v>Não</v>
      </c>
      <c r="F99"/>
    </row>
    <row r="100" spans="1:6" x14ac:dyDescent="0.25">
      <c r="A100" s="3" t="s">
        <v>146</v>
      </c>
      <c r="B100" t="s">
        <v>17</v>
      </c>
      <c r="C100" t="s">
        <v>339</v>
      </c>
      <c r="D100" t="str">
        <f t="shared" si="2"/>
        <v>Não</v>
      </c>
      <c r="F100"/>
    </row>
    <row r="101" spans="1:6" x14ac:dyDescent="0.25">
      <c r="A101" s="3" t="s">
        <v>146</v>
      </c>
      <c r="B101" t="s">
        <v>335</v>
      </c>
      <c r="D101" t="str">
        <f t="shared" si="2"/>
        <v>Não</v>
      </c>
      <c r="F101"/>
    </row>
    <row r="102" spans="1:6" x14ac:dyDescent="0.25">
      <c r="F102"/>
    </row>
    <row r="103" spans="1:6" x14ac:dyDescent="0.25">
      <c r="F103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7FE30-2F84-43C9-B6D2-30C8B5206C74}">
  <dimension ref="A1:G103"/>
  <sheetViews>
    <sheetView workbookViewId="0">
      <selection activeCell="J24" sqref="J24"/>
    </sheetView>
  </sheetViews>
  <sheetFormatPr defaultRowHeight="15" x14ac:dyDescent="0.25"/>
  <cols>
    <col min="1" max="1" width="11.85546875" style="3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8" t="s">
        <v>145</v>
      </c>
      <c r="B1" s="8"/>
      <c r="C1" s="8"/>
      <c r="D1" s="8"/>
      <c r="E1" s="8"/>
      <c r="F1" s="8"/>
      <c r="G1" s="8"/>
    </row>
    <row r="2" spans="1:7" x14ac:dyDescent="0.25">
      <c r="A2" s="4" t="s">
        <v>0</v>
      </c>
      <c r="B2" s="4" t="s">
        <v>216</v>
      </c>
      <c r="C2" s="4" t="s">
        <v>217</v>
      </c>
      <c r="D2" s="4" t="s">
        <v>8</v>
      </c>
    </row>
    <row r="3" spans="1:7" x14ac:dyDescent="0.25">
      <c r="A3" s="3" t="s">
        <v>1</v>
      </c>
      <c r="B3" t="s">
        <v>13</v>
      </c>
      <c r="D3" t="str">
        <f>IF(B3=C3, "Sim", "Não")</f>
        <v>Não</v>
      </c>
      <c r="F3" s="4" t="s">
        <v>11</v>
      </c>
      <c r="G3" s="3">
        <f>COUNTIF(D3:D106,"Não")</f>
        <v>99</v>
      </c>
    </row>
    <row r="4" spans="1:7" x14ac:dyDescent="0.25">
      <c r="A4" s="3" t="s">
        <v>1</v>
      </c>
      <c r="B4" t="s">
        <v>24</v>
      </c>
      <c r="D4" t="str">
        <f t="shared" ref="D4:D68" si="0">IF(B4=C4, "Sim", "Não")</f>
        <v>Não</v>
      </c>
      <c r="F4" s="4" t="s">
        <v>12</v>
      </c>
      <c r="G4" s="3">
        <f>SUM(G7:G25)</f>
        <v>99</v>
      </c>
    </row>
    <row r="5" spans="1:7" x14ac:dyDescent="0.25">
      <c r="A5" s="3" t="s">
        <v>1</v>
      </c>
      <c r="B5" t="s">
        <v>240</v>
      </c>
      <c r="C5" t="s">
        <v>241</v>
      </c>
      <c r="D5" t="str">
        <f t="shared" si="0"/>
        <v>Não</v>
      </c>
    </row>
    <row r="6" spans="1:7" x14ac:dyDescent="0.25">
      <c r="A6" s="3" t="s">
        <v>1</v>
      </c>
      <c r="B6" t="s">
        <v>251</v>
      </c>
      <c r="C6" t="s">
        <v>242</v>
      </c>
      <c r="D6" t="str">
        <f t="shared" si="0"/>
        <v>Não</v>
      </c>
      <c r="F6" s="6" t="s">
        <v>3</v>
      </c>
      <c r="G6" s="1"/>
    </row>
    <row r="7" spans="1:7" x14ac:dyDescent="0.25">
      <c r="A7" s="3" t="s">
        <v>1</v>
      </c>
      <c r="B7" t="s">
        <v>255</v>
      </c>
      <c r="C7" t="s">
        <v>243</v>
      </c>
      <c r="D7" t="str">
        <f t="shared" si="0"/>
        <v>Não</v>
      </c>
      <c r="F7" s="7" t="s">
        <v>1</v>
      </c>
      <c r="G7" s="2">
        <f t="shared" ref="G7:G15" si="1">COUNTIF(A:A,F7)</f>
        <v>38</v>
      </c>
    </row>
    <row r="8" spans="1:7" x14ac:dyDescent="0.25">
      <c r="A8" s="3" t="s">
        <v>1</v>
      </c>
      <c r="B8" t="s">
        <v>264</v>
      </c>
      <c r="C8" t="s">
        <v>244</v>
      </c>
      <c r="D8" t="str">
        <f t="shared" si="0"/>
        <v>Não</v>
      </c>
      <c r="F8" s="7" t="s">
        <v>23</v>
      </c>
      <c r="G8" s="2">
        <f t="shared" si="1"/>
        <v>9</v>
      </c>
    </row>
    <row r="9" spans="1:7" x14ac:dyDescent="0.25">
      <c r="A9" s="3" t="s">
        <v>1</v>
      </c>
      <c r="B9" t="s">
        <v>262</v>
      </c>
      <c r="C9" t="s">
        <v>245</v>
      </c>
      <c r="D9" t="str">
        <f t="shared" si="0"/>
        <v>Não</v>
      </c>
      <c r="F9" s="7" t="s">
        <v>4</v>
      </c>
      <c r="G9" s="2">
        <f t="shared" si="1"/>
        <v>20</v>
      </c>
    </row>
    <row r="10" spans="1:7" x14ac:dyDescent="0.25">
      <c r="A10" s="3" t="s">
        <v>1</v>
      </c>
      <c r="B10" t="s">
        <v>6</v>
      </c>
      <c r="C10" t="s">
        <v>246</v>
      </c>
      <c r="D10" t="str">
        <f t="shared" si="0"/>
        <v>Não</v>
      </c>
      <c r="F10" s="7" t="s">
        <v>146</v>
      </c>
      <c r="G10" s="2">
        <f t="shared" si="1"/>
        <v>5</v>
      </c>
    </row>
    <row r="11" spans="1:7" x14ac:dyDescent="0.25">
      <c r="A11" s="3" t="s">
        <v>1</v>
      </c>
      <c r="B11" t="s">
        <v>14</v>
      </c>
      <c r="C11" t="s">
        <v>247</v>
      </c>
      <c r="D11" t="str">
        <f t="shared" si="0"/>
        <v>Não</v>
      </c>
      <c r="F11" s="7" t="s">
        <v>5</v>
      </c>
      <c r="G11" s="2">
        <f t="shared" si="1"/>
        <v>3</v>
      </c>
    </row>
    <row r="12" spans="1:7" x14ac:dyDescent="0.25">
      <c r="A12" s="3" t="s">
        <v>1</v>
      </c>
      <c r="B12" t="s">
        <v>262</v>
      </c>
      <c r="C12" t="s">
        <v>248</v>
      </c>
      <c r="D12" t="str">
        <f t="shared" si="0"/>
        <v>Não</v>
      </c>
      <c r="F12" s="3" t="s">
        <v>157</v>
      </c>
      <c r="G12" s="2">
        <f t="shared" si="1"/>
        <v>7</v>
      </c>
    </row>
    <row r="13" spans="1:7" x14ac:dyDescent="0.25">
      <c r="A13" s="3" t="s">
        <v>1</v>
      </c>
      <c r="B13" t="s">
        <v>6</v>
      </c>
      <c r="C13" t="s">
        <v>249</v>
      </c>
      <c r="D13" t="str">
        <f t="shared" si="0"/>
        <v>Não</v>
      </c>
      <c r="F13" s="7" t="s">
        <v>155</v>
      </c>
      <c r="G13" s="2">
        <f t="shared" si="1"/>
        <v>7</v>
      </c>
    </row>
    <row r="14" spans="1:7" x14ac:dyDescent="0.25">
      <c r="A14" s="3" t="s">
        <v>1</v>
      </c>
      <c r="B14" t="s">
        <v>14</v>
      </c>
      <c r="C14" t="s">
        <v>250</v>
      </c>
      <c r="D14" t="str">
        <f t="shared" si="0"/>
        <v>Não</v>
      </c>
      <c r="F14" s="7" t="s">
        <v>156</v>
      </c>
      <c r="G14" s="2">
        <f t="shared" si="1"/>
        <v>7</v>
      </c>
    </row>
    <row r="15" spans="1:7" x14ac:dyDescent="0.25">
      <c r="A15" s="3" t="s">
        <v>1</v>
      </c>
      <c r="B15" t="s">
        <v>252</v>
      </c>
      <c r="C15" t="s">
        <v>256</v>
      </c>
      <c r="D15" t="str">
        <f t="shared" si="0"/>
        <v>Não</v>
      </c>
      <c r="F15" s="3" t="s">
        <v>16</v>
      </c>
      <c r="G15" s="2">
        <f t="shared" si="1"/>
        <v>3</v>
      </c>
    </row>
    <row r="16" spans="1:7" x14ac:dyDescent="0.25">
      <c r="A16" s="3" t="s">
        <v>1</v>
      </c>
      <c r="B16" t="s">
        <v>253</v>
      </c>
      <c r="D16" t="str">
        <f t="shared" si="0"/>
        <v>Não</v>
      </c>
      <c r="F16" s="4"/>
      <c r="G16" s="2"/>
    </row>
    <row r="17" spans="1:4" x14ac:dyDescent="0.25">
      <c r="A17" s="3" t="s">
        <v>1</v>
      </c>
      <c r="B17" t="s">
        <v>254</v>
      </c>
      <c r="D17" t="str">
        <f t="shared" si="0"/>
        <v>Não</v>
      </c>
    </row>
    <row r="18" spans="1:4" x14ac:dyDescent="0.25">
      <c r="A18" s="3" t="s">
        <v>1</v>
      </c>
      <c r="B18" t="s">
        <v>260</v>
      </c>
      <c r="D18" t="str">
        <f t="shared" si="0"/>
        <v>Não</v>
      </c>
    </row>
    <row r="19" spans="1:4" x14ac:dyDescent="0.25">
      <c r="A19" s="3" t="s">
        <v>1</v>
      </c>
      <c r="B19" t="s">
        <v>258</v>
      </c>
      <c r="D19" t="str">
        <f t="shared" si="0"/>
        <v>Não</v>
      </c>
    </row>
    <row r="20" spans="1:4" x14ac:dyDescent="0.25">
      <c r="A20" s="3" t="s">
        <v>1</v>
      </c>
      <c r="B20" t="s">
        <v>259</v>
      </c>
      <c r="D20" t="str">
        <f t="shared" si="0"/>
        <v>Não</v>
      </c>
    </row>
    <row r="21" spans="1:4" x14ac:dyDescent="0.25">
      <c r="A21" s="3" t="s">
        <v>1</v>
      </c>
      <c r="B21" t="s">
        <v>257</v>
      </c>
      <c r="D21" t="str">
        <f t="shared" si="0"/>
        <v>Não</v>
      </c>
    </row>
    <row r="22" spans="1:4" x14ac:dyDescent="0.25">
      <c r="A22" s="3" t="s">
        <v>1</v>
      </c>
      <c r="B22" t="s">
        <v>234</v>
      </c>
      <c r="C22" t="s">
        <v>235</v>
      </c>
      <c r="D22" t="str">
        <f t="shared" si="0"/>
        <v>Não</v>
      </c>
    </row>
    <row r="23" spans="1:4" x14ac:dyDescent="0.25">
      <c r="A23" s="3" t="s">
        <v>1</v>
      </c>
      <c r="B23" t="s">
        <v>233</v>
      </c>
      <c r="D23" t="str">
        <f t="shared" si="0"/>
        <v>Não</v>
      </c>
    </row>
    <row r="24" spans="1:4" x14ac:dyDescent="0.25">
      <c r="A24" s="3" t="s">
        <v>1</v>
      </c>
      <c r="B24" t="s">
        <v>239</v>
      </c>
      <c r="C24" t="s">
        <v>237</v>
      </c>
      <c r="D24" t="str">
        <f t="shared" si="0"/>
        <v>Não</v>
      </c>
    </row>
    <row r="25" spans="1:4" x14ac:dyDescent="0.25">
      <c r="A25" s="3" t="s">
        <v>1</v>
      </c>
      <c r="B25" t="s">
        <v>21</v>
      </c>
      <c r="D25" t="str">
        <f t="shared" si="0"/>
        <v>Não</v>
      </c>
    </row>
    <row r="26" spans="1:4" x14ac:dyDescent="0.25">
      <c r="A26" s="3" t="s">
        <v>1</v>
      </c>
      <c r="B26" t="s">
        <v>238</v>
      </c>
      <c r="C26" t="s">
        <v>261</v>
      </c>
      <c r="D26" t="str">
        <f t="shared" si="0"/>
        <v>Não</v>
      </c>
    </row>
    <row r="27" spans="1:4" x14ac:dyDescent="0.25">
      <c r="A27" s="3" t="s">
        <v>1</v>
      </c>
      <c r="B27" t="s">
        <v>33</v>
      </c>
      <c r="D27" t="str">
        <f t="shared" si="0"/>
        <v>Não</v>
      </c>
    </row>
    <row r="28" spans="1:4" x14ac:dyDescent="0.25">
      <c r="A28" s="3" t="s">
        <v>1</v>
      </c>
      <c r="B28" t="s">
        <v>262</v>
      </c>
      <c r="C28" t="s">
        <v>236</v>
      </c>
      <c r="D28" t="str">
        <f t="shared" si="0"/>
        <v>Não</v>
      </c>
    </row>
    <row r="29" spans="1:4" x14ac:dyDescent="0.25">
      <c r="A29" s="3" t="s">
        <v>1</v>
      </c>
      <c r="B29" t="s">
        <v>262</v>
      </c>
      <c r="D29" t="str">
        <f t="shared" si="0"/>
        <v>Não</v>
      </c>
    </row>
    <row r="30" spans="1:4" x14ac:dyDescent="0.25">
      <c r="A30" s="3" t="s">
        <v>1</v>
      </c>
      <c r="B30" t="s">
        <v>262</v>
      </c>
      <c r="D30" t="str">
        <f t="shared" si="0"/>
        <v>Não</v>
      </c>
    </row>
    <row r="31" spans="1:4" x14ac:dyDescent="0.25">
      <c r="A31" s="3" t="s">
        <v>1</v>
      </c>
      <c r="B31" t="s">
        <v>262</v>
      </c>
      <c r="D31" t="str">
        <f t="shared" si="0"/>
        <v>Não</v>
      </c>
    </row>
    <row r="32" spans="1:4" x14ac:dyDescent="0.25">
      <c r="A32" s="3" t="s">
        <v>1</v>
      </c>
      <c r="B32" t="s">
        <v>6</v>
      </c>
      <c r="C32" t="s">
        <v>232</v>
      </c>
      <c r="D32" t="str">
        <f t="shared" si="0"/>
        <v>Não</v>
      </c>
    </row>
    <row r="33" spans="1:4" x14ac:dyDescent="0.25">
      <c r="A33" s="3" t="s">
        <v>1</v>
      </c>
      <c r="B33" t="s">
        <v>6</v>
      </c>
      <c r="D33" t="str">
        <f t="shared" si="0"/>
        <v>Não</v>
      </c>
    </row>
    <row r="34" spans="1:4" x14ac:dyDescent="0.25">
      <c r="A34" s="3" t="s">
        <v>1</v>
      </c>
      <c r="B34" t="s">
        <v>6</v>
      </c>
      <c r="D34" t="str">
        <f t="shared" si="0"/>
        <v>Não</v>
      </c>
    </row>
    <row r="35" spans="1:4" x14ac:dyDescent="0.25">
      <c r="A35" s="3" t="s">
        <v>1</v>
      </c>
      <c r="B35" t="s">
        <v>6</v>
      </c>
      <c r="D35" t="str">
        <f t="shared" si="0"/>
        <v>Não</v>
      </c>
    </row>
    <row r="36" spans="1:4" x14ac:dyDescent="0.25">
      <c r="A36" s="3" t="s">
        <v>1</v>
      </c>
      <c r="B36" t="s">
        <v>14</v>
      </c>
      <c r="C36" t="s">
        <v>15</v>
      </c>
      <c r="D36" t="str">
        <f t="shared" si="0"/>
        <v>Não</v>
      </c>
    </row>
    <row r="37" spans="1:4" x14ac:dyDescent="0.25">
      <c r="A37" s="3" t="s">
        <v>1</v>
      </c>
      <c r="B37" t="s">
        <v>14</v>
      </c>
      <c r="D37" t="str">
        <f t="shared" si="0"/>
        <v>Não</v>
      </c>
    </row>
    <row r="38" spans="1:4" x14ac:dyDescent="0.25">
      <c r="A38" s="3" t="s">
        <v>1</v>
      </c>
      <c r="B38" t="s">
        <v>14</v>
      </c>
      <c r="D38" t="str">
        <f t="shared" si="0"/>
        <v>Não</v>
      </c>
    </row>
    <row r="39" spans="1:4" x14ac:dyDescent="0.25">
      <c r="A39" s="3" t="s">
        <v>1</v>
      </c>
      <c r="B39" t="s">
        <v>14</v>
      </c>
      <c r="D39" t="str">
        <f t="shared" si="0"/>
        <v>Não</v>
      </c>
    </row>
    <row r="40" spans="1:4" x14ac:dyDescent="0.25">
      <c r="A40" s="3" t="s">
        <v>1</v>
      </c>
      <c r="B40" t="s">
        <v>14</v>
      </c>
      <c r="D40" t="str">
        <f t="shared" si="0"/>
        <v>Não</v>
      </c>
    </row>
    <row r="41" spans="1:4" x14ac:dyDescent="0.25">
      <c r="A41" s="3" t="s">
        <v>23</v>
      </c>
      <c r="B41" t="s">
        <v>19</v>
      </c>
      <c r="D41" t="str">
        <f t="shared" si="0"/>
        <v>Não</v>
      </c>
    </row>
    <row r="42" spans="1:4" x14ac:dyDescent="0.25">
      <c r="A42" s="3" t="s">
        <v>23</v>
      </c>
      <c r="B42" t="s">
        <v>22</v>
      </c>
      <c r="D42" t="str">
        <f t="shared" si="0"/>
        <v>Não</v>
      </c>
    </row>
    <row r="43" spans="1:4" x14ac:dyDescent="0.25">
      <c r="A43" s="3" t="s">
        <v>23</v>
      </c>
      <c r="B43" t="s">
        <v>148</v>
      </c>
      <c r="D43" t="str">
        <f t="shared" si="0"/>
        <v>Não</v>
      </c>
    </row>
    <row r="44" spans="1:4" x14ac:dyDescent="0.25">
      <c r="A44" s="3" t="s">
        <v>23</v>
      </c>
      <c r="B44" t="s">
        <v>149</v>
      </c>
      <c r="D44" t="str">
        <f t="shared" si="0"/>
        <v>Não</v>
      </c>
    </row>
    <row r="45" spans="1:4" x14ac:dyDescent="0.25">
      <c r="A45" s="3" t="s">
        <v>23</v>
      </c>
      <c r="B45" t="s">
        <v>150</v>
      </c>
      <c r="D45" t="str">
        <f t="shared" si="0"/>
        <v>Não</v>
      </c>
    </row>
    <row r="46" spans="1:4" x14ac:dyDescent="0.25">
      <c r="A46" s="3" t="s">
        <v>23</v>
      </c>
      <c r="B46" t="s">
        <v>151</v>
      </c>
      <c r="D46" t="str">
        <f t="shared" si="0"/>
        <v>Não</v>
      </c>
    </row>
    <row r="47" spans="1:4" x14ac:dyDescent="0.25">
      <c r="A47" s="3" t="s">
        <v>23</v>
      </c>
      <c r="B47" t="s">
        <v>152</v>
      </c>
      <c r="D47" t="str">
        <f t="shared" si="0"/>
        <v>Não</v>
      </c>
    </row>
    <row r="48" spans="1:4" x14ac:dyDescent="0.25">
      <c r="A48" s="3" t="s">
        <v>23</v>
      </c>
      <c r="B48" t="s">
        <v>153</v>
      </c>
      <c r="D48" t="str">
        <f t="shared" si="0"/>
        <v>Não</v>
      </c>
    </row>
    <row r="49" spans="1:4" x14ac:dyDescent="0.25">
      <c r="A49" s="3" t="s">
        <v>23</v>
      </c>
      <c r="B49" t="s">
        <v>154</v>
      </c>
      <c r="D49" t="str">
        <f t="shared" si="0"/>
        <v>Não</v>
      </c>
    </row>
    <row r="50" spans="1:4" x14ac:dyDescent="0.25">
      <c r="A50" s="3" t="s">
        <v>4</v>
      </c>
      <c r="B50" t="s">
        <v>220</v>
      </c>
      <c r="C50" t="s">
        <v>187</v>
      </c>
      <c r="D50" t="str">
        <f t="shared" si="0"/>
        <v>Não</v>
      </c>
    </row>
    <row r="51" spans="1:4" x14ac:dyDescent="0.25">
      <c r="A51" s="3" t="s">
        <v>4</v>
      </c>
      <c r="B51" t="s">
        <v>210</v>
      </c>
      <c r="D51" t="str">
        <f t="shared" si="0"/>
        <v>Não</v>
      </c>
    </row>
    <row r="52" spans="1:4" x14ac:dyDescent="0.25">
      <c r="A52" s="3" t="s">
        <v>4</v>
      </c>
      <c r="B52" t="s">
        <v>211</v>
      </c>
      <c r="D52" t="str">
        <f t="shared" si="0"/>
        <v>Não</v>
      </c>
    </row>
    <row r="53" spans="1:4" x14ac:dyDescent="0.25">
      <c r="A53" s="3" t="s">
        <v>4</v>
      </c>
      <c r="B53" t="s">
        <v>212</v>
      </c>
      <c r="D53" t="str">
        <f t="shared" si="0"/>
        <v>Não</v>
      </c>
    </row>
    <row r="54" spans="1:4" x14ac:dyDescent="0.25">
      <c r="A54" s="3" t="s">
        <v>4</v>
      </c>
      <c r="B54" t="s">
        <v>202</v>
      </c>
      <c r="C54" t="s">
        <v>180</v>
      </c>
      <c r="D54" t="str">
        <f t="shared" si="0"/>
        <v>Não</v>
      </c>
    </row>
    <row r="55" spans="1:4" x14ac:dyDescent="0.25">
      <c r="A55" s="3" t="s">
        <v>4</v>
      </c>
      <c r="B55" t="s">
        <v>203</v>
      </c>
      <c r="C55" t="s">
        <v>164</v>
      </c>
      <c r="D55" t="str">
        <f t="shared" si="0"/>
        <v>Não</v>
      </c>
    </row>
    <row r="56" spans="1:4" x14ac:dyDescent="0.25">
      <c r="A56" s="3" t="s">
        <v>4</v>
      </c>
      <c r="B56" t="s">
        <v>204</v>
      </c>
      <c r="D56" t="str">
        <f t="shared" si="0"/>
        <v>Não</v>
      </c>
    </row>
    <row r="57" spans="1:4" x14ac:dyDescent="0.25">
      <c r="A57" s="3" t="s">
        <v>4</v>
      </c>
      <c r="B57" t="s">
        <v>205</v>
      </c>
      <c r="D57" t="str">
        <f t="shared" si="0"/>
        <v>Não</v>
      </c>
    </row>
    <row r="58" spans="1:4" x14ac:dyDescent="0.25">
      <c r="A58" s="3" t="s">
        <v>4</v>
      </c>
      <c r="B58" t="s">
        <v>206</v>
      </c>
      <c r="D58" t="str">
        <f t="shared" si="0"/>
        <v>Não</v>
      </c>
    </row>
    <row r="59" spans="1:4" x14ac:dyDescent="0.25">
      <c r="A59" s="3" t="s">
        <v>4</v>
      </c>
      <c r="B59" t="s">
        <v>207</v>
      </c>
      <c r="C59" t="s">
        <v>225</v>
      </c>
      <c r="D59" t="str">
        <f t="shared" si="0"/>
        <v>Não</v>
      </c>
    </row>
    <row r="60" spans="1:4" x14ac:dyDescent="0.25">
      <c r="A60" s="3" t="s">
        <v>4</v>
      </c>
      <c r="B60" t="s">
        <v>208</v>
      </c>
      <c r="C60" t="s">
        <v>224</v>
      </c>
      <c r="D60" t="str">
        <f>IF(B60=C60, "Sim", "Não")</f>
        <v>Não</v>
      </c>
    </row>
    <row r="61" spans="1:4" x14ac:dyDescent="0.25">
      <c r="A61" s="3" t="s">
        <v>4</v>
      </c>
      <c r="B61" t="s">
        <v>209</v>
      </c>
      <c r="C61" t="s">
        <v>223</v>
      </c>
      <c r="D61" t="str">
        <f t="shared" si="0"/>
        <v>Não</v>
      </c>
    </row>
    <row r="62" spans="1:4" x14ac:dyDescent="0.25">
      <c r="A62" s="3" t="s">
        <v>4</v>
      </c>
      <c r="B62" t="s">
        <v>219</v>
      </c>
      <c r="D62" t="str">
        <f t="shared" si="0"/>
        <v>Não</v>
      </c>
    </row>
    <row r="63" spans="1:4" x14ac:dyDescent="0.25">
      <c r="A63" s="3" t="s">
        <v>4</v>
      </c>
      <c r="B63" t="s">
        <v>197</v>
      </c>
      <c r="D63" t="str">
        <f t="shared" si="0"/>
        <v>Não</v>
      </c>
    </row>
    <row r="64" spans="1:4" x14ac:dyDescent="0.25">
      <c r="A64" s="3" t="s">
        <v>4</v>
      </c>
      <c r="B64" t="s">
        <v>194</v>
      </c>
      <c r="D64" t="str">
        <f>IF(B64=C64, "Sim", "Não")</f>
        <v>Não</v>
      </c>
    </row>
    <row r="65" spans="1:6" x14ac:dyDescent="0.25">
      <c r="A65" s="3" t="s">
        <v>4</v>
      </c>
      <c r="B65" t="s">
        <v>221</v>
      </c>
      <c r="C65" t="s">
        <v>190</v>
      </c>
      <c r="D65" t="str">
        <f t="shared" si="0"/>
        <v>Não</v>
      </c>
    </row>
    <row r="66" spans="1:6" x14ac:dyDescent="0.25">
      <c r="A66" s="3" t="s">
        <v>4</v>
      </c>
      <c r="B66" t="s">
        <v>222</v>
      </c>
      <c r="C66" t="s">
        <v>186</v>
      </c>
      <c r="D66" t="str">
        <f t="shared" si="0"/>
        <v>Não</v>
      </c>
    </row>
    <row r="67" spans="1:6" x14ac:dyDescent="0.25">
      <c r="A67" s="3" t="s">
        <v>4</v>
      </c>
      <c r="B67" t="s">
        <v>185</v>
      </c>
      <c r="D67" t="str">
        <f t="shared" si="0"/>
        <v>Não</v>
      </c>
    </row>
    <row r="68" spans="1:6" x14ac:dyDescent="0.25">
      <c r="A68" s="3" t="s">
        <v>4</v>
      </c>
      <c r="B68" t="s">
        <v>178</v>
      </c>
      <c r="D68" t="str">
        <f t="shared" si="0"/>
        <v>Não</v>
      </c>
    </row>
    <row r="69" spans="1:6" x14ac:dyDescent="0.25">
      <c r="A69" s="3" t="s">
        <v>4</v>
      </c>
      <c r="B69" t="s">
        <v>167</v>
      </c>
      <c r="D69" t="str">
        <f t="shared" ref="D69:D101" si="2">IF(B69=C69, "Sim", "Não")</f>
        <v>Não</v>
      </c>
      <c r="F69"/>
    </row>
    <row r="70" spans="1:6" x14ac:dyDescent="0.25">
      <c r="A70" s="3" t="s">
        <v>155</v>
      </c>
      <c r="B70" t="s">
        <v>158</v>
      </c>
      <c r="D70" t="str">
        <f t="shared" si="2"/>
        <v>Não</v>
      </c>
      <c r="F70"/>
    </row>
    <row r="71" spans="1:6" x14ac:dyDescent="0.25">
      <c r="A71" s="3" t="s">
        <v>155</v>
      </c>
      <c r="B71" t="s">
        <v>198</v>
      </c>
      <c r="C71" t="s">
        <v>159</v>
      </c>
      <c r="D71" t="str">
        <f t="shared" si="2"/>
        <v>Não</v>
      </c>
      <c r="F71"/>
    </row>
    <row r="72" spans="1:6" x14ac:dyDescent="0.25">
      <c r="A72" s="3" t="s">
        <v>155</v>
      </c>
      <c r="B72" t="s">
        <v>160</v>
      </c>
      <c r="D72" t="str">
        <f t="shared" si="2"/>
        <v>Não</v>
      </c>
      <c r="F72"/>
    </row>
    <row r="73" spans="1:6" x14ac:dyDescent="0.25">
      <c r="A73" s="3" t="s">
        <v>155</v>
      </c>
      <c r="B73" t="s">
        <v>199</v>
      </c>
      <c r="C73" t="s">
        <v>161</v>
      </c>
      <c r="D73" t="str">
        <f t="shared" si="2"/>
        <v>Não</v>
      </c>
      <c r="F73"/>
    </row>
    <row r="74" spans="1:6" x14ac:dyDescent="0.25">
      <c r="A74" s="3" t="s">
        <v>155</v>
      </c>
      <c r="B74" t="s">
        <v>173</v>
      </c>
      <c r="C74" t="s">
        <v>165</v>
      </c>
      <c r="D74" t="str">
        <f t="shared" si="2"/>
        <v>Não</v>
      </c>
      <c r="F74"/>
    </row>
    <row r="75" spans="1:6" x14ac:dyDescent="0.25">
      <c r="A75" s="3" t="s">
        <v>155</v>
      </c>
      <c r="B75" t="s">
        <v>182</v>
      </c>
      <c r="C75" t="s">
        <v>168</v>
      </c>
      <c r="D75" t="str">
        <f t="shared" si="2"/>
        <v>Não</v>
      </c>
    </row>
    <row r="76" spans="1:6" x14ac:dyDescent="0.25">
      <c r="A76" s="3" t="s">
        <v>155</v>
      </c>
      <c r="B76" t="s">
        <v>170</v>
      </c>
      <c r="C76" t="s">
        <v>175</v>
      </c>
      <c r="D76" t="str">
        <f t="shared" si="2"/>
        <v>Não</v>
      </c>
    </row>
    <row r="77" spans="1:6" x14ac:dyDescent="0.25">
      <c r="A77" s="3" t="s">
        <v>157</v>
      </c>
      <c r="B77" t="s">
        <v>162</v>
      </c>
      <c r="D77" t="str">
        <f t="shared" si="2"/>
        <v>Não</v>
      </c>
      <c r="F77"/>
    </row>
    <row r="78" spans="1:6" x14ac:dyDescent="0.25">
      <c r="A78" s="3" t="s">
        <v>157</v>
      </c>
      <c r="B78" t="s">
        <v>171</v>
      </c>
      <c r="D78" t="str">
        <f t="shared" si="2"/>
        <v>Não</v>
      </c>
      <c r="F78"/>
    </row>
    <row r="79" spans="1:6" x14ac:dyDescent="0.25">
      <c r="A79" s="3" t="s">
        <v>157</v>
      </c>
      <c r="B79" t="s">
        <v>184</v>
      </c>
      <c r="D79" t="str">
        <f t="shared" si="2"/>
        <v>Não</v>
      </c>
      <c r="F79"/>
    </row>
    <row r="80" spans="1:6" x14ac:dyDescent="0.25">
      <c r="A80" s="3" t="s">
        <v>157</v>
      </c>
      <c r="B80" t="s">
        <v>218</v>
      </c>
      <c r="C80" t="s">
        <v>179</v>
      </c>
      <c r="D80" t="str">
        <f t="shared" si="2"/>
        <v>Não</v>
      </c>
      <c r="F80"/>
    </row>
    <row r="81" spans="1:6" x14ac:dyDescent="0.25">
      <c r="A81" s="3" t="s">
        <v>157</v>
      </c>
      <c r="B81" t="s">
        <v>195</v>
      </c>
      <c r="C81" t="s">
        <v>183</v>
      </c>
      <c r="D81" t="str">
        <f t="shared" si="2"/>
        <v>Não</v>
      </c>
      <c r="F81"/>
    </row>
    <row r="82" spans="1:6" x14ac:dyDescent="0.25">
      <c r="A82" s="3" t="s">
        <v>157</v>
      </c>
      <c r="B82" t="s">
        <v>163</v>
      </c>
      <c r="D82" t="str">
        <f t="shared" si="2"/>
        <v>Não</v>
      </c>
    </row>
    <row r="83" spans="1:6" x14ac:dyDescent="0.25">
      <c r="A83" s="3" t="s">
        <v>157</v>
      </c>
      <c r="B83" t="s">
        <v>166</v>
      </c>
      <c r="D83" t="str">
        <f t="shared" si="2"/>
        <v>Não</v>
      </c>
      <c r="F83"/>
    </row>
    <row r="84" spans="1:6" x14ac:dyDescent="0.25">
      <c r="A84" s="3" t="s">
        <v>156</v>
      </c>
      <c r="B84" t="s">
        <v>227</v>
      </c>
      <c r="C84" t="s">
        <v>172</v>
      </c>
      <c r="D84" t="str">
        <f t="shared" si="2"/>
        <v>Não</v>
      </c>
    </row>
    <row r="85" spans="1:6" x14ac:dyDescent="0.25">
      <c r="A85" s="3" t="s">
        <v>156</v>
      </c>
      <c r="B85" t="s">
        <v>228</v>
      </c>
      <c r="C85" t="s">
        <v>176</v>
      </c>
      <c r="D85" t="str">
        <f t="shared" si="2"/>
        <v>Não</v>
      </c>
    </row>
    <row r="86" spans="1:6" x14ac:dyDescent="0.25">
      <c r="A86" s="3" t="s">
        <v>156</v>
      </c>
      <c r="B86" t="s">
        <v>230</v>
      </c>
      <c r="C86" t="s">
        <v>177</v>
      </c>
      <c r="D86" t="str">
        <f t="shared" si="2"/>
        <v>Não</v>
      </c>
    </row>
    <row r="87" spans="1:6" x14ac:dyDescent="0.25">
      <c r="A87" s="3" t="s">
        <v>156</v>
      </c>
      <c r="B87" t="s">
        <v>231</v>
      </c>
      <c r="C87" t="s">
        <v>181</v>
      </c>
      <c r="D87" t="str">
        <f t="shared" si="2"/>
        <v>Não</v>
      </c>
    </row>
    <row r="88" spans="1:6" x14ac:dyDescent="0.25">
      <c r="A88" s="3" t="s">
        <v>156</v>
      </c>
      <c r="B88" t="s">
        <v>188</v>
      </c>
      <c r="D88" t="str">
        <f t="shared" si="2"/>
        <v>Não</v>
      </c>
    </row>
    <row r="89" spans="1:6" x14ac:dyDescent="0.25">
      <c r="A89" s="3" t="s">
        <v>156</v>
      </c>
      <c r="B89" t="s">
        <v>226</v>
      </c>
      <c r="D89" t="str">
        <f t="shared" si="2"/>
        <v>Não</v>
      </c>
    </row>
    <row r="90" spans="1:6" x14ac:dyDescent="0.25">
      <c r="A90" s="3" t="s">
        <v>156</v>
      </c>
      <c r="B90" t="s">
        <v>229</v>
      </c>
      <c r="C90" t="s">
        <v>196</v>
      </c>
      <c r="D90" t="str">
        <f t="shared" si="2"/>
        <v>Não</v>
      </c>
      <c r="F90"/>
    </row>
    <row r="91" spans="1:6" x14ac:dyDescent="0.25">
      <c r="A91" s="3" t="s">
        <v>146</v>
      </c>
      <c r="B91" t="s">
        <v>17</v>
      </c>
      <c r="D91" t="str">
        <f t="shared" si="2"/>
        <v>Não</v>
      </c>
      <c r="F91"/>
    </row>
    <row r="92" spans="1:6" x14ac:dyDescent="0.25">
      <c r="A92" s="3" t="s">
        <v>146</v>
      </c>
      <c r="B92" t="s">
        <v>26</v>
      </c>
      <c r="D92" t="str">
        <f t="shared" si="2"/>
        <v>Não</v>
      </c>
      <c r="F92"/>
    </row>
    <row r="93" spans="1:6" x14ac:dyDescent="0.25">
      <c r="A93" s="3" t="s">
        <v>146</v>
      </c>
      <c r="B93" t="s">
        <v>214</v>
      </c>
      <c r="D93" t="str">
        <f t="shared" si="2"/>
        <v>Não</v>
      </c>
      <c r="F93"/>
    </row>
    <row r="94" spans="1:6" x14ac:dyDescent="0.25">
      <c r="A94" s="3" t="s">
        <v>146</v>
      </c>
      <c r="B94" t="s">
        <v>213</v>
      </c>
      <c r="C94" t="s">
        <v>174</v>
      </c>
      <c r="D94" t="str">
        <f t="shared" si="2"/>
        <v>Não</v>
      </c>
      <c r="F94"/>
    </row>
    <row r="95" spans="1:6" x14ac:dyDescent="0.25">
      <c r="A95" s="3" t="s">
        <v>146</v>
      </c>
      <c r="B95" t="s">
        <v>191</v>
      </c>
      <c r="D95" t="str">
        <f t="shared" si="2"/>
        <v>Não</v>
      </c>
      <c r="F95"/>
    </row>
    <row r="96" spans="1:6" x14ac:dyDescent="0.25">
      <c r="A96" s="3" t="s">
        <v>16</v>
      </c>
      <c r="B96" t="s">
        <v>169</v>
      </c>
      <c r="C96" t="s">
        <v>189</v>
      </c>
      <c r="D96" t="str">
        <f t="shared" si="2"/>
        <v>Não</v>
      </c>
      <c r="F96"/>
    </row>
    <row r="97" spans="1:6" x14ac:dyDescent="0.25">
      <c r="A97" s="3" t="s">
        <v>16</v>
      </c>
      <c r="B97" t="s">
        <v>192</v>
      </c>
      <c r="D97" t="str">
        <f t="shared" si="2"/>
        <v>Não</v>
      </c>
      <c r="F97"/>
    </row>
    <row r="98" spans="1:6" x14ac:dyDescent="0.25">
      <c r="A98" s="3" t="s">
        <v>16</v>
      </c>
      <c r="B98" t="s">
        <v>193</v>
      </c>
      <c r="D98" t="str">
        <f t="shared" si="2"/>
        <v>Não</v>
      </c>
      <c r="F98"/>
    </row>
    <row r="99" spans="1:6" x14ac:dyDescent="0.25">
      <c r="A99" s="3" t="s">
        <v>5</v>
      </c>
      <c r="B99" t="s">
        <v>200</v>
      </c>
      <c r="D99" t="str">
        <f t="shared" si="2"/>
        <v>Não</v>
      </c>
      <c r="F99"/>
    </row>
    <row r="100" spans="1:6" x14ac:dyDescent="0.25">
      <c r="A100" s="3" t="s">
        <v>5</v>
      </c>
      <c r="B100" t="s">
        <v>147</v>
      </c>
      <c r="D100" t="str">
        <f t="shared" si="2"/>
        <v>Não</v>
      </c>
      <c r="F100"/>
    </row>
    <row r="101" spans="1:6" x14ac:dyDescent="0.25">
      <c r="A101" s="3" t="s">
        <v>5</v>
      </c>
      <c r="B101" t="s">
        <v>201</v>
      </c>
      <c r="C101" t="s">
        <v>215</v>
      </c>
      <c r="D101" t="str">
        <f t="shared" si="2"/>
        <v>Não</v>
      </c>
      <c r="F101"/>
    </row>
    <row r="102" spans="1:6" x14ac:dyDescent="0.25">
      <c r="F102"/>
    </row>
    <row r="103" spans="1:6" x14ac:dyDescent="0.25">
      <c r="F103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1E844-1128-4BBF-9860-58ACA329ACBF}">
  <dimension ref="A1:G101"/>
  <sheetViews>
    <sheetView workbookViewId="0">
      <selection activeCell="C14" sqref="C14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8" t="s">
        <v>403</v>
      </c>
      <c r="B1" s="8"/>
      <c r="C1" s="8"/>
      <c r="D1" s="8"/>
      <c r="E1" s="8"/>
      <c r="F1" s="8"/>
      <c r="G1" s="8"/>
    </row>
    <row r="2" spans="1:7" x14ac:dyDescent="0.25">
      <c r="A2" s="4" t="s">
        <v>0</v>
      </c>
      <c r="B2" s="4" t="s">
        <v>9</v>
      </c>
      <c r="C2" s="4" t="s">
        <v>10</v>
      </c>
      <c r="D2" s="4" t="s">
        <v>8</v>
      </c>
    </row>
    <row r="3" spans="1:7" x14ac:dyDescent="0.25">
      <c r="A3" t="s">
        <v>1</v>
      </c>
      <c r="C3" t="s">
        <v>371</v>
      </c>
      <c r="D3" t="str">
        <f>IF(B3=C3, "Sim", "Não")</f>
        <v>Não</v>
      </c>
      <c r="F3" s="4" t="s">
        <v>11</v>
      </c>
      <c r="G3" s="3">
        <f>COUNTIF(D3:D105,"Não")</f>
        <v>99</v>
      </c>
    </row>
    <row r="4" spans="1:7" x14ac:dyDescent="0.25">
      <c r="A4" t="s">
        <v>1</v>
      </c>
      <c r="C4" t="s">
        <v>33</v>
      </c>
      <c r="D4" t="str">
        <f t="shared" ref="D4:D67" si="0">IF(B4=C4, "Sim", "Não")</f>
        <v>Não</v>
      </c>
      <c r="F4" s="4" t="s">
        <v>12</v>
      </c>
      <c r="G4" s="3">
        <f>SUM(G7:G25)</f>
        <v>99</v>
      </c>
    </row>
    <row r="5" spans="1:7" x14ac:dyDescent="0.25">
      <c r="A5" t="s">
        <v>1</v>
      </c>
      <c r="C5" t="s">
        <v>388</v>
      </c>
      <c r="D5" t="str">
        <f t="shared" si="0"/>
        <v>Não</v>
      </c>
    </row>
    <row r="6" spans="1:7" x14ac:dyDescent="0.25">
      <c r="A6" t="s">
        <v>1</v>
      </c>
      <c r="C6" t="s">
        <v>389</v>
      </c>
      <c r="D6" t="str">
        <f t="shared" si="0"/>
        <v>Não</v>
      </c>
      <c r="F6" s="6" t="s">
        <v>3</v>
      </c>
      <c r="G6" s="1"/>
    </row>
    <row r="7" spans="1:7" x14ac:dyDescent="0.25">
      <c r="A7" t="s">
        <v>1</v>
      </c>
      <c r="C7" t="s">
        <v>390</v>
      </c>
      <c r="D7" t="str">
        <f t="shared" si="0"/>
        <v>Não</v>
      </c>
      <c r="F7" s="7" t="s">
        <v>1</v>
      </c>
      <c r="G7" s="2">
        <f t="shared" ref="G7:G16" si="1">COUNTIF(A:A,F7)</f>
        <v>36</v>
      </c>
    </row>
    <row r="8" spans="1:7" x14ac:dyDescent="0.25">
      <c r="A8" t="s">
        <v>1</v>
      </c>
      <c r="C8" t="s">
        <v>391</v>
      </c>
      <c r="D8" t="str">
        <f t="shared" si="0"/>
        <v>Não</v>
      </c>
      <c r="F8" s="7" t="s">
        <v>23</v>
      </c>
      <c r="G8" s="2">
        <f t="shared" si="1"/>
        <v>14</v>
      </c>
    </row>
    <row r="9" spans="1:7" x14ac:dyDescent="0.25">
      <c r="A9" t="s">
        <v>1</v>
      </c>
      <c r="C9" t="s">
        <v>13</v>
      </c>
      <c r="D9" t="str">
        <f t="shared" si="0"/>
        <v>Não</v>
      </c>
      <c r="F9" s="7" t="s">
        <v>367</v>
      </c>
      <c r="G9" s="2">
        <f t="shared" si="1"/>
        <v>6</v>
      </c>
    </row>
    <row r="10" spans="1:7" x14ac:dyDescent="0.25">
      <c r="A10" t="s">
        <v>1</v>
      </c>
      <c r="C10" t="s">
        <v>24</v>
      </c>
      <c r="D10" t="str">
        <f t="shared" si="0"/>
        <v>Não</v>
      </c>
      <c r="F10" s="7" t="s">
        <v>43</v>
      </c>
      <c r="G10" s="2">
        <f t="shared" si="1"/>
        <v>10</v>
      </c>
    </row>
    <row r="11" spans="1:7" x14ac:dyDescent="0.25">
      <c r="A11" t="s">
        <v>1</v>
      </c>
      <c r="C11" t="s">
        <v>392</v>
      </c>
      <c r="D11" t="str">
        <f t="shared" si="0"/>
        <v>Não</v>
      </c>
      <c r="F11" s="7" t="s">
        <v>28</v>
      </c>
      <c r="G11" s="2">
        <f t="shared" si="1"/>
        <v>6</v>
      </c>
    </row>
    <row r="12" spans="1:7" x14ac:dyDescent="0.25">
      <c r="A12" t="s">
        <v>1</v>
      </c>
      <c r="C12" t="s">
        <v>393</v>
      </c>
      <c r="D12" t="str">
        <f t="shared" si="0"/>
        <v>Não</v>
      </c>
      <c r="F12" s="7" t="s">
        <v>54</v>
      </c>
      <c r="G12" s="2">
        <f t="shared" si="1"/>
        <v>2</v>
      </c>
    </row>
    <row r="13" spans="1:7" x14ac:dyDescent="0.25">
      <c r="A13" t="s">
        <v>1</v>
      </c>
      <c r="C13" t="s">
        <v>31</v>
      </c>
      <c r="D13" t="str">
        <f t="shared" si="0"/>
        <v>Não</v>
      </c>
      <c r="F13" s="7" t="s">
        <v>364</v>
      </c>
      <c r="G13" s="2">
        <f t="shared" si="1"/>
        <v>2</v>
      </c>
    </row>
    <row r="14" spans="1:7" x14ac:dyDescent="0.25">
      <c r="A14" t="s">
        <v>1</v>
      </c>
      <c r="C14" t="s">
        <v>394</v>
      </c>
      <c r="D14" t="str">
        <f t="shared" si="0"/>
        <v>Não</v>
      </c>
      <c r="F14" s="7" t="s">
        <v>363</v>
      </c>
      <c r="G14" s="2">
        <f t="shared" si="1"/>
        <v>8</v>
      </c>
    </row>
    <row r="15" spans="1:7" x14ac:dyDescent="0.25">
      <c r="A15" t="s">
        <v>1</v>
      </c>
      <c r="C15" t="s">
        <v>395</v>
      </c>
      <c r="D15" t="str">
        <f t="shared" si="0"/>
        <v>Não</v>
      </c>
      <c r="F15" s="3" t="s">
        <v>368</v>
      </c>
      <c r="G15" s="2">
        <f t="shared" si="1"/>
        <v>10</v>
      </c>
    </row>
    <row r="16" spans="1:7" x14ac:dyDescent="0.25">
      <c r="A16" t="s">
        <v>1</v>
      </c>
      <c r="C16" t="s">
        <v>396</v>
      </c>
      <c r="D16" t="str">
        <f t="shared" si="0"/>
        <v>Não</v>
      </c>
      <c r="F16" s="3" t="s">
        <v>146</v>
      </c>
      <c r="G16" s="2">
        <f t="shared" si="1"/>
        <v>5</v>
      </c>
    </row>
    <row r="17" spans="1:7" x14ac:dyDescent="0.25">
      <c r="A17" t="s">
        <v>1</v>
      </c>
      <c r="C17" t="s">
        <v>30</v>
      </c>
      <c r="D17" t="str">
        <f t="shared" si="0"/>
        <v>Não</v>
      </c>
      <c r="G17" s="2"/>
    </row>
    <row r="18" spans="1:7" x14ac:dyDescent="0.25">
      <c r="A18" t="s">
        <v>1</v>
      </c>
      <c r="C18" t="s">
        <v>34</v>
      </c>
      <c r="D18" t="str">
        <f t="shared" si="0"/>
        <v>Não</v>
      </c>
      <c r="G18" s="2"/>
    </row>
    <row r="19" spans="1:7" x14ac:dyDescent="0.25">
      <c r="A19" t="s">
        <v>1</v>
      </c>
      <c r="C19" t="s">
        <v>14</v>
      </c>
      <c r="D19" t="str">
        <f t="shared" si="0"/>
        <v>Não</v>
      </c>
      <c r="G19" s="2"/>
    </row>
    <row r="20" spans="1:7" x14ac:dyDescent="0.25">
      <c r="A20" t="s">
        <v>1</v>
      </c>
      <c r="C20" t="s">
        <v>14</v>
      </c>
      <c r="D20" t="str">
        <f t="shared" si="0"/>
        <v>Não</v>
      </c>
      <c r="G20" s="2"/>
    </row>
    <row r="21" spans="1:7" x14ac:dyDescent="0.25">
      <c r="A21" t="s">
        <v>1</v>
      </c>
      <c r="C21" t="s">
        <v>14</v>
      </c>
      <c r="D21" t="str">
        <f t="shared" si="0"/>
        <v>Não</v>
      </c>
      <c r="G21" s="2"/>
    </row>
    <row r="22" spans="1:7" x14ac:dyDescent="0.25">
      <c r="A22" t="s">
        <v>1</v>
      </c>
      <c r="C22" t="s">
        <v>14</v>
      </c>
      <c r="D22" t="str">
        <f t="shared" si="0"/>
        <v>Não</v>
      </c>
      <c r="G22" s="2"/>
    </row>
    <row r="23" spans="1:7" x14ac:dyDescent="0.25">
      <c r="A23" t="s">
        <v>1</v>
      </c>
      <c r="C23" t="s">
        <v>14</v>
      </c>
      <c r="D23" t="str">
        <f t="shared" si="0"/>
        <v>Não</v>
      </c>
    </row>
    <row r="24" spans="1:7" x14ac:dyDescent="0.25">
      <c r="A24" t="s">
        <v>1</v>
      </c>
      <c r="C24" t="s">
        <v>36</v>
      </c>
      <c r="D24" t="str">
        <f t="shared" si="0"/>
        <v>Não</v>
      </c>
    </row>
    <row r="25" spans="1:7" x14ac:dyDescent="0.25">
      <c r="A25" t="s">
        <v>1</v>
      </c>
      <c r="C25" t="s">
        <v>36</v>
      </c>
      <c r="D25" t="str">
        <f t="shared" si="0"/>
        <v>Não</v>
      </c>
    </row>
    <row r="26" spans="1:7" x14ac:dyDescent="0.25">
      <c r="A26" t="s">
        <v>1</v>
      </c>
      <c r="C26" t="s">
        <v>36</v>
      </c>
      <c r="D26" t="str">
        <f t="shared" si="0"/>
        <v>Não</v>
      </c>
    </row>
    <row r="27" spans="1:7" x14ac:dyDescent="0.25">
      <c r="A27" t="s">
        <v>1</v>
      </c>
      <c r="C27" t="s">
        <v>36</v>
      </c>
      <c r="D27" t="str">
        <f t="shared" si="0"/>
        <v>Não</v>
      </c>
    </row>
    <row r="28" spans="1:7" x14ac:dyDescent="0.25">
      <c r="A28" t="s">
        <v>1</v>
      </c>
      <c r="C28" t="s">
        <v>36</v>
      </c>
      <c r="D28" t="str">
        <f t="shared" si="0"/>
        <v>Não</v>
      </c>
    </row>
    <row r="29" spans="1:7" x14ac:dyDescent="0.25">
      <c r="A29" t="s">
        <v>1</v>
      </c>
      <c r="C29" t="s">
        <v>36</v>
      </c>
      <c r="D29" t="str">
        <f t="shared" si="0"/>
        <v>Não</v>
      </c>
    </row>
    <row r="30" spans="1:7" x14ac:dyDescent="0.25">
      <c r="A30" t="s">
        <v>1</v>
      </c>
      <c r="C30" t="s">
        <v>36</v>
      </c>
      <c r="D30" t="str">
        <f t="shared" si="0"/>
        <v>Não</v>
      </c>
    </row>
    <row r="31" spans="1:7" x14ac:dyDescent="0.25">
      <c r="A31" t="s">
        <v>1</v>
      </c>
      <c r="C31" t="s">
        <v>36</v>
      </c>
      <c r="D31" t="str">
        <f t="shared" si="0"/>
        <v>Não</v>
      </c>
    </row>
    <row r="32" spans="1:7" x14ac:dyDescent="0.25">
      <c r="A32" t="s">
        <v>1</v>
      </c>
      <c r="C32" t="s">
        <v>36</v>
      </c>
      <c r="D32" t="str">
        <f t="shared" si="0"/>
        <v>Não</v>
      </c>
    </row>
    <row r="33" spans="1:4" x14ac:dyDescent="0.25">
      <c r="A33" t="s">
        <v>1</v>
      </c>
      <c r="C33" t="s">
        <v>2</v>
      </c>
      <c r="D33" t="str">
        <f t="shared" si="0"/>
        <v>Não</v>
      </c>
    </row>
    <row r="34" spans="1:4" x14ac:dyDescent="0.25">
      <c r="A34" t="s">
        <v>1</v>
      </c>
      <c r="C34" t="s">
        <v>2</v>
      </c>
      <c r="D34" t="str">
        <f t="shared" si="0"/>
        <v>Não</v>
      </c>
    </row>
    <row r="35" spans="1:4" x14ac:dyDescent="0.25">
      <c r="A35" t="s">
        <v>1</v>
      </c>
      <c r="C35" t="s">
        <v>2</v>
      </c>
      <c r="D35" t="str">
        <f t="shared" si="0"/>
        <v>Não</v>
      </c>
    </row>
    <row r="36" spans="1:4" x14ac:dyDescent="0.25">
      <c r="A36" t="s">
        <v>1</v>
      </c>
      <c r="C36" t="s">
        <v>2</v>
      </c>
      <c r="D36" t="str">
        <f t="shared" si="0"/>
        <v>Não</v>
      </c>
    </row>
    <row r="37" spans="1:4" x14ac:dyDescent="0.25">
      <c r="A37" t="s">
        <v>1</v>
      </c>
      <c r="C37" t="s">
        <v>2</v>
      </c>
      <c r="D37" t="str">
        <f t="shared" si="0"/>
        <v>Não</v>
      </c>
    </row>
    <row r="38" spans="1:4" x14ac:dyDescent="0.25">
      <c r="A38" t="s">
        <v>1</v>
      </c>
      <c r="C38" t="s">
        <v>2</v>
      </c>
      <c r="D38" t="str">
        <f t="shared" si="0"/>
        <v>Não</v>
      </c>
    </row>
    <row r="39" spans="1:4" x14ac:dyDescent="0.25">
      <c r="A39" t="s">
        <v>23</v>
      </c>
      <c r="C39" t="s">
        <v>19</v>
      </c>
      <c r="D39" t="str">
        <f t="shared" si="0"/>
        <v>Não</v>
      </c>
    </row>
    <row r="40" spans="1:4" x14ac:dyDescent="0.25">
      <c r="A40" t="s">
        <v>23</v>
      </c>
      <c r="C40" t="s">
        <v>39</v>
      </c>
      <c r="D40" t="str">
        <f t="shared" si="0"/>
        <v>Não</v>
      </c>
    </row>
    <row r="41" spans="1:4" x14ac:dyDescent="0.25">
      <c r="A41" t="s">
        <v>23</v>
      </c>
      <c r="C41" t="s">
        <v>93</v>
      </c>
      <c r="D41" t="str">
        <f t="shared" si="0"/>
        <v>Não</v>
      </c>
    </row>
    <row r="42" spans="1:4" x14ac:dyDescent="0.25">
      <c r="A42" t="s">
        <v>23</v>
      </c>
      <c r="C42" t="s">
        <v>382</v>
      </c>
      <c r="D42" t="str">
        <f t="shared" si="0"/>
        <v>Não</v>
      </c>
    </row>
    <row r="43" spans="1:4" x14ac:dyDescent="0.25">
      <c r="A43" t="s">
        <v>23</v>
      </c>
      <c r="C43" t="s">
        <v>37</v>
      </c>
      <c r="D43" t="str">
        <f t="shared" si="0"/>
        <v>Não</v>
      </c>
    </row>
    <row r="44" spans="1:4" x14ac:dyDescent="0.25">
      <c r="A44" t="s">
        <v>23</v>
      </c>
      <c r="C44" t="s">
        <v>38</v>
      </c>
      <c r="D44" t="str">
        <f t="shared" si="0"/>
        <v>Não</v>
      </c>
    </row>
    <row r="45" spans="1:4" x14ac:dyDescent="0.25">
      <c r="A45" t="s">
        <v>23</v>
      </c>
      <c r="C45" t="s">
        <v>386</v>
      </c>
      <c r="D45" t="str">
        <f t="shared" si="0"/>
        <v>Não</v>
      </c>
    </row>
    <row r="46" spans="1:4" x14ac:dyDescent="0.25">
      <c r="A46" t="s">
        <v>23</v>
      </c>
      <c r="C46" t="s">
        <v>377</v>
      </c>
      <c r="D46" t="str">
        <f t="shared" si="0"/>
        <v>Não</v>
      </c>
    </row>
    <row r="47" spans="1:4" x14ac:dyDescent="0.25">
      <c r="A47" t="s">
        <v>23</v>
      </c>
      <c r="C47" t="s">
        <v>63</v>
      </c>
      <c r="D47" t="str">
        <f t="shared" si="0"/>
        <v>Não</v>
      </c>
    </row>
    <row r="48" spans="1:4" x14ac:dyDescent="0.25">
      <c r="A48" t="s">
        <v>23</v>
      </c>
      <c r="C48" t="s">
        <v>373</v>
      </c>
      <c r="D48" t="str">
        <f t="shared" si="0"/>
        <v>Não</v>
      </c>
    </row>
    <row r="49" spans="1:6" x14ac:dyDescent="0.25">
      <c r="A49" t="s">
        <v>23</v>
      </c>
      <c r="C49" t="s">
        <v>85</v>
      </c>
      <c r="D49" t="str">
        <f t="shared" si="0"/>
        <v>Não</v>
      </c>
    </row>
    <row r="50" spans="1:6" x14ac:dyDescent="0.25">
      <c r="A50" t="s">
        <v>23</v>
      </c>
      <c r="C50" t="s">
        <v>32</v>
      </c>
      <c r="D50" t="str">
        <f t="shared" si="0"/>
        <v>Não</v>
      </c>
    </row>
    <row r="51" spans="1:6" x14ac:dyDescent="0.25">
      <c r="A51" t="s">
        <v>23</v>
      </c>
      <c r="C51" t="s">
        <v>83</v>
      </c>
      <c r="D51" t="str">
        <f t="shared" si="0"/>
        <v>Não</v>
      </c>
    </row>
    <row r="52" spans="1:6" x14ac:dyDescent="0.25">
      <c r="A52" t="s">
        <v>23</v>
      </c>
      <c r="C52" t="s">
        <v>47</v>
      </c>
      <c r="D52" t="str">
        <f t="shared" si="0"/>
        <v>Não</v>
      </c>
    </row>
    <row r="53" spans="1:6" x14ac:dyDescent="0.25">
      <c r="A53" t="s">
        <v>367</v>
      </c>
      <c r="C53" t="s">
        <v>369</v>
      </c>
      <c r="D53" t="str">
        <f t="shared" si="0"/>
        <v>Não</v>
      </c>
      <c r="F53" s="3" t="s">
        <v>401</v>
      </c>
    </row>
    <row r="54" spans="1:6" x14ac:dyDescent="0.25">
      <c r="A54" t="s">
        <v>367</v>
      </c>
      <c r="C54" t="s">
        <v>89</v>
      </c>
      <c r="D54" t="str">
        <f t="shared" si="0"/>
        <v>Não</v>
      </c>
    </row>
    <row r="55" spans="1:6" x14ac:dyDescent="0.25">
      <c r="A55" t="s">
        <v>367</v>
      </c>
      <c r="C55" t="s">
        <v>74</v>
      </c>
      <c r="D55" t="str">
        <f t="shared" si="0"/>
        <v>Não</v>
      </c>
    </row>
    <row r="56" spans="1:6" x14ac:dyDescent="0.25">
      <c r="A56" t="s">
        <v>367</v>
      </c>
      <c r="C56" t="s">
        <v>77</v>
      </c>
      <c r="D56" t="str">
        <f t="shared" si="0"/>
        <v>Não</v>
      </c>
    </row>
    <row r="57" spans="1:6" x14ac:dyDescent="0.25">
      <c r="A57" t="s">
        <v>367</v>
      </c>
      <c r="C57" t="s">
        <v>76</v>
      </c>
      <c r="D57" t="str">
        <f t="shared" si="0"/>
        <v>Não</v>
      </c>
    </row>
    <row r="58" spans="1:6" x14ac:dyDescent="0.25">
      <c r="A58" t="s">
        <v>367</v>
      </c>
      <c r="C58" t="s">
        <v>75</v>
      </c>
      <c r="D58" t="str">
        <f t="shared" si="0"/>
        <v>Não</v>
      </c>
    </row>
    <row r="59" spans="1:6" x14ac:dyDescent="0.25">
      <c r="A59" t="s">
        <v>368</v>
      </c>
      <c r="C59" t="s">
        <v>387</v>
      </c>
      <c r="D59" t="str">
        <f t="shared" si="0"/>
        <v>Não</v>
      </c>
    </row>
    <row r="60" spans="1:6" x14ac:dyDescent="0.25">
      <c r="A60" t="s">
        <v>368</v>
      </c>
      <c r="C60" t="s">
        <v>402</v>
      </c>
      <c r="D60" t="str">
        <f t="shared" si="0"/>
        <v>Não</v>
      </c>
    </row>
    <row r="61" spans="1:6" x14ac:dyDescent="0.25">
      <c r="A61" t="s">
        <v>368</v>
      </c>
      <c r="C61" t="s">
        <v>92</v>
      </c>
      <c r="D61" t="str">
        <f t="shared" si="0"/>
        <v>Não</v>
      </c>
    </row>
    <row r="62" spans="1:6" x14ac:dyDescent="0.25">
      <c r="A62" t="s">
        <v>368</v>
      </c>
      <c r="C62" t="s">
        <v>91</v>
      </c>
      <c r="D62" t="str">
        <f t="shared" si="0"/>
        <v>Não</v>
      </c>
    </row>
    <row r="63" spans="1:6" x14ac:dyDescent="0.25">
      <c r="A63" t="s">
        <v>368</v>
      </c>
      <c r="C63" t="s">
        <v>87</v>
      </c>
      <c r="D63" t="str">
        <f t="shared" si="0"/>
        <v>Não</v>
      </c>
    </row>
    <row r="64" spans="1:6" x14ac:dyDescent="0.25">
      <c r="A64" t="s">
        <v>368</v>
      </c>
      <c r="C64" t="s">
        <v>86</v>
      </c>
      <c r="D64" t="str">
        <f t="shared" si="0"/>
        <v>Não</v>
      </c>
    </row>
    <row r="65" spans="1:6" x14ac:dyDescent="0.25">
      <c r="A65" t="s">
        <v>368</v>
      </c>
      <c r="C65" t="s">
        <v>49</v>
      </c>
      <c r="D65" t="str">
        <f t="shared" si="0"/>
        <v>Não</v>
      </c>
    </row>
    <row r="66" spans="1:6" x14ac:dyDescent="0.25">
      <c r="A66" t="s">
        <v>368</v>
      </c>
      <c r="C66" t="s">
        <v>80</v>
      </c>
      <c r="D66" t="str">
        <f t="shared" si="0"/>
        <v>Não</v>
      </c>
    </row>
    <row r="67" spans="1:6" x14ac:dyDescent="0.25">
      <c r="A67" t="s">
        <v>368</v>
      </c>
      <c r="C67" t="s">
        <v>50</v>
      </c>
      <c r="D67" t="str">
        <f t="shared" si="0"/>
        <v>Não</v>
      </c>
    </row>
    <row r="68" spans="1:6" x14ac:dyDescent="0.25">
      <c r="A68" t="s">
        <v>368</v>
      </c>
      <c r="C68" t="s">
        <v>79</v>
      </c>
      <c r="D68" t="str">
        <f t="shared" ref="D68:D101" si="2">IF(B68=C68, "Sim", "Não")</f>
        <v>Não</v>
      </c>
    </row>
    <row r="69" spans="1:6" x14ac:dyDescent="0.25">
      <c r="A69" t="s">
        <v>43</v>
      </c>
      <c r="C69" t="s">
        <v>366</v>
      </c>
      <c r="D69" t="str">
        <f t="shared" si="2"/>
        <v>Não</v>
      </c>
    </row>
    <row r="70" spans="1:6" x14ac:dyDescent="0.25">
      <c r="A70" t="s">
        <v>43</v>
      </c>
      <c r="C70" t="s">
        <v>78</v>
      </c>
      <c r="D70" t="str">
        <f t="shared" si="2"/>
        <v>Não</v>
      </c>
    </row>
    <row r="71" spans="1:6" x14ac:dyDescent="0.25">
      <c r="A71" t="s">
        <v>43</v>
      </c>
      <c r="C71" t="s">
        <v>44</v>
      </c>
      <c r="D71" t="str">
        <f t="shared" si="2"/>
        <v>Não</v>
      </c>
    </row>
    <row r="72" spans="1:6" x14ac:dyDescent="0.25">
      <c r="A72" t="s">
        <v>43</v>
      </c>
      <c r="C72" t="s">
        <v>378</v>
      </c>
      <c r="D72" t="str">
        <f t="shared" si="2"/>
        <v>Não</v>
      </c>
    </row>
    <row r="73" spans="1:6" x14ac:dyDescent="0.25">
      <c r="A73" t="s">
        <v>43</v>
      </c>
      <c r="C73" t="s">
        <v>42</v>
      </c>
      <c r="D73" t="str">
        <f t="shared" si="2"/>
        <v>Não</v>
      </c>
    </row>
    <row r="74" spans="1:6" x14ac:dyDescent="0.25">
      <c r="A74" t="s">
        <v>43</v>
      </c>
      <c r="C74" t="s">
        <v>379</v>
      </c>
      <c r="D74" t="str">
        <f t="shared" si="2"/>
        <v>Não</v>
      </c>
    </row>
    <row r="75" spans="1:6" x14ac:dyDescent="0.25">
      <c r="A75" t="s">
        <v>43</v>
      </c>
      <c r="C75" t="s">
        <v>84</v>
      </c>
      <c r="D75" t="str">
        <f t="shared" si="2"/>
        <v>Não</v>
      </c>
    </row>
    <row r="76" spans="1:6" x14ac:dyDescent="0.25">
      <c r="A76" t="s">
        <v>43</v>
      </c>
      <c r="C76" t="s">
        <v>375</v>
      </c>
      <c r="D76" t="str">
        <f t="shared" si="2"/>
        <v>Não</v>
      </c>
    </row>
    <row r="77" spans="1:6" x14ac:dyDescent="0.25">
      <c r="A77" t="s">
        <v>43</v>
      </c>
      <c r="C77" t="s">
        <v>88</v>
      </c>
      <c r="D77" t="str">
        <f t="shared" si="2"/>
        <v>Não</v>
      </c>
    </row>
    <row r="78" spans="1:6" x14ac:dyDescent="0.25">
      <c r="A78" t="s">
        <v>43</v>
      </c>
      <c r="C78" t="s">
        <v>82</v>
      </c>
      <c r="D78" t="str">
        <f t="shared" si="2"/>
        <v>Não</v>
      </c>
    </row>
    <row r="79" spans="1:6" x14ac:dyDescent="0.25">
      <c r="A79" t="s">
        <v>363</v>
      </c>
      <c r="C79" t="s">
        <v>25</v>
      </c>
      <c r="D79" t="str">
        <f t="shared" si="2"/>
        <v>Não</v>
      </c>
      <c r="F79" s="3" t="s">
        <v>400</v>
      </c>
    </row>
    <row r="80" spans="1:6" x14ac:dyDescent="0.25">
      <c r="A80" t="s">
        <v>363</v>
      </c>
      <c r="C80" t="s">
        <v>380</v>
      </c>
      <c r="D80" t="str">
        <f t="shared" si="2"/>
        <v>Não</v>
      </c>
    </row>
    <row r="81" spans="1:4" x14ac:dyDescent="0.25">
      <c r="A81" t="s">
        <v>363</v>
      </c>
      <c r="C81" t="s">
        <v>398</v>
      </c>
      <c r="D81" t="str">
        <f t="shared" si="2"/>
        <v>Não</v>
      </c>
    </row>
    <row r="82" spans="1:4" x14ac:dyDescent="0.25">
      <c r="A82" t="s">
        <v>363</v>
      </c>
      <c r="C82" t="s">
        <v>399</v>
      </c>
      <c r="D82" t="str">
        <f t="shared" si="2"/>
        <v>Não</v>
      </c>
    </row>
    <row r="83" spans="1:4" x14ac:dyDescent="0.25">
      <c r="A83" t="s">
        <v>363</v>
      </c>
      <c r="C83" t="s">
        <v>385</v>
      </c>
      <c r="D83" t="str">
        <f t="shared" si="2"/>
        <v>Não</v>
      </c>
    </row>
    <row r="84" spans="1:4" x14ac:dyDescent="0.25">
      <c r="A84" t="s">
        <v>363</v>
      </c>
      <c r="C84" t="s">
        <v>27</v>
      </c>
      <c r="D84" t="str">
        <f t="shared" si="2"/>
        <v>Não</v>
      </c>
    </row>
    <row r="85" spans="1:4" x14ac:dyDescent="0.25">
      <c r="A85" t="s">
        <v>363</v>
      </c>
      <c r="C85" t="s">
        <v>374</v>
      </c>
      <c r="D85" t="str">
        <f t="shared" si="2"/>
        <v>Não</v>
      </c>
    </row>
    <row r="86" spans="1:4" x14ac:dyDescent="0.25">
      <c r="A86" t="s">
        <v>363</v>
      </c>
      <c r="C86" t="s">
        <v>372</v>
      </c>
      <c r="D86" t="str">
        <f t="shared" si="2"/>
        <v>Não</v>
      </c>
    </row>
    <row r="87" spans="1:4" x14ac:dyDescent="0.25">
      <c r="A87" t="s">
        <v>364</v>
      </c>
      <c r="C87" t="s">
        <v>384</v>
      </c>
      <c r="D87" t="str">
        <f t="shared" si="2"/>
        <v>Não</v>
      </c>
    </row>
    <row r="88" spans="1:4" x14ac:dyDescent="0.25">
      <c r="A88" t="s">
        <v>364</v>
      </c>
      <c r="C88" t="s">
        <v>48</v>
      </c>
      <c r="D88" t="str">
        <f t="shared" si="2"/>
        <v>Não</v>
      </c>
    </row>
    <row r="89" spans="1:4" x14ac:dyDescent="0.25">
      <c r="A89" t="s">
        <v>28</v>
      </c>
      <c r="C89" t="s">
        <v>90</v>
      </c>
      <c r="D89" t="str">
        <f t="shared" si="2"/>
        <v>Não</v>
      </c>
    </row>
    <row r="90" spans="1:4" x14ac:dyDescent="0.25">
      <c r="A90" t="s">
        <v>28</v>
      </c>
      <c r="C90" t="s">
        <v>51</v>
      </c>
      <c r="D90" t="str">
        <f t="shared" si="2"/>
        <v>Não</v>
      </c>
    </row>
    <row r="91" spans="1:4" x14ac:dyDescent="0.25">
      <c r="A91" t="s">
        <v>28</v>
      </c>
      <c r="C91" t="s">
        <v>365</v>
      </c>
      <c r="D91" t="str">
        <f t="shared" si="2"/>
        <v>Não</v>
      </c>
    </row>
    <row r="92" spans="1:4" x14ac:dyDescent="0.25">
      <c r="A92" t="s">
        <v>28</v>
      </c>
      <c r="C92" t="s">
        <v>46</v>
      </c>
      <c r="D92" t="str">
        <f t="shared" si="2"/>
        <v>Não</v>
      </c>
    </row>
    <row r="93" spans="1:4" x14ac:dyDescent="0.25">
      <c r="A93" t="s">
        <v>28</v>
      </c>
      <c r="C93" t="s">
        <v>45</v>
      </c>
      <c r="D93" t="str">
        <f t="shared" si="2"/>
        <v>Não</v>
      </c>
    </row>
    <row r="94" spans="1:4" x14ac:dyDescent="0.25">
      <c r="A94" t="s">
        <v>28</v>
      </c>
      <c r="C94" t="s">
        <v>397</v>
      </c>
      <c r="D94" t="str">
        <f t="shared" si="2"/>
        <v>Não</v>
      </c>
    </row>
    <row r="95" spans="1:4" x14ac:dyDescent="0.25">
      <c r="A95" t="s">
        <v>146</v>
      </c>
      <c r="C95" t="s">
        <v>381</v>
      </c>
      <c r="D95" t="str">
        <f t="shared" si="2"/>
        <v>Não</v>
      </c>
    </row>
    <row r="96" spans="1:4" x14ac:dyDescent="0.25">
      <c r="A96" t="s">
        <v>146</v>
      </c>
      <c r="C96" t="s">
        <v>69</v>
      </c>
      <c r="D96" t="str">
        <f t="shared" si="2"/>
        <v>Não</v>
      </c>
    </row>
    <row r="97" spans="1:4" x14ac:dyDescent="0.25">
      <c r="A97" t="s">
        <v>146</v>
      </c>
      <c r="C97" t="s">
        <v>18</v>
      </c>
      <c r="D97" t="str">
        <f t="shared" si="2"/>
        <v>Não</v>
      </c>
    </row>
    <row r="98" spans="1:4" x14ac:dyDescent="0.25">
      <c r="A98" t="s">
        <v>146</v>
      </c>
      <c r="C98" t="s">
        <v>383</v>
      </c>
      <c r="D98" t="str">
        <f t="shared" si="2"/>
        <v>Não</v>
      </c>
    </row>
    <row r="99" spans="1:4" x14ac:dyDescent="0.25">
      <c r="A99" t="s">
        <v>146</v>
      </c>
      <c r="C99" t="s">
        <v>370</v>
      </c>
      <c r="D99" t="str">
        <f t="shared" si="2"/>
        <v>Não</v>
      </c>
    </row>
    <row r="100" spans="1:4" x14ac:dyDescent="0.25">
      <c r="A100" t="s">
        <v>54</v>
      </c>
      <c r="C100" t="s">
        <v>81</v>
      </c>
      <c r="D100" t="str">
        <f t="shared" si="2"/>
        <v>Não</v>
      </c>
    </row>
    <row r="101" spans="1:4" x14ac:dyDescent="0.25">
      <c r="A101" t="s">
        <v>54</v>
      </c>
      <c r="C101" t="s">
        <v>376</v>
      </c>
      <c r="D101" t="str">
        <f t="shared" si="2"/>
        <v>Não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44BE-9EAC-4EEE-A819-91264BA6F059}">
  <dimension ref="A1:G100"/>
  <sheetViews>
    <sheetView workbookViewId="0">
      <selection activeCell="A3" sqref="A3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8" t="s">
        <v>95</v>
      </c>
      <c r="B1" s="8"/>
      <c r="C1" s="8"/>
      <c r="D1" s="8"/>
      <c r="E1" s="8"/>
      <c r="F1" s="8"/>
      <c r="G1" s="8"/>
    </row>
    <row r="2" spans="1:7" x14ac:dyDescent="0.25">
      <c r="A2" s="4" t="s">
        <v>0</v>
      </c>
      <c r="B2" s="4" t="s">
        <v>9</v>
      </c>
      <c r="C2" s="4" t="s">
        <v>10</v>
      </c>
      <c r="D2" s="4" t="s">
        <v>8</v>
      </c>
    </row>
    <row r="3" spans="1:7" x14ac:dyDescent="0.25">
      <c r="A3"/>
      <c r="D3" t="str">
        <f>IF(B3=C3, "Sim", "Não")</f>
        <v>Sim</v>
      </c>
      <c r="F3" s="4" t="s">
        <v>11</v>
      </c>
      <c r="G3" s="3">
        <f>COUNTIF(D3:D105,"Não")</f>
        <v>0</v>
      </c>
    </row>
    <row r="4" spans="1:7" x14ac:dyDescent="0.25">
      <c r="A4"/>
      <c r="D4" t="str">
        <f t="shared" ref="D4:D67" si="0">IF(B4=C4, "Sim", "Não")</f>
        <v>Sim</v>
      </c>
      <c r="F4" s="4" t="s">
        <v>12</v>
      </c>
      <c r="G4" s="3">
        <f>SUM(G7:G25)</f>
        <v>0</v>
      </c>
    </row>
    <row r="5" spans="1:7" x14ac:dyDescent="0.25">
      <c r="A5"/>
      <c r="D5" t="str">
        <f t="shared" si="0"/>
        <v>Sim</v>
      </c>
    </row>
    <row r="6" spans="1:7" x14ac:dyDescent="0.25">
      <c r="A6"/>
      <c r="D6" t="str">
        <f t="shared" si="0"/>
        <v>Sim</v>
      </c>
      <c r="F6" s="6" t="s">
        <v>3</v>
      </c>
      <c r="G6" s="1"/>
    </row>
    <row r="7" spans="1:7" x14ac:dyDescent="0.25">
      <c r="A7"/>
      <c r="D7" t="str">
        <f t="shared" si="0"/>
        <v>Sim</v>
      </c>
      <c r="F7" s="7"/>
      <c r="G7" s="2">
        <f>COUNTIF(A:A,F7)</f>
        <v>0</v>
      </c>
    </row>
    <row r="8" spans="1:7" x14ac:dyDescent="0.25">
      <c r="A8"/>
      <c r="D8" t="str">
        <f t="shared" si="0"/>
        <v>Sim</v>
      </c>
      <c r="F8" s="7"/>
      <c r="G8" s="2">
        <f t="shared" ref="G8:G16" si="1">COUNTIF(A:A,F8)</f>
        <v>0</v>
      </c>
    </row>
    <row r="9" spans="1:7" x14ac:dyDescent="0.25">
      <c r="A9"/>
      <c r="D9" t="str">
        <f t="shared" si="0"/>
        <v>Sim</v>
      </c>
      <c r="F9" s="7"/>
      <c r="G9" s="2">
        <f t="shared" si="1"/>
        <v>0</v>
      </c>
    </row>
    <row r="10" spans="1:7" x14ac:dyDescent="0.25">
      <c r="A10"/>
      <c r="D10" t="str">
        <f t="shared" si="0"/>
        <v>Sim</v>
      </c>
      <c r="F10" s="7"/>
      <c r="G10" s="2">
        <f t="shared" si="1"/>
        <v>0</v>
      </c>
    </row>
    <row r="11" spans="1:7" x14ac:dyDescent="0.25">
      <c r="A11"/>
      <c r="D11" t="str">
        <f t="shared" si="0"/>
        <v>Sim</v>
      </c>
      <c r="F11" s="7"/>
      <c r="G11" s="2">
        <f t="shared" si="1"/>
        <v>0</v>
      </c>
    </row>
    <row r="12" spans="1:7" x14ac:dyDescent="0.25">
      <c r="A12"/>
      <c r="D12" t="str">
        <f t="shared" si="0"/>
        <v>Sim</v>
      </c>
      <c r="F12" s="7"/>
      <c r="G12" s="2">
        <f t="shared" si="1"/>
        <v>0</v>
      </c>
    </row>
    <row r="13" spans="1:7" x14ac:dyDescent="0.25">
      <c r="A13"/>
      <c r="D13" t="str">
        <f t="shared" si="0"/>
        <v>Sim</v>
      </c>
      <c r="F13" s="7"/>
      <c r="G13" s="2">
        <f t="shared" si="1"/>
        <v>0</v>
      </c>
    </row>
    <row r="14" spans="1:7" x14ac:dyDescent="0.25">
      <c r="A14"/>
      <c r="D14" t="str">
        <f t="shared" si="0"/>
        <v>Sim</v>
      </c>
      <c r="F14" s="7"/>
      <c r="G14" s="2">
        <f t="shared" si="1"/>
        <v>0</v>
      </c>
    </row>
    <row r="15" spans="1:7" x14ac:dyDescent="0.25">
      <c r="A15"/>
      <c r="D15" t="str">
        <f t="shared" si="0"/>
        <v>Sim</v>
      </c>
      <c r="F15" s="4"/>
      <c r="G15" s="2">
        <f t="shared" si="1"/>
        <v>0</v>
      </c>
    </row>
    <row r="16" spans="1:7" x14ac:dyDescent="0.25">
      <c r="A16"/>
      <c r="D16" t="str">
        <f t="shared" si="0"/>
        <v>Sim</v>
      </c>
      <c r="F16" s="4"/>
      <c r="G16" s="2">
        <f t="shared" si="1"/>
        <v>0</v>
      </c>
    </row>
    <row r="17" spans="1:4" x14ac:dyDescent="0.25">
      <c r="A17"/>
      <c r="D17" t="str">
        <f t="shared" si="0"/>
        <v>Sim</v>
      </c>
    </row>
    <row r="18" spans="1:4" x14ac:dyDescent="0.25">
      <c r="A18"/>
      <c r="D18" t="str">
        <f t="shared" si="0"/>
        <v>Sim</v>
      </c>
    </row>
    <row r="19" spans="1:4" x14ac:dyDescent="0.25">
      <c r="A19"/>
      <c r="D19" t="str">
        <f t="shared" si="0"/>
        <v>Sim</v>
      </c>
    </row>
    <row r="20" spans="1:4" x14ac:dyDescent="0.25">
      <c r="A20"/>
      <c r="D20" t="str">
        <f t="shared" si="0"/>
        <v>Sim</v>
      </c>
    </row>
    <row r="21" spans="1:4" x14ac:dyDescent="0.25">
      <c r="A21"/>
      <c r="D21" t="str">
        <f t="shared" si="0"/>
        <v>Sim</v>
      </c>
    </row>
    <row r="22" spans="1:4" x14ac:dyDescent="0.25">
      <c r="A22"/>
      <c r="D22" t="str">
        <f t="shared" si="0"/>
        <v>Sim</v>
      </c>
    </row>
    <row r="23" spans="1:4" x14ac:dyDescent="0.25">
      <c r="A23"/>
      <c r="D23" t="str">
        <f t="shared" si="0"/>
        <v>Sim</v>
      </c>
    </row>
    <row r="24" spans="1:4" x14ac:dyDescent="0.25">
      <c r="A24"/>
      <c r="D24" t="str">
        <f t="shared" si="0"/>
        <v>Sim</v>
      </c>
    </row>
    <row r="25" spans="1:4" x14ac:dyDescent="0.25">
      <c r="A25"/>
      <c r="D25" t="str">
        <f t="shared" si="0"/>
        <v>Sim</v>
      </c>
    </row>
    <row r="26" spans="1:4" x14ac:dyDescent="0.25">
      <c r="A26"/>
      <c r="D26" t="str">
        <f t="shared" si="0"/>
        <v>Sim</v>
      </c>
    </row>
    <row r="27" spans="1:4" x14ac:dyDescent="0.25">
      <c r="A27"/>
      <c r="D27" t="str">
        <f t="shared" si="0"/>
        <v>Sim</v>
      </c>
    </row>
    <row r="28" spans="1:4" x14ac:dyDescent="0.25">
      <c r="A28"/>
      <c r="D28" t="str">
        <f t="shared" si="0"/>
        <v>Sim</v>
      </c>
    </row>
    <row r="29" spans="1:4" x14ac:dyDescent="0.25">
      <c r="A29"/>
      <c r="D29" t="str">
        <f t="shared" si="0"/>
        <v>Sim</v>
      </c>
    </row>
    <row r="30" spans="1:4" x14ac:dyDescent="0.25">
      <c r="A30"/>
      <c r="D30" t="str">
        <f t="shared" si="0"/>
        <v>Sim</v>
      </c>
    </row>
    <row r="31" spans="1:4" x14ac:dyDescent="0.25">
      <c r="A31"/>
      <c r="D31" t="str">
        <f t="shared" si="0"/>
        <v>Sim</v>
      </c>
    </row>
    <row r="32" spans="1:4" x14ac:dyDescent="0.25">
      <c r="A32"/>
      <c r="D32" t="str">
        <f t="shared" si="0"/>
        <v>Sim</v>
      </c>
    </row>
    <row r="33" spans="1:4" x14ac:dyDescent="0.25">
      <c r="A33"/>
      <c r="D33" t="str">
        <f t="shared" si="0"/>
        <v>Sim</v>
      </c>
    </row>
    <row r="34" spans="1:4" x14ac:dyDescent="0.25">
      <c r="A34"/>
      <c r="D34" t="str">
        <f t="shared" si="0"/>
        <v>Sim</v>
      </c>
    </row>
    <row r="35" spans="1:4" x14ac:dyDescent="0.25">
      <c r="A35"/>
      <c r="D35" t="str">
        <f t="shared" si="0"/>
        <v>Sim</v>
      </c>
    </row>
    <row r="36" spans="1:4" x14ac:dyDescent="0.25">
      <c r="A36"/>
      <c r="D36" t="str">
        <f t="shared" si="0"/>
        <v>Sim</v>
      </c>
    </row>
    <row r="37" spans="1:4" x14ac:dyDescent="0.25">
      <c r="A37"/>
      <c r="D37" t="str">
        <f t="shared" si="0"/>
        <v>Sim</v>
      </c>
    </row>
    <row r="38" spans="1:4" x14ac:dyDescent="0.25">
      <c r="A38"/>
      <c r="D38" t="str">
        <f t="shared" si="0"/>
        <v>Sim</v>
      </c>
    </row>
    <row r="39" spans="1:4" x14ac:dyDescent="0.25">
      <c r="A39"/>
      <c r="D39" t="str">
        <f t="shared" si="0"/>
        <v>Sim</v>
      </c>
    </row>
    <row r="40" spans="1:4" x14ac:dyDescent="0.25">
      <c r="A40"/>
      <c r="D40" t="str">
        <f t="shared" si="0"/>
        <v>Sim</v>
      </c>
    </row>
    <row r="41" spans="1:4" x14ac:dyDescent="0.25">
      <c r="A41"/>
      <c r="D41" t="str">
        <f t="shared" si="0"/>
        <v>Sim</v>
      </c>
    </row>
    <row r="42" spans="1:4" x14ac:dyDescent="0.25">
      <c r="A42"/>
      <c r="D42" t="str">
        <f t="shared" si="0"/>
        <v>Sim</v>
      </c>
    </row>
    <row r="43" spans="1:4" x14ac:dyDescent="0.25">
      <c r="A43"/>
      <c r="D43" t="str">
        <f t="shared" si="0"/>
        <v>Sim</v>
      </c>
    </row>
    <row r="44" spans="1:4" x14ac:dyDescent="0.25">
      <c r="A44"/>
      <c r="D44" t="str">
        <f t="shared" si="0"/>
        <v>Sim</v>
      </c>
    </row>
    <row r="45" spans="1:4" x14ac:dyDescent="0.25">
      <c r="A45"/>
      <c r="D45" t="str">
        <f t="shared" si="0"/>
        <v>Sim</v>
      </c>
    </row>
    <row r="46" spans="1:4" x14ac:dyDescent="0.25">
      <c r="A46"/>
      <c r="D46" t="str">
        <f t="shared" si="0"/>
        <v>Sim</v>
      </c>
    </row>
    <row r="47" spans="1:4" x14ac:dyDescent="0.25">
      <c r="A47"/>
      <c r="D47" t="str">
        <f t="shared" si="0"/>
        <v>Sim</v>
      </c>
    </row>
    <row r="48" spans="1:4" x14ac:dyDescent="0.25">
      <c r="A48"/>
      <c r="D48" t="str">
        <f t="shared" si="0"/>
        <v>Sim</v>
      </c>
    </row>
    <row r="49" spans="1:4" x14ac:dyDescent="0.25">
      <c r="A49"/>
      <c r="D49" t="str">
        <f t="shared" si="0"/>
        <v>Sim</v>
      </c>
    </row>
    <row r="50" spans="1:4" x14ac:dyDescent="0.25">
      <c r="A50"/>
      <c r="D50" t="str">
        <f t="shared" si="0"/>
        <v>Sim</v>
      </c>
    </row>
    <row r="51" spans="1:4" x14ac:dyDescent="0.25">
      <c r="A51"/>
      <c r="D51" t="str">
        <f t="shared" si="0"/>
        <v>Sim</v>
      </c>
    </row>
    <row r="52" spans="1:4" x14ac:dyDescent="0.25">
      <c r="A52"/>
      <c r="D52" t="str">
        <f t="shared" si="0"/>
        <v>Sim</v>
      </c>
    </row>
    <row r="53" spans="1:4" x14ac:dyDescent="0.25">
      <c r="A53"/>
      <c r="D53" t="str">
        <f t="shared" si="0"/>
        <v>Sim</v>
      </c>
    </row>
    <row r="54" spans="1:4" x14ac:dyDescent="0.25">
      <c r="A54"/>
      <c r="D54" t="str">
        <f t="shared" si="0"/>
        <v>Sim</v>
      </c>
    </row>
    <row r="55" spans="1:4" x14ac:dyDescent="0.25">
      <c r="A55"/>
      <c r="D55" t="str">
        <f t="shared" si="0"/>
        <v>Sim</v>
      </c>
    </row>
    <row r="56" spans="1:4" x14ac:dyDescent="0.25">
      <c r="A56"/>
      <c r="D56" t="str">
        <f t="shared" si="0"/>
        <v>Sim</v>
      </c>
    </row>
    <row r="57" spans="1:4" x14ac:dyDescent="0.25">
      <c r="A57"/>
      <c r="D57" t="str">
        <f t="shared" si="0"/>
        <v>Sim</v>
      </c>
    </row>
    <row r="58" spans="1:4" x14ac:dyDescent="0.25">
      <c r="A58"/>
      <c r="D58" t="str">
        <f t="shared" si="0"/>
        <v>Sim</v>
      </c>
    </row>
    <row r="59" spans="1:4" x14ac:dyDescent="0.25">
      <c r="A59"/>
      <c r="D59" t="str">
        <f t="shared" si="0"/>
        <v>Sim</v>
      </c>
    </row>
    <row r="60" spans="1:4" x14ac:dyDescent="0.25">
      <c r="A60"/>
      <c r="D60" t="str">
        <f t="shared" si="0"/>
        <v>Sim</v>
      </c>
    </row>
    <row r="61" spans="1:4" x14ac:dyDescent="0.25">
      <c r="A61"/>
      <c r="D61" t="str">
        <f t="shared" si="0"/>
        <v>Sim</v>
      </c>
    </row>
    <row r="62" spans="1:4" x14ac:dyDescent="0.25">
      <c r="A62"/>
      <c r="D62" t="str">
        <f t="shared" si="0"/>
        <v>Sim</v>
      </c>
    </row>
    <row r="63" spans="1:4" x14ac:dyDescent="0.25">
      <c r="A63"/>
      <c r="D63" t="str">
        <f t="shared" si="0"/>
        <v>Sim</v>
      </c>
    </row>
    <row r="64" spans="1:4" x14ac:dyDescent="0.25">
      <c r="A64"/>
      <c r="D64" t="str">
        <f t="shared" si="0"/>
        <v>Sim</v>
      </c>
    </row>
    <row r="65" spans="1:4" x14ac:dyDescent="0.25">
      <c r="A65"/>
      <c r="D65" t="str">
        <f t="shared" si="0"/>
        <v>Sim</v>
      </c>
    </row>
    <row r="66" spans="1:4" x14ac:dyDescent="0.25">
      <c r="A66"/>
      <c r="D66" t="str">
        <f t="shared" si="0"/>
        <v>Sim</v>
      </c>
    </row>
    <row r="67" spans="1:4" x14ac:dyDescent="0.25">
      <c r="A67"/>
      <c r="D67" t="str">
        <f t="shared" si="0"/>
        <v>Sim</v>
      </c>
    </row>
    <row r="68" spans="1:4" x14ac:dyDescent="0.25">
      <c r="A68"/>
      <c r="D68" t="str">
        <f t="shared" ref="D68:D100" si="2">IF(B68=C68, "Sim", "Não")</f>
        <v>Sim</v>
      </c>
    </row>
    <row r="69" spans="1:4" x14ac:dyDescent="0.25">
      <c r="A69"/>
      <c r="D69" t="str">
        <f t="shared" si="2"/>
        <v>Sim</v>
      </c>
    </row>
    <row r="70" spans="1:4" x14ac:dyDescent="0.25">
      <c r="A70"/>
      <c r="D70" t="str">
        <f t="shared" si="2"/>
        <v>Sim</v>
      </c>
    </row>
    <row r="71" spans="1:4" x14ac:dyDescent="0.25">
      <c r="A71"/>
      <c r="D71" t="str">
        <f t="shared" si="2"/>
        <v>Sim</v>
      </c>
    </row>
    <row r="72" spans="1:4" x14ac:dyDescent="0.25">
      <c r="A72"/>
      <c r="D72" t="str">
        <f t="shared" si="2"/>
        <v>Sim</v>
      </c>
    </row>
    <row r="73" spans="1:4" x14ac:dyDescent="0.25">
      <c r="A73"/>
      <c r="D73" t="str">
        <f t="shared" si="2"/>
        <v>Sim</v>
      </c>
    </row>
    <row r="74" spans="1:4" x14ac:dyDescent="0.25">
      <c r="A74"/>
      <c r="D74" t="str">
        <f t="shared" si="2"/>
        <v>Sim</v>
      </c>
    </row>
    <row r="75" spans="1:4" x14ac:dyDescent="0.25">
      <c r="A75"/>
      <c r="D75" t="str">
        <f t="shared" si="2"/>
        <v>Sim</v>
      </c>
    </row>
    <row r="76" spans="1:4" x14ac:dyDescent="0.25">
      <c r="A76"/>
      <c r="D76" t="str">
        <f t="shared" si="2"/>
        <v>Sim</v>
      </c>
    </row>
    <row r="77" spans="1:4" x14ac:dyDescent="0.25">
      <c r="A77"/>
      <c r="D77" t="str">
        <f t="shared" si="2"/>
        <v>Sim</v>
      </c>
    </row>
    <row r="78" spans="1:4" x14ac:dyDescent="0.25">
      <c r="A78"/>
      <c r="D78" t="str">
        <f t="shared" si="2"/>
        <v>Sim</v>
      </c>
    </row>
    <row r="79" spans="1:4" x14ac:dyDescent="0.25">
      <c r="A79"/>
      <c r="D79" t="str">
        <f t="shared" si="2"/>
        <v>Sim</v>
      </c>
    </row>
    <row r="80" spans="1:4" x14ac:dyDescent="0.25">
      <c r="A80"/>
      <c r="D80" t="str">
        <f t="shared" si="2"/>
        <v>Sim</v>
      </c>
    </row>
    <row r="81" spans="1:4" x14ac:dyDescent="0.25">
      <c r="A81"/>
      <c r="D81" t="str">
        <f t="shared" si="2"/>
        <v>Sim</v>
      </c>
    </row>
    <row r="82" spans="1:4" x14ac:dyDescent="0.25">
      <c r="A82"/>
      <c r="D82" t="str">
        <f t="shared" si="2"/>
        <v>Sim</v>
      </c>
    </row>
    <row r="83" spans="1:4" x14ac:dyDescent="0.25">
      <c r="A83"/>
      <c r="D83" t="str">
        <f t="shared" si="2"/>
        <v>Sim</v>
      </c>
    </row>
    <row r="84" spans="1:4" x14ac:dyDescent="0.25">
      <c r="A84"/>
      <c r="D84" t="str">
        <f t="shared" si="2"/>
        <v>Sim</v>
      </c>
    </row>
    <row r="85" spans="1:4" x14ac:dyDescent="0.25">
      <c r="A85"/>
      <c r="D85" t="str">
        <f t="shared" si="2"/>
        <v>Sim</v>
      </c>
    </row>
    <row r="86" spans="1:4" x14ac:dyDescent="0.25">
      <c r="A86"/>
      <c r="D86" t="str">
        <f t="shared" si="2"/>
        <v>Sim</v>
      </c>
    </row>
    <row r="87" spans="1:4" x14ac:dyDescent="0.25">
      <c r="A87"/>
      <c r="D87" t="str">
        <f t="shared" si="2"/>
        <v>Sim</v>
      </c>
    </row>
    <row r="88" spans="1:4" x14ac:dyDescent="0.25">
      <c r="A88"/>
      <c r="D88" t="str">
        <f t="shared" si="2"/>
        <v>Sim</v>
      </c>
    </row>
    <row r="89" spans="1:4" x14ac:dyDescent="0.25">
      <c r="A89"/>
      <c r="D89" t="str">
        <f t="shared" si="2"/>
        <v>Sim</v>
      </c>
    </row>
    <row r="90" spans="1:4" x14ac:dyDescent="0.25">
      <c r="A90"/>
      <c r="D90" t="str">
        <f t="shared" si="2"/>
        <v>Sim</v>
      </c>
    </row>
    <row r="91" spans="1:4" x14ac:dyDescent="0.25">
      <c r="A91"/>
      <c r="D91" t="str">
        <f t="shared" si="2"/>
        <v>Sim</v>
      </c>
    </row>
    <row r="92" spans="1:4" x14ac:dyDescent="0.25">
      <c r="A92"/>
      <c r="D92" t="str">
        <f t="shared" si="2"/>
        <v>Sim</v>
      </c>
    </row>
    <row r="93" spans="1:4" x14ac:dyDescent="0.25">
      <c r="A93"/>
      <c r="D93" t="str">
        <f t="shared" si="2"/>
        <v>Sim</v>
      </c>
    </row>
    <row r="94" spans="1:4" x14ac:dyDescent="0.25">
      <c r="A94"/>
      <c r="D94" t="str">
        <f t="shared" si="2"/>
        <v>Sim</v>
      </c>
    </row>
    <row r="95" spans="1:4" x14ac:dyDescent="0.25">
      <c r="A95"/>
      <c r="D95" t="str">
        <f t="shared" si="2"/>
        <v>Sim</v>
      </c>
    </row>
    <row r="96" spans="1:4" x14ac:dyDescent="0.25">
      <c r="A96"/>
      <c r="D96" t="str">
        <f t="shared" si="2"/>
        <v>Sim</v>
      </c>
    </row>
    <row r="97" spans="1:4" x14ac:dyDescent="0.25">
      <c r="A97"/>
      <c r="D97" t="str">
        <f t="shared" si="2"/>
        <v>Sim</v>
      </c>
    </row>
    <row r="98" spans="1:4" x14ac:dyDescent="0.25">
      <c r="A98"/>
      <c r="D98" t="str">
        <f t="shared" si="2"/>
        <v>Sim</v>
      </c>
    </row>
    <row r="99" spans="1:4" x14ac:dyDescent="0.25">
      <c r="A99"/>
      <c r="D99" t="str">
        <f t="shared" si="2"/>
        <v>Sim</v>
      </c>
    </row>
    <row r="100" spans="1:4" x14ac:dyDescent="0.25">
      <c r="A100"/>
      <c r="D100" t="str">
        <f t="shared" si="2"/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C498B-3E28-402D-AE29-8223482F6495}">
  <dimension ref="A1:G100"/>
  <sheetViews>
    <sheetView workbookViewId="0">
      <selection activeCell="G21" sqref="G21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8" t="s">
        <v>96</v>
      </c>
      <c r="B1" s="8"/>
      <c r="C1" s="8"/>
      <c r="D1" s="8"/>
      <c r="E1" s="8"/>
      <c r="F1" s="8"/>
      <c r="G1" s="8"/>
    </row>
    <row r="2" spans="1:7" x14ac:dyDescent="0.25">
      <c r="A2" s="4" t="s">
        <v>0</v>
      </c>
      <c r="B2" s="4" t="s">
        <v>9</v>
      </c>
      <c r="C2" s="4" t="s">
        <v>10</v>
      </c>
      <c r="D2" s="4" t="s">
        <v>8</v>
      </c>
    </row>
    <row r="3" spans="1:7" x14ac:dyDescent="0.25">
      <c r="A3" t="s">
        <v>1</v>
      </c>
      <c r="C3" t="s">
        <v>13</v>
      </c>
      <c r="D3" t="str">
        <f>IF(B3=C3, "Sim", "Não")</f>
        <v>Não</v>
      </c>
      <c r="F3" s="4" t="s">
        <v>11</v>
      </c>
      <c r="G3" s="3">
        <f>COUNTIF(D3:D105,"Não")</f>
        <v>98</v>
      </c>
    </row>
    <row r="4" spans="1:7" x14ac:dyDescent="0.25">
      <c r="A4" t="s">
        <v>1</v>
      </c>
      <c r="C4" t="s">
        <v>33</v>
      </c>
      <c r="D4" t="str">
        <f t="shared" ref="D4:D67" si="0">IF(B4=C4, "Sim", "Não")</f>
        <v>Não</v>
      </c>
      <c r="F4" s="4" t="s">
        <v>12</v>
      </c>
      <c r="G4" s="3">
        <f>SUM(G7:G25)</f>
        <v>99</v>
      </c>
    </row>
    <row r="5" spans="1:7" x14ac:dyDescent="0.25">
      <c r="A5" t="s">
        <v>1</v>
      </c>
      <c r="C5" t="s">
        <v>15</v>
      </c>
      <c r="D5" t="str">
        <f t="shared" si="0"/>
        <v>Não</v>
      </c>
    </row>
    <row r="6" spans="1:7" x14ac:dyDescent="0.25">
      <c r="A6" t="s">
        <v>1</v>
      </c>
      <c r="C6" t="s">
        <v>34</v>
      </c>
      <c r="D6" t="str">
        <f t="shared" si="0"/>
        <v>Não</v>
      </c>
      <c r="F6" s="6" t="s">
        <v>3</v>
      </c>
      <c r="G6" s="1"/>
    </row>
    <row r="7" spans="1:7" x14ac:dyDescent="0.25">
      <c r="A7" t="s">
        <v>1</v>
      </c>
      <c r="C7" t="s">
        <v>21</v>
      </c>
      <c r="D7" t="str">
        <f t="shared" si="0"/>
        <v>Não</v>
      </c>
      <c r="F7" s="7" t="s">
        <v>1</v>
      </c>
      <c r="G7" s="2">
        <f>COUNTIF(A:A,F7)</f>
        <v>35</v>
      </c>
    </row>
    <row r="8" spans="1:7" x14ac:dyDescent="0.25">
      <c r="A8" t="s">
        <v>1</v>
      </c>
      <c r="C8" t="s">
        <v>20</v>
      </c>
      <c r="D8" t="str">
        <f t="shared" si="0"/>
        <v>Não</v>
      </c>
      <c r="F8" s="7" t="s">
        <v>23</v>
      </c>
      <c r="G8" s="2">
        <f t="shared" ref="G8:G12" si="1">COUNTIF(A:A,F8)</f>
        <v>6</v>
      </c>
    </row>
    <row r="9" spans="1:7" x14ac:dyDescent="0.25">
      <c r="A9" t="s">
        <v>1</v>
      </c>
      <c r="C9" t="s">
        <v>139</v>
      </c>
      <c r="D9" t="str">
        <f t="shared" si="0"/>
        <v>Não</v>
      </c>
      <c r="F9" s="7" t="s">
        <v>4</v>
      </c>
      <c r="G9" s="2">
        <f t="shared" si="1"/>
        <v>6</v>
      </c>
    </row>
    <row r="10" spans="1:7" x14ac:dyDescent="0.25">
      <c r="A10" t="s">
        <v>1</v>
      </c>
      <c r="C10" t="s">
        <v>140</v>
      </c>
      <c r="D10" t="str">
        <f t="shared" si="0"/>
        <v>Não</v>
      </c>
      <c r="F10" s="7" t="s">
        <v>28</v>
      </c>
      <c r="G10" s="2">
        <f t="shared" si="1"/>
        <v>14</v>
      </c>
    </row>
    <row r="11" spans="1:7" x14ac:dyDescent="0.25">
      <c r="A11" t="s">
        <v>1</v>
      </c>
      <c r="C11" t="s">
        <v>141</v>
      </c>
      <c r="D11" t="str">
        <f t="shared" si="0"/>
        <v>Não</v>
      </c>
      <c r="F11" s="7" t="s">
        <v>96</v>
      </c>
      <c r="G11" s="2">
        <f t="shared" si="1"/>
        <v>30</v>
      </c>
    </row>
    <row r="12" spans="1:7" x14ac:dyDescent="0.25">
      <c r="A12" t="s">
        <v>1</v>
      </c>
      <c r="C12" t="s">
        <v>142</v>
      </c>
      <c r="D12" t="str">
        <f t="shared" si="0"/>
        <v>Não</v>
      </c>
      <c r="F12" s="7" t="s">
        <v>16</v>
      </c>
      <c r="G12" s="2">
        <f t="shared" si="1"/>
        <v>8</v>
      </c>
    </row>
    <row r="13" spans="1:7" x14ac:dyDescent="0.25">
      <c r="A13" t="s">
        <v>1</v>
      </c>
      <c r="C13" t="s">
        <v>68</v>
      </c>
      <c r="D13" t="str">
        <f t="shared" si="0"/>
        <v>Não</v>
      </c>
      <c r="F13" s="7"/>
      <c r="G13" s="2"/>
    </row>
    <row r="14" spans="1:7" x14ac:dyDescent="0.25">
      <c r="A14" t="s">
        <v>1</v>
      </c>
      <c r="C14" t="s">
        <v>59</v>
      </c>
      <c r="D14" t="str">
        <f t="shared" si="0"/>
        <v>Não</v>
      </c>
      <c r="F14" s="7"/>
      <c r="G14" s="2"/>
    </row>
    <row r="15" spans="1:7" x14ac:dyDescent="0.25">
      <c r="A15" t="s">
        <v>1</v>
      </c>
      <c r="C15" t="s">
        <v>65</v>
      </c>
      <c r="D15" t="str">
        <f t="shared" si="0"/>
        <v>Não</v>
      </c>
      <c r="F15" s="4"/>
      <c r="G15" s="2"/>
    </row>
    <row r="16" spans="1:7" x14ac:dyDescent="0.25">
      <c r="A16" t="s">
        <v>1</v>
      </c>
      <c r="C16" t="s">
        <v>31</v>
      </c>
      <c r="D16" t="str">
        <f t="shared" si="0"/>
        <v>Não</v>
      </c>
      <c r="F16" s="4"/>
      <c r="G16" s="2"/>
    </row>
    <row r="17" spans="1:4" x14ac:dyDescent="0.25">
      <c r="A17" t="s">
        <v>1</v>
      </c>
      <c r="C17" t="s">
        <v>60</v>
      </c>
      <c r="D17" t="str">
        <f t="shared" si="0"/>
        <v>Não</v>
      </c>
    </row>
    <row r="18" spans="1:4" x14ac:dyDescent="0.25">
      <c r="A18" t="s">
        <v>1</v>
      </c>
      <c r="C18" t="s">
        <v>67</v>
      </c>
      <c r="D18" t="str">
        <f t="shared" si="0"/>
        <v>Não</v>
      </c>
    </row>
    <row r="19" spans="1:4" x14ac:dyDescent="0.25">
      <c r="A19" t="s">
        <v>1</v>
      </c>
      <c r="C19" t="s">
        <v>30</v>
      </c>
      <c r="D19" t="str">
        <f t="shared" si="0"/>
        <v>Não</v>
      </c>
    </row>
    <row r="20" spans="1:4" x14ac:dyDescent="0.25">
      <c r="A20" t="s">
        <v>1</v>
      </c>
      <c r="C20" t="s">
        <v>143</v>
      </c>
      <c r="D20" t="str">
        <f t="shared" si="0"/>
        <v>Não</v>
      </c>
    </row>
    <row r="21" spans="1:4" x14ac:dyDescent="0.25">
      <c r="A21" t="s">
        <v>1</v>
      </c>
      <c r="C21" t="s">
        <v>66</v>
      </c>
      <c r="D21" t="str">
        <f t="shared" si="0"/>
        <v>Não</v>
      </c>
    </row>
    <row r="22" spans="1:4" x14ac:dyDescent="0.25">
      <c r="A22" t="s">
        <v>1</v>
      </c>
      <c r="C22" t="s">
        <v>2</v>
      </c>
      <c r="D22" t="str">
        <f t="shared" si="0"/>
        <v>Não</v>
      </c>
    </row>
    <row r="23" spans="1:4" x14ac:dyDescent="0.25">
      <c r="A23" t="s">
        <v>1</v>
      </c>
      <c r="C23" t="s">
        <v>2</v>
      </c>
      <c r="D23" t="str">
        <f t="shared" si="0"/>
        <v>Não</v>
      </c>
    </row>
    <row r="24" spans="1:4" x14ac:dyDescent="0.25">
      <c r="A24" t="s">
        <v>1</v>
      </c>
      <c r="C24" t="s">
        <v>2</v>
      </c>
      <c r="D24" t="str">
        <f t="shared" si="0"/>
        <v>Não</v>
      </c>
    </row>
    <row r="25" spans="1:4" x14ac:dyDescent="0.25">
      <c r="A25" t="s">
        <v>1</v>
      </c>
      <c r="C25" t="s">
        <v>2</v>
      </c>
      <c r="D25" t="str">
        <f t="shared" si="0"/>
        <v>Não</v>
      </c>
    </row>
    <row r="26" spans="1:4" x14ac:dyDescent="0.25">
      <c r="A26" t="s">
        <v>1</v>
      </c>
      <c r="C26" t="s">
        <v>2</v>
      </c>
      <c r="D26" t="str">
        <f t="shared" si="0"/>
        <v>Não</v>
      </c>
    </row>
    <row r="27" spans="1:4" x14ac:dyDescent="0.25">
      <c r="A27" t="s">
        <v>1</v>
      </c>
      <c r="C27" t="s">
        <v>2</v>
      </c>
      <c r="D27" t="str">
        <f t="shared" si="0"/>
        <v>Não</v>
      </c>
    </row>
    <row r="28" spans="1:4" x14ac:dyDescent="0.25">
      <c r="A28" t="s">
        <v>1</v>
      </c>
      <c r="C28" t="s">
        <v>2</v>
      </c>
      <c r="D28" t="str">
        <f t="shared" si="0"/>
        <v>Não</v>
      </c>
    </row>
    <row r="29" spans="1:4" x14ac:dyDescent="0.25">
      <c r="A29" t="s">
        <v>1</v>
      </c>
      <c r="C29" t="s">
        <v>2</v>
      </c>
      <c r="D29" t="str">
        <f t="shared" si="0"/>
        <v>Não</v>
      </c>
    </row>
    <row r="30" spans="1:4" x14ac:dyDescent="0.25">
      <c r="A30" t="s">
        <v>1</v>
      </c>
      <c r="C30" t="s">
        <v>14</v>
      </c>
      <c r="D30" t="str">
        <f t="shared" si="0"/>
        <v>Não</v>
      </c>
    </row>
    <row r="31" spans="1:4" x14ac:dyDescent="0.25">
      <c r="A31" t="s">
        <v>1</v>
      </c>
      <c r="C31" t="s">
        <v>14</v>
      </c>
      <c r="D31" t="str">
        <f t="shared" si="0"/>
        <v>Não</v>
      </c>
    </row>
    <row r="32" spans="1:4" x14ac:dyDescent="0.25">
      <c r="A32" t="s">
        <v>1</v>
      </c>
      <c r="C32" t="s">
        <v>14</v>
      </c>
      <c r="D32" t="str">
        <f t="shared" si="0"/>
        <v>Não</v>
      </c>
    </row>
    <row r="33" spans="1:4" x14ac:dyDescent="0.25">
      <c r="A33" t="s">
        <v>1</v>
      </c>
      <c r="C33" t="s">
        <v>14</v>
      </c>
      <c r="D33" t="str">
        <f t="shared" si="0"/>
        <v>Não</v>
      </c>
    </row>
    <row r="34" spans="1:4" x14ac:dyDescent="0.25">
      <c r="A34" t="s">
        <v>1</v>
      </c>
      <c r="C34" t="s">
        <v>14</v>
      </c>
      <c r="D34" t="str">
        <f t="shared" si="0"/>
        <v>Não</v>
      </c>
    </row>
    <row r="35" spans="1:4" x14ac:dyDescent="0.25">
      <c r="A35" t="s">
        <v>1</v>
      </c>
      <c r="C35" t="s">
        <v>14</v>
      </c>
      <c r="D35" t="str">
        <f t="shared" si="0"/>
        <v>Não</v>
      </c>
    </row>
    <row r="36" spans="1:4" x14ac:dyDescent="0.25">
      <c r="A36" t="s">
        <v>1</v>
      </c>
      <c r="C36" t="s">
        <v>14</v>
      </c>
      <c r="D36" t="str">
        <f t="shared" si="0"/>
        <v>Não</v>
      </c>
    </row>
    <row r="37" spans="1:4" x14ac:dyDescent="0.25">
      <c r="A37" t="s">
        <v>1</v>
      </c>
      <c r="C37" t="s">
        <v>14</v>
      </c>
      <c r="D37" t="str">
        <f t="shared" si="0"/>
        <v>Não</v>
      </c>
    </row>
    <row r="38" spans="1:4" x14ac:dyDescent="0.25">
      <c r="A38" t="s">
        <v>23</v>
      </c>
      <c r="C38" t="s">
        <v>19</v>
      </c>
      <c r="D38" t="str">
        <f t="shared" si="0"/>
        <v>Não</v>
      </c>
    </row>
    <row r="39" spans="1:4" x14ac:dyDescent="0.25">
      <c r="A39" t="s">
        <v>23</v>
      </c>
      <c r="C39" t="s">
        <v>29</v>
      </c>
      <c r="D39" t="str">
        <f t="shared" si="0"/>
        <v>Não</v>
      </c>
    </row>
    <row r="40" spans="1:4" x14ac:dyDescent="0.25">
      <c r="A40" t="s">
        <v>23</v>
      </c>
      <c r="C40" t="s">
        <v>22</v>
      </c>
      <c r="D40" t="str">
        <f t="shared" si="0"/>
        <v>Não</v>
      </c>
    </row>
    <row r="41" spans="1:4" x14ac:dyDescent="0.25">
      <c r="A41" t="s">
        <v>23</v>
      </c>
      <c r="C41" t="s">
        <v>64</v>
      </c>
      <c r="D41" t="str">
        <f t="shared" si="0"/>
        <v>Não</v>
      </c>
    </row>
    <row r="42" spans="1:4" x14ac:dyDescent="0.25">
      <c r="A42" t="s">
        <v>23</v>
      </c>
      <c r="C42" t="s">
        <v>72</v>
      </c>
      <c r="D42" t="str">
        <f t="shared" si="0"/>
        <v>Não</v>
      </c>
    </row>
    <row r="43" spans="1:4" x14ac:dyDescent="0.25">
      <c r="A43" t="s">
        <v>23</v>
      </c>
      <c r="C43" t="s">
        <v>101</v>
      </c>
      <c r="D43" t="str">
        <f t="shared" si="0"/>
        <v>Não</v>
      </c>
    </row>
    <row r="44" spans="1:4" x14ac:dyDescent="0.25">
      <c r="A44" t="s">
        <v>4</v>
      </c>
      <c r="C44" t="s">
        <v>100</v>
      </c>
      <c r="D44" t="str">
        <f t="shared" si="0"/>
        <v>Não</v>
      </c>
    </row>
    <row r="45" spans="1:4" x14ac:dyDescent="0.25">
      <c r="A45" t="s">
        <v>4</v>
      </c>
      <c r="C45" t="s">
        <v>123</v>
      </c>
      <c r="D45" t="str">
        <f t="shared" si="0"/>
        <v>Não</v>
      </c>
    </row>
    <row r="46" spans="1:4" x14ac:dyDescent="0.25">
      <c r="A46" t="s">
        <v>4</v>
      </c>
      <c r="C46" t="s">
        <v>105</v>
      </c>
      <c r="D46" t="str">
        <f t="shared" si="0"/>
        <v>Não</v>
      </c>
    </row>
    <row r="47" spans="1:4" x14ac:dyDescent="0.25">
      <c r="A47" t="s">
        <v>4</v>
      </c>
      <c r="C47" t="s">
        <v>135</v>
      </c>
      <c r="D47" t="str">
        <f t="shared" si="0"/>
        <v>Não</v>
      </c>
    </row>
    <row r="48" spans="1:4" x14ac:dyDescent="0.25">
      <c r="A48" t="s">
        <v>4</v>
      </c>
      <c r="C48" t="s">
        <v>53</v>
      </c>
      <c r="D48" t="str">
        <f t="shared" si="0"/>
        <v>Não</v>
      </c>
    </row>
    <row r="49" spans="1:4" x14ac:dyDescent="0.25">
      <c r="A49" t="s">
        <v>4</v>
      </c>
      <c r="C49" t="s">
        <v>138</v>
      </c>
      <c r="D49" t="str">
        <f t="shared" si="0"/>
        <v>Não</v>
      </c>
    </row>
    <row r="50" spans="1:4" x14ac:dyDescent="0.25">
      <c r="A50" t="s">
        <v>28</v>
      </c>
      <c r="C50" t="s">
        <v>128</v>
      </c>
      <c r="D50" t="str">
        <f t="shared" si="0"/>
        <v>Não</v>
      </c>
    </row>
    <row r="51" spans="1:4" x14ac:dyDescent="0.25">
      <c r="A51" t="s">
        <v>28</v>
      </c>
      <c r="C51" t="s">
        <v>70</v>
      </c>
      <c r="D51" t="str">
        <f t="shared" si="0"/>
        <v>Não</v>
      </c>
    </row>
    <row r="52" spans="1:4" x14ac:dyDescent="0.25">
      <c r="A52" t="s">
        <v>28</v>
      </c>
      <c r="C52" t="s">
        <v>129</v>
      </c>
      <c r="D52" t="str">
        <f t="shared" si="0"/>
        <v>Não</v>
      </c>
    </row>
    <row r="53" spans="1:4" x14ac:dyDescent="0.25">
      <c r="A53" t="s">
        <v>28</v>
      </c>
      <c r="C53" t="s">
        <v>134</v>
      </c>
      <c r="D53" t="str">
        <f t="shared" si="0"/>
        <v>Não</v>
      </c>
    </row>
    <row r="54" spans="1:4" x14ac:dyDescent="0.25">
      <c r="A54" t="s">
        <v>28</v>
      </c>
      <c r="C54" t="s">
        <v>130</v>
      </c>
      <c r="D54" t="str">
        <f t="shared" si="0"/>
        <v>Não</v>
      </c>
    </row>
    <row r="55" spans="1:4" x14ac:dyDescent="0.25">
      <c r="A55" t="s">
        <v>28</v>
      </c>
      <c r="C55" t="s">
        <v>131</v>
      </c>
      <c r="D55" t="str">
        <f t="shared" si="0"/>
        <v>Não</v>
      </c>
    </row>
    <row r="56" spans="1:4" x14ac:dyDescent="0.25">
      <c r="A56" t="s">
        <v>28</v>
      </c>
      <c r="C56" t="s">
        <v>132</v>
      </c>
      <c r="D56" t="str">
        <f t="shared" si="0"/>
        <v>Não</v>
      </c>
    </row>
    <row r="57" spans="1:4" x14ac:dyDescent="0.25">
      <c r="A57" t="s">
        <v>28</v>
      </c>
      <c r="C57" t="s">
        <v>41</v>
      </c>
      <c r="D57" t="str">
        <f t="shared" si="0"/>
        <v>Não</v>
      </c>
    </row>
    <row r="58" spans="1:4" x14ac:dyDescent="0.25">
      <c r="A58" t="s">
        <v>28</v>
      </c>
      <c r="C58" t="s">
        <v>144</v>
      </c>
      <c r="D58" t="str">
        <f t="shared" si="0"/>
        <v>Não</v>
      </c>
    </row>
    <row r="59" spans="1:4" x14ac:dyDescent="0.25">
      <c r="A59" t="s">
        <v>28</v>
      </c>
      <c r="C59" t="s">
        <v>133</v>
      </c>
      <c r="D59" t="str">
        <f t="shared" si="0"/>
        <v>Não</v>
      </c>
    </row>
    <row r="60" spans="1:4" x14ac:dyDescent="0.25">
      <c r="A60" t="s">
        <v>28</v>
      </c>
      <c r="C60" t="s">
        <v>55</v>
      </c>
      <c r="D60" t="str">
        <f t="shared" si="0"/>
        <v>Não</v>
      </c>
    </row>
    <row r="61" spans="1:4" x14ac:dyDescent="0.25">
      <c r="A61" t="s">
        <v>28</v>
      </c>
      <c r="C61" t="s">
        <v>127</v>
      </c>
      <c r="D61" t="str">
        <f t="shared" si="0"/>
        <v>Não</v>
      </c>
    </row>
    <row r="62" spans="1:4" x14ac:dyDescent="0.25">
      <c r="A62" t="s">
        <v>28</v>
      </c>
      <c r="C62" t="s">
        <v>18</v>
      </c>
      <c r="D62" t="str">
        <f t="shared" si="0"/>
        <v>Não</v>
      </c>
    </row>
    <row r="63" spans="1:4" x14ac:dyDescent="0.25">
      <c r="A63" t="s">
        <v>28</v>
      </c>
      <c r="C63" t="s">
        <v>7</v>
      </c>
      <c r="D63" t="str">
        <f t="shared" si="0"/>
        <v>Não</v>
      </c>
    </row>
    <row r="64" spans="1:4" x14ac:dyDescent="0.25">
      <c r="A64" t="s">
        <v>96</v>
      </c>
      <c r="C64" t="s">
        <v>124</v>
      </c>
      <c r="D64" t="str">
        <f t="shared" si="0"/>
        <v>Não</v>
      </c>
    </row>
    <row r="65" spans="1:4" x14ac:dyDescent="0.25">
      <c r="A65" t="s">
        <v>96</v>
      </c>
      <c r="C65" t="s">
        <v>125</v>
      </c>
      <c r="D65" t="str">
        <f t="shared" si="0"/>
        <v>Não</v>
      </c>
    </row>
    <row r="66" spans="1:4" x14ac:dyDescent="0.25">
      <c r="A66" t="s">
        <v>96</v>
      </c>
      <c r="C66" t="s">
        <v>106</v>
      </c>
      <c r="D66" t="str">
        <f t="shared" si="0"/>
        <v>Não</v>
      </c>
    </row>
    <row r="67" spans="1:4" x14ac:dyDescent="0.25">
      <c r="A67" t="s">
        <v>96</v>
      </c>
      <c r="C67" t="s">
        <v>107</v>
      </c>
      <c r="D67" t="str">
        <f t="shared" si="0"/>
        <v>Não</v>
      </c>
    </row>
    <row r="68" spans="1:4" x14ac:dyDescent="0.25">
      <c r="A68" t="s">
        <v>96</v>
      </c>
      <c r="C68" t="s">
        <v>122</v>
      </c>
      <c r="D68" t="str">
        <f t="shared" ref="D68:D100" si="2">IF(B68=C68, "Sim", "Não")</f>
        <v>Não</v>
      </c>
    </row>
    <row r="69" spans="1:4" x14ac:dyDescent="0.25">
      <c r="A69" t="s">
        <v>96</v>
      </c>
      <c r="C69" t="s">
        <v>108</v>
      </c>
      <c r="D69" t="str">
        <f t="shared" si="2"/>
        <v>Não</v>
      </c>
    </row>
    <row r="70" spans="1:4" x14ac:dyDescent="0.25">
      <c r="A70" t="s">
        <v>96</v>
      </c>
      <c r="C70" t="s">
        <v>109</v>
      </c>
      <c r="D70" t="str">
        <f t="shared" si="2"/>
        <v>Não</v>
      </c>
    </row>
    <row r="71" spans="1:4" x14ac:dyDescent="0.25">
      <c r="A71" t="s">
        <v>96</v>
      </c>
      <c r="C71" t="s">
        <v>119</v>
      </c>
      <c r="D71" t="str">
        <f t="shared" si="2"/>
        <v>Não</v>
      </c>
    </row>
    <row r="72" spans="1:4" x14ac:dyDescent="0.25">
      <c r="A72" t="s">
        <v>96</v>
      </c>
      <c r="C72" t="s">
        <v>110</v>
      </c>
      <c r="D72" t="str">
        <f t="shared" si="2"/>
        <v>Não</v>
      </c>
    </row>
    <row r="73" spans="1:4" x14ac:dyDescent="0.25">
      <c r="A73" t="s">
        <v>96</v>
      </c>
      <c r="C73" t="s">
        <v>57</v>
      </c>
      <c r="D73" t="str">
        <f t="shared" si="2"/>
        <v>Não</v>
      </c>
    </row>
    <row r="74" spans="1:4" x14ac:dyDescent="0.25">
      <c r="A74" t="s">
        <v>96</v>
      </c>
      <c r="C74" t="s">
        <v>71</v>
      </c>
      <c r="D74" t="str">
        <f t="shared" si="2"/>
        <v>Não</v>
      </c>
    </row>
    <row r="75" spans="1:4" x14ac:dyDescent="0.25">
      <c r="A75" t="s">
        <v>96</v>
      </c>
      <c r="C75" t="s">
        <v>111</v>
      </c>
      <c r="D75" t="str">
        <f t="shared" si="2"/>
        <v>Não</v>
      </c>
    </row>
    <row r="76" spans="1:4" x14ac:dyDescent="0.25">
      <c r="A76" t="s">
        <v>96</v>
      </c>
      <c r="C76" t="s">
        <v>112</v>
      </c>
      <c r="D76" t="str">
        <f t="shared" si="2"/>
        <v>Não</v>
      </c>
    </row>
    <row r="77" spans="1:4" x14ac:dyDescent="0.25">
      <c r="A77" t="s">
        <v>96</v>
      </c>
      <c r="C77" t="s">
        <v>102</v>
      </c>
      <c r="D77" t="str">
        <f t="shared" si="2"/>
        <v>Não</v>
      </c>
    </row>
    <row r="78" spans="1:4" x14ac:dyDescent="0.25">
      <c r="A78" t="s">
        <v>96</v>
      </c>
      <c r="C78" t="s">
        <v>62</v>
      </c>
      <c r="D78" t="str">
        <f t="shared" si="2"/>
        <v>Não</v>
      </c>
    </row>
    <row r="79" spans="1:4" x14ac:dyDescent="0.25">
      <c r="A79" t="s">
        <v>96</v>
      </c>
      <c r="C79" t="s">
        <v>61</v>
      </c>
      <c r="D79" t="str">
        <f t="shared" si="2"/>
        <v>Não</v>
      </c>
    </row>
    <row r="80" spans="1:4" x14ac:dyDescent="0.25">
      <c r="A80" t="s">
        <v>96</v>
      </c>
      <c r="C80" t="s">
        <v>103</v>
      </c>
      <c r="D80" t="str">
        <f t="shared" si="2"/>
        <v>Não</v>
      </c>
    </row>
    <row r="81" spans="1:4" x14ac:dyDescent="0.25">
      <c r="A81" t="s">
        <v>96</v>
      </c>
      <c r="C81" t="s">
        <v>104</v>
      </c>
      <c r="D81" t="str">
        <f t="shared" si="2"/>
        <v>Não</v>
      </c>
    </row>
    <row r="82" spans="1:4" x14ac:dyDescent="0.25">
      <c r="A82" t="s">
        <v>96</v>
      </c>
      <c r="C82" t="s">
        <v>115</v>
      </c>
      <c r="D82" t="str">
        <f t="shared" si="2"/>
        <v>Não</v>
      </c>
    </row>
    <row r="83" spans="1:4" x14ac:dyDescent="0.25">
      <c r="A83" t="s">
        <v>96</v>
      </c>
      <c r="C83" t="s">
        <v>114</v>
      </c>
      <c r="D83" t="str">
        <f t="shared" si="2"/>
        <v>Não</v>
      </c>
    </row>
    <row r="84" spans="1:4" x14ac:dyDescent="0.25">
      <c r="A84" t="s">
        <v>96</v>
      </c>
      <c r="C84" t="s">
        <v>126</v>
      </c>
      <c r="D84" t="str">
        <f t="shared" si="2"/>
        <v>Não</v>
      </c>
    </row>
    <row r="85" spans="1:4" x14ac:dyDescent="0.25">
      <c r="A85" t="s">
        <v>96</v>
      </c>
      <c r="C85" t="s">
        <v>58</v>
      </c>
      <c r="D85" t="str">
        <f t="shared" si="2"/>
        <v>Não</v>
      </c>
    </row>
    <row r="86" spans="1:4" x14ac:dyDescent="0.25">
      <c r="A86" t="s">
        <v>96</v>
      </c>
      <c r="C86" t="s">
        <v>35</v>
      </c>
      <c r="D86" t="str">
        <f t="shared" si="2"/>
        <v>Não</v>
      </c>
    </row>
    <row r="87" spans="1:4" x14ac:dyDescent="0.25">
      <c r="A87" t="s">
        <v>96</v>
      </c>
      <c r="C87" t="s">
        <v>52</v>
      </c>
      <c r="D87" t="str">
        <f t="shared" si="2"/>
        <v>Não</v>
      </c>
    </row>
    <row r="88" spans="1:4" x14ac:dyDescent="0.25">
      <c r="A88" t="s">
        <v>96</v>
      </c>
      <c r="C88" t="s">
        <v>98</v>
      </c>
      <c r="D88" t="str">
        <f t="shared" si="2"/>
        <v>Não</v>
      </c>
    </row>
    <row r="89" spans="1:4" x14ac:dyDescent="0.25">
      <c r="A89" t="s">
        <v>96</v>
      </c>
      <c r="C89" t="s">
        <v>116</v>
      </c>
      <c r="D89" t="str">
        <f t="shared" si="2"/>
        <v>Não</v>
      </c>
    </row>
    <row r="90" spans="1:4" x14ac:dyDescent="0.25">
      <c r="A90" t="s">
        <v>96</v>
      </c>
      <c r="C90" t="s">
        <v>56</v>
      </c>
      <c r="D90" t="str">
        <f t="shared" si="2"/>
        <v>Não</v>
      </c>
    </row>
    <row r="91" spans="1:4" x14ac:dyDescent="0.25">
      <c r="A91" t="s">
        <v>96</v>
      </c>
      <c r="C91" t="s">
        <v>117</v>
      </c>
      <c r="D91" t="str">
        <f t="shared" si="2"/>
        <v>Não</v>
      </c>
    </row>
    <row r="92" spans="1:4" x14ac:dyDescent="0.25">
      <c r="A92" t="s">
        <v>96</v>
      </c>
      <c r="C92" t="s">
        <v>118</v>
      </c>
      <c r="D92" t="str">
        <f t="shared" si="2"/>
        <v>Não</v>
      </c>
    </row>
    <row r="93" spans="1:4" x14ac:dyDescent="0.25">
      <c r="A93" t="s">
        <v>16</v>
      </c>
      <c r="C93" t="s">
        <v>120</v>
      </c>
      <c r="D93" t="str">
        <f t="shared" si="2"/>
        <v>Não</v>
      </c>
    </row>
    <row r="94" spans="1:4" x14ac:dyDescent="0.25">
      <c r="A94" t="s">
        <v>16</v>
      </c>
      <c r="C94" t="s">
        <v>121</v>
      </c>
      <c r="D94" t="str">
        <f t="shared" si="2"/>
        <v>Não</v>
      </c>
    </row>
    <row r="95" spans="1:4" x14ac:dyDescent="0.25">
      <c r="A95" t="s">
        <v>16</v>
      </c>
      <c r="C95" t="s">
        <v>73</v>
      </c>
      <c r="D95" t="str">
        <f t="shared" si="2"/>
        <v>Não</v>
      </c>
    </row>
    <row r="96" spans="1:4" x14ac:dyDescent="0.25">
      <c r="A96" t="s">
        <v>16</v>
      </c>
      <c r="C96" t="s">
        <v>113</v>
      </c>
      <c r="D96" t="str">
        <f t="shared" si="2"/>
        <v>Não</v>
      </c>
    </row>
    <row r="97" spans="1:4" x14ac:dyDescent="0.25">
      <c r="A97" t="s">
        <v>16</v>
      </c>
      <c r="C97" t="s">
        <v>99</v>
      </c>
      <c r="D97" t="str">
        <f t="shared" si="2"/>
        <v>Não</v>
      </c>
    </row>
    <row r="98" spans="1:4" x14ac:dyDescent="0.25">
      <c r="A98" t="s">
        <v>16</v>
      </c>
      <c r="C98" t="s">
        <v>97</v>
      </c>
      <c r="D98" t="str">
        <f t="shared" si="2"/>
        <v>Não</v>
      </c>
    </row>
    <row r="99" spans="1:4" x14ac:dyDescent="0.25">
      <c r="A99" t="s">
        <v>16</v>
      </c>
      <c r="C99" t="s">
        <v>136</v>
      </c>
      <c r="D99" t="str">
        <f t="shared" si="2"/>
        <v>Não</v>
      </c>
    </row>
    <row r="100" spans="1:4" x14ac:dyDescent="0.25">
      <c r="A100" t="s">
        <v>16</v>
      </c>
      <c r="C100" t="s">
        <v>137</v>
      </c>
      <c r="D100" t="str">
        <f t="shared" si="2"/>
        <v>Não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Atraxa</vt:lpstr>
      <vt:lpstr>Elfos</vt:lpstr>
      <vt:lpstr>Tovolar</vt:lpstr>
      <vt:lpstr>Kaalia</vt:lpstr>
      <vt:lpstr>Yarok</vt:lpstr>
      <vt:lpstr>RinSeri</vt:lpstr>
      <vt:lpstr>Ladinos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Scalvi</dc:creator>
  <cp:lastModifiedBy>Marcelo Fernandes Scalvi</cp:lastModifiedBy>
  <dcterms:created xsi:type="dcterms:W3CDTF">2021-12-09T15:36:16Z</dcterms:created>
  <dcterms:modified xsi:type="dcterms:W3CDTF">2026-03-02T18:33:10Z</dcterms:modified>
</cp:coreProperties>
</file>