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"/>
    </mc:Choice>
  </mc:AlternateContent>
  <xr:revisionPtr revIDLastSave="0" documentId="13_ncr:1_{D2F02F56-A147-414A-B3E4-CEC3C5CE1352}" xr6:coauthVersionLast="47" xr6:coauthVersionMax="47" xr10:uidLastSave="{00000000-0000-0000-0000-000000000000}"/>
  <bookViews>
    <workbookView xWindow="-120" yWindow="-120" windowWidth="20730" windowHeight="11160" tabRatio="814" activeTab="2" xr2:uid="{CC72415A-D2E5-4D77-82BF-05A7B4384BC9}"/>
  </bookViews>
  <sheets>
    <sheet name="COMPRAS" sheetId="19" r:id="rId1"/>
    <sheet name="STATS" sheetId="52" r:id="rId2"/>
    <sheet name="WATCH" sheetId="61" r:id="rId3"/>
    <sheet name="RESUMO" sheetId="60" r:id="rId4"/>
    <sheet name="Thrakiri" sheetId="20" state="hidden" r:id="rId5"/>
    <sheet name="Gitrog" sheetId="21" state="hidden" r:id="rId6"/>
    <sheet name="Elfos" sheetId="23" state="hidden" r:id="rId7"/>
    <sheet name="Jhoira" sheetId="24" state="hidden" r:id="rId8"/>
    <sheet name="Fractius" sheetId="32" state="hidden" r:id="rId9"/>
    <sheet name="Modular" sheetId="63" r:id="rId10"/>
    <sheet name="Exaltado" sheetId="65" r:id="rId11"/>
    <sheet name="Muzzio" sheetId="25" state="hidden" r:id="rId12"/>
    <sheet name="Rielle" sheetId="1" state="hidden" r:id="rId13"/>
    <sheet name="Alela" sheetId="26" state="hidden" r:id="rId14"/>
    <sheet name="Arcades" sheetId="28" state="hidden" r:id="rId15"/>
    <sheet name="VialIshai" sheetId="31" state="hidden" r:id="rId16"/>
    <sheet name="Yuriko" sheetId="30" state="hidden" r:id="rId17"/>
    <sheet name="Zedruu" sheetId="27" state="hidden" r:id="rId18"/>
    <sheet name="Inalla" sheetId="29" state="hidden" r:id="rId19"/>
    <sheet name="Carlos" sheetId="33" state="hidden" r:id="rId20"/>
    <sheet name="Oona" sheetId="40" state="hidden" r:id="rId21"/>
    <sheet name="Kresh" sheetId="34" state="hidden" r:id="rId22"/>
    <sheet name="Akiri" sheetId="35" state="hidden" r:id="rId23"/>
    <sheet name="Breya" sheetId="39" state="hidden" r:id="rId24"/>
    <sheet name="Rani" sheetId="57" state="hidden" r:id="rId25"/>
    <sheet name="Sisay" sheetId="44" state="hidden" r:id="rId26"/>
    <sheet name="OWA" sheetId="22" state="hidden" r:id="rId27"/>
    <sheet name="Narset" sheetId="46" state="hidden" r:id="rId28"/>
    <sheet name="Kumena" sheetId="47" state="hidden" r:id="rId29"/>
    <sheet name="Zimone" sheetId="49" state="hidden" r:id="rId30"/>
    <sheet name="Baylen" sheetId="51" state="hidden" r:id="rId31"/>
    <sheet name="Tayam" sheetId="53" r:id="rId32"/>
    <sheet name="JhoiraB" sheetId="58" state="hidden" r:id="rId33"/>
    <sheet name="Piratas" sheetId="59" state="hidden" r:id="rId34"/>
  </sheets>
  <definedNames>
    <definedName name="_xlnm._FilterDatabase" localSheetId="0" hidden="1">COMPRAS!$E$1:$J$64</definedName>
    <definedName name="_xlnm._FilterDatabase" localSheetId="3" hidden="1">RESUMO!$A$1:$G$450</definedName>
    <definedName name="_xlnm._FilterDatabase" localSheetId="4" hidden="1">Thrakiri!$A$2:$D$102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3" l="1"/>
  <c r="G15" i="63"/>
  <c r="G14" i="63"/>
  <c r="AW2" i="60" a="1"/>
  <c r="AW2" i="60" s="1"/>
  <c r="D102" i="65"/>
  <c r="D101" i="65"/>
  <c r="D100" i="65"/>
  <c r="D99" i="65"/>
  <c r="D98" i="65"/>
  <c r="D97" i="65"/>
  <c r="D96" i="65"/>
  <c r="D95" i="65"/>
  <c r="D94" i="65"/>
  <c r="D93" i="65"/>
  <c r="D92" i="65"/>
  <c r="D91" i="65"/>
  <c r="D90" i="65"/>
  <c r="D89" i="65"/>
  <c r="D88" i="65"/>
  <c r="D87" i="65"/>
  <c r="D86" i="65"/>
  <c r="D85" i="65"/>
  <c r="D84" i="65"/>
  <c r="D83" i="65"/>
  <c r="D82" i="65"/>
  <c r="D81" i="65"/>
  <c r="D80" i="65"/>
  <c r="D79" i="65"/>
  <c r="D78" i="65"/>
  <c r="D77" i="65"/>
  <c r="D76" i="65"/>
  <c r="D75" i="65"/>
  <c r="D74" i="65"/>
  <c r="D73" i="65"/>
  <c r="D72" i="65"/>
  <c r="D71" i="65"/>
  <c r="D70" i="65"/>
  <c r="D69" i="65"/>
  <c r="D68" i="65"/>
  <c r="D67" i="65"/>
  <c r="D66" i="65"/>
  <c r="D65" i="65"/>
  <c r="D64" i="65"/>
  <c r="D63" i="65"/>
  <c r="D62" i="65"/>
  <c r="D61" i="65"/>
  <c r="D60" i="65"/>
  <c r="D59" i="65"/>
  <c r="D58" i="65"/>
  <c r="D57" i="65"/>
  <c r="D56" i="65"/>
  <c r="D55" i="65"/>
  <c r="D54" i="65"/>
  <c r="D53" i="65"/>
  <c r="D52" i="65"/>
  <c r="D51" i="65"/>
  <c r="D50" i="65"/>
  <c r="D49" i="65"/>
  <c r="D48" i="65"/>
  <c r="D47" i="65"/>
  <c r="D46" i="65"/>
  <c r="D45" i="65"/>
  <c r="D44" i="65"/>
  <c r="D43" i="65"/>
  <c r="D42" i="65"/>
  <c r="D41" i="65"/>
  <c r="D40" i="65"/>
  <c r="D39" i="65"/>
  <c r="D38" i="65"/>
  <c r="D37" i="65"/>
  <c r="D36" i="65"/>
  <c r="D35" i="65"/>
  <c r="D34" i="65"/>
  <c r="D33" i="65"/>
  <c r="D32" i="65"/>
  <c r="D31" i="65"/>
  <c r="D30" i="65"/>
  <c r="D29" i="65"/>
  <c r="D28" i="65"/>
  <c r="D27" i="65"/>
  <c r="D26" i="65"/>
  <c r="D25" i="65"/>
  <c r="D24" i="65"/>
  <c r="D23" i="65"/>
  <c r="D22" i="65"/>
  <c r="D21" i="65"/>
  <c r="D20" i="65"/>
  <c r="D19" i="65"/>
  <c r="D18" i="65"/>
  <c r="D17" i="65"/>
  <c r="D16" i="65"/>
  <c r="D15" i="65"/>
  <c r="D14" i="65"/>
  <c r="G13" i="65"/>
  <c r="D13" i="65"/>
  <c r="G12" i="65"/>
  <c r="D12" i="65"/>
  <c r="G11" i="65"/>
  <c r="D11" i="65"/>
  <c r="G10" i="65"/>
  <c r="D10" i="65"/>
  <c r="G9" i="65"/>
  <c r="D9" i="65"/>
  <c r="G8" i="65"/>
  <c r="D8" i="65"/>
  <c r="G7" i="65"/>
  <c r="D7" i="65"/>
  <c r="G6" i="65"/>
  <c r="D6" i="65"/>
  <c r="D5" i="65"/>
  <c r="D4" i="65"/>
  <c r="D3" i="65"/>
  <c r="G3" i="65" l="1"/>
  <c r="G2" i="65"/>
  <c r="J32" i="60" s="1"/>
  <c r="S32" i="60" s="1"/>
  <c r="AX2" i="60" a="1"/>
  <c r="AX2" i="60" s="1"/>
  <c r="D102" i="63"/>
  <c r="D101" i="63"/>
  <c r="D100" i="63"/>
  <c r="D99" i="63"/>
  <c r="D98" i="63"/>
  <c r="D97" i="63"/>
  <c r="D96" i="63"/>
  <c r="D95" i="63"/>
  <c r="D94" i="63"/>
  <c r="D93" i="63"/>
  <c r="D92" i="63"/>
  <c r="D91" i="63"/>
  <c r="D90" i="63"/>
  <c r="D89" i="63"/>
  <c r="D88" i="63"/>
  <c r="D87" i="63"/>
  <c r="D86" i="63"/>
  <c r="D85" i="63"/>
  <c r="D84" i="63"/>
  <c r="D83" i="63"/>
  <c r="D82" i="63"/>
  <c r="D81" i="63"/>
  <c r="D80" i="63"/>
  <c r="D79" i="63"/>
  <c r="D78" i="63"/>
  <c r="D77" i="63"/>
  <c r="D76" i="63"/>
  <c r="D75" i="63"/>
  <c r="D74" i="63"/>
  <c r="D73" i="63"/>
  <c r="D72" i="63"/>
  <c r="D71" i="63"/>
  <c r="D70" i="63"/>
  <c r="D69" i="63"/>
  <c r="D68" i="63"/>
  <c r="D67" i="63"/>
  <c r="D66" i="63"/>
  <c r="D65" i="63"/>
  <c r="D64" i="63"/>
  <c r="D63" i="63"/>
  <c r="D62" i="63"/>
  <c r="D61" i="63"/>
  <c r="D60" i="63"/>
  <c r="D59" i="63"/>
  <c r="D58" i="63"/>
  <c r="D57" i="63"/>
  <c r="D56" i="63"/>
  <c r="D55" i="63"/>
  <c r="D54" i="63"/>
  <c r="D53" i="63"/>
  <c r="D52" i="63"/>
  <c r="D51" i="63"/>
  <c r="D50" i="63"/>
  <c r="D49" i="63"/>
  <c r="D48" i="63"/>
  <c r="D47" i="63"/>
  <c r="D46" i="63"/>
  <c r="D45" i="63"/>
  <c r="D44" i="63"/>
  <c r="D43" i="63"/>
  <c r="D42" i="63"/>
  <c r="D41" i="63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G13" i="63"/>
  <c r="D13" i="63"/>
  <c r="G12" i="63"/>
  <c r="D12" i="63"/>
  <c r="G11" i="63"/>
  <c r="D11" i="63"/>
  <c r="G10" i="63"/>
  <c r="D10" i="63"/>
  <c r="G9" i="63"/>
  <c r="D9" i="63"/>
  <c r="G8" i="63"/>
  <c r="D8" i="63"/>
  <c r="G7" i="63"/>
  <c r="D7" i="63"/>
  <c r="G6" i="63"/>
  <c r="D6" i="63"/>
  <c r="D5" i="63"/>
  <c r="D4" i="63"/>
  <c r="D3" i="63"/>
  <c r="BI2" i="60" a="1"/>
  <c r="G2" i="63" l="1"/>
  <c r="J31" i="60" s="1"/>
  <c r="S31" i="60" s="1"/>
  <c r="G3" i="63"/>
  <c r="BI2" i="60"/>
  <c r="P1" i="60" l="1"/>
  <c r="AD2" i="60" a="1"/>
  <c r="AD2" i="60" s="1"/>
  <c r="AV2" i="60" a="1"/>
  <c r="AV2" i="60" s="1"/>
  <c r="AU2" i="60" a="1"/>
  <c r="AU2" i="60" s="1"/>
  <c r="AT2" i="60" a="1"/>
  <c r="AT2" i="60" s="1"/>
  <c r="AS2" i="60" a="1"/>
  <c r="AS2" i="60" s="1"/>
  <c r="AR2" i="60" a="1"/>
  <c r="AR2" i="60" s="1"/>
  <c r="AQ2" i="60" a="1"/>
  <c r="AQ2" i="60" s="1"/>
  <c r="AP2" i="60" a="1"/>
  <c r="AP2" i="60" s="1"/>
  <c r="AO2" i="60" a="1"/>
  <c r="AO2" i="60" s="1"/>
  <c r="AN2" i="60" a="1"/>
  <c r="AN2" i="60" s="1"/>
  <c r="AM2" i="60" a="1"/>
  <c r="AM2" i="60" s="1"/>
  <c r="AL2" i="60" a="1"/>
  <c r="AL2" i="60" s="1"/>
  <c r="AK2" i="60" a="1"/>
  <c r="AK2" i="60" s="1"/>
  <c r="AJ2" i="60" a="1"/>
  <c r="AJ2" i="60" s="1"/>
  <c r="AI2" i="60" a="1"/>
  <c r="AI2" i="60" s="1"/>
  <c r="AH2" i="60" a="1"/>
  <c r="AH2" i="60" s="1"/>
  <c r="AG2" i="60" a="1"/>
  <c r="AG2" i="60" s="1"/>
  <c r="AF2" i="60" a="1"/>
  <c r="AF2" i="60" s="1"/>
  <c r="AE2" i="60" a="1"/>
  <c r="AE2" i="60" s="1"/>
  <c r="AC2" i="60" a="1"/>
  <c r="AC2" i="60" s="1"/>
  <c r="AB2" i="60" a="1"/>
  <c r="AB2" i="60" s="1"/>
  <c r="AA2" i="60" a="1"/>
  <c r="AA2" i="60" s="1"/>
  <c r="Z2" i="60" a="1"/>
  <c r="Z2" i="60" s="1"/>
  <c r="Y2" i="60" a="1"/>
  <c r="Y2" i="60" s="1"/>
  <c r="X2" i="60" a="1"/>
  <c r="X2" i="60" s="1"/>
  <c r="W2" i="60" a="1"/>
  <c r="W2" i="60" s="1"/>
  <c r="V2" i="60" a="1"/>
  <c r="V2" i="60" s="1"/>
  <c r="U2" i="60" a="1"/>
  <c r="U2" i="60" s="1"/>
  <c r="O2" i="60"/>
  <c r="M2" i="60"/>
  <c r="N2" i="60"/>
  <c r="L2" i="60"/>
  <c r="K2" i="60"/>
  <c r="BG2" i="60" a="1"/>
  <c r="BC2" i="60" a="1"/>
  <c r="BH2" i="60" a="1"/>
  <c r="BB2" i="60" a="1"/>
  <c r="BA2" i="60" a="1"/>
  <c r="AZ2" i="60" a="1"/>
  <c r="BF2" i="60" a="1"/>
  <c r="BE2" i="60" a="1"/>
  <c r="BD2" i="60" a="1"/>
  <c r="C433" i="60" l="1"/>
  <c r="A433" i="60" s="1"/>
  <c r="B425" i="60"/>
  <c r="C448" i="60"/>
  <c r="A448" i="60" s="1"/>
  <c r="C429" i="60"/>
  <c r="A429" i="60" s="1"/>
  <c r="B412" i="60"/>
  <c r="B437" i="60"/>
  <c r="B448" i="60"/>
  <c r="C412" i="60"/>
  <c r="A412" i="60" s="1"/>
  <c r="C435" i="60"/>
  <c r="A435" i="60" s="1"/>
  <c r="B427" i="60"/>
  <c r="C450" i="60"/>
  <c r="A450" i="60" s="1"/>
  <c r="C431" i="60"/>
  <c r="A431" i="60" s="1"/>
  <c r="B414" i="60"/>
  <c r="B439" i="60"/>
  <c r="C414" i="60"/>
  <c r="A414" i="60" s="1"/>
  <c r="C437" i="60"/>
  <c r="A437" i="60" s="1"/>
  <c r="B429" i="60"/>
  <c r="C447" i="60"/>
  <c r="A447" i="60" s="1"/>
  <c r="C434" i="60"/>
  <c r="A434" i="60" s="1"/>
  <c r="B417" i="60"/>
  <c r="C440" i="60"/>
  <c r="A440" i="60" s="1"/>
  <c r="C442" i="60"/>
  <c r="A442" i="60" s="1"/>
  <c r="B446" i="60"/>
  <c r="B445" i="60"/>
  <c r="B416" i="60"/>
  <c r="C439" i="60"/>
  <c r="A439" i="60" s="1"/>
  <c r="B431" i="60"/>
  <c r="C411" i="60"/>
  <c r="A411" i="60" s="1"/>
  <c r="C436" i="60"/>
  <c r="A436" i="60" s="1"/>
  <c r="B419" i="60"/>
  <c r="C418" i="60"/>
  <c r="A418" i="60" s="1"/>
  <c r="B442" i="60"/>
  <c r="C417" i="60"/>
  <c r="A417" i="60" s="1"/>
  <c r="C432" i="60"/>
  <c r="A432" i="60" s="1"/>
  <c r="C413" i="60"/>
  <c r="A413" i="60" s="1"/>
  <c r="C438" i="60"/>
  <c r="A438" i="60" s="1"/>
  <c r="B421" i="60"/>
  <c r="C444" i="60"/>
  <c r="A444" i="60" s="1"/>
  <c r="C425" i="60"/>
  <c r="A425" i="60" s="1"/>
  <c r="B451" i="60"/>
  <c r="C419" i="60"/>
  <c r="A419" i="60" s="1"/>
  <c r="B411" i="60"/>
  <c r="B434" i="60"/>
  <c r="C415" i="60"/>
  <c r="A415" i="60" s="1"/>
  <c r="B440" i="60"/>
  <c r="B423" i="60"/>
  <c r="C449" i="60"/>
  <c r="A449" i="60" s="1"/>
  <c r="C451" i="60"/>
  <c r="A451" i="60" s="1"/>
  <c r="C430" i="60"/>
  <c r="A430" i="60" s="1"/>
  <c r="B420" i="60"/>
  <c r="C421" i="60"/>
  <c r="A421" i="60" s="1"/>
  <c r="B413" i="60"/>
  <c r="B436" i="60"/>
  <c r="C424" i="60"/>
  <c r="A424" i="60" s="1"/>
  <c r="B426" i="60"/>
  <c r="B435" i="60"/>
  <c r="C423" i="60"/>
  <c r="A423" i="60" s="1"/>
  <c r="B415" i="60"/>
  <c r="B438" i="60"/>
  <c r="C420" i="60"/>
  <c r="A420" i="60" s="1"/>
  <c r="B444" i="60"/>
  <c r="B433" i="60"/>
  <c r="C426" i="60"/>
  <c r="A426" i="60" s="1"/>
  <c r="C416" i="60"/>
  <c r="A416" i="60" s="1"/>
  <c r="C441" i="60"/>
  <c r="A441" i="60" s="1"/>
  <c r="C422" i="60"/>
  <c r="A422" i="60" s="1"/>
  <c r="C445" i="60"/>
  <c r="A445" i="60" s="1"/>
  <c r="B428" i="60"/>
  <c r="B441" i="60"/>
  <c r="B443" i="60"/>
  <c r="C428" i="60"/>
  <c r="A428" i="60" s="1"/>
  <c r="B418" i="60"/>
  <c r="C443" i="60"/>
  <c r="A443" i="60" s="1"/>
  <c r="B424" i="60"/>
  <c r="B449" i="60"/>
  <c r="B430" i="60"/>
  <c r="B432" i="60"/>
  <c r="B422" i="60"/>
  <c r="B447" i="60"/>
  <c r="C427" i="60"/>
  <c r="A427" i="60" s="1"/>
  <c r="C446" i="60"/>
  <c r="A446" i="60" s="1"/>
  <c r="B450" i="60"/>
  <c r="BC2" i="60"/>
  <c r="BA2" i="60"/>
  <c r="BE2" i="60"/>
  <c r="BG2" i="60"/>
  <c r="BB2" i="60"/>
  <c r="BH2" i="60"/>
  <c r="AZ2" i="60"/>
  <c r="BD2" i="60"/>
  <c r="BF2" i="60"/>
  <c r="G10" i="53"/>
  <c r="G6" i="53"/>
  <c r="G15" i="35"/>
  <c r="G6" i="35"/>
  <c r="G6" i="44"/>
  <c r="G3" i="44" s="1"/>
  <c r="G6" i="47"/>
  <c r="G3" i="47" s="1"/>
  <c r="D3" i="35"/>
  <c r="D3" i="44"/>
  <c r="D3" i="47"/>
  <c r="G3" i="34"/>
  <c r="G6" i="34"/>
  <c r="D3" i="34"/>
  <c r="G3" i="40"/>
  <c r="G6" i="40"/>
  <c r="D3" i="40"/>
  <c r="G3" i="33"/>
  <c r="G6" i="33"/>
  <c r="D3" i="33"/>
  <c r="D3" i="29"/>
  <c r="G6" i="29"/>
  <c r="G3" i="27"/>
  <c r="G6" i="27"/>
  <c r="D3" i="27"/>
  <c r="G3" i="31"/>
  <c r="G6" i="31"/>
  <c r="D3" i="31"/>
  <c r="D4" i="31"/>
  <c r="G3" i="22"/>
  <c r="G6" i="22"/>
  <c r="D3" i="23"/>
  <c r="G3" i="23"/>
  <c r="G3" i="32"/>
  <c r="G3" i="57"/>
  <c r="D3" i="21"/>
  <c r="G7" i="20"/>
  <c r="G7" i="23"/>
  <c r="G7" i="24"/>
  <c r="G7" i="32"/>
  <c r="G7" i="59"/>
  <c r="G7" i="57"/>
  <c r="G7" i="58"/>
  <c r="G7" i="49"/>
  <c r="G7" i="46"/>
  <c r="G7" i="51"/>
  <c r="G7" i="39"/>
  <c r="G7" i="25"/>
  <c r="G7" i="1"/>
  <c r="G7" i="26"/>
  <c r="G7" i="28"/>
  <c r="G7" i="30"/>
  <c r="G6" i="21"/>
  <c r="D3" i="32"/>
  <c r="D3" i="49"/>
  <c r="D3" i="46"/>
  <c r="D3" i="51"/>
  <c r="D3" i="39"/>
  <c r="D3" i="25"/>
  <c r="D3" i="1"/>
  <c r="D3" i="26"/>
  <c r="D3" i="28"/>
  <c r="D3" i="30"/>
  <c r="G15" i="24"/>
  <c r="G16" i="23"/>
  <c r="D4" i="23"/>
  <c r="D3" i="22"/>
  <c r="D4" i="22"/>
  <c r="D3" i="57"/>
  <c r="D3" i="20"/>
  <c r="D4" i="20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4" i="58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63" i="58"/>
  <c r="D54" i="58"/>
  <c r="D55" i="58"/>
  <c r="D56" i="58"/>
  <c r="D57" i="58"/>
  <c r="D58" i="58"/>
  <c r="D59" i="58"/>
  <c r="D60" i="58"/>
  <c r="D61" i="58"/>
  <c r="D62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D90" i="58"/>
  <c r="D91" i="58"/>
  <c r="D92" i="58"/>
  <c r="D93" i="58"/>
  <c r="D94" i="58"/>
  <c r="D95" i="58"/>
  <c r="D96" i="58"/>
  <c r="D97" i="58"/>
  <c r="D98" i="58"/>
  <c r="D99" i="58"/>
  <c r="D100" i="58"/>
  <c r="D101" i="58"/>
  <c r="D102" i="58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5" i="46"/>
  <c r="D6" i="46"/>
  <c r="D7" i="46"/>
  <c r="D8" i="46"/>
  <c r="D9" i="46"/>
  <c r="D10" i="46"/>
  <c r="D11" i="46"/>
  <c r="D12" i="46"/>
  <c r="D13" i="46"/>
  <c r="D14" i="46"/>
  <c r="D15" i="46"/>
  <c r="D16" i="46"/>
  <c r="D17" i="46"/>
  <c r="D18" i="46"/>
  <c r="D19" i="46"/>
  <c r="D20" i="46"/>
  <c r="D21" i="46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51" i="46"/>
  <c r="D52" i="46"/>
  <c r="D53" i="46"/>
  <c r="D54" i="46"/>
  <c r="D55" i="46"/>
  <c r="D56" i="46"/>
  <c r="D57" i="46"/>
  <c r="D58" i="46"/>
  <c r="D59" i="46"/>
  <c r="D60" i="46"/>
  <c r="D61" i="46"/>
  <c r="D62" i="46"/>
  <c r="D63" i="46"/>
  <c r="D64" i="46"/>
  <c r="D65" i="46"/>
  <c r="D66" i="46"/>
  <c r="D67" i="46"/>
  <c r="D68" i="46"/>
  <c r="D69" i="46"/>
  <c r="D70" i="46"/>
  <c r="D71" i="46"/>
  <c r="D72" i="46"/>
  <c r="D73" i="46"/>
  <c r="D74" i="46"/>
  <c r="D75" i="46"/>
  <c r="D76" i="46"/>
  <c r="D77" i="46"/>
  <c r="D78" i="46"/>
  <c r="D79" i="46"/>
  <c r="D80" i="46"/>
  <c r="D81" i="46"/>
  <c r="D82" i="46"/>
  <c r="D83" i="46"/>
  <c r="D84" i="46"/>
  <c r="D85" i="46"/>
  <c r="D86" i="46"/>
  <c r="D87" i="46"/>
  <c r="D88" i="46"/>
  <c r="D89" i="46"/>
  <c r="D90" i="46"/>
  <c r="D91" i="46"/>
  <c r="D92" i="46"/>
  <c r="D93" i="46"/>
  <c r="D94" i="46"/>
  <c r="D95" i="46"/>
  <c r="D96" i="46"/>
  <c r="D97" i="46"/>
  <c r="D98" i="46"/>
  <c r="D99" i="46"/>
  <c r="D100" i="46"/>
  <c r="D101" i="46"/>
  <c r="D102" i="46"/>
  <c r="D103" i="46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4" i="59"/>
  <c r="D5" i="59"/>
  <c r="D6" i="59"/>
  <c r="D7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41" i="59"/>
  <c r="D42" i="59"/>
  <c r="D43" i="59"/>
  <c r="D44" i="59"/>
  <c r="D45" i="59"/>
  <c r="D46" i="59"/>
  <c r="D47" i="59"/>
  <c r="D48" i="59"/>
  <c r="D49" i="59"/>
  <c r="D50" i="59"/>
  <c r="D51" i="59"/>
  <c r="D52" i="59"/>
  <c r="D53" i="59"/>
  <c r="D54" i="59"/>
  <c r="D55" i="59"/>
  <c r="D56" i="59"/>
  <c r="D57" i="59"/>
  <c r="D58" i="59"/>
  <c r="D59" i="59"/>
  <c r="D60" i="59"/>
  <c r="D61" i="59"/>
  <c r="D62" i="59"/>
  <c r="D63" i="59"/>
  <c r="D64" i="59"/>
  <c r="D65" i="59"/>
  <c r="D66" i="59"/>
  <c r="D67" i="59"/>
  <c r="D68" i="59"/>
  <c r="D69" i="59"/>
  <c r="D70" i="59"/>
  <c r="D71" i="59"/>
  <c r="D72" i="59"/>
  <c r="D73" i="59"/>
  <c r="D74" i="59"/>
  <c r="D75" i="59"/>
  <c r="D76" i="59"/>
  <c r="D77" i="59"/>
  <c r="D78" i="59"/>
  <c r="D79" i="59"/>
  <c r="D80" i="59"/>
  <c r="D81" i="59"/>
  <c r="D82" i="59"/>
  <c r="D83" i="59"/>
  <c r="D84" i="59"/>
  <c r="D85" i="59"/>
  <c r="D86" i="59"/>
  <c r="D87" i="59"/>
  <c r="D88" i="59"/>
  <c r="D89" i="59"/>
  <c r="D90" i="59"/>
  <c r="D91" i="59"/>
  <c r="D92" i="59"/>
  <c r="D93" i="59"/>
  <c r="D94" i="59"/>
  <c r="D95" i="59"/>
  <c r="D96" i="59"/>
  <c r="D97" i="59"/>
  <c r="D98" i="59"/>
  <c r="D99" i="59"/>
  <c r="D100" i="59"/>
  <c r="D101" i="59"/>
  <c r="D102" i="59"/>
  <c r="D4" i="57"/>
  <c r="D3" i="58"/>
  <c r="D5" i="22"/>
  <c r="D4" i="49"/>
  <c r="D4" i="46"/>
  <c r="D4" i="51"/>
  <c r="D5" i="20"/>
  <c r="D3" i="59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4" i="53"/>
  <c r="D5" i="53"/>
  <c r="D6" i="53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39" i="53"/>
  <c r="D40" i="53"/>
  <c r="D41" i="53"/>
  <c r="D42" i="53"/>
  <c r="D43" i="53"/>
  <c r="D44" i="53"/>
  <c r="D45" i="53"/>
  <c r="D46" i="53"/>
  <c r="D47" i="53"/>
  <c r="D48" i="53"/>
  <c r="D49" i="53"/>
  <c r="D50" i="53"/>
  <c r="D51" i="53"/>
  <c r="D52" i="53"/>
  <c r="D53" i="53"/>
  <c r="D54" i="53"/>
  <c r="D55" i="53"/>
  <c r="D56" i="53"/>
  <c r="D57" i="53"/>
  <c r="D58" i="53"/>
  <c r="D59" i="53"/>
  <c r="D60" i="53"/>
  <c r="D61" i="53"/>
  <c r="D62" i="53"/>
  <c r="D63" i="53"/>
  <c r="D64" i="53"/>
  <c r="D65" i="53"/>
  <c r="D66" i="53"/>
  <c r="D67" i="53"/>
  <c r="D68" i="53"/>
  <c r="D69" i="53"/>
  <c r="D70" i="53"/>
  <c r="D71" i="53"/>
  <c r="D72" i="53"/>
  <c r="D73" i="53"/>
  <c r="D74" i="53"/>
  <c r="D75" i="53"/>
  <c r="D76" i="53"/>
  <c r="D77" i="53"/>
  <c r="D78" i="53"/>
  <c r="D79" i="53"/>
  <c r="D80" i="53"/>
  <c r="D81" i="53"/>
  <c r="D82" i="53"/>
  <c r="D83" i="53"/>
  <c r="D84" i="53"/>
  <c r="D85" i="53"/>
  <c r="D86" i="53"/>
  <c r="D87" i="53"/>
  <c r="D88" i="53"/>
  <c r="D89" i="53"/>
  <c r="D90" i="53"/>
  <c r="D91" i="53"/>
  <c r="D92" i="53"/>
  <c r="D93" i="53"/>
  <c r="D94" i="53"/>
  <c r="D95" i="53"/>
  <c r="D96" i="53"/>
  <c r="D97" i="53"/>
  <c r="D98" i="53"/>
  <c r="D99" i="53"/>
  <c r="D100" i="53"/>
  <c r="D101" i="53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4" i="21"/>
  <c r="D5" i="23"/>
  <c r="D4" i="39"/>
  <c r="D4" i="32"/>
  <c r="D4" i="25"/>
  <c r="D4" i="1"/>
  <c r="D4" i="26"/>
  <c r="D4" i="28"/>
  <c r="D3" i="24"/>
  <c r="D4" i="30"/>
  <c r="D5" i="31"/>
  <c r="D3" i="53"/>
  <c r="D4" i="27"/>
  <c r="D4" i="29"/>
  <c r="D4" i="33"/>
  <c r="D4" i="34"/>
  <c r="D4" i="44"/>
  <c r="D4" i="35"/>
  <c r="D4" i="40"/>
  <c r="D4" i="47"/>
  <c r="G2" i="27" l="1"/>
  <c r="J30" i="60" s="1"/>
  <c r="S30" i="60" s="1"/>
  <c r="G2" i="59"/>
  <c r="J6" i="60" s="1"/>
  <c r="S6" i="60" s="1"/>
  <c r="G2" i="58"/>
  <c r="J11" i="60" s="1"/>
  <c r="S11" i="60" s="1"/>
  <c r="G2" i="51"/>
  <c r="J4" i="60" s="1"/>
  <c r="S4" i="60" s="1"/>
  <c r="G2" i="49"/>
  <c r="J10" i="60" s="1"/>
  <c r="S10" i="60" s="1"/>
  <c r="G2" i="47"/>
  <c r="J9" i="60" s="1"/>
  <c r="S9" i="60" s="1"/>
  <c r="G2" i="46"/>
  <c r="J3" i="60" s="1"/>
  <c r="S3" i="60" s="1"/>
  <c r="G2" i="22"/>
  <c r="J27" i="60" s="1"/>
  <c r="S27" i="60" s="1"/>
  <c r="G2" i="44"/>
  <c r="J18" i="60" s="1"/>
  <c r="S18" i="60" s="1"/>
  <c r="G2" i="57"/>
  <c r="J8" i="60" s="1"/>
  <c r="S8" i="60" s="1"/>
  <c r="G2" i="39"/>
  <c r="J26" i="60" s="1"/>
  <c r="S26" i="60" s="1"/>
  <c r="G2" i="35"/>
  <c r="J17" i="60" s="1"/>
  <c r="S17" i="60" s="1"/>
  <c r="G2" i="34"/>
  <c r="J25" i="60" s="1"/>
  <c r="S25" i="60" s="1"/>
  <c r="G2" i="40"/>
  <c r="J24" i="60" s="1"/>
  <c r="S24" i="60" s="1"/>
  <c r="G2" i="33"/>
  <c r="J7" i="60" s="1"/>
  <c r="S7" i="60" s="1"/>
  <c r="G2" i="29"/>
  <c r="J16" i="60" s="1"/>
  <c r="S16" i="60" s="1"/>
  <c r="G2" i="30"/>
  <c r="J15" i="60" s="1"/>
  <c r="S15" i="60" s="1"/>
  <c r="G2" i="31"/>
  <c r="J14" i="60" s="1"/>
  <c r="S14" i="60" s="1"/>
  <c r="G2" i="28"/>
  <c r="J29" i="60" s="1"/>
  <c r="S29" i="60" s="1"/>
  <c r="G2" i="26"/>
  <c r="J28" i="60" s="1"/>
  <c r="S28" i="60" s="1"/>
  <c r="G2" i="1"/>
  <c r="J23" i="60" s="1"/>
  <c r="S23" i="60" s="1"/>
  <c r="G2" i="25"/>
  <c r="J13" i="60" s="1"/>
  <c r="S13" i="60" s="1"/>
  <c r="G2" i="32"/>
  <c r="J22" i="60" s="1"/>
  <c r="S22" i="60" s="1"/>
  <c r="G2" i="23"/>
  <c r="J20" i="60" s="1"/>
  <c r="S20" i="60" s="1"/>
  <c r="G2" i="21"/>
  <c r="J12" i="60" s="1"/>
  <c r="S12" i="60" s="1"/>
  <c r="G2" i="20"/>
  <c r="J19" i="60" s="1"/>
  <c r="S19" i="60" s="1"/>
  <c r="G3" i="35"/>
  <c r="G16" i="59"/>
  <c r="G12" i="59"/>
  <c r="G13" i="59"/>
  <c r="G14" i="59"/>
  <c r="G15" i="59"/>
  <c r="G11" i="59"/>
  <c r="G10" i="59"/>
  <c r="G9" i="59"/>
  <c r="G8" i="59"/>
  <c r="G6" i="59"/>
  <c r="G3" i="59" s="1"/>
  <c r="R9" i="52"/>
  <c r="S9" i="52" s="1"/>
  <c r="N7" i="52"/>
  <c r="O7" i="52" s="1"/>
  <c r="N8" i="52"/>
  <c r="O8" i="52" s="1"/>
  <c r="N17" i="52"/>
  <c r="O17" i="52" s="1"/>
  <c r="G17" i="51"/>
  <c r="G15" i="22"/>
  <c r="G12" i="58"/>
  <c r="G11" i="58"/>
  <c r="G10" i="58"/>
  <c r="G9" i="58"/>
  <c r="G8" i="58"/>
  <c r="G6" i="58"/>
  <c r="G11" i="22"/>
  <c r="N10" i="52"/>
  <c r="O10" i="52" s="1"/>
  <c r="N25" i="52"/>
  <c r="O25" i="52" s="1"/>
  <c r="G6" i="57"/>
  <c r="G8" i="57"/>
  <c r="G9" i="57"/>
  <c r="G10" i="57"/>
  <c r="G11" i="57"/>
  <c r="G12" i="57"/>
  <c r="BL2" i="60" a="1"/>
  <c r="BM2" i="60" a="1"/>
  <c r="BO2" i="60" a="1"/>
  <c r="BN2" i="60" a="1"/>
  <c r="G3" i="58" l="1"/>
  <c r="BO2" i="60"/>
  <c r="BN2" i="60"/>
  <c r="BM2" i="60"/>
  <c r="BL2" i="60"/>
  <c r="BK2" i="60" a="1"/>
  <c r="BR2" i="60" a="1"/>
  <c r="BR2" i="60" l="1"/>
  <c r="BK2" i="60"/>
  <c r="G16" i="46"/>
  <c r="D102" i="53"/>
  <c r="G2" i="53" s="1"/>
  <c r="J5" i="60" s="1"/>
  <c r="S5" i="60" s="1"/>
  <c r="G14" i="53"/>
  <c r="G13" i="53"/>
  <c r="G12" i="53"/>
  <c r="G11" i="53"/>
  <c r="G9" i="53"/>
  <c r="G8" i="53"/>
  <c r="G7" i="53"/>
  <c r="N18" i="52"/>
  <c r="O18" i="52" s="1"/>
  <c r="N15" i="52"/>
  <c r="O15" i="52" s="1"/>
  <c r="N22" i="52"/>
  <c r="O22" i="52" s="1"/>
  <c r="N21" i="52"/>
  <c r="O21" i="52" s="1"/>
  <c r="N13" i="52"/>
  <c r="O13" i="52" s="1"/>
  <c r="N3" i="52"/>
  <c r="O3" i="52" s="1"/>
  <c r="N23" i="52"/>
  <c r="O23" i="52" s="1"/>
  <c r="N24" i="52"/>
  <c r="O24" i="52" s="1"/>
  <c r="N9" i="52"/>
  <c r="O9" i="52" s="1"/>
  <c r="N5" i="52"/>
  <c r="O5" i="52" s="1"/>
  <c r="N20" i="52"/>
  <c r="O20" i="52" s="1"/>
  <c r="N2" i="52"/>
  <c r="O2" i="52" s="1"/>
  <c r="N26" i="52"/>
  <c r="O26" i="52" s="1"/>
  <c r="N16" i="52"/>
  <c r="O16" i="52" s="1"/>
  <c r="N4" i="52"/>
  <c r="O4" i="52" s="1"/>
  <c r="N11" i="52"/>
  <c r="O11" i="52" s="1"/>
  <c r="N19" i="52"/>
  <c r="O19" i="52" s="1"/>
  <c r="N14" i="52"/>
  <c r="O14" i="52" s="1"/>
  <c r="N12" i="52"/>
  <c r="O12" i="52" s="1"/>
  <c r="N6" i="52"/>
  <c r="O6" i="52" s="1"/>
  <c r="R3" i="52"/>
  <c r="S3" i="52" s="1"/>
  <c r="R4" i="52"/>
  <c r="S4" i="52" s="1"/>
  <c r="R5" i="52"/>
  <c r="S5" i="52" s="1"/>
  <c r="R6" i="52"/>
  <c r="S6" i="52" s="1"/>
  <c r="R7" i="52"/>
  <c r="S7" i="52" s="1"/>
  <c r="R8" i="52"/>
  <c r="S8" i="52" s="1"/>
  <c r="R2" i="52"/>
  <c r="S2" i="52" s="1"/>
  <c r="G16" i="51"/>
  <c r="G15" i="51"/>
  <c r="G14" i="51"/>
  <c r="G13" i="51"/>
  <c r="G12" i="51"/>
  <c r="G11" i="51"/>
  <c r="G10" i="51"/>
  <c r="G9" i="51"/>
  <c r="G8" i="51"/>
  <c r="G6" i="51"/>
  <c r="G15" i="46"/>
  <c r="G10" i="49"/>
  <c r="G14" i="49"/>
  <c r="G13" i="49"/>
  <c r="G12" i="49"/>
  <c r="G11" i="49"/>
  <c r="G9" i="49"/>
  <c r="G8" i="49"/>
  <c r="G6" i="49"/>
  <c r="G3" i="49" s="1"/>
  <c r="BQ2" i="60" a="1"/>
  <c r="G3" i="53" l="1"/>
  <c r="G3" i="51"/>
  <c r="BQ2" i="60"/>
  <c r="G14" i="22"/>
  <c r="BT2" i="60" a="1"/>
  <c r="BT2" i="60" l="1"/>
  <c r="G12" i="47"/>
  <c r="G11" i="47"/>
  <c r="G10" i="47"/>
  <c r="G9" i="47"/>
  <c r="G8" i="47"/>
  <c r="G7" i="47"/>
  <c r="G14" i="46"/>
  <c r="G13" i="46"/>
  <c r="G12" i="46"/>
  <c r="G11" i="46"/>
  <c r="G10" i="46"/>
  <c r="G9" i="46"/>
  <c r="G8" i="46"/>
  <c r="G6" i="46"/>
  <c r="G3" i="46" s="1"/>
  <c r="G2" i="60" a="1"/>
  <c r="B362" i="60" l="1"/>
  <c r="B387" i="60"/>
  <c r="B382" i="60"/>
  <c r="C388" i="60"/>
  <c r="A388" i="60" s="1"/>
  <c r="B367" i="60"/>
  <c r="B376" i="60"/>
  <c r="B379" i="60"/>
  <c r="C385" i="60"/>
  <c r="A385" i="60" s="1"/>
  <c r="C384" i="60"/>
  <c r="A384" i="60" s="1"/>
  <c r="C362" i="60"/>
  <c r="A362" i="60" s="1"/>
  <c r="B394" i="60"/>
  <c r="C392" i="60"/>
  <c r="A392" i="60" s="1"/>
  <c r="B374" i="60"/>
  <c r="B399" i="60"/>
  <c r="C377" i="60"/>
  <c r="A377" i="60" s="1"/>
  <c r="C404" i="60"/>
  <c r="A404" i="60" s="1"/>
  <c r="C376" i="60"/>
  <c r="A376" i="60" s="1"/>
  <c r="C410" i="60"/>
  <c r="A410" i="60" s="1"/>
  <c r="B408" i="60"/>
  <c r="C374" i="60"/>
  <c r="A374" i="60" s="1"/>
  <c r="B386" i="60"/>
  <c r="C378" i="60"/>
  <c r="A378" i="60" s="1"/>
  <c r="B397" i="60"/>
  <c r="B401" i="60"/>
  <c r="B375" i="60"/>
  <c r="C399" i="60"/>
  <c r="A399" i="60" s="1"/>
  <c r="C408" i="60"/>
  <c r="A408" i="60" s="1"/>
  <c r="C369" i="60"/>
  <c r="A369" i="60" s="1"/>
  <c r="B409" i="60"/>
  <c r="C368" i="60"/>
  <c r="A368" i="60" s="1"/>
  <c r="B400" i="60"/>
  <c r="B378" i="60"/>
  <c r="C365" i="60"/>
  <c r="A365" i="60" s="1"/>
  <c r="C386" i="60"/>
  <c r="A386" i="60" s="1"/>
  <c r="B368" i="60"/>
  <c r="C394" i="60"/>
  <c r="A394" i="60" s="1"/>
  <c r="C373" i="60"/>
  <c r="A373" i="60" s="1"/>
  <c r="C366" i="60"/>
  <c r="A366" i="60" s="1"/>
  <c r="B392" i="60"/>
  <c r="C370" i="60"/>
  <c r="A370" i="60" s="1"/>
  <c r="B381" i="60"/>
  <c r="C401" i="60"/>
  <c r="A401" i="60" s="1"/>
  <c r="B364" i="60"/>
  <c r="B389" i="60"/>
  <c r="C409" i="60"/>
  <c r="A409" i="60" s="1"/>
  <c r="C391" i="60"/>
  <c r="A391" i="60" s="1"/>
  <c r="B365" i="60"/>
  <c r="B372" i="60"/>
  <c r="C398" i="60"/>
  <c r="A398" i="60" s="1"/>
  <c r="B390" i="60"/>
  <c r="C393" i="60"/>
  <c r="A393" i="60" s="1"/>
  <c r="C380" i="60"/>
  <c r="A380" i="60" s="1"/>
  <c r="C387" i="60"/>
  <c r="A387" i="60" s="1"/>
  <c r="C390" i="60"/>
  <c r="A390" i="60" s="1"/>
  <c r="B395" i="60"/>
  <c r="B383" i="60"/>
  <c r="C406" i="60"/>
  <c r="A406" i="60" s="1"/>
  <c r="B404" i="60"/>
  <c r="C367" i="60"/>
  <c r="A367" i="60" s="1"/>
  <c r="C375" i="60"/>
  <c r="A375" i="60" s="1"/>
  <c r="B371" i="60"/>
  <c r="C379" i="60"/>
  <c r="A379" i="60" s="1"/>
  <c r="C382" i="60"/>
  <c r="A382" i="60" s="1"/>
  <c r="B366" i="60"/>
  <c r="B391" i="60"/>
  <c r="B384" i="60"/>
  <c r="C397" i="60"/>
  <c r="A397" i="60" s="1"/>
  <c r="C364" i="60"/>
  <c r="A364" i="60" s="1"/>
  <c r="C400" i="60"/>
  <c r="A400" i="60" s="1"/>
  <c r="B369" i="60"/>
  <c r="B396" i="60"/>
  <c r="B373" i="60"/>
  <c r="B403" i="60"/>
  <c r="C381" i="60"/>
  <c r="A381" i="60" s="1"/>
  <c r="B406" i="60"/>
  <c r="B380" i="60"/>
  <c r="C389" i="60"/>
  <c r="A389" i="60" s="1"/>
  <c r="C407" i="60"/>
  <c r="A407" i="60" s="1"/>
  <c r="B402" i="60"/>
  <c r="C371" i="60"/>
  <c r="A371" i="60" s="1"/>
  <c r="B388" i="60"/>
  <c r="B398" i="60"/>
  <c r="B405" i="60"/>
  <c r="B385" i="60"/>
  <c r="C403" i="60"/>
  <c r="A403" i="60" s="1"/>
  <c r="B370" i="60"/>
  <c r="C396" i="60"/>
  <c r="A396" i="60" s="1"/>
  <c r="C372" i="60"/>
  <c r="A372" i="60" s="1"/>
  <c r="C383" i="60"/>
  <c r="A383" i="60" s="1"/>
  <c r="B410" i="60"/>
  <c r="C405" i="60"/>
  <c r="A405" i="60" s="1"/>
  <c r="C363" i="60"/>
  <c r="A363" i="60" s="1"/>
  <c r="B363" i="60"/>
  <c r="B393" i="60"/>
  <c r="B377" i="60"/>
  <c r="C395" i="60"/>
  <c r="A395" i="60" s="1"/>
  <c r="B407" i="60"/>
  <c r="C402" i="60"/>
  <c r="A402" i="60" s="1"/>
  <c r="B4" i="60"/>
  <c r="C5" i="60"/>
  <c r="A5" i="60" s="1"/>
  <c r="B8" i="60"/>
  <c r="C9" i="60"/>
  <c r="A9" i="60" s="1"/>
  <c r="B12" i="60"/>
  <c r="C13" i="60"/>
  <c r="A13" i="60" s="1"/>
  <c r="B16" i="60"/>
  <c r="C17" i="60"/>
  <c r="A17" i="60" s="1"/>
  <c r="B20" i="60"/>
  <c r="C21" i="60"/>
  <c r="A21" i="60" s="1"/>
  <c r="B24" i="60"/>
  <c r="C25" i="60"/>
  <c r="A25" i="60" s="1"/>
  <c r="B28" i="60"/>
  <c r="C29" i="60"/>
  <c r="A29" i="60" s="1"/>
  <c r="B32" i="60"/>
  <c r="C33" i="60"/>
  <c r="A33" i="60" s="1"/>
  <c r="B36" i="60"/>
  <c r="C37" i="60"/>
  <c r="A37" i="60" s="1"/>
  <c r="B40" i="60"/>
  <c r="C41" i="60"/>
  <c r="A41" i="60" s="1"/>
  <c r="B44" i="60"/>
  <c r="C45" i="60"/>
  <c r="A45" i="60" s="1"/>
  <c r="B48" i="60"/>
  <c r="C49" i="60"/>
  <c r="A49" i="60" s="1"/>
  <c r="B52" i="60"/>
  <c r="C53" i="60"/>
  <c r="A53" i="60" s="1"/>
  <c r="B56" i="60"/>
  <c r="C57" i="60"/>
  <c r="A57" i="60" s="1"/>
  <c r="B60" i="60"/>
  <c r="C61" i="60"/>
  <c r="A61" i="60" s="1"/>
  <c r="B64" i="60"/>
  <c r="C65" i="60"/>
  <c r="A65" i="60" s="1"/>
  <c r="B68" i="60"/>
  <c r="C69" i="60"/>
  <c r="A69" i="60" s="1"/>
  <c r="B72" i="60"/>
  <c r="C73" i="60"/>
  <c r="A73" i="60" s="1"/>
  <c r="B76" i="60"/>
  <c r="C77" i="60"/>
  <c r="A77" i="60" s="1"/>
  <c r="B80" i="60"/>
  <c r="C81" i="60"/>
  <c r="A81" i="60" s="1"/>
  <c r="B84" i="60"/>
  <c r="C85" i="60"/>
  <c r="A85" i="60" s="1"/>
  <c r="B88" i="60"/>
  <c r="C89" i="60"/>
  <c r="A89" i="60" s="1"/>
  <c r="B92" i="60"/>
  <c r="C93" i="60"/>
  <c r="A93" i="60" s="1"/>
  <c r="B96" i="60"/>
  <c r="C97" i="60"/>
  <c r="A97" i="60" s="1"/>
  <c r="B100" i="60"/>
  <c r="C101" i="60"/>
  <c r="A101" i="60" s="1"/>
  <c r="B104" i="60"/>
  <c r="C105" i="60"/>
  <c r="A105" i="60" s="1"/>
  <c r="B108" i="60"/>
  <c r="C109" i="60"/>
  <c r="A109" i="60" s="1"/>
  <c r="B112" i="60"/>
  <c r="C113" i="60"/>
  <c r="A113" i="60" s="1"/>
  <c r="B3" i="60"/>
  <c r="C4" i="60"/>
  <c r="A4" i="60" s="1"/>
  <c r="B7" i="60"/>
  <c r="C8" i="60"/>
  <c r="A8" i="60" s="1"/>
  <c r="B11" i="60"/>
  <c r="C12" i="60"/>
  <c r="A12" i="60" s="1"/>
  <c r="B15" i="60"/>
  <c r="C16" i="60"/>
  <c r="A16" i="60" s="1"/>
  <c r="B19" i="60"/>
  <c r="C20" i="60"/>
  <c r="A20" i="60" s="1"/>
  <c r="B23" i="60"/>
  <c r="C24" i="60"/>
  <c r="A24" i="60" s="1"/>
  <c r="B27" i="60"/>
  <c r="C28" i="60"/>
  <c r="A28" i="60" s="1"/>
  <c r="B31" i="60"/>
  <c r="C32" i="60"/>
  <c r="A32" i="60" s="1"/>
  <c r="B35" i="60"/>
  <c r="C36" i="60"/>
  <c r="A36" i="60" s="1"/>
  <c r="B39" i="60"/>
  <c r="C40" i="60"/>
  <c r="A40" i="60" s="1"/>
  <c r="B43" i="60"/>
  <c r="C44" i="60"/>
  <c r="A44" i="60" s="1"/>
  <c r="B47" i="60"/>
  <c r="C48" i="60"/>
  <c r="A48" i="60" s="1"/>
  <c r="B51" i="60"/>
  <c r="C52" i="60"/>
  <c r="A52" i="60" s="1"/>
  <c r="B55" i="60"/>
  <c r="C56" i="60"/>
  <c r="A56" i="60" s="1"/>
  <c r="B59" i="60"/>
  <c r="C60" i="60"/>
  <c r="A60" i="60" s="1"/>
  <c r="B63" i="60"/>
  <c r="C64" i="60"/>
  <c r="A64" i="60" s="1"/>
  <c r="B67" i="60"/>
  <c r="C68" i="60"/>
  <c r="A68" i="60" s="1"/>
  <c r="B71" i="60"/>
  <c r="C72" i="60"/>
  <c r="A72" i="60" s="1"/>
  <c r="B75" i="60"/>
  <c r="C76" i="60"/>
  <c r="A76" i="60" s="1"/>
  <c r="B79" i="60"/>
  <c r="C80" i="60"/>
  <c r="A80" i="60" s="1"/>
  <c r="B83" i="60"/>
  <c r="C84" i="60"/>
  <c r="A84" i="60" s="1"/>
  <c r="B87" i="60"/>
  <c r="C88" i="60"/>
  <c r="A88" i="60" s="1"/>
  <c r="B91" i="60"/>
  <c r="C92" i="60"/>
  <c r="A92" i="60" s="1"/>
  <c r="B95" i="60"/>
  <c r="C96" i="60"/>
  <c r="A96" i="60" s="1"/>
  <c r="B99" i="60"/>
  <c r="C100" i="60"/>
  <c r="A100" i="60" s="1"/>
  <c r="B103" i="60"/>
  <c r="C104" i="60"/>
  <c r="A104" i="60" s="1"/>
  <c r="B107" i="60"/>
  <c r="C108" i="60"/>
  <c r="A108" i="60" s="1"/>
  <c r="B111" i="60"/>
  <c r="C112" i="60"/>
  <c r="A112" i="60" s="1"/>
  <c r="C3" i="60"/>
  <c r="A3" i="60" s="1"/>
  <c r="B6" i="60"/>
  <c r="C7" i="60"/>
  <c r="A7" i="60" s="1"/>
  <c r="B10" i="60"/>
  <c r="C11" i="60"/>
  <c r="A11" i="60" s="1"/>
  <c r="B14" i="60"/>
  <c r="C15" i="60"/>
  <c r="A15" i="60" s="1"/>
  <c r="B18" i="60"/>
  <c r="C19" i="60"/>
  <c r="A19" i="60" s="1"/>
  <c r="B22" i="60"/>
  <c r="C23" i="60"/>
  <c r="A23" i="60" s="1"/>
  <c r="B26" i="60"/>
  <c r="C27" i="60"/>
  <c r="A27" i="60" s="1"/>
  <c r="B30" i="60"/>
  <c r="C31" i="60"/>
  <c r="A31" i="60" s="1"/>
  <c r="B34" i="60"/>
  <c r="C35" i="60"/>
  <c r="A35" i="60" s="1"/>
  <c r="B38" i="60"/>
  <c r="C39" i="60"/>
  <c r="A39" i="60" s="1"/>
  <c r="B42" i="60"/>
  <c r="C43" i="60"/>
  <c r="A43" i="60" s="1"/>
  <c r="B46" i="60"/>
  <c r="C47" i="60"/>
  <c r="A47" i="60" s="1"/>
  <c r="B50" i="60"/>
  <c r="C51" i="60"/>
  <c r="A51" i="60" s="1"/>
  <c r="B54" i="60"/>
  <c r="C55" i="60"/>
  <c r="A55" i="60" s="1"/>
  <c r="B58" i="60"/>
  <c r="C59" i="60"/>
  <c r="A59" i="60" s="1"/>
  <c r="B62" i="60"/>
  <c r="C63" i="60"/>
  <c r="A63" i="60" s="1"/>
  <c r="B66" i="60"/>
  <c r="C67" i="60"/>
  <c r="A67" i="60" s="1"/>
  <c r="B70" i="60"/>
  <c r="C71" i="60"/>
  <c r="A71" i="60" s="1"/>
  <c r="B74" i="60"/>
  <c r="C75" i="60"/>
  <c r="A75" i="60" s="1"/>
  <c r="B78" i="60"/>
  <c r="C79" i="60"/>
  <c r="A79" i="60" s="1"/>
  <c r="B82" i="60"/>
  <c r="C83" i="60"/>
  <c r="A83" i="60" s="1"/>
  <c r="B86" i="60"/>
  <c r="C87" i="60"/>
  <c r="A87" i="60" s="1"/>
  <c r="B90" i="60"/>
  <c r="C91" i="60"/>
  <c r="A91" i="60" s="1"/>
  <c r="B94" i="60"/>
  <c r="C95" i="60"/>
  <c r="A95" i="60" s="1"/>
  <c r="B98" i="60"/>
  <c r="C99" i="60"/>
  <c r="A99" i="60" s="1"/>
  <c r="B102" i="60"/>
  <c r="C103" i="60"/>
  <c r="A103" i="60" s="1"/>
  <c r="B106" i="60"/>
  <c r="C107" i="60"/>
  <c r="A107" i="60" s="1"/>
  <c r="B110" i="60"/>
  <c r="C111" i="60"/>
  <c r="A111" i="60" s="1"/>
  <c r="B9" i="60"/>
  <c r="C14" i="60"/>
  <c r="A14" i="60" s="1"/>
  <c r="B25" i="60"/>
  <c r="C30" i="60"/>
  <c r="A30" i="60" s="1"/>
  <c r="B41" i="60"/>
  <c r="C46" i="60"/>
  <c r="A46" i="60" s="1"/>
  <c r="B57" i="60"/>
  <c r="C62" i="60"/>
  <c r="A62" i="60" s="1"/>
  <c r="B73" i="60"/>
  <c r="C78" i="60"/>
  <c r="A78" i="60" s="1"/>
  <c r="B89" i="60"/>
  <c r="C94" i="60"/>
  <c r="A94" i="60" s="1"/>
  <c r="B105" i="60"/>
  <c r="C110" i="60"/>
  <c r="A110" i="60" s="1"/>
  <c r="C115" i="60"/>
  <c r="A115" i="60" s="1"/>
  <c r="B118" i="60"/>
  <c r="C119" i="60"/>
  <c r="A119" i="60" s="1"/>
  <c r="B122" i="60"/>
  <c r="C123" i="60"/>
  <c r="A123" i="60" s="1"/>
  <c r="B126" i="60"/>
  <c r="C127" i="60"/>
  <c r="A127" i="60" s="1"/>
  <c r="B130" i="60"/>
  <c r="C131" i="60"/>
  <c r="A131" i="60" s="1"/>
  <c r="B134" i="60"/>
  <c r="C135" i="60"/>
  <c r="A135" i="60" s="1"/>
  <c r="B138" i="60"/>
  <c r="C139" i="60"/>
  <c r="A139" i="60" s="1"/>
  <c r="B142" i="60"/>
  <c r="C143" i="60"/>
  <c r="A143" i="60" s="1"/>
  <c r="B146" i="60"/>
  <c r="C147" i="60"/>
  <c r="A147" i="60" s="1"/>
  <c r="B150" i="60"/>
  <c r="C151" i="60"/>
  <c r="A151" i="60" s="1"/>
  <c r="B154" i="60"/>
  <c r="C155" i="60"/>
  <c r="A155" i="60" s="1"/>
  <c r="B158" i="60"/>
  <c r="C159" i="60"/>
  <c r="A159" i="60" s="1"/>
  <c r="B162" i="60"/>
  <c r="C163" i="60"/>
  <c r="A163" i="60" s="1"/>
  <c r="B166" i="60"/>
  <c r="C167" i="60"/>
  <c r="A167" i="60" s="1"/>
  <c r="B170" i="60"/>
  <c r="C171" i="60"/>
  <c r="A171" i="60" s="1"/>
  <c r="B174" i="60"/>
  <c r="C175" i="60"/>
  <c r="A175" i="60" s="1"/>
  <c r="B178" i="60"/>
  <c r="C179" i="60"/>
  <c r="A179" i="60" s="1"/>
  <c r="B182" i="60"/>
  <c r="C183" i="60"/>
  <c r="A183" i="60" s="1"/>
  <c r="B186" i="60"/>
  <c r="C187" i="60"/>
  <c r="A187" i="60" s="1"/>
  <c r="B190" i="60"/>
  <c r="C191" i="60"/>
  <c r="A191" i="60" s="1"/>
  <c r="B194" i="60"/>
  <c r="C195" i="60"/>
  <c r="A195" i="60" s="1"/>
  <c r="B198" i="60"/>
  <c r="C199" i="60"/>
  <c r="A199" i="60" s="1"/>
  <c r="B202" i="60"/>
  <c r="B5" i="60"/>
  <c r="C10" i="60"/>
  <c r="A10" i="60" s="1"/>
  <c r="B21" i="60"/>
  <c r="C26" i="60"/>
  <c r="A26" i="60" s="1"/>
  <c r="B37" i="60"/>
  <c r="C42" i="60"/>
  <c r="A42" i="60" s="1"/>
  <c r="B53" i="60"/>
  <c r="C58" i="60"/>
  <c r="A58" i="60" s="1"/>
  <c r="B69" i="60"/>
  <c r="C74" i="60"/>
  <c r="A74" i="60" s="1"/>
  <c r="B85" i="60"/>
  <c r="C90" i="60"/>
  <c r="A90" i="60" s="1"/>
  <c r="B101" i="60"/>
  <c r="C106" i="60"/>
  <c r="A106" i="60" s="1"/>
  <c r="B114" i="60"/>
  <c r="B117" i="60"/>
  <c r="C118" i="60"/>
  <c r="A118" i="60" s="1"/>
  <c r="B121" i="60"/>
  <c r="C122" i="60"/>
  <c r="A122" i="60" s="1"/>
  <c r="B125" i="60"/>
  <c r="C126" i="60"/>
  <c r="A126" i="60" s="1"/>
  <c r="B129" i="60"/>
  <c r="C130" i="60"/>
  <c r="A130" i="60" s="1"/>
  <c r="B133" i="60"/>
  <c r="C134" i="60"/>
  <c r="A134" i="60" s="1"/>
  <c r="B137" i="60"/>
  <c r="C138" i="60"/>
  <c r="A138" i="60" s="1"/>
  <c r="B141" i="60"/>
  <c r="C142" i="60"/>
  <c r="A142" i="60" s="1"/>
  <c r="B145" i="60"/>
  <c r="C146" i="60"/>
  <c r="A146" i="60" s="1"/>
  <c r="B149" i="60"/>
  <c r="C150" i="60"/>
  <c r="A150" i="60" s="1"/>
  <c r="B153" i="60"/>
  <c r="C154" i="60"/>
  <c r="A154" i="60" s="1"/>
  <c r="B157" i="60"/>
  <c r="C158" i="60"/>
  <c r="A158" i="60" s="1"/>
  <c r="B161" i="60"/>
  <c r="C162" i="60"/>
  <c r="A162" i="60" s="1"/>
  <c r="B165" i="60"/>
  <c r="C166" i="60"/>
  <c r="A166" i="60" s="1"/>
  <c r="B169" i="60"/>
  <c r="C170" i="60"/>
  <c r="A170" i="60" s="1"/>
  <c r="B173" i="60"/>
  <c r="C174" i="60"/>
  <c r="A174" i="60" s="1"/>
  <c r="B177" i="60"/>
  <c r="C178" i="60"/>
  <c r="A178" i="60" s="1"/>
  <c r="B181" i="60"/>
  <c r="C182" i="60"/>
  <c r="A182" i="60" s="1"/>
  <c r="B185" i="60"/>
  <c r="C186" i="60"/>
  <c r="A186" i="60" s="1"/>
  <c r="B189" i="60"/>
  <c r="C190" i="60"/>
  <c r="A190" i="60" s="1"/>
  <c r="B193" i="60"/>
  <c r="C194" i="60"/>
  <c r="A194" i="60" s="1"/>
  <c r="B197" i="60"/>
  <c r="C198" i="60"/>
  <c r="A198" i="60" s="1"/>
  <c r="C6" i="60"/>
  <c r="A6" i="60" s="1"/>
  <c r="B17" i="60"/>
  <c r="C22" i="60"/>
  <c r="A22" i="60" s="1"/>
  <c r="B33" i="60"/>
  <c r="C38" i="60"/>
  <c r="A38" i="60" s="1"/>
  <c r="B49" i="60"/>
  <c r="C54" i="60"/>
  <c r="A54" i="60" s="1"/>
  <c r="B65" i="60"/>
  <c r="C70" i="60"/>
  <c r="A70" i="60" s="1"/>
  <c r="B81" i="60"/>
  <c r="C86" i="60"/>
  <c r="A86" i="60" s="1"/>
  <c r="B97" i="60"/>
  <c r="C102" i="60"/>
  <c r="A102" i="60" s="1"/>
  <c r="C114" i="60"/>
  <c r="A114" i="60" s="1"/>
  <c r="B116" i="60"/>
  <c r="C117" i="60"/>
  <c r="A117" i="60" s="1"/>
  <c r="B120" i="60"/>
  <c r="C121" i="60"/>
  <c r="A121" i="60" s="1"/>
  <c r="B124" i="60"/>
  <c r="C125" i="60"/>
  <c r="A125" i="60" s="1"/>
  <c r="B128" i="60"/>
  <c r="C129" i="60"/>
  <c r="A129" i="60" s="1"/>
  <c r="B132" i="60"/>
  <c r="C133" i="60"/>
  <c r="A133" i="60" s="1"/>
  <c r="B136" i="60"/>
  <c r="C137" i="60"/>
  <c r="A137" i="60" s="1"/>
  <c r="B140" i="60"/>
  <c r="C141" i="60"/>
  <c r="A141" i="60" s="1"/>
  <c r="B144" i="60"/>
  <c r="C145" i="60"/>
  <c r="A145" i="60" s="1"/>
  <c r="B148" i="60"/>
  <c r="C149" i="60"/>
  <c r="A149" i="60" s="1"/>
  <c r="B152" i="60"/>
  <c r="C153" i="60"/>
  <c r="A153" i="60" s="1"/>
  <c r="B156" i="60"/>
  <c r="C157" i="60"/>
  <c r="A157" i="60" s="1"/>
  <c r="B160" i="60"/>
  <c r="C161" i="60"/>
  <c r="A161" i="60" s="1"/>
  <c r="B164" i="60"/>
  <c r="C165" i="60"/>
  <c r="A165" i="60" s="1"/>
  <c r="B168" i="60"/>
  <c r="C169" i="60"/>
  <c r="A169" i="60" s="1"/>
  <c r="B172" i="60"/>
  <c r="C173" i="60"/>
  <c r="A173" i="60" s="1"/>
  <c r="B176" i="60"/>
  <c r="C177" i="60"/>
  <c r="A177" i="60" s="1"/>
  <c r="B180" i="60"/>
  <c r="C181" i="60"/>
  <c r="A181" i="60" s="1"/>
  <c r="B184" i="60"/>
  <c r="C185" i="60"/>
  <c r="A185" i="60" s="1"/>
  <c r="B188" i="60"/>
  <c r="C189" i="60"/>
  <c r="A189" i="60" s="1"/>
  <c r="B192" i="60"/>
  <c r="C193" i="60"/>
  <c r="A193" i="60" s="1"/>
  <c r="B29" i="60"/>
  <c r="C50" i="60"/>
  <c r="A50" i="60" s="1"/>
  <c r="B93" i="60"/>
  <c r="B113" i="60"/>
  <c r="B119" i="60"/>
  <c r="C124" i="60"/>
  <c r="A124" i="60" s="1"/>
  <c r="B135" i="60"/>
  <c r="C140" i="60"/>
  <c r="A140" i="60" s="1"/>
  <c r="B151" i="60"/>
  <c r="C156" i="60"/>
  <c r="A156" i="60" s="1"/>
  <c r="B167" i="60"/>
  <c r="C172" i="60"/>
  <c r="A172" i="60" s="1"/>
  <c r="B183" i="60"/>
  <c r="C188" i="60"/>
  <c r="A188" i="60" s="1"/>
  <c r="C196" i="60"/>
  <c r="A196" i="60" s="1"/>
  <c r="B199" i="60"/>
  <c r="B201" i="60"/>
  <c r="B204" i="60"/>
  <c r="C205" i="60"/>
  <c r="A205" i="60" s="1"/>
  <c r="B208" i="60"/>
  <c r="C209" i="60"/>
  <c r="A209" i="60" s="1"/>
  <c r="B212" i="60"/>
  <c r="C213" i="60"/>
  <c r="A213" i="60" s="1"/>
  <c r="B216" i="60"/>
  <c r="C217" i="60"/>
  <c r="A217" i="60" s="1"/>
  <c r="B220" i="60"/>
  <c r="C221" i="60"/>
  <c r="A221" i="60" s="1"/>
  <c r="B224" i="60"/>
  <c r="C225" i="60"/>
  <c r="A225" i="60" s="1"/>
  <c r="B228" i="60"/>
  <c r="C229" i="60"/>
  <c r="A229" i="60" s="1"/>
  <c r="B232" i="60"/>
  <c r="C233" i="60"/>
  <c r="A233" i="60" s="1"/>
  <c r="B236" i="60"/>
  <c r="C237" i="60"/>
  <c r="A237" i="60" s="1"/>
  <c r="B240" i="60"/>
  <c r="C241" i="60"/>
  <c r="A241" i="60" s="1"/>
  <c r="B244" i="60"/>
  <c r="C245" i="60"/>
  <c r="A245" i="60" s="1"/>
  <c r="B248" i="60"/>
  <c r="C249" i="60"/>
  <c r="A249" i="60" s="1"/>
  <c r="B252" i="60"/>
  <c r="C253" i="60"/>
  <c r="A253" i="60" s="1"/>
  <c r="B256" i="60"/>
  <c r="C257" i="60"/>
  <c r="A257" i="60" s="1"/>
  <c r="B260" i="60"/>
  <c r="C261" i="60"/>
  <c r="A261" i="60" s="1"/>
  <c r="B264" i="60"/>
  <c r="C265" i="60"/>
  <c r="A265" i="60" s="1"/>
  <c r="B268" i="60"/>
  <c r="C269" i="60"/>
  <c r="A269" i="60" s="1"/>
  <c r="B272" i="60"/>
  <c r="C273" i="60"/>
  <c r="A273" i="60" s="1"/>
  <c r="B276" i="60"/>
  <c r="C277" i="60"/>
  <c r="A277" i="60" s="1"/>
  <c r="B280" i="60"/>
  <c r="C281" i="60"/>
  <c r="A281" i="60" s="1"/>
  <c r="B13" i="60"/>
  <c r="C34" i="60"/>
  <c r="A34" i="60" s="1"/>
  <c r="B77" i="60"/>
  <c r="C98" i="60"/>
  <c r="A98" i="60" s="1"/>
  <c r="B115" i="60"/>
  <c r="C120" i="60"/>
  <c r="A120" i="60" s="1"/>
  <c r="B131" i="60"/>
  <c r="C136" i="60"/>
  <c r="A136" i="60" s="1"/>
  <c r="B147" i="60"/>
  <c r="C152" i="60"/>
  <c r="A152" i="60" s="1"/>
  <c r="B163" i="60"/>
  <c r="C168" i="60"/>
  <c r="A168" i="60" s="1"/>
  <c r="B179" i="60"/>
  <c r="C184" i="60"/>
  <c r="A184" i="60" s="1"/>
  <c r="C197" i="60"/>
  <c r="A197" i="60" s="1"/>
  <c r="C201" i="60"/>
  <c r="A201" i="60" s="1"/>
  <c r="B203" i="60"/>
  <c r="C204" i="60"/>
  <c r="A204" i="60" s="1"/>
  <c r="B207" i="60"/>
  <c r="C208" i="60"/>
  <c r="A208" i="60" s="1"/>
  <c r="B211" i="60"/>
  <c r="C212" i="60"/>
  <c r="A212" i="60" s="1"/>
  <c r="B215" i="60"/>
  <c r="C216" i="60"/>
  <c r="A216" i="60" s="1"/>
  <c r="B219" i="60"/>
  <c r="C220" i="60"/>
  <c r="A220" i="60" s="1"/>
  <c r="B223" i="60"/>
  <c r="C224" i="60"/>
  <c r="A224" i="60" s="1"/>
  <c r="B227" i="60"/>
  <c r="C228" i="60"/>
  <c r="A228" i="60" s="1"/>
  <c r="B231" i="60"/>
  <c r="C232" i="60"/>
  <c r="A232" i="60" s="1"/>
  <c r="B235" i="60"/>
  <c r="C236" i="60"/>
  <c r="A236" i="60" s="1"/>
  <c r="B239" i="60"/>
  <c r="C240" i="60"/>
  <c r="A240" i="60" s="1"/>
  <c r="B243" i="60"/>
  <c r="C244" i="60"/>
  <c r="A244" i="60" s="1"/>
  <c r="B247" i="60"/>
  <c r="C248" i="60"/>
  <c r="A248" i="60" s="1"/>
  <c r="B251" i="60"/>
  <c r="C252" i="60"/>
  <c r="A252" i="60" s="1"/>
  <c r="B255" i="60"/>
  <c r="C256" i="60"/>
  <c r="A256" i="60" s="1"/>
  <c r="B259" i="60"/>
  <c r="C260" i="60"/>
  <c r="A260" i="60" s="1"/>
  <c r="B263" i="60"/>
  <c r="C264" i="60"/>
  <c r="A264" i="60" s="1"/>
  <c r="B267" i="60"/>
  <c r="C268" i="60"/>
  <c r="A268" i="60" s="1"/>
  <c r="B271" i="60"/>
  <c r="C272" i="60"/>
  <c r="A272" i="60" s="1"/>
  <c r="B275" i="60"/>
  <c r="C276" i="60"/>
  <c r="A276" i="60" s="1"/>
  <c r="B279" i="60"/>
  <c r="C280" i="60"/>
  <c r="A280" i="60" s="1"/>
  <c r="B283" i="60"/>
  <c r="C284" i="60"/>
  <c r="A284" i="60" s="1"/>
  <c r="C18" i="60"/>
  <c r="A18" i="60" s="1"/>
  <c r="B61" i="60"/>
  <c r="C82" i="60"/>
  <c r="A82" i="60" s="1"/>
  <c r="C116" i="60"/>
  <c r="A116" i="60" s="1"/>
  <c r="B127" i="60"/>
  <c r="C132" i="60"/>
  <c r="A132" i="60" s="1"/>
  <c r="B143" i="60"/>
  <c r="C148" i="60"/>
  <c r="A148" i="60" s="1"/>
  <c r="B159" i="60"/>
  <c r="C164" i="60"/>
  <c r="A164" i="60" s="1"/>
  <c r="B175" i="60"/>
  <c r="C180" i="60"/>
  <c r="A180" i="60" s="1"/>
  <c r="B191" i="60"/>
  <c r="B195" i="60"/>
  <c r="B200" i="60"/>
  <c r="C203" i="60"/>
  <c r="A203" i="60" s="1"/>
  <c r="B206" i="60"/>
  <c r="C207" i="60"/>
  <c r="A207" i="60" s="1"/>
  <c r="B210" i="60"/>
  <c r="C211" i="60"/>
  <c r="A211" i="60" s="1"/>
  <c r="B214" i="60"/>
  <c r="C215" i="60"/>
  <c r="A215" i="60" s="1"/>
  <c r="B218" i="60"/>
  <c r="C219" i="60"/>
  <c r="A219" i="60" s="1"/>
  <c r="B222" i="60"/>
  <c r="C223" i="60"/>
  <c r="A223" i="60" s="1"/>
  <c r="B226" i="60"/>
  <c r="C227" i="60"/>
  <c r="A227" i="60" s="1"/>
  <c r="B230" i="60"/>
  <c r="C231" i="60"/>
  <c r="A231" i="60" s="1"/>
  <c r="B234" i="60"/>
  <c r="C235" i="60"/>
  <c r="A235" i="60" s="1"/>
  <c r="B238" i="60"/>
  <c r="C239" i="60"/>
  <c r="A239" i="60" s="1"/>
  <c r="B242" i="60"/>
  <c r="C243" i="60"/>
  <c r="A243" i="60" s="1"/>
  <c r="B246" i="60"/>
  <c r="C247" i="60"/>
  <c r="A247" i="60" s="1"/>
  <c r="B250" i="60"/>
  <c r="C251" i="60"/>
  <c r="A251" i="60" s="1"/>
  <c r="B254" i="60"/>
  <c r="C255" i="60"/>
  <c r="A255" i="60" s="1"/>
  <c r="B258" i="60"/>
  <c r="C259" i="60"/>
  <c r="A259" i="60" s="1"/>
  <c r="B262" i="60"/>
  <c r="C263" i="60"/>
  <c r="A263" i="60" s="1"/>
  <c r="B266" i="60"/>
  <c r="C267" i="60"/>
  <c r="A267" i="60" s="1"/>
  <c r="B270" i="60"/>
  <c r="C271" i="60"/>
  <c r="A271" i="60" s="1"/>
  <c r="B274" i="60"/>
  <c r="C275" i="60"/>
  <c r="A275" i="60" s="1"/>
  <c r="B278" i="60"/>
  <c r="C279" i="60"/>
  <c r="A279" i="60" s="1"/>
  <c r="B282" i="60"/>
  <c r="C283" i="60"/>
  <c r="A283" i="60" s="1"/>
  <c r="B109" i="60"/>
  <c r="B155" i="60"/>
  <c r="C176" i="60"/>
  <c r="A176" i="60" s="1"/>
  <c r="B196" i="60"/>
  <c r="B209" i="60"/>
  <c r="C214" i="60"/>
  <c r="A214" i="60" s="1"/>
  <c r="B225" i="60"/>
  <c r="C230" i="60"/>
  <c r="A230" i="60" s="1"/>
  <c r="B241" i="60"/>
  <c r="C246" i="60"/>
  <c r="A246" i="60" s="1"/>
  <c r="B257" i="60"/>
  <c r="C262" i="60"/>
  <c r="A262" i="60" s="1"/>
  <c r="B273" i="60"/>
  <c r="C278" i="60"/>
  <c r="A278" i="60" s="1"/>
  <c r="B285" i="60"/>
  <c r="C286" i="60"/>
  <c r="A286" i="60" s="1"/>
  <c r="B289" i="60"/>
  <c r="C290" i="60"/>
  <c r="A290" i="60" s="1"/>
  <c r="B293" i="60"/>
  <c r="C294" i="60"/>
  <c r="A294" i="60" s="1"/>
  <c r="B297" i="60"/>
  <c r="C298" i="60"/>
  <c r="A298" i="60" s="1"/>
  <c r="B301" i="60"/>
  <c r="C302" i="60"/>
  <c r="A302" i="60" s="1"/>
  <c r="B305" i="60"/>
  <c r="C306" i="60"/>
  <c r="A306" i="60" s="1"/>
  <c r="B309" i="60"/>
  <c r="C310" i="60"/>
  <c r="A310" i="60" s="1"/>
  <c r="B313" i="60"/>
  <c r="C314" i="60"/>
  <c r="A314" i="60" s="1"/>
  <c r="B317" i="60"/>
  <c r="C318" i="60"/>
  <c r="A318" i="60" s="1"/>
  <c r="B321" i="60"/>
  <c r="C322" i="60"/>
  <c r="A322" i="60" s="1"/>
  <c r="B325" i="60"/>
  <c r="C326" i="60"/>
  <c r="A326" i="60" s="1"/>
  <c r="B329" i="60"/>
  <c r="C330" i="60"/>
  <c r="A330" i="60" s="1"/>
  <c r="B333" i="60"/>
  <c r="C334" i="60"/>
  <c r="A334" i="60" s="1"/>
  <c r="B337" i="60"/>
  <c r="C338" i="60"/>
  <c r="A338" i="60" s="1"/>
  <c r="B341" i="60"/>
  <c r="C342" i="60"/>
  <c r="A342" i="60" s="1"/>
  <c r="B345" i="60"/>
  <c r="C346" i="60"/>
  <c r="A346" i="60" s="1"/>
  <c r="B349" i="60"/>
  <c r="C350" i="60"/>
  <c r="A350" i="60" s="1"/>
  <c r="B353" i="60"/>
  <c r="C354" i="60"/>
  <c r="A354" i="60" s="1"/>
  <c r="B357" i="60"/>
  <c r="C358" i="60"/>
  <c r="A358" i="60" s="1"/>
  <c r="B361" i="60"/>
  <c r="B45" i="60"/>
  <c r="B139" i="60"/>
  <c r="C160" i="60"/>
  <c r="A160" i="60" s="1"/>
  <c r="B205" i="60"/>
  <c r="C210" i="60"/>
  <c r="A210" i="60" s="1"/>
  <c r="B221" i="60"/>
  <c r="C226" i="60"/>
  <c r="A226" i="60" s="1"/>
  <c r="B237" i="60"/>
  <c r="C242" i="60"/>
  <c r="A242" i="60" s="1"/>
  <c r="B253" i="60"/>
  <c r="C258" i="60"/>
  <c r="A258" i="60" s="1"/>
  <c r="B269" i="60"/>
  <c r="C274" i="60"/>
  <c r="A274" i="60" s="1"/>
  <c r="C285" i="60"/>
  <c r="A285" i="60" s="1"/>
  <c r="B288" i="60"/>
  <c r="C289" i="60"/>
  <c r="A289" i="60" s="1"/>
  <c r="B292" i="60"/>
  <c r="C293" i="60"/>
  <c r="A293" i="60" s="1"/>
  <c r="B296" i="60"/>
  <c r="C297" i="60"/>
  <c r="A297" i="60" s="1"/>
  <c r="B300" i="60"/>
  <c r="C301" i="60"/>
  <c r="A301" i="60" s="1"/>
  <c r="B304" i="60"/>
  <c r="C305" i="60"/>
  <c r="A305" i="60" s="1"/>
  <c r="B308" i="60"/>
  <c r="C309" i="60"/>
  <c r="A309" i="60" s="1"/>
  <c r="B312" i="60"/>
  <c r="C313" i="60"/>
  <c r="A313" i="60" s="1"/>
  <c r="B316" i="60"/>
  <c r="C317" i="60"/>
  <c r="A317" i="60" s="1"/>
  <c r="B320" i="60"/>
  <c r="C321" i="60"/>
  <c r="A321" i="60" s="1"/>
  <c r="B324" i="60"/>
  <c r="C325" i="60"/>
  <c r="A325" i="60" s="1"/>
  <c r="B328" i="60"/>
  <c r="C329" i="60"/>
  <c r="A329" i="60" s="1"/>
  <c r="B332" i="60"/>
  <c r="C333" i="60"/>
  <c r="A333" i="60" s="1"/>
  <c r="B336" i="60"/>
  <c r="C337" i="60"/>
  <c r="A337" i="60" s="1"/>
  <c r="B340" i="60"/>
  <c r="C341" i="60"/>
  <c r="A341" i="60" s="1"/>
  <c r="B344" i="60"/>
  <c r="C345" i="60"/>
  <c r="A345" i="60" s="1"/>
  <c r="B348" i="60"/>
  <c r="C349" i="60"/>
  <c r="A349" i="60" s="1"/>
  <c r="B352" i="60"/>
  <c r="C353" i="60"/>
  <c r="A353" i="60" s="1"/>
  <c r="B356" i="60"/>
  <c r="C357" i="60"/>
  <c r="A357" i="60" s="1"/>
  <c r="B360" i="60"/>
  <c r="C361" i="60"/>
  <c r="A361" i="60" s="1"/>
  <c r="C66" i="60"/>
  <c r="A66" i="60" s="1"/>
  <c r="B123" i="60"/>
  <c r="C144" i="60"/>
  <c r="A144" i="60" s="1"/>
  <c r="B187" i="60"/>
  <c r="C200" i="60"/>
  <c r="A200" i="60" s="1"/>
  <c r="C206" i="60"/>
  <c r="A206" i="60" s="1"/>
  <c r="B217" i="60"/>
  <c r="C222" i="60"/>
  <c r="A222" i="60" s="1"/>
  <c r="B233" i="60"/>
  <c r="C238" i="60"/>
  <c r="A238" i="60" s="1"/>
  <c r="B249" i="60"/>
  <c r="C254" i="60"/>
  <c r="A254" i="60" s="1"/>
  <c r="B265" i="60"/>
  <c r="C270" i="60"/>
  <c r="A270" i="60" s="1"/>
  <c r="B281" i="60"/>
  <c r="B284" i="60"/>
  <c r="B287" i="60"/>
  <c r="C288" i="60"/>
  <c r="A288" i="60" s="1"/>
  <c r="B291" i="60"/>
  <c r="C292" i="60"/>
  <c r="A292" i="60" s="1"/>
  <c r="B295" i="60"/>
  <c r="C296" i="60"/>
  <c r="A296" i="60" s="1"/>
  <c r="B299" i="60"/>
  <c r="C300" i="60"/>
  <c r="A300" i="60" s="1"/>
  <c r="B303" i="60"/>
  <c r="C304" i="60"/>
  <c r="A304" i="60" s="1"/>
  <c r="B307" i="60"/>
  <c r="C308" i="60"/>
  <c r="A308" i="60" s="1"/>
  <c r="B311" i="60"/>
  <c r="C312" i="60"/>
  <c r="A312" i="60" s="1"/>
  <c r="B315" i="60"/>
  <c r="C316" i="60"/>
  <c r="A316" i="60" s="1"/>
  <c r="B319" i="60"/>
  <c r="C320" i="60"/>
  <c r="A320" i="60" s="1"/>
  <c r="B323" i="60"/>
  <c r="C324" i="60"/>
  <c r="A324" i="60" s="1"/>
  <c r="B327" i="60"/>
  <c r="C328" i="60"/>
  <c r="A328" i="60" s="1"/>
  <c r="B331" i="60"/>
  <c r="C332" i="60"/>
  <c r="A332" i="60" s="1"/>
  <c r="B335" i="60"/>
  <c r="C336" i="60"/>
  <c r="A336" i="60" s="1"/>
  <c r="B339" i="60"/>
  <c r="C340" i="60"/>
  <c r="A340" i="60" s="1"/>
  <c r="B343" i="60"/>
  <c r="C344" i="60"/>
  <c r="A344" i="60" s="1"/>
  <c r="B347" i="60"/>
  <c r="C348" i="60"/>
  <c r="A348" i="60" s="1"/>
  <c r="B351" i="60"/>
  <c r="C352" i="60"/>
  <c r="A352" i="60" s="1"/>
  <c r="B355" i="60"/>
  <c r="C356" i="60"/>
  <c r="A356" i="60" s="1"/>
  <c r="B359" i="60"/>
  <c r="C360" i="60"/>
  <c r="A360" i="60" s="1"/>
  <c r="C128" i="60"/>
  <c r="A128" i="60" s="1"/>
  <c r="B171" i="60"/>
  <c r="C192" i="60"/>
  <c r="A192" i="60" s="1"/>
  <c r="C202" i="60"/>
  <c r="A202" i="60" s="1"/>
  <c r="B213" i="60"/>
  <c r="C218" i="60"/>
  <c r="A218" i="60" s="1"/>
  <c r="B229" i="60"/>
  <c r="C234" i="60"/>
  <c r="A234" i="60" s="1"/>
  <c r="B245" i="60"/>
  <c r="C250" i="60"/>
  <c r="A250" i="60" s="1"/>
  <c r="B261" i="60"/>
  <c r="C266" i="60"/>
  <c r="A266" i="60" s="1"/>
  <c r="B277" i="60"/>
  <c r="C282" i="60"/>
  <c r="A282" i="60" s="1"/>
  <c r="B286" i="60"/>
  <c r="C287" i="60"/>
  <c r="A287" i="60" s="1"/>
  <c r="B290" i="60"/>
  <c r="C291" i="60"/>
  <c r="A291" i="60" s="1"/>
  <c r="B294" i="60"/>
  <c r="C295" i="60"/>
  <c r="A295" i="60" s="1"/>
  <c r="B298" i="60"/>
  <c r="C299" i="60"/>
  <c r="A299" i="60" s="1"/>
  <c r="B302" i="60"/>
  <c r="C303" i="60"/>
  <c r="A303" i="60" s="1"/>
  <c r="B306" i="60"/>
  <c r="C307" i="60"/>
  <c r="A307" i="60" s="1"/>
  <c r="B310" i="60"/>
  <c r="C311" i="60"/>
  <c r="A311" i="60" s="1"/>
  <c r="B314" i="60"/>
  <c r="C315" i="60"/>
  <c r="A315" i="60" s="1"/>
  <c r="B318" i="60"/>
  <c r="C319" i="60"/>
  <c r="A319" i="60" s="1"/>
  <c r="B322" i="60"/>
  <c r="C323" i="60"/>
  <c r="A323" i="60" s="1"/>
  <c r="B326" i="60"/>
  <c r="C327" i="60"/>
  <c r="A327" i="60" s="1"/>
  <c r="B330" i="60"/>
  <c r="C331" i="60"/>
  <c r="A331" i="60" s="1"/>
  <c r="B334" i="60"/>
  <c r="C335" i="60"/>
  <c r="A335" i="60" s="1"/>
  <c r="B338" i="60"/>
  <c r="C339" i="60"/>
  <c r="A339" i="60" s="1"/>
  <c r="B342" i="60"/>
  <c r="C343" i="60"/>
  <c r="A343" i="60" s="1"/>
  <c r="B346" i="60"/>
  <c r="C347" i="60"/>
  <c r="A347" i="60" s="1"/>
  <c r="B350" i="60"/>
  <c r="C351" i="60"/>
  <c r="A351" i="60" s="1"/>
  <c r="B354" i="60"/>
  <c r="C355" i="60"/>
  <c r="A355" i="60" s="1"/>
  <c r="B358" i="60"/>
  <c r="C359" i="60"/>
  <c r="A359" i="60" s="1"/>
  <c r="D7" i="60" a="1"/>
  <c r="D7" i="60" s="1"/>
  <c r="F7" i="60" a="1"/>
  <c r="F7" i="60" s="1"/>
  <c r="E8" i="60" a="1"/>
  <c r="E8" i="60" s="1"/>
  <c r="D9" i="60" a="1"/>
  <c r="D9" i="60" s="1"/>
  <c r="F9" i="60" a="1"/>
  <c r="F9" i="60" s="1"/>
  <c r="E10" i="60" a="1"/>
  <c r="E10" i="60" s="1"/>
  <c r="D11" i="60" a="1"/>
  <c r="D11" i="60" s="1"/>
  <c r="F11" i="60" a="1"/>
  <c r="F11" i="60" s="1"/>
  <c r="E12" i="60" a="1"/>
  <c r="E12" i="60" s="1"/>
  <c r="E7" i="60" a="1"/>
  <c r="E7" i="60" s="1"/>
  <c r="D8" i="60" a="1"/>
  <c r="D8" i="60" s="1"/>
  <c r="F8" i="60" a="1"/>
  <c r="F8" i="60" s="1"/>
  <c r="E9" i="60" a="1"/>
  <c r="E9" i="60" s="1"/>
  <c r="D10" i="60" a="1"/>
  <c r="D10" i="60" s="1"/>
  <c r="F10" i="60" a="1"/>
  <c r="F10" i="60" s="1"/>
  <c r="E11" i="60" a="1"/>
  <c r="E11" i="60" s="1"/>
  <c r="D12" i="60" a="1"/>
  <c r="D12" i="60" s="1"/>
  <c r="F12" i="60" a="1"/>
  <c r="F12" i="60" s="1"/>
  <c r="E13" i="60" a="1"/>
  <c r="E13" i="60" s="1"/>
  <c r="D14" i="60" a="1"/>
  <c r="D14" i="60" s="1"/>
  <c r="F15" i="60" a="1"/>
  <c r="F15" i="60" s="1"/>
  <c r="F16" i="60" a="1"/>
  <c r="F16" i="60" s="1"/>
  <c r="E18" i="60" a="1"/>
  <c r="E18" i="60" s="1"/>
  <c r="E19" i="60" a="1"/>
  <c r="E19" i="60" s="1"/>
  <c r="D21" i="60" a="1"/>
  <c r="D21" i="60" s="1"/>
  <c r="D22" i="60" a="1"/>
  <c r="D22" i="60" s="1"/>
  <c r="F23" i="60" a="1"/>
  <c r="F23" i="60" s="1"/>
  <c r="F24" i="60" a="1"/>
  <c r="F24" i="60" s="1"/>
  <c r="E26" i="60" a="1"/>
  <c r="E26" i="60" s="1"/>
  <c r="E27" i="60" a="1"/>
  <c r="E27" i="60" s="1"/>
  <c r="D29" i="60" a="1"/>
  <c r="D29" i="60" s="1"/>
  <c r="D30" i="60" a="1"/>
  <c r="D30" i="60" s="1"/>
  <c r="F31" i="60" a="1"/>
  <c r="F31" i="60" s="1"/>
  <c r="F32" i="60" a="1"/>
  <c r="F32" i="60" s="1"/>
  <c r="E34" i="60" a="1"/>
  <c r="E34" i="60" s="1"/>
  <c r="E35" i="60" a="1"/>
  <c r="E35" i="60" s="1"/>
  <c r="D37" i="60" a="1"/>
  <c r="D37" i="60" s="1"/>
  <c r="D38" i="60" a="1"/>
  <c r="D38" i="60" s="1"/>
  <c r="F39" i="60" a="1"/>
  <c r="F39" i="60" s="1"/>
  <c r="F40" i="60" a="1"/>
  <c r="F40" i="60" s="1"/>
  <c r="E42" i="60" a="1"/>
  <c r="E42" i="60" s="1"/>
  <c r="E43" i="60" a="1"/>
  <c r="E43" i="60" s="1"/>
  <c r="D45" i="60" a="1"/>
  <c r="D45" i="60" s="1"/>
  <c r="D46" i="60" a="1"/>
  <c r="D46" i="60" s="1"/>
  <c r="F47" i="60" a="1"/>
  <c r="F47" i="60" s="1"/>
  <c r="F48" i="60" a="1"/>
  <c r="F48" i="60" s="1"/>
  <c r="E50" i="60" a="1"/>
  <c r="E50" i="60" s="1"/>
  <c r="E51" i="60" a="1"/>
  <c r="E51" i="60" s="1"/>
  <c r="D53" i="60" a="1"/>
  <c r="D53" i="60" s="1"/>
  <c r="D54" i="60" a="1"/>
  <c r="D54" i="60" s="1"/>
  <c r="F55" i="60" a="1"/>
  <c r="F55" i="60" s="1"/>
  <c r="F56" i="60" a="1"/>
  <c r="F56" i="60" s="1"/>
  <c r="E58" i="60" a="1"/>
  <c r="E58" i="60" s="1"/>
  <c r="E59" i="60" a="1"/>
  <c r="E59" i="60" s="1"/>
  <c r="D61" i="60" a="1"/>
  <c r="D61" i="60" s="1"/>
  <c r="D62" i="60" a="1"/>
  <c r="D62" i="60" s="1"/>
  <c r="F63" i="60" a="1"/>
  <c r="F63" i="60" s="1"/>
  <c r="E64" i="60" a="1"/>
  <c r="E64" i="60" s="1"/>
  <c r="D65" i="60" a="1"/>
  <c r="D65" i="60" s="1"/>
  <c r="F65" i="60" a="1"/>
  <c r="F65" i="60" s="1"/>
  <c r="E66" i="60" a="1"/>
  <c r="E66" i="60" s="1"/>
  <c r="D67" i="60" a="1"/>
  <c r="D67" i="60" s="1"/>
  <c r="F67" i="60" a="1"/>
  <c r="F67" i="60" s="1"/>
  <c r="E68" i="60" a="1"/>
  <c r="E68" i="60" s="1"/>
  <c r="D69" i="60" a="1"/>
  <c r="D69" i="60" s="1"/>
  <c r="F69" i="60" a="1"/>
  <c r="F69" i="60" s="1"/>
  <c r="E70" i="60" a="1"/>
  <c r="E70" i="60" s="1"/>
  <c r="D71" i="60" a="1"/>
  <c r="D71" i="60" s="1"/>
  <c r="F71" i="60" a="1"/>
  <c r="F71" i="60" s="1"/>
  <c r="E72" i="60" a="1"/>
  <c r="E72" i="60" s="1"/>
  <c r="D73" i="60" a="1"/>
  <c r="D73" i="60" s="1"/>
  <c r="F73" i="60" a="1"/>
  <c r="F73" i="60" s="1"/>
  <c r="E74" i="60" a="1"/>
  <c r="E74" i="60" s="1"/>
  <c r="D75" i="60" a="1"/>
  <c r="D75" i="60" s="1"/>
  <c r="D13" i="60" a="1"/>
  <c r="D13" i="60" s="1"/>
  <c r="D15" i="60" a="1"/>
  <c r="D15" i="60" s="1"/>
  <c r="D16" i="60" a="1"/>
  <c r="D16" i="60" s="1"/>
  <c r="F17" i="60" a="1"/>
  <c r="F17" i="60" s="1"/>
  <c r="F18" i="60" a="1"/>
  <c r="F18" i="60" s="1"/>
  <c r="E20" i="60" a="1"/>
  <c r="E20" i="60" s="1"/>
  <c r="E21" i="60" a="1"/>
  <c r="E21" i="60" s="1"/>
  <c r="D23" i="60" a="1"/>
  <c r="D23" i="60" s="1"/>
  <c r="D24" i="60" a="1"/>
  <c r="D24" i="60" s="1"/>
  <c r="F25" i="60" a="1"/>
  <c r="F25" i="60" s="1"/>
  <c r="F26" i="60" a="1"/>
  <c r="F26" i="60" s="1"/>
  <c r="E28" i="60" a="1"/>
  <c r="E28" i="60" s="1"/>
  <c r="E29" i="60" a="1"/>
  <c r="E29" i="60" s="1"/>
  <c r="D31" i="60" a="1"/>
  <c r="D31" i="60" s="1"/>
  <c r="D32" i="60" a="1"/>
  <c r="D32" i="60" s="1"/>
  <c r="F33" i="60" a="1"/>
  <c r="F33" i="60" s="1"/>
  <c r="F34" i="60" a="1"/>
  <c r="F34" i="60" s="1"/>
  <c r="E36" i="60" a="1"/>
  <c r="E36" i="60" s="1"/>
  <c r="E37" i="60" a="1"/>
  <c r="E37" i="60" s="1"/>
  <c r="D39" i="60" a="1"/>
  <c r="D39" i="60" s="1"/>
  <c r="D40" i="60" a="1"/>
  <c r="D40" i="60" s="1"/>
  <c r="F41" i="60" a="1"/>
  <c r="F41" i="60" s="1"/>
  <c r="F42" i="60" a="1"/>
  <c r="F42" i="60" s="1"/>
  <c r="E44" i="60" a="1"/>
  <c r="E44" i="60" s="1"/>
  <c r="E45" i="60" a="1"/>
  <c r="E45" i="60" s="1"/>
  <c r="D47" i="60" a="1"/>
  <c r="D47" i="60" s="1"/>
  <c r="D48" i="60" a="1"/>
  <c r="D48" i="60" s="1"/>
  <c r="F49" i="60" a="1"/>
  <c r="F49" i="60" s="1"/>
  <c r="F50" i="60" a="1"/>
  <c r="F50" i="60" s="1"/>
  <c r="E52" i="60" a="1"/>
  <c r="E52" i="60" s="1"/>
  <c r="E53" i="60" a="1"/>
  <c r="E53" i="60" s="1"/>
  <c r="D55" i="60" a="1"/>
  <c r="D55" i="60" s="1"/>
  <c r="D56" i="60" a="1"/>
  <c r="D56" i="60" s="1"/>
  <c r="F57" i="60" a="1"/>
  <c r="F57" i="60" s="1"/>
  <c r="F58" i="60" a="1"/>
  <c r="F58" i="60" s="1"/>
  <c r="E60" i="60" a="1"/>
  <c r="E60" i="60" s="1"/>
  <c r="E61" i="60" a="1"/>
  <c r="E61" i="60" s="1"/>
  <c r="D63" i="60" a="1"/>
  <c r="D63" i="60" s="1"/>
  <c r="E14" i="60" a="1"/>
  <c r="E14" i="60" s="1"/>
  <c r="E15" i="60" a="1"/>
  <c r="E15" i="60" s="1"/>
  <c r="D17" i="60" a="1"/>
  <c r="D17" i="60" s="1"/>
  <c r="D18" i="60" a="1"/>
  <c r="D18" i="60" s="1"/>
  <c r="F19" i="60" a="1"/>
  <c r="F19" i="60" s="1"/>
  <c r="F20" i="60" a="1"/>
  <c r="F20" i="60" s="1"/>
  <c r="E22" i="60" a="1"/>
  <c r="E22" i="60" s="1"/>
  <c r="E23" i="60" a="1"/>
  <c r="E23" i="60" s="1"/>
  <c r="D25" i="60" a="1"/>
  <c r="D25" i="60" s="1"/>
  <c r="D26" i="60" a="1"/>
  <c r="D26" i="60" s="1"/>
  <c r="F27" i="60" a="1"/>
  <c r="F27" i="60" s="1"/>
  <c r="F28" i="60" a="1"/>
  <c r="F28" i="60" s="1"/>
  <c r="E30" i="60" a="1"/>
  <c r="E30" i="60" s="1"/>
  <c r="E31" i="60" a="1"/>
  <c r="E31" i="60" s="1"/>
  <c r="D33" i="60" a="1"/>
  <c r="D33" i="60" s="1"/>
  <c r="D34" i="60" a="1"/>
  <c r="D34" i="60" s="1"/>
  <c r="F35" i="60" a="1"/>
  <c r="F35" i="60" s="1"/>
  <c r="F36" i="60" a="1"/>
  <c r="F36" i="60" s="1"/>
  <c r="E38" i="60" a="1"/>
  <c r="E38" i="60" s="1"/>
  <c r="E39" i="60" a="1"/>
  <c r="E39" i="60" s="1"/>
  <c r="D41" i="60" a="1"/>
  <c r="D41" i="60" s="1"/>
  <c r="D42" i="60" a="1"/>
  <c r="D42" i="60" s="1"/>
  <c r="F43" i="60" a="1"/>
  <c r="F43" i="60" s="1"/>
  <c r="F44" i="60" a="1"/>
  <c r="F44" i="60" s="1"/>
  <c r="E46" i="60" a="1"/>
  <c r="E46" i="60" s="1"/>
  <c r="E47" i="60" a="1"/>
  <c r="E47" i="60" s="1"/>
  <c r="D49" i="60" a="1"/>
  <c r="D49" i="60" s="1"/>
  <c r="D50" i="60" a="1"/>
  <c r="D50" i="60" s="1"/>
  <c r="F51" i="60" a="1"/>
  <c r="F51" i="60" s="1"/>
  <c r="F52" i="60" a="1"/>
  <c r="F52" i="60" s="1"/>
  <c r="E54" i="60" a="1"/>
  <c r="E54" i="60" s="1"/>
  <c r="E55" i="60" a="1"/>
  <c r="E55" i="60" s="1"/>
  <c r="D57" i="60" a="1"/>
  <c r="D57" i="60" s="1"/>
  <c r="D58" i="60" a="1"/>
  <c r="D58" i="60" s="1"/>
  <c r="F59" i="60" a="1"/>
  <c r="F59" i="60" s="1"/>
  <c r="F60" i="60" a="1"/>
  <c r="F60" i="60" s="1"/>
  <c r="E62" i="60" a="1"/>
  <c r="E62" i="60" s="1"/>
  <c r="E63" i="60" a="1"/>
  <c r="E63" i="60" s="1"/>
  <c r="D64" i="60" a="1"/>
  <c r="D64" i="60" s="1"/>
  <c r="F64" i="60" a="1"/>
  <c r="F64" i="60" s="1"/>
  <c r="E65" i="60" a="1"/>
  <c r="E65" i="60" s="1"/>
  <c r="D66" i="60" a="1"/>
  <c r="D66" i="60" s="1"/>
  <c r="F66" i="60" a="1"/>
  <c r="F66" i="60" s="1"/>
  <c r="E67" i="60" a="1"/>
  <c r="E67" i="60" s="1"/>
  <c r="D68" i="60" a="1"/>
  <c r="D68" i="60" s="1"/>
  <c r="F68" i="60" a="1"/>
  <c r="F68" i="60" s="1"/>
  <c r="E69" i="60" a="1"/>
  <c r="E69" i="60" s="1"/>
  <c r="D70" i="60" a="1"/>
  <c r="D70" i="60" s="1"/>
  <c r="F70" i="60" a="1"/>
  <c r="F70" i="60" s="1"/>
  <c r="E71" i="60" a="1"/>
  <c r="E71" i="60" s="1"/>
  <c r="D72" i="60" a="1"/>
  <c r="D72" i="60" s="1"/>
  <c r="F72" i="60" a="1"/>
  <c r="F72" i="60" s="1"/>
  <c r="E73" i="60" a="1"/>
  <c r="E73" i="60" s="1"/>
  <c r="D74" i="60" a="1"/>
  <c r="D74" i="60" s="1"/>
  <c r="F74" i="60" a="1"/>
  <c r="F74" i="60" s="1"/>
  <c r="E75" i="60" a="1"/>
  <c r="E75" i="60" s="1"/>
  <c r="D19" i="60" a="1"/>
  <c r="D19" i="60" s="1"/>
  <c r="F22" i="60" a="1"/>
  <c r="F22" i="60" s="1"/>
  <c r="F29" i="60" a="1"/>
  <c r="F29" i="60" s="1"/>
  <c r="E33" i="60" a="1"/>
  <c r="E33" i="60" s="1"/>
  <c r="E40" i="60" a="1"/>
  <c r="E40" i="60" s="1"/>
  <c r="D44" i="60" a="1"/>
  <c r="D44" i="60" s="1"/>
  <c r="D51" i="60" a="1"/>
  <c r="D51" i="60" s="1"/>
  <c r="F54" i="60" a="1"/>
  <c r="F54" i="60" s="1"/>
  <c r="F61" i="60" a="1"/>
  <c r="F61" i="60" s="1"/>
  <c r="E76" i="60" a="1"/>
  <c r="E76" i="60" s="1"/>
  <c r="E77" i="60" a="1"/>
  <c r="E77" i="60" s="1"/>
  <c r="D79" i="60" a="1"/>
  <c r="D79" i="60" s="1"/>
  <c r="D80" i="60" a="1"/>
  <c r="D80" i="60" s="1"/>
  <c r="F81" i="60" a="1"/>
  <c r="F81" i="60" s="1"/>
  <c r="F82" i="60" a="1"/>
  <c r="F82" i="60" s="1"/>
  <c r="E84" i="60" a="1"/>
  <c r="E84" i="60" s="1"/>
  <c r="E85" i="60" a="1"/>
  <c r="E85" i="60" s="1"/>
  <c r="D87" i="60" a="1"/>
  <c r="D87" i="60" s="1"/>
  <c r="D88" i="60" a="1"/>
  <c r="D88" i="60" s="1"/>
  <c r="F89" i="60" a="1"/>
  <c r="F89" i="60" s="1"/>
  <c r="F90" i="60" a="1"/>
  <c r="F90" i="60" s="1"/>
  <c r="E92" i="60" a="1"/>
  <c r="E92" i="60" s="1"/>
  <c r="E93" i="60" a="1"/>
  <c r="E93" i="60" s="1"/>
  <c r="D95" i="60" a="1"/>
  <c r="D95" i="60" s="1"/>
  <c r="D96" i="60" a="1"/>
  <c r="D96" i="60" s="1"/>
  <c r="F97" i="60" a="1"/>
  <c r="F97" i="60" s="1"/>
  <c r="F98" i="60" a="1"/>
  <c r="F98" i="60" s="1"/>
  <c r="E100" i="60" a="1"/>
  <c r="E100" i="60" s="1"/>
  <c r="E101" i="60" a="1"/>
  <c r="E101" i="60" s="1"/>
  <c r="D103" i="60" a="1"/>
  <c r="D103" i="60" s="1"/>
  <c r="D104" i="60" a="1"/>
  <c r="D104" i="60" s="1"/>
  <c r="F105" i="60" a="1"/>
  <c r="F105" i="60" s="1"/>
  <c r="F106" i="60" a="1"/>
  <c r="F106" i="60" s="1"/>
  <c r="E108" i="60" a="1"/>
  <c r="E108" i="60" s="1"/>
  <c r="E109" i="60" a="1"/>
  <c r="E109" i="60" s="1"/>
  <c r="D111" i="60" a="1"/>
  <c r="D111" i="60" s="1"/>
  <c r="D112" i="60" a="1"/>
  <c r="D112" i="60" s="1"/>
  <c r="F113" i="60" a="1"/>
  <c r="F113" i="60" s="1"/>
  <c r="F114" i="60" a="1"/>
  <c r="F114" i="60" s="1"/>
  <c r="E116" i="60" a="1"/>
  <c r="E116" i="60" s="1"/>
  <c r="E117" i="60" a="1"/>
  <c r="E117" i="60" s="1"/>
  <c r="D119" i="60" a="1"/>
  <c r="D119" i="60" s="1"/>
  <c r="D120" i="60" a="1"/>
  <c r="D120" i="60" s="1"/>
  <c r="F121" i="60" a="1"/>
  <c r="F121" i="60" s="1"/>
  <c r="F122" i="60" a="1"/>
  <c r="F122" i="60" s="1"/>
  <c r="E124" i="60" a="1"/>
  <c r="E124" i="60" s="1"/>
  <c r="E125" i="60" a="1"/>
  <c r="E125" i="60" s="1"/>
  <c r="D127" i="60" a="1"/>
  <c r="D127" i="60" s="1"/>
  <c r="D128" i="60" a="1"/>
  <c r="D128" i="60" s="1"/>
  <c r="F129" i="60" a="1"/>
  <c r="F129" i="60" s="1"/>
  <c r="F130" i="60" a="1"/>
  <c r="F130" i="60" s="1"/>
  <c r="E132" i="60" a="1"/>
  <c r="E132" i="60" s="1"/>
  <c r="E133" i="60" a="1"/>
  <c r="E133" i="60" s="1"/>
  <c r="E16" i="60" a="1"/>
  <c r="E16" i="60" s="1"/>
  <c r="D20" i="60" a="1"/>
  <c r="D20" i="60" s="1"/>
  <c r="D27" i="60" a="1"/>
  <c r="D27" i="60" s="1"/>
  <c r="F30" i="60" a="1"/>
  <c r="F30" i="60" s="1"/>
  <c r="F37" i="60" a="1"/>
  <c r="F37" i="60" s="1"/>
  <c r="E41" i="60" a="1"/>
  <c r="E41" i="60" s="1"/>
  <c r="E48" i="60" a="1"/>
  <c r="E48" i="60" s="1"/>
  <c r="D52" i="60" a="1"/>
  <c r="D52" i="60" s="1"/>
  <c r="D59" i="60" a="1"/>
  <c r="D59" i="60" s="1"/>
  <c r="F62" i="60" a="1"/>
  <c r="F62" i="60" s="1"/>
  <c r="F75" i="60" a="1"/>
  <c r="F75" i="60" s="1"/>
  <c r="F76" i="60" a="1"/>
  <c r="F76" i="60" s="1"/>
  <c r="E78" i="60" a="1"/>
  <c r="E78" i="60" s="1"/>
  <c r="E79" i="60" a="1"/>
  <c r="E79" i="60" s="1"/>
  <c r="D81" i="60" a="1"/>
  <c r="D81" i="60" s="1"/>
  <c r="D82" i="60" a="1"/>
  <c r="D82" i="60" s="1"/>
  <c r="F83" i="60" a="1"/>
  <c r="F83" i="60" s="1"/>
  <c r="F84" i="60" a="1"/>
  <c r="F84" i="60" s="1"/>
  <c r="E86" i="60" a="1"/>
  <c r="E86" i="60" s="1"/>
  <c r="E87" i="60" a="1"/>
  <c r="E87" i="60" s="1"/>
  <c r="D89" i="60" a="1"/>
  <c r="D89" i="60" s="1"/>
  <c r="D90" i="60" a="1"/>
  <c r="D90" i="60" s="1"/>
  <c r="F91" i="60" a="1"/>
  <c r="F91" i="60" s="1"/>
  <c r="F92" i="60" a="1"/>
  <c r="F92" i="60" s="1"/>
  <c r="E94" i="60" a="1"/>
  <c r="E94" i="60" s="1"/>
  <c r="E95" i="60" a="1"/>
  <c r="E95" i="60" s="1"/>
  <c r="D97" i="60" a="1"/>
  <c r="D97" i="60" s="1"/>
  <c r="D98" i="60" a="1"/>
  <c r="D98" i="60" s="1"/>
  <c r="F99" i="60" a="1"/>
  <c r="F99" i="60" s="1"/>
  <c r="F100" i="60" a="1"/>
  <c r="F100" i="60" s="1"/>
  <c r="E102" i="60" a="1"/>
  <c r="E102" i="60" s="1"/>
  <c r="E103" i="60" a="1"/>
  <c r="E103" i="60" s="1"/>
  <c r="D105" i="60" a="1"/>
  <c r="D105" i="60" s="1"/>
  <c r="D106" i="60" a="1"/>
  <c r="D106" i="60" s="1"/>
  <c r="F107" i="60" a="1"/>
  <c r="F107" i="60" s="1"/>
  <c r="F108" i="60" a="1"/>
  <c r="F108" i="60" s="1"/>
  <c r="E110" i="60" a="1"/>
  <c r="E110" i="60" s="1"/>
  <c r="E111" i="60" a="1"/>
  <c r="E111" i="60" s="1"/>
  <c r="D113" i="60" a="1"/>
  <c r="D113" i="60" s="1"/>
  <c r="D114" i="60" a="1"/>
  <c r="D114" i="60" s="1"/>
  <c r="F115" i="60" a="1"/>
  <c r="F115" i="60" s="1"/>
  <c r="F116" i="60" a="1"/>
  <c r="F116" i="60" s="1"/>
  <c r="E118" i="60" a="1"/>
  <c r="E118" i="60" s="1"/>
  <c r="E119" i="60" a="1"/>
  <c r="E119" i="60" s="1"/>
  <c r="D121" i="60" a="1"/>
  <c r="D121" i="60" s="1"/>
  <c r="D122" i="60" a="1"/>
  <c r="D122" i="60" s="1"/>
  <c r="F123" i="60" a="1"/>
  <c r="F123" i="60" s="1"/>
  <c r="F124" i="60" a="1"/>
  <c r="F124" i="60" s="1"/>
  <c r="E126" i="60" a="1"/>
  <c r="E126" i="60" s="1"/>
  <c r="E127" i="60" a="1"/>
  <c r="E127" i="60" s="1"/>
  <c r="D129" i="60" a="1"/>
  <c r="D129" i="60" s="1"/>
  <c r="D130" i="60" a="1"/>
  <c r="D130" i="60" s="1"/>
  <c r="F131" i="60" a="1"/>
  <c r="F131" i="60" s="1"/>
  <c r="F132" i="60" a="1"/>
  <c r="F132" i="60" s="1"/>
  <c r="F13" i="60" a="1"/>
  <c r="F13" i="60" s="1"/>
  <c r="E17" i="60" a="1"/>
  <c r="E17" i="60" s="1"/>
  <c r="E24" i="60" a="1"/>
  <c r="E24" i="60" s="1"/>
  <c r="D28" i="60" a="1"/>
  <c r="D28" i="60" s="1"/>
  <c r="D35" i="60" a="1"/>
  <c r="D35" i="60" s="1"/>
  <c r="F38" i="60" a="1"/>
  <c r="F38" i="60" s="1"/>
  <c r="F45" i="60" a="1"/>
  <c r="F45" i="60" s="1"/>
  <c r="E49" i="60" a="1"/>
  <c r="E49" i="60" s="1"/>
  <c r="E56" i="60" a="1"/>
  <c r="E56" i="60" s="1"/>
  <c r="D60" i="60" a="1"/>
  <c r="D60" i="60" s="1"/>
  <c r="D76" i="60" a="1"/>
  <c r="D76" i="60" s="1"/>
  <c r="F77" i="60" a="1"/>
  <c r="F77" i="60" s="1"/>
  <c r="F78" i="60" a="1"/>
  <c r="F78" i="60" s="1"/>
  <c r="E80" i="60" a="1"/>
  <c r="E80" i="60" s="1"/>
  <c r="E81" i="60" a="1"/>
  <c r="E81" i="60" s="1"/>
  <c r="D83" i="60" a="1"/>
  <c r="D83" i="60" s="1"/>
  <c r="D84" i="60" a="1"/>
  <c r="D84" i="60" s="1"/>
  <c r="F85" i="60" a="1"/>
  <c r="F85" i="60" s="1"/>
  <c r="F86" i="60" a="1"/>
  <c r="F86" i="60" s="1"/>
  <c r="E88" i="60" a="1"/>
  <c r="E88" i="60" s="1"/>
  <c r="E89" i="60" a="1"/>
  <c r="E89" i="60" s="1"/>
  <c r="D91" i="60" a="1"/>
  <c r="D91" i="60" s="1"/>
  <c r="D92" i="60" a="1"/>
  <c r="D92" i="60" s="1"/>
  <c r="F93" i="60" a="1"/>
  <c r="F93" i="60" s="1"/>
  <c r="F94" i="60" a="1"/>
  <c r="F94" i="60" s="1"/>
  <c r="E96" i="60" a="1"/>
  <c r="E96" i="60" s="1"/>
  <c r="E97" i="60" a="1"/>
  <c r="E97" i="60" s="1"/>
  <c r="D99" i="60" a="1"/>
  <c r="D99" i="60" s="1"/>
  <c r="D100" i="60" a="1"/>
  <c r="D100" i="60" s="1"/>
  <c r="F101" i="60" a="1"/>
  <c r="F101" i="60" s="1"/>
  <c r="F102" i="60" a="1"/>
  <c r="F102" i="60" s="1"/>
  <c r="E104" i="60" a="1"/>
  <c r="E104" i="60" s="1"/>
  <c r="E105" i="60" a="1"/>
  <c r="E105" i="60" s="1"/>
  <c r="D107" i="60" a="1"/>
  <c r="D107" i="60" s="1"/>
  <c r="D108" i="60" a="1"/>
  <c r="D108" i="60" s="1"/>
  <c r="F109" i="60" a="1"/>
  <c r="F109" i="60" s="1"/>
  <c r="F110" i="60" a="1"/>
  <c r="F110" i="60" s="1"/>
  <c r="E112" i="60" a="1"/>
  <c r="E112" i="60" s="1"/>
  <c r="E113" i="60" a="1"/>
  <c r="E113" i="60" s="1"/>
  <c r="D115" i="60" a="1"/>
  <c r="D115" i="60" s="1"/>
  <c r="D116" i="60" a="1"/>
  <c r="D116" i="60" s="1"/>
  <c r="F117" i="60" a="1"/>
  <c r="F117" i="60" s="1"/>
  <c r="F118" i="60" a="1"/>
  <c r="F118" i="60" s="1"/>
  <c r="E120" i="60" a="1"/>
  <c r="E120" i="60" s="1"/>
  <c r="E121" i="60" a="1"/>
  <c r="E121" i="60" s="1"/>
  <c r="D123" i="60" a="1"/>
  <c r="D123" i="60" s="1"/>
  <c r="D124" i="60" a="1"/>
  <c r="D124" i="60" s="1"/>
  <c r="F125" i="60" a="1"/>
  <c r="F125" i="60" s="1"/>
  <c r="F126" i="60" a="1"/>
  <c r="F126" i="60" s="1"/>
  <c r="E128" i="60" a="1"/>
  <c r="E128" i="60" s="1"/>
  <c r="E129" i="60" a="1"/>
  <c r="E129" i="60" s="1"/>
  <c r="D131" i="60" a="1"/>
  <c r="D131" i="60" s="1"/>
  <c r="D132" i="60" a="1"/>
  <c r="D132" i="60" s="1"/>
  <c r="F133" i="60" a="1"/>
  <c r="F133" i="60" s="1"/>
  <c r="F14" i="60" a="1"/>
  <c r="F14" i="60" s="1"/>
  <c r="D43" i="60" a="1"/>
  <c r="D43" i="60" s="1"/>
  <c r="E57" i="60" a="1"/>
  <c r="E57" i="60" s="1"/>
  <c r="D77" i="60" a="1"/>
  <c r="D77" i="60" s="1"/>
  <c r="F80" i="60" a="1"/>
  <c r="F80" i="60" s="1"/>
  <c r="F87" i="60" a="1"/>
  <c r="F87" i="60" s="1"/>
  <c r="E91" i="60" a="1"/>
  <c r="E91" i="60" s="1"/>
  <c r="E98" i="60" a="1"/>
  <c r="E98" i="60" s="1"/>
  <c r="D102" i="60" a="1"/>
  <c r="D102" i="60" s="1"/>
  <c r="D109" i="60" a="1"/>
  <c r="D109" i="60" s="1"/>
  <c r="F112" i="60" a="1"/>
  <c r="F112" i="60" s="1"/>
  <c r="F119" i="60" a="1"/>
  <c r="F119" i="60" s="1"/>
  <c r="E123" i="60" a="1"/>
  <c r="E123" i="60" s="1"/>
  <c r="E130" i="60" a="1"/>
  <c r="E130" i="60" s="1"/>
  <c r="F134" i="60" a="1"/>
  <c r="F134" i="60" s="1"/>
  <c r="E136" i="60" a="1"/>
  <c r="E136" i="60" s="1"/>
  <c r="E137" i="60" a="1"/>
  <c r="E137" i="60" s="1"/>
  <c r="D138" i="60" a="1"/>
  <c r="D138" i="60" s="1"/>
  <c r="F138" i="60" a="1"/>
  <c r="F138" i="60" s="1"/>
  <c r="E139" i="60" a="1"/>
  <c r="E139" i="60" s="1"/>
  <c r="D140" i="60" a="1"/>
  <c r="D140" i="60" s="1"/>
  <c r="F140" i="60" a="1"/>
  <c r="F140" i="60" s="1"/>
  <c r="E141" i="60" a="1"/>
  <c r="E141" i="60" s="1"/>
  <c r="D142" i="60" a="1"/>
  <c r="D142" i="60" s="1"/>
  <c r="F142" i="60" a="1"/>
  <c r="F142" i="60" s="1"/>
  <c r="E143" i="60" a="1"/>
  <c r="E143" i="60" s="1"/>
  <c r="D144" i="60" a="1"/>
  <c r="D144" i="60" s="1"/>
  <c r="F144" i="60" a="1"/>
  <c r="F144" i="60" s="1"/>
  <c r="E145" i="60" a="1"/>
  <c r="E145" i="60" s="1"/>
  <c r="D146" i="60" a="1"/>
  <c r="D146" i="60" s="1"/>
  <c r="F146" i="60" a="1"/>
  <c r="F146" i="60" s="1"/>
  <c r="E147" i="60" a="1"/>
  <c r="E147" i="60" s="1"/>
  <c r="D148" i="60" a="1"/>
  <c r="D148" i="60" s="1"/>
  <c r="F148" i="60" a="1"/>
  <c r="F148" i="60" s="1"/>
  <c r="E149" i="60" a="1"/>
  <c r="E149" i="60" s="1"/>
  <c r="D150" i="60" a="1"/>
  <c r="D150" i="60" s="1"/>
  <c r="F150" i="60" a="1"/>
  <c r="F150" i="60" s="1"/>
  <c r="E151" i="60" a="1"/>
  <c r="E151" i="60" s="1"/>
  <c r="D152" i="60" a="1"/>
  <c r="D152" i="60" s="1"/>
  <c r="F152" i="60" a="1"/>
  <c r="F152" i="60" s="1"/>
  <c r="E153" i="60" a="1"/>
  <c r="E153" i="60" s="1"/>
  <c r="D154" i="60" a="1"/>
  <c r="D154" i="60" s="1"/>
  <c r="F154" i="60" a="1"/>
  <c r="F154" i="60" s="1"/>
  <c r="E155" i="60" a="1"/>
  <c r="E155" i="60" s="1"/>
  <c r="D156" i="60" a="1"/>
  <c r="D156" i="60" s="1"/>
  <c r="F156" i="60" a="1"/>
  <c r="F156" i="60" s="1"/>
  <c r="E157" i="60" a="1"/>
  <c r="E157" i="60" s="1"/>
  <c r="D158" i="60" a="1"/>
  <c r="D158" i="60" s="1"/>
  <c r="F158" i="60" a="1"/>
  <c r="F158" i="60" s="1"/>
  <c r="E159" i="60" a="1"/>
  <c r="E159" i="60" s="1"/>
  <c r="D160" i="60" a="1"/>
  <c r="D160" i="60" s="1"/>
  <c r="F160" i="60" a="1"/>
  <c r="F160" i="60" s="1"/>
  <c r="E161" i="60" a="1"/>
  <c r="E161" i="60" s="1"/>
  <c r="D162" i="60" a="1"/>
  <c r="D162" i="60" s="1"/>
  <c r="F162" i="60" a="1"/>
  <c r="F162" i="60" s="1"/>
  <c r="E163" i="60" a="1"/>
  <c r="E163" i="60" s="1"/>
  <c r="E32" i="60" a="1"/>
  <c r="E32" i="60" s="1"/>
  <c r="F46" i="60" a="1"/>
  <c r="F46" i="60" s="1"/>
  <c r="D78" i="60" a="1"/>
  <c r="D78" i="60" s="1"/>
  <c r="D85" i="60" a="1"/>
  <c r="D85" i="60" s="1"/>
  <c r="F88" i="60" a="1"/>
  <c r="F88" i="60" s="1"/>
  <c r="F95" i="60" a="1"/>
  <c r="F95" i="60" s="1"/>
  <c r="E99" i="60" a="1"/>
  <c r="E99" i="60" s="1"/>
  <c r="E106" i="60" a="1"/>
  <c r="E106" i="60" s="1"/>
  <c r="D110" i="60" a="1"/>
  <c r="D110" i="60" s="1"/>
  <c r="D117" i="60" a="1"/>
  <c r="D117" i="60" s="1"/>
  <c r="F120" i="60" a="1"/>
  <c r="F120" i="60" s="1"/>
  <c r="F127" i="60" a="1"/>
  <c r="F127" i="60" s="1"/>
  <c r="E131" i="60" a="1"/>
  <c r="E131" i="60" s="1"/>
  <c r="D134" i="60" a="1"/>
  <c r="D134" i="60" s="1"/>
  <c r="F135" i="60" a="1"/>
  <c r="F135" i="60" s="1"/>
  <c r="F136" i="60" a="1"/>
  <c r="F136" i="60" s="1"/>
  <c r="F21" i="60" a="1"/>
  <c r="F21" i="60" s="1"/>
  <c r="D36" i="60" a="1"/>
  <c r="D36" i="60" s="1"/>
  <c r="E82" i="60" a="1"/>
  <c r="E82" i="60" s="1"/>
  <c r="D86" i="60" a="1"/>
  <c r="D86" i="60" s="1"/>
  <c r="D93" i="60" a="1"/>
  <c r="D93" i="60" s="1"/>
  <c r="F96" i="60" a="1"/>
  <c r="F96" i="60" s="1"/>
  <c r="F103" i="60" a="1"/>
  <c r="F103" i="60" s="1"/>
  <c r="E107" i="60" a="1"/>
  <c r="E107" i="60" s="1"/>
  <c r="E114" i="60" a="1"/>
  <c r="E114" i="60" s="1"/>
  <c r="D118" i="60" a="1"/>
  <c r="D118" i="60" s="1"/>
  <c r="D125" i="60" a="1"/>
  <c r="D125" i="60" s="1"/>
  <c r="F128" i="60" a="1"/>
  <c r="F128" i="60" s="1"/>
  <c r="D135" i="60" a="1"/>
  <c r="D135" i="60" s="1"/>
  <c r="D136" i="60" a="1"/>
  <c r="D136" i="60" s="1"/>
  <c r="F137" i="60" a="1"/>
  <c r="F137" i="60" s="1"/>
  <c r="E138" i="60" a="1"/>
  <c r="E138" i="60" s="1"/>
  <c r="D139" i="60" a="1"/>
  <c r="D139" i="60" s="1"/>
  <c r="F139" i="60" a="1"/>
  <c r="F139" i="60" s="1"/>
  <c r="E140" i="60" a="1"/>
  <c r="E140" i="60" s="1"/>
  <c r="D141" i="60" a="1"/>
  <c r="D141" i="60" s="1"/>
  <c r="F141" i="60" a="1"/>
  <c r="F141" i="60" s="1"/>
  <c r="E142" i="60" a="1"/>
  <c r="E142" i="60" s="1"/>
  <c r="D143" i="60" a="1"/>
  <c r="D143" i="60" s="1"/>
  <c r="F143" i="60" a="1"/>
  <c r="F143" i="60" s="1"/>
  <c r="E144" i="60" a="1"/>
  <c r="E144" i="60" s="1"/>
  <c r="D145" i="60" a="1"/>
  <c r="D145" i="60" s="1"/>
  <c r="F145" i="60" a="1"/>
  <c r="F145" i="60" s="1"/>
  <c r="E146" i="60" a="1"/>
  <c r="E146" i="60" s="1"/>
  <c r="D147" i="60" a="1"/>
  <c r="D147" i="60" s="1"/>
  <c r="F147" i="60" a="1"/>
  <c r="F147" i="60" s="1"/>
  <c r="E148" i="60" a="1"/>
  <c r="E148" i="60" s="1"/>
  <c r="D149" i="60" a="1"/>
  <c r="D149" i="60" s="1"/>
  <c r="F149" i="60" a="1"/>
  <c r="F149" i="60" s="1"/>
  <c r="E150" i="60" a="1"/>
  <c r="E150" i="60" s="1"/>
  <c r="D151" i="60" a="1"/>
  <c r="D151" i="60" s="1"/>
  <c r="F151" i="60" a="1"/>
  <c r="F151" i="60" s="1"/>
  <c r="E152" i="60" a="1"/>
  <c r="E152" i="60" s="1"/>
  <c r="D153" i="60" a="1"/>
  <c r="D153" i="60" s="1"/>
  <c r="F153" i="60" a="1"/>
  <c r="F153" i="60" s="1"/>
  <c r="E154" i="60" a="1"/>
  <c r="E154" i="60" s="1"/>
  <c r="D155" i="60" a="1"/>
  <c r="D155" i="60" s="1"/>
  <c r="F155" i="60" a="1"/>
  <c r="F155" i="60" s="1"/>
  <c r="E156" i="60" a="1"/>
  <c r="E156" i="60" s="1"/>
  <c r="D157" i="60" a="1"/>
  <c r="D157" i="60" s="1"/>
  <c r="F157" i="60" a="1"/>
  <c r="F157" i="60" s="1"/>
  <c r="E158" i="60" a="1"/>
  <c r="E158" i="60" s="1"/>
  <c r="D159" i="60" a="1"/>
  <c r="D159" i="60" s="1"/>
  <c r="F159" i="60" a="1"/>
  <c r="F159" i="60" s="1"/>
  <c r="E160" i="60" a="1"/>
  <c r="E160" i="60" s="1"/>
  <c r="D161" i="60" a="1"/>
  <c r="D161" i="60" s="1"/>
  <c r="F161" i="60" a="1"/>
  <c r="F161" i="60" s="1"/>
  <c r="E162" i="60" a="1"/>
  <c r="E162" i="60" s="1"/>
  <c r="D163" i="60" a="1"/>
  <c r="D163" i="60" s="1"/>
  <c r="F163" i="60" a="1"/>
  <c r="F163" i="60" s="1"/>
  <c r="E164" i="60" a="1"/>
  <c r="E164" i="60" s="1"/>
  <c r="D165" i="60" a="1"/>
  <c r="D165" i="60" s="1"/>
  <c r="F165" i="60" a="1"/>
  <c r="F165" i="60" s="1"/>
  <c r="E25" i="60" a="1"/>
  <c r="E25" i="60" s="1"/>
  <c r="E90" i="60" a="1"/>
  <c r="E90" i="60" s="1"/>
  <c r="F104" i="60" a="1"/>
  <c r="F104" i="60" s="1"/>
  <c r="D133" i="60" a="1"/>
  <c r="D133" i="60" s="1"/>
  <c r="D137" i="60" a="1"/>
  <c r="D137" i="60" s="1"/>
  <c r="E166" i="60" a="1"/>
  <c r="E166" i="60" s="1"/>
  <c r="D168" i="60" a="1"/>
  <c r="D168" i="60" s="1"/>
  <c r="D169" i="60" a="1"/>
  <c r="D169" i="60" s="1"/>
  <c r="F170" i="60" a="1"/>
  <c r="F170" i="60" s="1"/>
  <c r="F171" i="60" a="1"/>
  <c r="F171" i="60" s="1"/>
  <c r="E173" i="60" a="1"/>
  <c r="E173" i="60" s="1"/>
  <c r="E174" i="60" a="1"/>
  <c r="E174" i="60" s="1"/>
  <c r="D176" i="60" a="1"/>
  <c r="D176" i="60" s="1"/>
  <c r="D177" i="60" a="1"/>
  <c r="D177" i="60" s="1"/>
  <c r="F178" i="60" a="1"/>
  <c r="F178" i="60" s="1"/>
  <c r="F179" i="60" a="1"/>
  <c r="F179" i="60" s="1"/>
  <c r="E181" i="60" a="1"/>
  <c r="E181" i="60" s="1"/>
  <c r="E182" i="60" a="1"/>
  <c r="E182" i="60" s="1"/>
  <c r="D184" i="60" a="1"/>
  <c r="D184" i="60" s="1"/>
  <c r="D185" i="60" a="1"/>
  <c r="D185" i="60" s="1"/>
  <c r="F186" i="60" a="1"/>
  <c r="F186" i="60" s="1"/>
  <c r="F187" i="60" a="1"/>
  <c r="F187" i="60" s="1"/>
  <c r="E189" i="60" a="1"/>
  <c r="E189" i="60" s="1"/>
  <c r="E190" i="60" a="1"/>
  <c r="E190" i="60" s="1"/>
  <c r="D192" i="60" a="1"/>
  <c r="D192" i="60" s="1"/>
  <c r="D193" i="60" a="1"/>
  <c r="D193" i="60" s="1"/>
  <c r="F194" i="60" a="1"/>
  <c r="F194" i="60" s="1"/>
  <c r="F195" i="60" a="1"/>
  <c r="F195" i="60" s="1"/>
  <c r="E197" i="60" a="1"/>
  <c r="E197" i="60" s="1"/>
  <c r="E198" i="60" a="1"/>
  <c r="E198" i="60" s="1"/>
  <c r="D200" i="60" a="1"/>
  <c r="D200" i="60" s="1"/>
  <c r="D201" i="60" a="1"/>
  <c r="D201" i="60" s="1"/>
  <c r="F202" i="60" a="1"/>
  <c r="F202" i="60" s="1"/>
  <c r="F203" i="60" a="1"/>
  <c r="F203" i="60" s="1"/>
  <c r="E205" i="60" a="1"/>
  <c r="E205" i="60" s="1"/>
  <c r="E206" i="60" a="1"/>
  <c r="E206" i="60" s="1"/>
  <c r="D208" i="60" a="1"/>
  <c r="D208" i="60" s="1"/>
  <c r="D209" i="60" a="1"/>
  <c r="D209" i="60" s="1"/>
  <c r="F210" i="60" a="1"/>
  <c r="F210" i="60" s="1"/>
  <c r="F211" i="60" a="1"/>
  <c r="F211" i="60" s="1"/>
  <c r="E213" i="60" a="1"/>
  <c r="E213" i="60" s="1"/>
  <c r="E214" i="60" a="1"/>
  <c r="E214" i="60" s="1"/>
  <c r="D216" i="60" a="1"/>
  <c r="D216" i="60" s="1"/>
  <c r="D217" i="60" a="1"/>
  <c r="D217" i="60" s="1"/>
  <c r="F218" i="60" a="1"/>
  <c r="F218" i="60" s="1"/>
  <c r="F219" i="60" a="1"/>
  <c r="F219" i="60" s="1"/>
  <c r="E221" i="60" a="1"/>
  <c r="E221" i="60" s="1"/>
  <c r="E222" i="60" a="1"/>
  <c r="E222" i="60" s="1"/>
  <c r="D224" i="60" a="1"/>
  <c r="D224" i="60" s="1"/>
  <c r="D225" i="60" a="1"/>
  <c r="D225" i="60" s="1"/>
  <c r="F226" i="60" a="1"/>
  <c r="F226" i="60" s="1"/>
  <c r="F227" i="60" a="1"/>
  <c r="F227" i="60" s="1"/>
  <c r="E229" i="60" a="1"/>
  <c r="E229" i="60" s="1"/>
  <c r="E230" i="60" a="1"/>
  <c r="E230" i="60" s="1"/>
  <c r="D232" i="60" a="1"/>
  <c r="D232" i="60" s="1"/>
  <c r="D233" i="60" a="1"/>
  <c r="D233" i="60" s="1"/>
  <c r="F234" i="60" a="1"/>
  <c r="F234" i="60" s="1"/>
  <c r="F235" i="60" a="1"/>
  <c r="F235" i="60" s="1"/>
  <c r="E237" i="60" a="1"/>
  <c r="E237" i="60" s="1"/>
  <c r="E238" i="60" a="1"/>
  <c r="E238" i="60" s="1"/>
  <c r="D240" i="60" a="1"/>
  <c r="D240" i="60" s="1"/>
  <c r="D241" i="60" a="1"/>
  <c r="D241" i="60" s="1"/>
  <c r="F242" i="60" a="1"/>
  <c r="F242" i="60" s="1"/>
  <c r="F243" i="60" a="1"/>
  <c r="F243" i="60" s="1"/>
  <c r="E245" i="60" a="1"/>
  <c r="E245" i="60" s="1"/>
  <c r="E246" i="60" a="1"/>
  <c r="E246" i="60" s="1"/>
  <c r="D248" i="60" a="1"/>
  <c r="D248" i="60" s="1"/>
  <c r="D249" i="60" a="1"/>
  <c r="D249" i="60" s="1"/>
  <c r="F250" i="60" a="1"/>
  <c r="F250" i="60" s="1"/>
  <c r="F251" i="60" a="1"/>
  <c r="F251" i="60" s="1"/>
  <c r="E253" i="60" a="1"/>
  <c r="E253" i="60" s="1"/>
  <c r="E254" i="60" a="1"/>
  <c r="E254" i="60" s="1"/>
  <c r="D256" i="60" a="1"/>
  <c r="D256" i="60" s="1"/>
  <c r="D257" i="60" a="1"/>
  <c r="D257" i="60" s="1"/>
  <c r="F258" i="60" a="1"/>
  <c r="F258" i="60" s="1"/>
  <c r="F259" i="60" a="1"/>
  <c r="F259" i="60" s="1"/>
  <c r="E261" i="60" a="1"/>
  <c r="E261" i="60" s="1"/>
  <c r="E262" i="60" a="1"/>
  <c r="E262" i="60" s="1"/>
  <c r="D264" i="60" a="1"/>
  <c r="D264" i="60" s="1"/>
  <c r="D265" i="60" a="1"/>
  <c r="D265" i="60" s="1"/>
  <c r="F266" i="60" a="1"/>
  <c r="F266" i="60" s="1"/>
  <c r="F267" i="60" a="1"/>
  <c r="F267" i="60" s="1"/>
  <c r="E269" i="60" a="1"/>
  <c r="E269" i="60" s="1"/>
  <c r="E270" i="60" a="1"/>
  <c r="E270" i="60" s="1"/>
  <c r="D272" i="60" a="1"/>
  <c r="D272" i="60" s="1"/>
  <c r="D273" i="60" a="1"/>
  <c r="D273" i="60" s="1"/>
  <c r="F274" i="60" a="1"/>
  <c r="F274" i="60" s="1"/>
  <c r="F275" i="60" a="1"/>
  <c r="F275" i="60" s="1"/>
  <c r="E277" i="60" a="1"/>
  <c r="E277" i="60" s="1"/>
  <c r="E278" i="60" a="1"/>
  <c r="E278" i="60" s="1"/>
  <c r="D280" i="60" a="1"/>
  <c r="D280" i="60" s="1"/>
  <c r="D281" i="60" a="1"/>
  <c r="D281" i="60" s="1"/>
  <c r="F282" i="60" a="1"/>
  <c r="F282" i="60" s="1"/>
  <c r="F283" i="60" a="1"/>
  <c r="F283" i="60" s="1"/>
  <c r="E285" i="60" a="1"/>
  <c r="E285" i="60" s="1"/>
  <c r="E286" i="60" a="1"/>
  <c r="E286" i="60" s="1"/>
  <c r="D288" i="60" a="1"/>
  <c r="D288" i="60" s="1"/>
  <c r="D289" i="60" a="1"/>
  <c r="D289" i="60" s="1"/>
  <c r="F290" i="60" a="1"/>
  <c r="F290" i="60" s="1"/>
  <c r="F291" i="60" a="1"/>
  <c r="F291" i="60" s="1"/>
  <c r="E293" i="60" a="1"/>
  <c r="E293" i="60" s="1"/>
  <c r="E294" i="60" a="1"/>
  <c r="E294" i="60" s="1"/>
  <c r="D296" i="60" a="1"/>
  <c r="D296" i="60" s="1"/>
  <c r="D297" i="60" a="1"/>
  <c r="D297" i="60" s="1"/>
  <c r="F298" i="60" a="1"/>
  <c r="F298" i="60" s="1"/>
  <c r="F299" i="60" a="1"/>
  <c r="F299" i="60" s="1"/>
  <c r="F79" i="60" a="1"/>
  <c r="F79" i="60" s="1"/>
  <c r="D94" i="60" a="1"/>
  <c r="D94" i="60" s="1"/>
  <c r="E122" i="60" a="1"/>
  <c r="E122" i="60" s="1"/>
  <c r="E134" i="60" a="1"/>
  <c r="E134" i="60" s="1"/>
  <c r="D164" i="60" a="1"/>
  <c r="D164" i="60" s="1"/>
  <c r="E165" i="60" a="1"/>
  <c r="E165" i="60" s="1"/>
  <c r="E167" i="60" a="1"/>
  <c r="E167" i="60" s="1"/>
  <c r="E168" i="60" a="1"/>
  <c r="E168" i="60" s="1"/>
  <c r="D170" i="60" a="1"/>
  <c r="D170" i="60" s="1"/>
  <c r="D171" i="60" a="1"/>
  <c r="D171" i="60" s="1"/>
  <c r="F172" i="60" a="1"/>
  <c r="F172" i="60" s="1"/>
  <c r="F173" i="60" a="1"/>
  <c r="F173" i="60" s="1"/>
  <c r="E175" i="60" a="1"/>
  <c r="E175" i="60" s="1"/>
  <c r="E176" i="60" a="1"/>
  <c r="E176" i="60" s="1"/>
  <c r="D178" i="60" a="1"/>
  <c r="D178" i="60" s="1"/>
  <c r="D179" i="60" a="1"/>
  <c r="D179" i="60" s="1"/>
  <c r="F180" i="60" a="1"/>
  <c r="F180" i="60" s="1"/>
  <c r="F181" i="60" a="1"/>
  <c r="F181" i="60" s="1"/>
  <c r="E183" i="60" a="1"/>
  <c r="E183" i="60" s="1"/>
  <c r="E184" i="60" a="1"/>
  <c r="E184" i="60" s="1"/>
  <c r="D186" i="60" a="1"/>
  <c r="D186" i="60" s="1"/>
  <c r="D187" i="60" a="1"/>
  <c r="D187" i="60" s="1"/>
  <c r="F188" i="60" a="1"/>
  <c r="F188" i="60" s="1"/>
  <c r="F189" i="60" a="1"/>
  <c r="F189" i="60" s="1"/>
  <c r="E191" i="60" a="1"/>
  <c r="E191" i="60" s="1"/>
  <c r="E192" i="60" a="1"/>
  <c r="E192" i="60" s="1"/>
  <c r="D194" i="60" a="1"/>
  <c r="D194" i="60" s="1"/>
  <c r="D195" i="60" a="1"/>
  <c r="D195" i="60" s="1"/>
  <c r="F196" i="60" a="1"/>
  <c r="F196" i="60" s="1"/>
  <c r="F197" i="60" a="1"/>
  <c r="F197" i="60" s="1"/>
  <c r="E199" i="60" a="1"/>
  <c r="E199" i="60" s="1"/>
  <c r="E200" i="60" a="1"/>
  <c r="E200" i="60" s="1"/>
  <c r="D202" i="60" a="1"/>
  <c r="D202" i="60" s="1"/>
  <c r="D203" i="60" a="1"/>
  <c r="D203" i="60" s="1"/>
  <c r="F204" i="60" a="1"/>
  <c r="F204" i="60" s="1"/>
  <c r="F205" i="60" a="1"/>
  <c r="F205" i="60" s="1"/>
  <c r="E207" i="60" a="1"/>
  <c r="E207" i="60" s="1"/>
  <c r="E208" i="60" a="1"/>
  <c r="E208" i="60" s="1"/>
  <c r="D210" i="60" a="1"/>
  <c r="D210" i="60" s="1"/>
  <c r="D211" i="60" a="1"/>
  <c r="D211" i="60" s="1"/>
  <c r="F212" i="60" a="1"/>
  <c r="F212" i="60" s="1"/>
  <c r="F213" i="60" a="1"/>
  <c r="F213" i="60" s="1"/>
  <c r="E215" i="60" a="1"/>
  <c r="E215" i="60" s="1"/>
  <c r="E216" i="60" a="1"/>
  <c r="E216" i="60" s="1"/>
  <c r="D218" i="60" a="1"/>
  <c r="D218" i="60" s="1"/>
  <c r="D219" i="60" a="1"/>
  <c r="D219" i="60" s="1"/>
  <c r="F220" i="60" a="1"/>
  <c r="F220" i="60" s="1"/>
  <c r="F221" i="60" a="1"/>
  <c r="F221" i="60" s="1"/>
  <c r="E223" i="60" a="1"/>
  <c r="E223" i="60" s="1"/>
  <c r="E224" i="60" a="1"/>
  <c r="E224" i="60" s="1"/>
  <c r="D226" i="60" a="1"/>
  <c r="D226" i="60" s="1"/>
  <c r="D227" i="60" a="1"/>
  <c r="D227" i="60" s="1"/>
  <c r="F228" i="60" a="1"/>
  <c r="F228" i="60" s="1"/>
  <c r="F229" i="60" a="1"/>
  <c r="F229" i="60" s="1"/>
  <c r="E231" i="60" a="1"/>
  <c r="E231" i="60" s="1"/>
  <c r="E232" i="60" a="1"/>
  <c r="E232" i="60" s="1"/>
  <c r="D234" i="60" a="1"/>
  <c r="D234" i="60" s="1"/>
  <c r="D235" i="60" a="1"/>
  <c r="D235" i="60" s="1"/>
  <c r="F236" i="60" a="1"/>
  <c r="F236" i="60" s="1"/>
  <c r="F237" i="60" a="1"/>
  <c r="F237" i="60" s="1"/>
  <c r="E239" i="60" a="1"/>
  <c r="E239" i="60" s="1"/>
  <c r="E240" i="60" a="1"/>
  <c r="E240" i="60" s="1"/>
  <c r="D242" i="60" a="1"/>
  <c r="D242" i="60" s="1"/>
  <c r="D243" i="60" a="1"/>
  <c r="D243" i="60" s="1"/>
  <c r="F244" i="60" a="1"/>
  <c r="F244" i="60" s="1"/>
  <c r="F245" i="60" a="1"/>
  <c r="F245" i="60" s="1"/>
  <c r="E247" i="60" a="1"/>
  <c r="E247" i="60" s="1"/>
  <c r="E248" i="60" a="1"/>
  <c r="E248" i="60" s="1"/>
  <c r="D250" i="60" a="1"/>
  <c r="D250" i="60" s="1"/>
  <c r="D251" i="60" a="1"/>
  <c r="D251" i="60" s="1"/>
  <c r="F252" i="60" a="1"/>
  <c r="F252" i="60" s="1"/>
  <c r="F253" i="60" a="1"/>
  <c r="F253" i="60" s="1"/>
  <c r="E255" i="60" a="1"/>
  <c r="E255" i="60" s="1"/>
  <c r="E256" i="60" a="1"/>
  <c r="E256" i="60" s="1"/>
  <c r="D258" i="60" a="1"/>
  <c r="D258" i="60" s="1"/>
  <c r="D259" i="60" a="1"/>
  <c r="D259" i="60" s="1"/>
  <c r="F260" i="60" a="1"/>
  <c r="F260" i="60" s="1"/>
  <c r="F261" i="60" a="1"/>
  <c r="F261" i="60" s="1"/>
  <c r="E263" i="60" a="1"/>
  <c r="E263" i="60" s="1"/>
  <c r="E264" i="60" a="1"/>
  <c r="E264" i="60" s="1"/>
  <c r="D266" i="60" a="1"/>
  <c r="D266" i="60" s="1"/>
  <c r="D267" i="60" a="1"/>
  <c r="D267" i="60" s="1"/>
  <c r="F268" i="60" a="1"/>
  <c r="F268" i="60" s="1"/>
  <c r="F269" i="60" a="1"/>
  <c r="F269" i="60" s="1"/>
  <c r="E271" i="60" a="1"/>
  <c r="E271" i="60" s="1"/>
  <c r="E272" i="60" a="1"/>
  <c r="E272" i="60" s="1"/>
  <c r="D274" i="60" a="1"/>
  <c r="D274" i="60" s="1"/>
  <c r="D275" i="60" a="1"/>
  <c r="D275" i="60" s="1"/>
  <c r="F276" i="60" a="1"/>
  <c r="F276" i="60" s="1"/>
  <c r="F277" i="60" a="1"/>
  <c r="F277" i="60" s="1"/>
  <c r="E279" i="60" a="1"/>
  <c r="E279" i="60" s="1"/>
  <c r="E280" i="60" a="1"/>
  <c r="E280" i="60" s="1"/>
  <c r="D282" i="60" a="1"/>
  <c r="D282" i="60" s="1"/>
  <c r="D283" i="60" a="1"/>
  <c r="D283" i="60" s="1"/>
  <c r="F284" i="60" a="1"/>
  <c r="F284" i="60" s="1"/>
  <c r="F285" i="60" a="1"/>
  <c r="F285" i="60" s="1"/>
  <c r="E287" i="60" a="1"/>
  <c r="E287" i="60" s="1"/>
  <c r="E288" i="60" a="1"/>
  <c r="E288" i="60" s="1"/>
  <c r="D290" i="60" a="1"/>
  <c r="D290" i="60" s="1"/>
  <c r="D291" i="60" a="1"/>
  <c r="D291" i="60" s="1"/>
  <c r="F292" i="60" a="1"/>
  <c r="F292" i="60" s="1"/>
  <c r="F293" i="60" a="1"/>
  <c r="F293" i="60" s="1"/>
  <c r="E295" i="60" a="1"/>
  <c r="E295" i="60" s="1"/>
  <c r="E296" i="60" a="1"/>
  <c r="E296" i="60" s="1"/>
  <c r="D298" i="60" a="1"/>
  <c r="D298" i="60" s="1"/>
  <c r="D299" i="60" a="1"/>
  <c r="D299" i="60" s="1"/>
  <c r="F300" i="60" a="1"/>
  <c r="F300" i="60" s="1"/>
  <c r="F301" i="60" a="1"/>
  <c r="F301" i="60" s="1"/>
  <c r="F53" i="60" a="1"/>
  <c r="F53" i="60" s="1"/>
  <c r="E83" i="60" a="1"/>
  <c r="E83" i="60" s="1"/>
  <c r="F111" i="60" a="1"/>
  <c r="F111" i="60" s="1"/>
  <c r="D126" i="60" a="1"/>
  <c r="D126" i="60" s="1"/>
  <c r="E135" i="60" a="1"/>
  <c r="E135" i="60" s="1"/>
  <c r="F166" i="60" a="1"/>
  <c r="F166" i="60" s="1"/>
  <c r="F167" i="60" a="1"/>
  <c r="F167" i="60" s="1"/>
  <c r="E169" i="60" a="1"/>
  <c r="E169" i="60" s="1"/>
  <c r="E170" i="60" a="1"/>
  <c r="E170" i="60" s="1"/>
  <c r="D172" i="60" a="1"/>
  <c r="D172" i="60" s="1"/>
  <c r="D173" i="60" a="1"/>
  <c r="D173" i="60" s="1"/>
  <c r="F174" i="60" a="1"/>
  <c r="F174" i="60" s="1"/>
  <c r="F175" i="60" a="1"/>
  <c r="F175" i="60" s="1"/>
  <c r="E177" i="60" a="1"/>
  <c r="E177" i="60" s="1"/>
  <c r="E178" i="60" a="1"/>
  <c r="E178" i="60" s="1"/>
  <c r="D180" i="60" a="1"/>
  <c r="D180" i="60" s="1"/>
  <c r="D181" i="60" a="1"/>
  <c r="D181" i="60" s="1"/>
  <c r="F182" i="60" a="1"/>
  <c r="F182" i="60" s="1"/>
  <c r="F183" i="60" a="1"/>
  <c r="F183" i="60" s="1"/>
  <c r="E185" i="60" a="1"/>
  <c r="E185" i="60" s="1"/>
  <c r="E186" i="60" a="1"/>
  <c r="E186" i="60" s="1"/>
  <c r="D188" i="60" a="1"/>
  <c r="D188" i="60" s="1"/>
  <c r="D189" i="60" a="1"/>
  <c r="D189" i="60" s="1"/>
  <c r="F190" i="60" a="1"/>
  <c r="F190" i="60" s="1"/>
  <c r="F191" i="60" a="1"/>
  <c r="F191" i="60" s="1"/>
  <c r="E193" i="60" a="1"/>
  <c r="E193" i="60" s="1"/>
  <c r="E194" i="60" a="1"/>
  <c r="E194" i="60" s="1"/>
  <c r="D196" i="60" a="1"/>
  <c r="D196" i="60" s="1"/>
  <c r="D197" i="60" a="1"/>
  <c r="D197" i="60" s="1"/>
  <c r="F198" i="60" a="1"/>
  <c r="F198" i="60" s="1"/>
  <c r="F199" i="60" a="1"/>
  <c r="F199" i="60" s="1"/>
  <c r="E201" i="60" a="1"/>
  <c r="E201" i="60" s="1"/>
  <c r="E202" i="60" a="1"/>
  <c r="E202" i="60" s="1"/>
  <c r="D204" i="60" a="1"/>
  <c r="D204" i="60" s="1"/>
  <c r="D205" i="60" a="1"/>
  <c r="D205" i="60" s="1"/>
  <c r="F206" i="60" a="1"/>
  <c r="F206" i="60" s="1"/>
  <c r="F207" i="60" a="1"/>
  <c r="F207" i="60" s="1"/>
  <c r="E209" i="60" a="1"/>
  <c r="E209" i="60" s="1"/>
  <c r="E210" i="60" a="1"/>
  <c r="E210" i="60" s="1"/>
  <c r="D212" i="60" a="1"/>
  <c r="D212" i="60" s="1"/>
  <c r="D213" i="60" a="1"/>
  <c r="D213" i="60" s="1"/>
  <c r="F214" i="60" a="1"/>
  <c r="F214" i="60" s="1"/>
  <c r="F215" i="60" a="1"/>
  <c r="F215" i="60" s="1"/>
  <c r="E217" i="60" a="1"/>
  <c r="E217" i="60" s="1"/>
  <c r="E218" i="60" a="1"/>
  <c r="E218" i="60" s="1"/>
  <c r="D220" i="60" a="1"/>
  <c r="D220" i="60" s="1"/>
  <c r="D221" i="60" a="1"/>
  <c r="D221" i="60" s="1"/>
  <c r="F222" i="60" a="1"/>
  <c r="F222" i="60" s="1"/>
  <c r="F223" i="60" a="1"/>
  <c r="F223" i="60" s="1"/>
  <c r="E225" i="60" a="1"/>
  <c r="E225" i="60" s="1"/>
  <c r="E226" i="60" a="1"/>
  <c r="E226" i="60" s="1"/>
  <c r="D228" i="60" a="1"/>
  <c r="D228" i="60" s="1"/>
  <c r="D229" i="60" a="1"/>
  <c r="D229" i="60" s="1"/>
  <c r="F230" i="60" a="1"/>
  <c r="F230" i="60" s="1"/>
  <c r="F231" i="60" a="1"/>
  <c r="F231" i="60" s="1"/>
  <c r="E233" i="60" a="1"/>
  <c r="E233" i="60" s="1"/>
  <c r="E234" i="60" a="1"/>
  <c r="E234" i="60" s="1"/>
  <c r="D236" i="60" a="1"/>
  <c r="D236" i="60" s="1"/>
  <c r="D237" i="60" a="1"/>
  <c r="D237" i="60" s="1"/>
  <c r="F238" i="60" a="1"/>
  <c r="F238" i="60" s="1"/>
  <c r="F239" i="60" a="1"/>
  <c r="F239" i="60" s="1"/>
  <c r="E241" i="60" a="1"/>
  <c r="E241" i="60" s="1"/>
  <c r="E242" i="60" a="1"/>
  <c r="E242" i="60" s="1"/>
  <c r="D244" i="60" a="1"/>
  <c r="D244" i="60" s="1"/>
  <c r="D245" i="60" a="1"/>
  <c r="D245" i="60" s="1"/>
  <c r="F246" i="60" a="1"/>
  <c r="F246" i="60" s="1"/>
  <c r="F247" i="60" a="1"/>
  <c r="F247" i="60" s="1"/>
  <c r="E249" i="60" a="1"/>
  <c r="E249" i="60" s="1"/>
  <c r="E250" i="60" a="1"/>
  <c r="E250" i="60" s="1"/>
  <c r="D252" i="60" a="1"/>
  <c r="D252" i="60" s="1"/>
  <c r="D253" i="60" a="1"/>
  <c r="D253" i="60" s="1"/>
  <c r="F254" i="60" a="1"/>
  <c r="F254" i="60" s="1"/>
  <c r="F255" i="60" a="1"/>
  <c r="F255" i="60" s="1"/>
  <c r="E257" i="60" a="1"/>
  <c r="E257" i="60" s="1"/>
  <c r="E258" i="60" a="1"/>
  <c r="E258" i="60" s="1"/>
  <c r="D260" i="60" a="1"/>
  <c r="D260" i="60" s="1"/>
  <c r="D261" i="60" a="1"/>
  <c r="D261" i="60" s="1"/>
  <c r="F262" i="60" a="1"/>
  <c r="F262" i="60" s="1"/>
  <c r="F263" i="60" a="1"/>
  <c r="F263" i="60" s="1"/>
  <c r="E265" i="60" a="1"/>
  <c r="E265" i="60" s="1"/>
  <c r="E266" i="60" a="1"/>
  <c r="E266" i="60" s="1"/>
  <c r="D268" i="60" a="1"/>
  <c r="D268" i="60" s="1"/>
  <c r="D269" i="60" a="1"/>
  <c r="D269" i="60" s="1"/>
  <c r="F270" i="60" a="1"/>
  <c r="F270" i="60" s="1"/>
  <c r="F271" i="60" a="1"/>
  <c r="F271" i="60" s="1"/>
  <c r="E273" i="60" a="1"/>
  <c r="E273" i="60" s="1"/>
  <c r="E274" i="60" a="1"/>
  <c r="E274" i="60" s="1"/>
  <c r="D276" i="60" a="1"/>
  <c r="D276" i="60" s="1"/>
  <c r="D277" i="60" a="1"/>
  <c r="D277" i="60" s="1"/>
  <c r="F278" i="60" a="1"/>
  <c r="F278" i="60" s="1"/>
  <c r="F279" i="60" a="1"/>
  <c r="F279" i="60" s="1"/>
  <c r="E281" i="60" a="1"/>
  <c r="E281" i="60" s="1"/>
  <c r="E282" i="60" a="1"/>
  <c r="E282" i="60" s="1"/>
  <c r="D284" i="60" a="1"/>
  <c r="D284" i="60" s="1"/>
  <c r="D285" i="60" a="1"/>
  <c r="D285" i="60" s="1"/>
  <c r="F286" i="60" a="1"/>
  <c r="F286" i="60" s="1"/>
  <c r="F287" i="60" a="1"/>
  <c r="F287" i="60" s="1"/>
  <c r="E289" i="60" a="1"/>
  <c r="E289" i="60" s="1"/>
  <c r="E290" i="60" a="1"/>
  <c r="E290" i="60" s="1"/>
  <c r="D292" i="60" a="1"/>
  <c r="D292" i="60" s="1"/>
  <c r="D293" i="60" a="1"/>
  <c r="D293" i="60" s="1"/>
  <c r="F294" i="60" a="1"/>
  <c r="F294" i="60" s="1"/>
  <c r="F295" i="60" a="1"/>
  <c r="F295" i="60" s="1"/>
  <c r="E297" i="60" a="1"/>
  <c r="E297" i="60" s="1"/>
  <c r="E298" i="60" a="1"/>
  <c r="E298" i="60" s="1"/>
  <c r="D300" i="60" a="1"/>
  <c r="D300" i="60" s="1"/>
  <c r="D301" i="60" a="1"/>
  <c r="D301" i="60" s="1"/>
  <c r="F164" i="60" a="1"/>
  <c r="F164" i="60" s="1"/>
  <c r="F168" i="60" a="1"/>
  <c r="F168" i="60" s="1"/>
  <c r="E172" i="60" a="1"/>
  <c r="E172" i="60" s="1"/>
  <c r="E179" i="60" a="1"/>
  <c r="E179" i="60" s="1"/>
  <c r="D183" i="60" a="1"/>
  <c r="D183" i="60" s="1"/>
  <c r="D190" i="60" a="1"/>
  <c r="D190" i="60" s="1"/>
  <c r="F193" i="60" a="1"/>
  <c r="F193" i="60" s="1"/>
  <c r="F200" i="60" a="1"/>
  <c r="F200" i="60" s="1"/>
  <c r="E204" i="60" a="1"/>
  <c r="E204" i="60" s="1"/>
  <c r="E211" i="60" a="1"/>
  <c r="E211" i="60" s="1"/>
  <c r="D215" i="60" a="1"/>
  <c r="D215" i="60" s="1"/>
  <c r="D222" i="60" a="1"/>
  <c r="D222" i="60" s="1"/>
  <c r="F225" i="60" a="1"/>
  <c r="F225" i="60" s="1"/>
  <c r="F232" i="60" a="1"/>
  <c r="F232" i="60" s="1"/>
  <c r="E236" i="60" a="1"/>
  <c r="E236" i="60" s="1"/>
  <c r="E243" i="60" a="1"/>
  <c r="E243" i="60" s="1"/>
  <c r="D247" i="60" a="1"/>
  <c r="D247" i="60" s="1"/>
  <c r="D254" i="60" a="1"/>
  <c r="D254" i="60" s="1"/>
  <c r="F257" i="60" a="1"/>
  <c r="F257" i="60" s="1"/>
  <c r="F264" i="60" a="1"/>
  <c r="F264" i="60" s="1"/>
  <c r="E268" i="60" a="1"/>
  <c r="E268" i="60" s="1"/>
  <c r="E275" i="60" a="1"/>
  <c r="E275" i="60" s="1"/>
  <c r="D279" i="60" a="1"/>
  <c r="D279" i="60" s="1"/>
  <c r="D286" i="60" a="1"/>
  <c r="D286" i="60" s="1"/>
  <c r="F289" i="60" a="1"/>
  <c r="F289" i="60" s="1"/>
  <c r="F296" i="60" a="1"/>
  <c r="F296" i="60" s="1"/>
  <c r="E300" i="60" a="1"/>
  <c r="E300" i="60" s="1"/>
  <c r="F302" i="60" a="1"/>
  <c r="F302" i="60" s="1"/>
  <c r="F303" i="60" a="1"/>
  <c r="F303" i="60" s="1"/>
  <c r="E305" i="60" a="1"/>
  <c r="E305" i="60" s="1"/>
  <c r="E306" i="60" a="1"/>
  <c r="E306" i="60" s="1"/>
  <c r="D308" i="60" a="1"/>
  <c r="D308" i="60" s="1"/>
  <c r="D309" i="60" a="1"/>
  <c r="D309" i="60" s="1"/>
  <c r="F310" i="60" a="1"/>
  <c r="F310" i="60" s="1"/>
  <c r="F311" i="60" a="1"/>
  <c r="F311" i="60" s="1"/>
  <c r="E313" i="60" a="1"/>
  <c r="E313" i="60" s="1"/>
  <c r="E314" i="60" a="1"/>
  <c r="E314" i="60" s="1"/>
  <c r="D316" i="60" a="1"/>
  <c r="D316" i="60" s="1"/>
  <c r="D317" i="60" a="1"/>
  <c r="D317" i="60" s="1"/>
  <c r="F318" i="60" a="1"/>
  <c r="F318" i="60" s="1"/>
  <c r="F319" i="60" a="1"/>
  <c r="F319" i="60" s="1"/>
  <c r="E321" i="60" a="1"/>
  <c r="E321" i="60" s="1"/>
  <c r="E322" i="60" a="1"/>
  <c r="E322" i="60" s="1"/>
  <c r="D324" i="60" a="1"/>
  <c r="D324" i="60" s="1"/>
  <c r="D325" i="60" a="1"/>
  <c r="D325" i="60" s="1"/>
  <c r="F326" i="60" a="1"/>
  <c r="F326" i="60" s="1"/>
  <c r="F327" i="60" a="1"/>
  <c r="F327" i="60" s="1"/>
  <c r="E329" i="60" a="1"/>
  <c r="E329" i="60" s="1"/>
  <c r="E330" i="60" a="1"/>
  <c r="E330" i="60" s="1"/>
  <c r="D332" i="60" a="1"/>
  <c r="D332" i="60" s="1"/>
  <c r="D333" i="60" a="1"/>
  <c r="D333" i="60" s="1"/>
  <c r="F334" i="60" a="1"/>
  <c r="F334" i="60" s="1"/>
  <c r="F335" i="60" a="1"/>
  <c r="F335" i="60" s="1"/>
  <c r="E337" i="60" a="1"/>
  <c r="E337" i="60" s="1"/>
  <c r="E338" i="60" a="1"/>
  <c r="E338" i="60" s="1"/>
  <c r="D340" i="60" a="1"/>
  <c r="D340" i="60" s="1"/>
  <c r="D341" i="60" a="1"/>
  <c r="D341" i="60" s="1"/>
  <c r="F342" i="60" a="1"/>
  <c r="F342" i="60" s="1"/>
  <c r="F343" i="60" a="1"/>
  <c r="F343" i="60" s="1"/>
  <c r="E345" i="60" a="1"/>
  <c r="E345" i="60" s="1"/>
  <c r="E346" i="60" a="1"/>
  <c r="E346" i="60" s="1"/>
  <c r="D348" i="60" a="1"/>
  <c r="D348" i="60" s="1"/>
  <c r="F348" i="60" a="1"/>
  <c r="F348" i="60" s="1"/>
  <c r="E349" i="60" a="1"/>
  <c r="E349" i="60" s="1"/>
  <c r="F185" i="60" a="1"/>
  <c r="F185" i="60" s="1"/>
  <c r="E203" i="60" a="1"/>
  <c r="E203" i="60" s="1"/>
  <c r="F217" i="60" a="1"/>
  <c r="F217" i="60" s="1"/>
  <c r="E235" i="60" a="1"/>
  <c r="E235" i="60" s="1"/>
  <c r="F249" i="60" a="1"/>
  <c r="F249" i="60" s="1"/>
  <c r="E267" i="60" a="1"/>
  <c r="E267" i="60" s="1"/>
  <c r="F281" i="60" a="1"/>
  <c r="F281" i="60" s="1"/>
  <c r="E303" i="60" a="1"/>
  <c r="E303" i="60" s="1"/>
  <c r="D306" i="60" a="1"/>
  <c r="D306" i="60" s="1"/>
  <c r="F309" i="60" a="1"/>
  <c r="F309" i="60" s="1"/>
  <c r="D314" i="60" a="1"/>
  <c r="D314" i="60" s="1"/>
  <c r="F317" i="60" a="1"/>
  <c r="F317" i="60" s="1"/>
  <c r="D322" i="60" a="1"/>
  <c r="D322" i="60" s="1"/>
  <c r="F325" i="60" a="1"/>
  <c r="F325" i="60" s="1"/>
  <c r="D330" i="60" a="1"/>
  <c r="D330" i="60" s="1"/>
  <c r="F333" i="60" a="1"/>
  <c r="F333" i="60" s="1"/>
  <c r="D339" i="60" a="1"/>
  <c r="D339" i="60" s="1"/>
  <c r="F341" i="60" a="1"/>
  <c r="F341" i="60" s="1"/>
  <c r="D347" i="60" a="1"/>
  <c r="D347" i="60" s="1"/>
  <c r="D166" i="60" a="1"/>
  <c r="D166" i="60" s="1"/>
  <c r="F169" i="60" a="1"/>
  <c r="F169" i="60" s="1"/>
  <c r="F176" i="60" a="1"/>
  <c r="F176" i="60" s="1"/>
  <c r="E180" i="60" a="1"/>
  <c r="E180" i="60" s="1"/>
  <c r="E187" i="60" a="1"/>
  <c r="E187" i="60" s="1"/>
  <c r="D191" i="60" a="1"/>
  <c r="D191" i="60" s="1"/>
  <c r="D198" i="60" a="1"/>
  <c r="D198" i="60" s="1"/>
  <c r="F201" i="60" a="1"/>
  <c r="F201" i="60" s="1"/>
  <c r="F208" i="60" a="1"/>
  <c r="F208" i="60" s="1"/>
  <c r="E212" i="60" a="1"/>
  <c r="E212" i="60" s="1"/>
  <c r="E219" i="60" a="1"/>
  <c r="E219" i="60" s="1"/>
  <c r="D223" i="60" a="1"/>
  <c r="D223" i="60" s="1"/>
  <c r="D230" i="60" a="1"/>
  <c r="D230" i="60" s="1"/>
  <c r="F233" i="60" a="1"/>
  <c r="F233" i="60" s="1"/>
  <c r="F240" i="60" a="1"/>
  <c r="F240" i="60" s="1"/>
  <c r="E244" i="60" a="1"/>
  <c r="E244" i="60" s="1"/>
  <c r="E251" i="60" a="1"/>
  <c r="E251" i="60" s="1"/>
  <c r="D255" i="60" a="1"/>
  <c r="D255" i="60" s="1"/>
  <c r="D262" i="60" a="1"/>
  <c r="D262" i="60" s="1"/>
  <c r="F265" i="60" a="1"/>
  <c r="F265" i="60" s="1"/>
  <c r="F272" i="60" a="1"/>
  <c r="F272" i="60" s="1"/>
  <c r="E276" i="60" a="1"/>
  <c r="E276" i="60" s="1"/>
  <c r="E283" i="60" a="1"/>
  <c r="E283" i="60" s="1"/>
  <c r="D287" i="60" a="1"/>
  <c r="D287" i="60" s="1"/>
  <c r="D294" i="60" a="1"/>
  <c r="D294" i="60" s="1"/>
  <c r="F297" i="60" a="1"/>
  <c r="F297" i="60" s="1"/>
  <c r="D302" i="60" a="1"/>
  <c r="D302" i="60" s="1"/>
  <c r="D303" i="60" a="1"/>
  <c r="D303" i="60" s="1"/>
  <c r="F304" i="60" a="1"/>
  <c r="F304" i="60" s="1"/>
  <c r="F305" i="60" a="1"/>
  <c r="F305" i="60" s="1"/>
  <c r="E307" i="60" a="1"/>
  <c r="E307" i="60" s="1"/>
  <c r="E308" i="60" a="1"/>
  <c r="E308" i="60" s="1"/>
  <c r="D310" i="60" a="1"/>
  <c r="D310" i="60" s="1"/>
  <c r="D311" i="60" a="1"/>
  <c r="D311" i="60" s="1"/>
  <c r="F312" i="60" a="1"/>
  <c r="F312" i="60" s="1"/>
  <c r="F313" i="60" a="1"/>
  <c r="F313" i="60" s="1"/>
  <c r="E315" i="60" a="1"/>
  <c r="E315" i="60" s="1"/>
  <c r="E316" i="60" a="1"/>
  <c r="E316" i="60" s="1"/>
  <c r="D318" i="60" a="1"/>
  <c r="D318" i="60" s="1"/>
  <c r="D319" i="60" a="1"/>
  <c r="D319" i="60" s="1"/>
  <c r="F320" i="60" a="1"/>
  <c r="F320" i="60" s="1"/>
  <c r="F321" i="60" a="1"/>
  <c r="F321" i="60" s="1"/>
  <c r="E323" i="60" a="1"/>
  <c r="E323" i="60" s="1"/>
  <c r="E324" i="60" a="1"/>
  <c r="E324" i="60" s="1"/>
  <c r="D326" i="60" a="1"/>
  <c r="D326" i="60" s="1"/>
  <c r="D327" i="60" a="1"/>
  <c r="D327" i="60" s="1"/>
  <c r="F328" i="60" a="1"/>
  <c r="F328" i="60" s="1"/>
  <c r="F329" i="60" a="1"/>
  <c r="F329" i="60" s="1"/>
  <c r="E331" i="60" a="1"/>
  <c r="E331" i="60" s="1"/>
  <c r="E332" i="60" a="1"/>
  <c r="E332" i="60" s="1"/>
  <c r="D334" i="60" a="1"/>
  <c r="D334" i="60" s="1"/>
  <c r="D335" i="60" a="1"/>
  <c r="D335" i="60" s="1"/>
  <c r="F336" i="60" a="1"/>
  <c r="F336" i="60" s="1"/>
  <c r="F337" i="60" a="1"/>
  <c r="F337" i="60" s="1"/>
  <c r="E339" i="60" a="1"/>
  <c r="E339" i="60" s="1"/>
  <c r="E340" i="60" a="1"/>
  <c r="E340" i="60" s="1"/>
  <c r="D342" i="60" a="1"/>
  <c r="D342" i="60" s="1"/>
  <c r="D343" i="60" a="1"/>
  <c r="D343" i="60" s="1"/>
  <c r="F344" i="60" a="1"/>
  <c r="F344" i="60" s="1"/>
  <c r="F345" i="60" a="1"/>
  <c r="F345" i="60" s="1"/>
  <c r="E347" i="60" a="1"/>
  <c r="E347" i="60" s="1"/>
  <c r="E171" i="60" a="1"/>
  <c r="E171" i="60" s="1"/>
  <c r="D182" i="60" a="1"/>
  <c r="D182" i="60" s="1"/>
  <c r="E196" i="60" a="1"/>
  <c r="E196" i="60" s="1"/>
  <c r="D214" i="60" a="1"/>
  <c r="D214" i="60" s="1"/>
  <c r="F224" i="60" a="1"/>
  <c r="F224" i="60" s="1"/>
  <c r="D239" i="60" a="1"/>
  <c r="D239" i="60" s="1"/>
  <c r="F256" i="60" a="1"/>
  <c r="F256" i="60" s="1"/>
  <c r="D271" i="60" a="1"/>
  <c r="D271" i="60" s="1"/>
  <c r="F288" i="60" a="1"/>
  <c r="F288" i="60" s="1"/>
  <c r="E301" i="60" a="1"/>
  <c r="E301" i="60" s="1"/>
  <c r="D307" i="60" a="1"/>
  <c r="D307" i="60" s="1"/>
  <c r="E311" i="60" a="1"/>
  <c r="E311" i="60" s="1"/>
  <c r="D315" i="60" a="1"/>
  <c r="D315" i="60" s="1"/>
  <c r="E319" i="60" a="1"/>
  <c r="E319" i="60" s="1"/>
  <c r="D323" i="60" a="1"/>
  <c r="D323" i="60" s="1"/>
  <c r="E327" i="60" a="1"/>
  <c r="E327" i="60" s="1"/>
  <c r="D331" i="60" a="1"/>
  <c r="D331" i="60" s="1"/>
  <c r="E335" i="60" a="1"/>
  <c r="E335" i="60" s="1"/>
  <c r="D338" i="60" a="1"/>
  <c r="D338" i="60" s="1"/>
  <c r="E343" i="60" a="1"/>
  <c r="E343" i="60" s="1"/>
  <c r="D346" i="60" a="1"/>
  <c r="D346" i="60" s="1"/>
  <c r="D101" i="60" a="1"/>
  <c r="D101" i="60" s="1"/>
  <c r="D167" i="60" a="1"/>
  <c r="D167" i="60" s="1"/>
  <c r="D174" i="60" a="1"/>
  <c r="D174" i="60" s="1"/>
  <c r="F177" i="60" a="1"/>
  <c r="F177" i="60" s="1"/>
  <c r="F184" i="60" a="1"/>
  <c r="F184" i="60" s="1"/>
  <c r="E188" i="60" a="1"/>
  <c r="E188" i="60" s="1"/>
  <c r="E195" i="60" a="1"/>
  <c r="E195" i="60" s="1"/>
  <c r="D199" i="60" a="1"/>
  <c r="D199" i="60" s="1"/>
  <c r="D206" i="60" a="1"/>
  <c r="D206" i="60" s="1"/>
  <c r="F209" i="60" a="1"/>
  <c r="F209" i="60" s="1"/>
  <c r="F216" i="60" a="1"/>
  <c r="F216" i="60" s="1"/>
  <c r="E220" i="60" a="1"/>
  <c r="E220" i="60" s="1"/>
  <c r="E227" i="60" a="1"/>
  <c r="E227" i="60" s="1"/>
  <c r="D231" i="60" a="1"/>
  <c r="D231" i="60" s="1"/>
  <c r="D238" i="60" a="1"/>
  <c r="D238" i="60" s="1"/>
  <c r="F241" i="60" a="1"/>
  <c r="F241" i="60" s="1"/>
  <c r="F248" i="60" a="1"/>
  <c r="F248" i="60" s="1"/>
  <c r="E252" i="60" a="1"/>
  <c r="E252" i="60" s="1"/>
  <c r="E259" i="60" a="1"/>
  <c r="E259" i="60" s="1"/>
  <c r="D263" i="60" a="1"/>
  <c r="D263" i="60" s="1"/>
  <c r="D270" i="60" a="1"/>
  <c r="D270" i="60" s="1"/>
  <c r="F273" i="60" a="1"/>
  <c r="F273" i="60" s="1"/>
  <c r="F280" i="60" a="1"/>
  <c r="F280" i="60" s="1"/>
  <c r="E284" i="60" a="1"/>
  <c r="E284" i="60" s="1"/>
  <c r="E291" i="60" a="1"/>
  <c r="E291" i="60" s="1"/>
  <c r="D295" i="60" a="1"/>
  <c r="D295" i="60" s="1"/>
  <c r="E302" i="60" a="1"/>
  <c r="E302" i="60" s="1"/>
  <c r="D304" i="60" a="1"/>
  <c r="D304" i="60" s="1"/>
  <c r="D305" i="60" a="1"/>
  <c r="D305" i="60" s="1"/>
  <c r="F306" i="60" a="1"/>
  <c r="F306" i="60" s="1"/>
  <c r="F307" i="60" a="1"/>
  <c r="F307" i="60" s="1"/>
  <c r="E309" i="60" a="1"/>
  <c r="E309" i="60" s="1"/>
  <c r="E310" i="60" a="1"/>
  <c r="E310" i="60" s="1"/>
  <c r="D312" i="60" a="1"/>
  <c r="D312" i="60" s="1"/>
  <c r="D313" i="60" a="1"/>
  <c r="D313" i="60" s="1"/>
  <c r="F314" i="60" a="1"/>
  <c r="F314" i="60" s="1"/>
  <c r="F315" i="60" a="1"/>
  <c r="F315" i="60" s="1"/>
  <c r="E317" i="60" a="1"/>
  <c r="E317" i="60" s="1"/>
  <c r="E318" i="60" a="1"/>
  <c r="E318" i="60" s="1"/>
  <c r="D320" i="60" a="1"/>
  <c r="D320" i="60" s="1"/>
  <c r="D321" i="60" a="1"/>
  <c r="D321" i="60" s="1"/>
  <c r="F322" i="60" a="1"/>
  <c r="F322" i="60" s="1"/>
  <c r="F323" i="60" a="1"/>
  <c r="F323" i="60" s="1"/>
  <c r="E325" i="60" a="1"/>
  <c r="E325" i="60" s="1"/>
  <c r="E326" i="60" a="1"/>
  <c r="E326" i="60" s="1"/>
  <c r="D328" i="60" a="1"/>
  <c r="D328" i="60" s="1"/>
  <c r="D329" i="60" a="1"/>
  <c r="D329" i="60" s="1"/>
  <c r="F330" i="60" a="1"/>
  <c r="F330" i="60" s="1"/>
  <c r="F331" i="60" a="1"/>
  <c r="F331" i="60" s="1"/>
  <c r="E333" i="60" a="1"/>
  <c r="E333" i="60" s="1"/>
  <c r="E334" i="60" a="1"/>
  <c r="E334" i="60" s="1"/>
  <c r="D336" i="60" a="1"/>
  <c r="D336" i="60" s="1"/>
  <c r="D337" i="60" a="1"/>
  <c r="D337" i="60" s="1"/>
  <c r="F338" i="60" a="1"/>
  <c r="F338" i="60" s="1"/>
  <c r="F339" i="60" a="1"/>
  <c r="F339" i="60" s="1"/>
  <c r="E341" i="60" a="1"/>
  <c r="E341" i="60" s="1"/>
  <c r="E342" i="60" a="1"/>
  <c r="E342" i="60" s="1"/>
  <c r="D344" i="60" a="1"/>
  <c r="D344" i="60" s="1"/>
  <c r="D345" i="60" a="1"/>
  <c r="D345" i="60" s="1"/>
  <c r="F346" i="60" a="1"/>
  <c r="F346" i="60" s="1"/>
  <c r="F347" i="60" a="1"/>
  <c r="F347" i="60" s="1"/>
  <c r="E348" i="60" a="1"/>
  <c r="E348" i="60" s="1"/>
  <c r="D349" i="60" a="1"/>
  <c r="D349" i="60" s="1"/>
  <c r="F349" i="60" a="1"/>
  <c r="F349" i="60" s="1"/>
  <c r="E115" i="60" a="1"/>
  <c r="E115" i="60" s="1"/>
  <c r="D175" i="60" a="1"/>
  <c r="D175" i="60" s="1"/>
  <c r="F192" i="60" a="1"/>
  <c r="F192" i="60" s="1"/>
  <c r="D207" i="60" a="1"/>
  <c r="D207" i="60" s="1"/>
  <c r="E228" i="60" a="1"/>
  <c r="E228" i="60" s="1"/>
  <c r="D246" i="60" a="1"/>
  <c r="D246" i="60" s="1"/>
  <c r="E260" i="60" a="1"/>
  <c r="E260" i="60" s="1"/>
  <c r="D278" i="60" a="1"/>
  <c r="D278" i="60" s="1"/>
  <c r="E292" i="60" a="1"/>
  <c r="E292" i="60" s="1"/>
  <c r="E299" i="60" a="1"/>
  <c r="E299" i="60" s="1"/>
  <c r="E304" i="60" a="1"/>
  <c r="E304" i="60" s="1"/>
  <c r="F308" i="60" a="1"/>
  <c r="F308" i="60" s="1"/>
  <c r="E312" i="60" a="1"/>
  <c r="E312" i="60" s="1"/>
  <c r="F316" i="60" a="1"/>
  <c r="F316" i="60" s="1"/>
  <c r="E320" i="60" a="1"/>
  <c r="E320" i="60" s="1"/>
  <c r="F324" i="60" a="1"/>
  <c r="F324" i="60" s="1"/>
  <c r="E328" i="60" a="1"/>
  <c r="E328" i="60" s="1"/>
  <c r="F332" i="60" a="1"/>
  <c r="F332" i="60" s="1"/>
  <c r="E336" i="60" a="1"/>
  <c r="E336" i="60" s="1"/>
  <c r="F340" i="60" a="1"/>
  <c r="F340" i="60" s="1"/>
  <c r="E344" i="60" a="1"/>
  <c r="E344" i="60" s="1"/>
  <c r="D3" i="60" a="1"/>
  <c r="D3" i="60" s="1"/>
  <c r="F3" i="60" a="1"/>
  <c r="F3" i="60" s="1"/>
  <c r="E4" i="60" a="1"/>
  <c r="E4" i="60" s="1"/>
  <c r="D5" i="60" a="1"/>
  <c r="D5" i="60" s="1"/>
  <c r="F5" i="60" a="1"/>
  <c r="F5" i="60" s="1"/>
  <c r="E6" i="60" a="1"/>
  <c r="E6" i="60" s="1"/>
  <c r="E3" i="60" a="1"/>
  <c r="E3" i="60" s="1"/>
  <c r="D4" i="60" a="1"/>
  <c r="D4" i="60" s="1"/>
  <c r="F4" i="60" a="1"/>
  <c r="F4" i="60" s="1"/>
  <c r="E5" i="60" a="1"/>
  <c r="E5" i="60" s="1"/>
  <c r="D6" i="60" a="1"/>
  <c r="D6" i="60" s="1"/>
  <c r="F6" i="60" a="1"/>
  <c r="F6" i="60" s="1"/>
  <c r="F360" i="60" a="1"/>
  <c r="F360" i="60" s="1"/>
  <c r="F378" i="60" a="1"/>
  <c r="F378" i="60" s="1"/>
  <c r="F354" i="60" a="1"/>
  <c r="F354" i="60" s="1"/>
  <c r="F366" i="60" a="1"/>
  <c r="F366" i="60" s="1"/>
  <c r="F372" i="60" a="1"/>
  <c r="F372" i="60" s="1"/>
  <c r="F361" i="60" a="1"/>
  <c r="F361" i="60" s="1"/>
  <c r="F355" i="60" a="1"/>
  <c r="F355" i="60" s="1"/>
  <c r="F367" i="60" a="1"/>
  <c r="F367" i="60" s="1"/>
  <c r="F373" i="60" a="1"/>
  <c r="F373" i="60" s="1"/>
  <c r="F356" i="60" a="1"/>
  <c r="F356" i="60" s="1"/>
  <c r="F374" i="60" a="1"/>
  <c r="F374" i="60" s="1"/>
  <c r="F350" i="60" a="1"/>
  <c r="F350" i="60" s="1"/>
  <c r="F362" i="60" a="1"/>
  <c r="F362" i="60" s="1"/>
  <c r="F368" i="60" a="1"/>
  <c r="F368" i="60" s="1"/>
  <c r="F351" i="60" a="1"/>
  <c r="F351" i="60" s="1"/>
  <c r="F375" i="60" a="1"/>
  <c r="F375" i="60" s="1"/>
  <c r="F352" i="60" a="1"/>
  <c r="F352" i="60" s="1"/>
  <c r="F376" i="60" a="1"/>
  <c r="F376" i="60" s="1"/>
  <c r="F353" i="60" a="1"/>
  <c r="F353" i="60" s="1"/>
  <c r="F377" i="60" a="1"/>
  <c r="F377" i="60" s="1"/>
  <c r="F363" i="60" a="1"/>
  <c r="F363" i="60" s="1"/>
  <c r="F357" i="60" a="1"/>
  <c r="F357" i="60" s="1"/>
  <c r="F358" i="60" a="1"/>
  <c r="F358" i="60" s="1"/>
  <c r="F359" i="60" a="1"/>
  <c r="F359" i="60" s="1"/>
  <c r="F365" i="60" a="1"/>
  <c r="F365" i="60" s="1"/>
  <c r="F364" i="60" a="1"/>
  <c r="F364" i="60" s="1"/>
  <c r="F371" i="60" a="1"/>
  <c r="F371" i="60" s="1"/>
  <c r="F369" i="60" a="1"/>
  <c r="F369" i="60" s="1"/>
  <c r="F370" i="60" a="1"/>
  <c r="F370" i="60" s="1"/>
  <c r="E350" i="60" a="1"/>
  <c r="E350" i="60" s="1"/>
  <c r="E362" i="60" a="1"/>
  <c r="E362" i="60" s="1"/>
  <c r="E374" i="60" a="1"/>
  <c r="E374" i="60" s="1"/>
  <c r="E375" i="60" a="1"/>
  <c r="E375" i="60" s="1"/>
  <c r="E355" i="60" a="1"/>
  <c r="E355" i="60" s="1"/>
  <c r="E351" i="60" a="1"/>
  <c r="E351" i="60" s="1"/>
  <c r="E363" i="60" a="1"/>
  <c r="E363" i="60" s="1"/>
  <c r="E364" i="60" a="1"/>
  <c r="E364" i="60" s="1"/>
  <c r="E353" i="60" a="1"/>
  <c r="E353" i="60" s="1"/>
  <c r="E370" i="60" a="1"/>
  <c r="E370" i="60" s="1"/>
  <c r="E352" i="60" a="1"/>
  <c r="E352" i="60" s="1"/>
  <c r="E376" i="60" a="1"/>
  <c r="E376" i="60" s="1"/>
  <c r="E377" i="60" a="1"/>
  <c r="E377" i="60" s="1"/>
  <c r="E357" i="60" a="1"/>
  <c r="E357" i="60" s="1"/>
  <c r="E365" i="60" a="1"/>
  <c r="E365" i="60" s="1"/>
  <c r="E367" i="60" a="1"/>
  <c r="E367" i="60" s="1"/>
  <c r="E369" i="60" a="1"/>
  <c r="E369" i="60" s="1"/>
  <c r="E361" i="60" a="1"/>
  <c r="E361" i="60" s="1"/>
  <c r="E354" i="60" a="1"/>
  <c r="E354" i="60" s="1"/>
  <c r="E366" i="60" a="1"/>
  <c r="E366" i="60" s="1"/>
  <c r="E378" i="60" a="1"/>
  <c r="E378" i="60" s="1"/>
  <c r="E356" i="60" a="1"/>
  <c r="E356" i="60" s="1"/>
  <c r="E368" i="60" a="1"/>
  <c r="E368" i="60" s="1"/>
  <c r="E358" i="60" a="1"/>
  <c r="E358" i="60" s="1"/>
  <c r="E372" i="60" a="1"/>
  <c r="E372" i="60" s="1"/>
  <c r="E359" i="60" a="1"/>
  <c r="E359" i="60" s="1"/>
  <c r="E371" i="60" a="1"/>
  <c r="E371" i="60" s="1"/>
  <c r="E360" i="60" a="1"/>
  <c r="E360" i="60" s="1"/>
  <c r="E373" i="60" a="1"/>
  <c r="E373" i="60" s="1"/>
  <c r="D353" i="60" a="1"/>
  <c r="D353" i="60" s="1"/>
  <c r="D377" i="60" a="1"/>
  <c r="D377" i="60" s="1"/>
  <c r="D368" i="60" a="1"/>
  <c r="D368" i="60" s="1"/>
  <c r="D362" i="60" a="1"/>
  <c r="D362" i="60" s="1"/>
  <c r="D370" i="60" a="1"/>
  <c r="D370" i="60" s="1"/>
  <c r="D354" i="60" a="1"/>
  <c r="D354" i="60" s="1"/>
  <c r="D363" i="60" a="1"/>
  <c r="D363" i="60" s="1"/>
  <c r="D378" i="60" a="1"/>
  <c r="D378" i="60" s="1"/>
  <c r="D355" i="60" a="1"/>
  <c r="D355" i="60" s="1"/>
  <c r="D371" i="60" a="1"/>
  <c r="D371" i="60" s="1"/>
  <c r="D356" i="60" a="1"/>
  <c r="D356" i="60" s="1"/>
  <c r="D357" i="60" a="1"/>
  <c r="D357" i="60" s="1"/>
  <c r="D373" i="60" a="1"/>
  <c r="D373" i="60" s="1"/>
  <c r="D359" i="60" a="1"/>
  <c r="D359" i="60" s="1"/>
  <c r="D364" i="60" a="1"/>
  <c r="D364" i="60" s="1"/>
  <c r="D372" i="60" a="1"/>
  <c r="D372" i="60" s="1"/>
  <c r="D365" i="60" a="1"/>
  <c r="D365" i="60" s="1"/>
  <c r="D350" i="60" a="1"/>
  <c r="D350" i="60" s="1"/>
  <c r="D358" i="60" a="1"/>
  <c r="D358" i="60" s="1"/>
  <c r="D374" i="60" a="1"/>
  <c r="D374" i="60" s="1"/>
  <c r="D351" i="60" a="1"/>
  <c r="D351" i="60" s="1"/>
  <c r="D366" i="60" a="1"/>
  <c r="D366" i="60" s="1"/>
  <c r="D375" i="60" a="1"/>
  <c r="D375" i="60" s="1"/>
  <c r="D367" i="60" a="1"/>
  <c r="D367" i="60" s="1"/>
  <c r="D352" i="60" a="1"/>
  <c r="D352" i="60" s="1"/>
  <c r="D360" i="60" a="1"/>
  <c r="D360" i="60" s="1"/>
  <c r="D369" i="60" a="1"/>
  <c r="D369" i="60" s="1"/>
  <c r="D361" i="60" a="1"/>
  <c r="D361" i="60" s="1"/>
  <c r="D376" i="60" a="1"/>
  <c r="D376" i="60" s="1"/>
  <c r="G2" i="60"/>
  <c r="F2" i="60" s="1" a="1"/>
  <c r="F2" i="60" s="1"/>
  <c r="AI1" i="19"/>
  <c r="C31" i="19" s="1"/>
  <c r="D2" i="60" l="1" a="1"/>
  <c r="D2" i="60" s="1"/>
  <c r="E2" i="60" a="1"/>
  <c r="E2" i="60" s="1"/>
  <c r="C2" i="60"/>
  <c r="A2" i="60" s="1"/>
  <c r="B2" i="60"/>
  <c r="G13" i="22"/>
  <c r="G12" i="22"/>
  <c r="AG1" i="19" l="1"/>
  <c r="C29" i="19" s="1"/>
  <c r="AH1" i="19"/>
  <c r="C30" i="19" s="1"/>
  <c r="AD1" i="19"/>
  <c r="C26" i="19" s="1"/>
  <c r="AC1" i="19"/>
  <c r="C25" i="19" s="1"/>
  <c r="AB1" i="19"/>
  <c r="C24" i="19" s="1"/>
  <c r="AF1" i="19"/>
  <c r="AA1" i="19"/>
  <c r="A29" i="19"/>
  <c r="A24" i="19"/>
  <c r="Q1" i="19"/>
  <c r="L1" i="19"/>
  <c r="C28" i="19" l="1"/>
  <c r="C23" i="19"/>
  <c r="G14" i="44" l="1"/>
  <c r="G13" i="44"/>
  <c r="G12" i="44"/>
  <c r="G11" i="44"/>
  <c r="G10" i="44"/>
  <c r="G9" i="44"/>
  <c r="G8" i="44"/>
  <c r="G7" i="44"/>
  <c r="N1" i="19"/>
  <c r="C10" i="19" s="1"/>
  <c r="A14" i="19"/>
  <c r="G14" i="31"/>
  <c r="J1" i="19"/>
  <c r="C6" i="19" s="1"/>
  <c r="I1" i="19"/>
  <c r="C5" i="19" s="1"/>
  <c r="F1" i="19"/>
  <c r="D102" i="24"/>
  <c r="G2" i="24" s="1"/>
  <c r="J21" i="60" s="1"/>
  <c r="G12" i="40"/>
  <c r="G11" i="40"/>
  <c r="G10" i="40"/>
  <c r="G9" i="40"/>
  <c r="G8" i="40"/>
  <c r="G7" i="40"/>
  <c r="G14" i="39"/>
  <c r="G13" i="39"/>
  <c r="G12" i="39"/>
  <c r="G11" i="39"/>
  <c r="G10" i="39"/>
  <c r="G9" i="39"/>
  <c r="G8" i="39"/>
  <c r="G6" i="39"/>
  <c r="G3" i="39" s="1"/>
  <c r="G15" i="30"/>
  <c r="Y1" i="19"/>
  <c r="C21" i="19" s="1"/>
  <c r="X1" i="19"/>
  <c r="C20" i="19" s="1"/>
  <c r="W1" i="19"/>
  <c r="C19" i="19" s="1"/>
  <c r="V1" i="19"/>
  <c r="T1" i="19"/>
  <c r="C16" i="19" s="1"/>
  <c r="S1" i="19"/>
  <c r="C15" i="19" s="1"/>
  <c r="R1" i="19"/>
  <c r="C14" i="19" s="1"/>
  <c r="O1" i="19"/>
  <c r="C11" i="19" s="1"/>
  <c r="M1" i="19"/>
  <c r="C9" i="19" s="1"/>
  <c r="H1" i="19"/>
  <c r="C4" i="19" s="1"/>
  <c r="G1" i="19"/>
  <c r="C3" i="19" s="1"/>
  <c r="A9" i="19"/>
  <c r="A19" i="19"/>
  <c r="G14" i="35"/>
  <c r="G13" i="35"/>
  <c r="G12" i="35"/>
  <c r="G11" i="35"/>
  <c r="G10" i="35"/>
  <c r="G9" i="35"/>
  <c r="G8" i="35"/>
  <c r="G7" i="35"/>
  <c r="G15" i="34"/>
  <c r="G14" i="34"/>
  <c r="G13" i="34"/>
  <c r="G12" i="34"/>
  <c r="G11" i="34"/>
  <c r="G10" i="34"/>
  <c r="G9" i="34"/>
  <c r="G8" i="34"/>
  <c r="G7" i="34"/>
  <c r="G13" i="32"/>
  <c r="G14" i="33"/>
  <c r="G13" i="33"/>
  <c r="G12" i="33"/>
  <c r="G11" i="33"/>
  <c r="G10" i="33"/>
  <c r="G9" i="33"/>
  <c r="G8" i="33"/>
  <c r="G7" i="33"/>
  <c r="G12" i="32"/>
  <c r="G11" i="32"/>
  <c r="G10" i="32"/>
  <c r="G9" i="32"/>
  <c r="G8" i="32"/>
  <c r="G6" i="32"/>
  <c r="G13" i="31"/>
  <c r="G12" i="31"/>
  <c r="G11" i="31"/>
  <c r="G10" i="31"/>
  <c r="G9" i="31"/>
  <c r="G8" i="31"/>
  <c r="G7" i="31"/>
  <c r="G8" i="30"/>
  <c r="G14" i="29"/>
  <c r="G14" i="30"/>
  <c r="G13" i="30"/>
  <c r="G12" i="30"/>
  <c r="G11" i="30"/>
  <c r="G10" i="30"/>
  <c r="G9" i="30"/>
  <c r="G6" i="30"/>
  <c r="G13" i="29"/>
  <c r="G12" i="29"/>
  <c r="G11" i="29"/>
  <c r="G10" i="29"/>
  <c r="G9" i="29"/>
  <c r="G8" i="29"/>
  <c r="G7" i="29"/>
  <c r="G15" i="28"/>
  <c r="G14" i="28"/>
  <c r="G13" i="28"/>
  <c r="G12" i="28"/>
  <c r="G11" i="28"/>
  <c r="G10" i="28"/>
  <c r="G9" i="28"/>
  <c r="G8" i="28"/>
  <c r="G6" i="28"/>
  <c r="G3" i="28" s="1"/>
  <c r="G15" i="27"/>
  <c r="G14" i="27"/>
  <c r="G13" i="27"/>
  <c r="G12" i="27"/>
  <c r="G11" i="27"/>
  <c r="G10" i="27"/>
  <c r="G9" i="27"/>
  <c r="G8" i="27"/>
  <c r="G7" i="27"/>
  <c r="G14" i="26"/>
  <c r="G13" i="26"/>
  <c r="G12" i="26"/>
  <c r="G11" i="26"/>
  <c r="G10" i="26"/>
  <c r="G9" i="26"/>
  <c r="G8" i="26"/>
  <c r="G6" i="26"/>
  <c r="G3" i="26" s="1"/>
  <c r="G12" i="25"/>
  <c r="G11" i="25"/>
  <c r="G10" i="25"/>
  <c r="G9" i="25"/>
  <c r="G8" i="25"/>
  <c r="G6" i="25"/>
  <c r="G3" i="25" s="1"/>
  <c r="G14" i="24"/>
  <c r="G13" i="24"/>
  <c r="G12" i="24"/>
  <c r="G11" i="24"/>
  <c r="G10" i="24"/>
  <c r="G9" i="24"/>
  <c r="G8" i="24"/>
  <c r="G6" i="24"/>
  <c r="G3" i="24" s="1"/>
  <c r="G13" i="21"/>
  <c r="G12" i="21"/>
  <c r="G11" i="21"/>
  <c r="G10" i="21"/>
  <c r="G9" i="21"/>
  <c r="G8" i="21"/>
  <c r="G7" i="21"/>
  <c r="G13" i="1"/>
  <c r="G12" i="1"/>
  <c r="G11" i="1"/>
  <c r="G10" i="1"/>
  <c r="G9" i="1"/>
  <c r="G8" i="1"/>
  <c r="G6" i="1"/>
  <c r="G3" i="1" s="1"/>
  <c r="G13" i="20"/>
  <c r="G12" i="20"/>
  <c r="G11" i="20"/>
  <c r="G10" i="20"/>
  <c r="G9" i="20"/>
  <c r="G8" i="20"/>
  <c r="G6" i="20"/>
  <c r="G10" i="22"/>
  <c r="G9" i="22"/>
  <c r="G8" i="22"/>
  <c r="G7" i="22"/>
  <c r="G15" i="23"/>
  <c r="G8" i="23"/>
  <c r="G9" i="23"/>
  <c r="G10" i="23"/>
  <c r="G11" i="23"/>
  <c r="G12" i="23"/>
  <c r="G13" i="23"/>
  <c r="G14" i="23"/>
  <c r="G6" i="23"/>
  <c r="J2" i="60" l="1"/>
  <c r="S21" i="60"/>
  <c r="G3" i="20"/>
  <c r="G3" i="29"/>
  <c r="G3" i="30"/>
  <c r="G3" i="21"/>
  <c r="C2" i="19"/>
  <c r="C13" i="19"/>
  <c r="C18" i="19"/>
  <c r="C8" i="19"/>
  <c r="B1" i="19" l="1"/>
  <c r="A3" i="1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<sst xmlns="http://schemas.openxmlformats.org/spreadsheetml/2006/main" count="9937" uniqueCount="2297">
  <si>
    <t>Total:</t>
  </si>
  <si>
    <t>Deck</t>
  </si>
  <si>
    <t>Marcelo</t>
  </si>
  <si>
    <t>Total Lojas:</t>
  </si>
  <si>
    <t>Liga</t>
  </si>
  <si>
    <t>Interessantes</t>
  </si>
  <si>
    <t>Valor</t>
  </si>
  <si>
    <t>Loja 1</t>
  </si>
  <si>
    <t>Player 3</t>
  </si>
  <si>
    <t>Rayearth</t>
  </si>
  <si>
    <t>Mineral</t>
  </si>
  <si>
    <t>CardTutor</t>
  </si>
  <si>
    <t>Player 4</t>
  </si>
  <si>
    <t>Player 5</t>
  </si>
  <si>
    <t>Player 6</t>
  </si>
  <si>
    <t>Thrakiri</t>
  </si>
  <si>
    <t>Elfos</t>
  </si>
  <si>
    <t>Jhoira</t>
  </si>
  <si>
    <t>Fractius</t>
  </si>
  <si>
    <t>Muzzio</t>
  </si>
  <si>
    <t>Rielle</t>
  </si>
  <si>
    <t>Alela</t>
  </si>
  <si>
    <t>Arcades</t>
  </si>
  <si>
    <t>Yuriko</t>
  </si>
  <si>
    <t>Zedruu</t>
  </si>
  <si>
    <t>Inalla</t>
  </si>
  <si>
    <t>Carlos</t>
  </si>
  <si>
    <t>Oona</t>
  </si>
  <si>
    <t>Kresh</t>
  </si>
  <si>
    <t>Akiri</t>
  </si>
  <si>
    <t>Breya</t>
  </si>
  <si>
    <t>Função</t>
  </si>
  <si>
    <t>Carta Atual</t>
  </si>
  <si>
    <t>Carta Ideal</t>
  </si>
  <si>
    <t>Carta Final</t>
  </si>
  <si>
    <t>Terreno</t>
  </si>
  <si>
    <t>Mudanças Faltando</t>
  </si>
  <si>
    <t>Total de Cartas</t>
  </si>
  <si>
    <t>Ancient Ziggurat</t>
  </si>
  <si>
    <t>Funções</t>
  </si>
  <si>
    <t>Command Tower</t>
  </si>
  <si>
    <t>Ramp</t>
  </si>
  <si>
    <t>Draw</t>
  </si>
  <si>
    <t>Remoção</t>
  </si>
  <si>
    <t>Planície</t>
  </si>
  <si>
    <t>Ilha</t>
  </si>
  <si>
    <t>Montanha</t>
  </si>
  <si>
    <t>Pântano</t>
  </si>
  <si>
    <t>Floresta</t>
  </si>
  <si>
    <t>Anule</t>
  </si>
  <si>
    <t>Global</t>
  </si>
  <si>
    <t>Blink</t>
  </si>
  <si>
    <t>Thantis</t>
  </si>
  <si>
    <t>Sisay</t>
  </si>
  <si>
    <t>Narset Mill</t>
  </si>
  <si>
    <t>Kumena</t>
  </si>
  <si>
    <t>Zimone e Dinah</t>
  </si>
  <si>
    <t>Field of the Dead</t>
  </si>
  <si>
    <t>Reliquary Tower</t>
  </si>
  <si>
    <t>Khalni Garden</t>
  </si>
  <si>
    <t>Simic Growth Chamber</t>
  </si>
  <si>
    <t>Golgari Rot Farm</t>
  </si>
  <si>
    <t>Dimir Aqueduct</t>
  </si>
  <si>
    <t>Fabled Passage</t>
  </si>
  <si>
    <t>Bala Ged Recovery</t>
  </si>
  <si>
    <t>Value</t>
  </si>
  <si>
    <t>Proteção</t>
  </si>
  <si>
    <t>Exotic Orchard</t>
  </si>
  <si>
    <t>Controle</t>
  </si>
  <si>
    <t>Bojuka Bog</t>
  </si>
  <si>
    <t>Tokens</t>
  </si>
  <si>
    <t>Zagoth Triome</t>
  </si>
  <si>
    <t>Watery Grave</t>
  </si>
  <si>
    <t>Breeding Pool</t>
  </si>
  <si>
    <t>Overgrown Tomb</t>
  </si>
  <si>
    <t>Bloodstained Mire</t>
  </si>
  <si>
    <t>Scalding Tarn</t>
  </si>
  <si>
    <t>Polluted Delta</t>
  </si>
  <si>
    <t>Windswept Heath</t>
  </si>
  <si>
    <t>Marsh Flats</t>
  </si>
  <si>
    <t>Wooded Foothills</t>
  </si>
  <si>
    <t>Flooded Strand</t>
  </si>
  <si>
    <t>Verdant Catacombs</t>
  </si>
  <si>
    <t>Misty Rainforest</t>
  </si>
  <si>
    <t>Island</t>
  </si>
  <si>
    <t>Swamp</t>
  </si>
  <si>
    <t>Forest</t>
  </si>
  <si>
    <t>Nature's Lore</t>
  </si>
  <si>
    <t>Rampant Growth</t>
  </si>
  <si>
    <t>Confim Outonal</t>
  </si>
  <si>
    <t>Entish Restoration</t>
  </si>
  <si>
    <t>Lotus Cobra</t>
  </si>
  <si>
    <t>Tireless Provisioner</t>
  </si>
  <si>
    <t>Morbid Opportunist</t>
  </si>
  <si>
    <t>Tatyova, Benthic Druid</t>
  </si>
  <si>
    <t>Tireless Tracker</t>
  </si>
  <si>
    <t>A Ascensão da Onda Faminta</t>
  </si>
  <si>
    <t>Deathreap Ritual</t>
  </si>
  <si>
    <t>Phyrexian Arena</t>
  </si>
  <si>
    <t>Teferi's Ageless Insight</t>
  </si>
  <si>
    <t>Chord of Calling</t>
  </si>
  <si>
    <t>Wight of the Reliquary</t>
  </si>
  <si>
    <t>Chasm Skulker</t>
  </si>
  <si>
    <t>Beledros Witherbloom</t>
  </si>
  <si>
    <t>Emrakul's Messenger</t>
  </si>
  <si>
    <t>Tendershoot Dryad</t>
  </si>
  <si>
    <t>Invasion of Tolvada</t>
  </si>
  <si>
    <t>Minn, Wily Illusionist</t>
  </si>
  <si>
    <t>Pawn of Ulamog</t>
  </si>
  <si>
    <t>Chatterfang, Squirrel General</t>
  </si>
  <si>
    <t>Alandra, Sky Dreamer</t>
  </si>
  <si>
    <t>Nemata, Primeval Warden</t>
  </si>
  <si>
    <t>Pitiless Plunderer</t>
  </si>
  <si>
    <t>Jolrael, Mwonvuli Recluse</t>
  </si>
  <si>
    <t>Springheart Nantuko</t>
  </si>
  <si>
    <t>Scute Swarm</t>
  </si>
  <si>
    <t>Illusionist's Bracers</t>
  </si>
  <si>
    <t>Retreat to Coralhelm</t>
  </si>
  <si>
    <t>Freestrider Lookout</t>
  </si>
  <si>
    <t>Quirion Ranger</t>
  </si>
  <si>
    <t>Reassembling Skeleton</t>
  </si>
  <si>
    <t>Woe Strider</t>
  </si>
  <si>
    <t>Amulet of Vigor</t>
  </si>
  <si>
    <t>Ancient Greenwarden</t>
  </si>
  <si>
    <t>Eternal Witness</t>
  </si>
  <si>
    <t>Swiftfoot Boots</t>
  </si>
  <si>
    <t>Lightning Greaves</t>
  </si>
  <si>
    <t>Countersquall</t>
  </si>
  <si>
    <t>Negate</t>
  </si>
  <si>
    <t>Beast Within</t>
  </si>
  <si>
    <t>Assassin's Trophy</t>
  </si>
  <si>
    <t>Torment of Hailfire</t>
  </si>
  <si>
    <t>Toxic Deluge</t>
  </si>
  <si>
    <t>Sultai Charm</t>
  </si>
  <si>
    <t>An Offer you Can't Refuse</t>
  </si>
  <si>
    <t>Abrupt Decay</t>
  </si>
  <si>
    <t>Mirkwood Bats</t>
  </si>
  <si>
    <t>Exsanguinate</t>
  </si>
  <si>
    <t>Nadier's Nightblade</t>
  </si>
  <si>
    <t>Kazuul's Fury</t>
  </si>
  <si>
    <t>Rogue's Passage</t>
  </si>
  <si>
    <t>Skarrg, the Rage Pits</t>
  </si>
  <si>
    <t>Kessig Wolf Run</t>
  </si>
  <si>
    <t>High Market</t>
  </si>
  <si>
    <t>Mosswort Bridge</t>
  </si>
  <si>
    <t>Llanowar Wastes</t>
  </si>
  <si>
    <t>Khalni Territory</t>
  </si>
  <si>
    <t>War</t>
  </si>
  <si>
    <t>Rootbound Crag</t>
  </si>
  <si>
    <t>Floresta Karplusana</t>
  </si>
  <si>
    <t>Evolving Wilds</t>
  </si>
  <si>
    <t>Suporte</t>
  </si>
  <si>
    <t>Paisagem Infinita</t>
  </si>
  <si>
    <t>Mountain</t>
  </si>
  <si>
    <t>Edge of Autumn</t>
  </si>
  <si>
    <t>Gruul Signet</t>
  </si>
  <si>
    <t>Golgari Signet</t>
  </si>
  <si>
    <t>Rakdos Signet</t>
  </si>
  <si>
    <t>Mind Stone</t>
  </si>
  <si>
    <t>Cultivate</t>
  </si>
  <si>
    <t>Prismatic Lens</t>
  </si>
  <si>
    <t>Kodama's Reach</t>
  </si>
  <si>
    <t>Brazen Cannonade</t>
  </si>
  <si>
    <t>Emberwilde Captain</t>
  </si>
  <si>
    <t>Marchesa's Decree</t>
  </si>
  <si>
    <t>Clackbridge Troll</t>
  </si>
  <si>
    <t>Karazikar, the Eye Tyrant</t>
  </si>
  <si>
    <t>Kardur, Doomscourge</t>
  </si>
  <si>
    <t>Agitator Ant</t>
  </si>
  <si>
    <t>Vengeful Ancestor</t>
  </si>
  <si>
    <t>Rite of the Raging Storm</t>
  </si>
  <si>
    <t>Geode Rager</t>
  </si>
  <si>
    <t>Disrupt Decorum</t>
  </si>
  <si>
    <t>Royal Assassin</t>
  </si>
  <si>
    <t>Tragic Slip</t>
  </si>
  <si>
    <t>Golgari Charm</t>
  </si>
  <si>
    <t>Terminate</t>
  </si>
  <si>
    <t>Sudden Spoiling</t>
  </si>
  <si>
    <t>Nature's Claim</t>
  </si>
  <si>
    <t>Rakdos Charm</t>
  </si>
  <si>
    <t>Kazuul, Tyrant of the Cliffs</t>
  </si>
  <si>
    <t>Curse of Disturbance</t>
  </si>
  <si>
    <t>Revenge of Ravens</t>
  </si>
  <si>
    <t>Hissing Miasma</t>
  </si>
  <si>
    <t>Opal Palace</t>
  </si>
  <si>
    <t>Sokenzan, Crucible of Defiance</t>
  </si>
  <si>
    <t>Slayers' Stronghold</t>
  </si>
  <si>
    <t>Sea of Clouds</t>
  </si>
  <si>
    <t>Training Center</t>
  </si>
  <si>
    <t>Wheel</t>
  </si>
  <si>
    <t>Spectator Seating</t>
  </si>
  <si>
    <t>Mill</t>
  </si>
  <si>
    <t>Sulfur Falls</t>
  </si>
  <si>
    <t>Utility</t>
  </si>
  <si>
    <t>Clifftop Retreat</t>
  </si>
  <si>
    <t>Protection</t>
  </si>
  <si>
    <t>Glacial Fortress</t>
  </si>
  <si>
    <t>Pump</t>
  </si>
  <si>
    <t>Shivan Reef</t>
  </si>
  <si>
    <t>Battlefield Forge</t>
  </si>
  <si>
    <t>Adarkar Wastes</t>
  </si>
  <si>
    <t>Azorius Chancery</t>
  </si>
  <si>
    <t>Boros Garrison</t>
  </si>
  <si>
    <t>Izzet Boilerworks</t>
  </si>
  <si>
    <t>Myriad Landscape</t>
  </si>
  <si>
    <t>Plains</t>
  </si>
  <si>
    <t>Sol Ring</t>
  </si>
  <si>
    <t>Arcane Signet</t>
  </si>
  <si>
    <t>Azorius Signet</t>
  </si>
  <si>
    <t>Boros Signet</t>
  </si>
  <si>
    <t>Izzet Signet</t>
  </si>
  <si>
    <t>Fellwar Stone</t>
  </si>
  <si>
    <t>Thought Vessel</t>
  </si>
  <si>
    <t>Realmbreaker, the Invasion Tree</t>
  </si>
  <si>
    <t>Sword of the Animist</t>
  </si>
  <si>
    <t>Faithless Looting</t>
  </si>
  <si>
    <t>Frantic Search</t>
  </si>
  <si>
    <t>Thrilling Discovery</t>
  </si>
  <si>
    <t>Sanctum of Calm Waters</t>
  </si>
  <si>
    <t>Shorikai, Genesis Engine</t>
  </si>
  <si>
    <t>Monastery Siege</t>
  </si>
  <si>
    <t>Treasure Cruise</t>
  </si>
  <si>
    <t>Whirlwind of Thought</t>
  </si>
  <si>
    <t>Heartwarming Redemption</t>
  </si>
  <si>
    <t>Mirrodin Besieged</t>
  </si>
  <si>
    <t>Windfall</t>
  </si>
  <si>
    <t>Collective Defiance</t>
  </si>
  <si>
    <t>Incendiary Command</t>
  </si>
  <si>
    <t>Khorvath's Fury</t>
  </si>
  <si>
    <t>Reforge the Soul</t>
  </si>
  <si>
    <t>Wheel of Fate</t>
  </si>
  <si>
    <t>Jace's Erasure</t>
  </si>
  <si>
    <t>Teferi's Tutelage</t>
  </si>
  <si>
    <t>Fraying Sanity</t>
  </si>
  <si>
    <t>Sphinx's Tutelage</t>
  </si>
  <si>
    <t>Mesmeric Orb</t>
  </si>
  <si>
    <t>Memory Erosion</t>
  </si>
  <si>
    <t>Tasha's Hideous Laughter</t>
  </si>
  <si>
    <t>Cut your Losses</t>
  </si>
  <si>
    <t>Traumatize</t>
  </si>
  <si>
    <t>Psychic Corrosion</t>
  </si>
  <si>
    <t>Ruin Crab</t>
  </si>
  <si>
    <t>Mindcrank</t>
  </si>
  <si>
    <t>Maddening Cacophony</t>
  </si>
  <si>
    <t>Fractured Sanity</t>
  </si>
  <si>
    <t>Mystic Redaction</t>
  </si>
  <si>
    <t>Spark Double</t>
  </si>
  <si>
    <t>Ominous Seas</t>
  </si>
  <si>
    <t>Strionic Resonator</t>
  </si>
  <si>
    <t>Irenicus's Vile Duplication</t>
  </si>
  <si>
    <t>Batida da Meia-Noite</t>
  </si>
  <si>
    <t>Tormod's Crypt</t>
  </si>
  <si>
    <t>Dovin's Veto</t>
  </si>
  <si>
    <t>Presente Generoso</t>
  </si>
  <si>
    <t>Time Wipe</t>
  </si>
  <si>
    <t>Propaganda</t>
  </si>
  <si>
    <t>Ghostly Prison</t>
  </si>
  <si>
    <t>Mask of the Schemer</t>
  </si>
  <si>
    <t>Whispersilk Cloak</t>
  </si>
  <si>
    <t>Othelm e Wernog</t>
  </si>
  <si>
    <t>Castle Ardenvale</t>
  </si>
  <si>
    <t>Gavony Township</t>
  </si>
  <si>
    <t>Westvale Abbey</t>
  </si>
  <si>
    <t>Vitu-Ghazi, the City-Tree</t>
  </si>
  <si>
    <t>Grove of the Guardian</t>
  </si>
  <si>
    <t>Havengul Laboratory</t>
  </si>
  <si>
    <t>Canopy Vista</t>
  </si>
  <si>
    <t>Portão da Guilda Orzhov</t>
  </si>
  <si>
    <t>Scattered Groves</t>
  </si>
  <si>
    <t>Vida</t>
  </si>
  <si>
    <t>Isolated Chapel</t>
  </si>
  <si>
    <t>Untap</t>
  </si>
  <si>
    <t>Woodland Cemetery</t>
  </si>
  <si>
    <t>Sunpetal Grove</t>
  </si>
  <si>
    <t>Sacrifício</t>
  </si>
  <si>
    <t>Brushland</t>
  </si>
  <si>
    <t>Caves of Koilos</t>
  </si>
  <si>
    <t>Recursão</t>
  </si>
  <si>
    <t>Mirrodin's Core</t>
  </si>
  <si>
    <t>Temple of Plenty</t>
  </si>
  <si>
    <t>Temple of Malady</t>
  </si>
  <si>
    <t>Temple of Silence</t>
  </si>
  <si>
    <t>Recuperação de Bala Ged</t>
  </si>
  <si>
    <t>Mirrex</t>
  </si>
  <si>
    <t>Elvish Mystic</t>
  </si>
  <si>
    <t>Llanowar Elves</t>
  </si>
  <si>
    <t>Fyndhorn Elves</t>
  </si>
  <si>
    <t>Sakura-Tribe Elder</t>
  </si>
  <si>
    <t>Elves of Deep Shadow</t>
  </si>
  <si>
    <t>Cryptolith Rite</t>
  </si>
  <si>
    <t>Jaheira, Friend of the Forest</t>
  </si>
  <si>
    <t>Birds of Paradise</t>
  </si>
  <si>
    <t>Inspiring Statuary</t>
  </si>
  <si>
    <t>Oketra's Monument</t>
  </si>
  <si>
    <t>Insidious Roots</t>
  </si>
  <si>
    <t>Tocasia's Welcome</t>
  </si>
  <si>
    <t>Weatherlight Compleated</t>
  </si>
  <si>
    <t>Ulvenwald Mysteries</t>
  </si>
  <si>
    <t>Elven Chorus</t>
  </si>
  <si>
    <t>Elas il-Kor, Sadistic Pilgrim</t>
  </si>
  <si>
    <t>Commissar Severina Raine</t>
  </si>
  <si>
    <t>Kambal, Prefeito Especulador</t>
  </si>
  <si>
    <t>Ashnod's Altar</t>
  </si>
  <si>
    <t>Spawning Pit</t>
  </si>
  <si>
    <t>Martyr's Cause</t>
  </si>
  <si>
    <t>Twilight Drover</t>
  </si>
  <si>
    <t>Wolverine Riders</t>
  </si>
  <si>
    <t>Bramble Sovereign</t>
  </si>
  <si>
    <t>Academy Manufactor</t>
  </si>
  <si>
    <t>Ogre Slumlord</t>
  </si>
  <si>
    <t>Lotho, Corrupt Shirriff</t>
  </si>
  <si>
    <t>Queen Allenal of Ruadach</t>
  </si>
  <si>
    <t>Samwise Gamgee</t>
  </si>
  <si>
    <t>Preston, the Vanisher</t>
  </si>
  <si>
    <t>Thalisse, Reverent Medium</t>
  </si>
  <si>
    <t>Mondrak, Glory Dominus</t>
  </si>
  <si>
    <t>Doubling Season</t>
  </si>
  <si>
    <t>Nantuko do Coração Primaveril</t>
  </si>
  <si>
    <t>Halo Fountain</t>
  </si>
  <si>
    <t>Journey to Eternity</t>
  </si>
  <si>
    <t>Honest Rutstein</t>
  </si>
  <si>
    <t>Altar Argentado</t>
  </si>
  <si>
    <t>Cavalier of Night</t>
  </si>
  <si>
    <t>Living Death</t>
  </si>
  <si>
    <t>The Battle of Bywater</t>
  </si>
  <si>
    <t>Thrasios e Akiri</t>
  </si>
  <si>
    <t>Great Furnace</t>
  </si>
  <si>
    <t>Ancient Den</t>
  </si>
  <si>
    <t>Seat of the Synod</t>
  </si>
  <si>
    <t>Tree of Tales</t>
  </si>
  <si>
    <t>Darksteel Citadel</t>
  </si>
  <si>
    <t>Feira dos Inventores</t>
  </si>
  <si>
    <t>Urza's Saga</t>
  </si>
  <si>
    <t>Engine</t>
  </si>
  <si>
    <t>Ruína Enterrada</t>
  </si>
  <si>
    <t>Combo</t>
  </si>
  <si>
    <t>Pomar Exótico</t>
  </si>
  <si>
    <t>Utilidade</t>
  </si>
  <si>
    <t>Alchemist's Refuge</t>
  </si>
  <si>
    <t>Tutor</t>
  </si>
  <si>
    <t>Cidade de Bronze</t>
  </si>
  <si>
    <t>Torre do Relicário</t>
  </si>
  <si>
    <t>Ruínas da Academia</t>
  </si>
  <si>
    <t>Spire Garden</t>
  </si>
  <si>
    <t>Hinterland Harbor</t>
  </si>
  <si>
    <t>Hallowed Fountain</t>
  </si>
  <si>
    <t>Temple Garden</t>
  </si>
  <si>
    <t>Stomping Ground</t>
  </si>
  <si>
    <t>Steam Vents</t>
  </si>
  <si>
    <t>Sacred Foundry</t>
  </si>
  <si>
    <t>Spire of Industry</t>
  </si>
  <si>
    <t>The Mycosynth Gardens</t>
  </si>
  <si>
    <t>Selesnya Signet</t>
  </si>
  <si>
    <t>Simic Signet</t>
  </si>
  <si>
    <t>Basalt Monolith</t>
  </si>
  <si>
    <t>Urza, Lord Protector</t>
  </si>
  <si>
    <t>Lanterna Cromática</t>
  </si>
  <si>
    <t>Liquimetal Torque</t>
  </si>
  <si>
    <t>Gilded Lotus</t>
  </si>
  <si>
    <t>Thran Dynamo</t>
  </si>
  <si>
    <t>The Mightstone and Weakstone</t>
  </si>
  <si>
    <t>Guild Artisan</t>
  </si>
  <si>
    <t>Anciã de Toca das Fadas</t>
  </si>
  <si>
    <t>Swords to Plowshares</t>
  </si>
  <si>
    <t>Dispeller's Capsule</t>
  </si>
  <si>
    <t>Generous Gift</t>
  </si>
  <si>
    <t>Medalhão de Naya</t>
  </si>
  <si>
    <t>Magibomba de Éter</t>
  </si>
  <si>
    <t>Medalhão de Bant</t>
  </si>
  <si>
    <t>Hindering Light</t>
  </si>
  <si>
    <t>An Offer You Can't Refuse</t>
  </si>
  <si>
    <t>Silêncio</t>
  </si>
  <si>
    <t>Endless Detour</t>
  </si>
  <si>
    <t>Conqueror's Flail</t>
  </si>
  <si>
    <t>Seedborn Muse</t>
  </si>
  <si>
    <t>Zirda, the Dawnwaker</t>
  </si>
  <si>
    <t>Reconquista da Natureza</t>
  </si>
  <si>
    <t>Engenhoqueira Forense</t>
  </si>
  <si>
    <t>Espelho das Miragens</t>
  </si>
  <si>
    <t>Galadriel of Lothlórien</t>
  </si>
  <si>
    <t>Training Grounds</t>
  </si>
  <si>
    <t>Meria, Erudita da Antiguidade</t>
  </si>
  <si>
    <t>Sarinth Greatwurm</t>
  </si>
  <si>
    <t>Clock of Omens</t>
  </si>
  <si>
    <t>Relógio Reversor</t>
  </si>
  <si>
    <t>Familiar do Biomante</t>
  </si>
  <si>
    <t>Anéis dos Lareiluz</t>
  </si>
  <si>
    <t>Saheeli, Sublime Artificer</t>
  </si>
  <si>
    <t>Tezzeret, o Perseguidor</t>
  </si>
  <si>
    <t>Whir of Invention</t>
  </si>
  <si>
    <t>Bagunçar a Mistura</t>
  </si>
  <si>
    <t>Mago das Quinquilharias</t>
  </si>
  <si>
    <t>Maga dos Tributos</t>
  </si>
  <si>
    <t>Oswald Fiddlebender</t>
  </si>
  <si>
    <t>Wargate</t>
  </si>
  <si>
    <t>Reshape</t>
  </si>
  <si>
    <t>Isochron Scepter</t>
  </si>
  <si>
    <t>Reversão Dramática</t>
  </si>
  <si>
    <t>Walking Ballista</t>
  </si>
  <si>
    <t>Boros Charm</t>
  </si>
  <si>
    <t>Invadir a Câmara</t>
  </si>
  <si>
    <t>Encroaching Mycosynth</t>
  </si>
  <si>
    <t>Saheeli Rai</t>
  </si>
  <si>
    <t>The Gitrog Monster</t>
  </si>
  <si>
    <t>Argoth, Sanctum of Nature</t>
  </si>
  <si>
    <t>Tainted Wood</t>
  </si>
  <si>
    <t>Crystal Vein</t>
  </si>
  <si>
    <t>Dakmor Salvage</t>
  </si>
  <si>
    <t>Phyrexian Tower</t>
  </si>
  <si>
    <t>Descarte</t>
  </si>
  <si>
    <t>Peat Bog</t>
  </si>
  <si>
    <t>Hickory Woodlot</t>
  </si>
  <si>
    <t>Ash Barrens</t>
  </si>
  <si>
    <t>Petrified Field</t>
  </si>
  <si>
    <t>Ancient Tomb</t>
  </si>
  <si>
    <t>Demolition Field</t>
  </si>
  <si>
    <t>Ghost Quarter</t>
  </si>
  <si>
    <t>Strip Mine</t>
  </si>
  <si>
    <t>Blasted Landscape</t>
  </si>
  <si>
    <t>Wall of Roots</t>
  </si>
  <si>
    <t>Takenuma, Charco Abandonado</t>
  </si>
  <si>
    <t>Dryad Arbor</t>
  </si>
  <si>
    <t>Deathrite Shaman</t>
  </si>
  <si>
    <t>Priest of Titania</t>
  </si>
  <si>
    <t>Gilded Goose</t>
  </si>
  <si>
    <t>A Pedra Fellwar</t>
  </si>
  <si>
    <t>Mana Crypt</t>
  </si>
  <si>
    <t>Sinete Golgari</t>
  </si>
  <si>
    <t>Delighted Halfling</t>
  </si>
  <si>
    <t>Elvish Spirit Guide</t>
  </si>
  <si>
    <t>Tear Asunder</t>
  </si>
  <si>
    <t>Krosan Grip</t>
  </si>
  <si>
    <t>Darkblast</t>
  </si>
  <si>
    <t>Noose Constrictor</t>
  </si>
  <si>
    <t>Oblivion Crown</t>
  </si>
  <si>
    <t>Wild Mongrel</t>
  </si>
  <si>
    <t>Putrid Imp</t>
  </si>
  <si>
    <t>Dark Ritual</t>
  </si>
  <si>
    <t>Restituir</t>
  </si>
  <si>
    <t>Ulamog, the Infinite Gyre</t>
  </si>
  <si>
    <t>Gaea's Blessing</t>
  </si>
  <si>
    <t>Lotus Petal</t>
  </si>
  <si>
    <t>Geth's Verdict</t>
  </si>
  <si>
    <t>Cabal Ritual</t>
  </si>
  <si>
    <t>Seis</t>
  </si>
  <si>
    <t>Cemetery Tampering</t>
  </si>
  <si>
    <t>Life from the Loam</t>
  </si>
  <si>
    <t>Nyx Weaver</t>
  </si>
  <si>
    <t>Blessed Respite</t>
  </si>
  <si>
    <t>Riftsweeper</t>
  </si>
  <si>
    <t>Crawling Infestation</t>
  </si>
  <si>
    <t>Conduit of Worlds</t>
  </si>
  <si>
    <t>Nostalgic Dreams</t>
  </si>
  <si>
    <t>Salvamento Macabro</t>
  </si>
  <si>
    <t>Titania, Voice of Gaea</t>
  </si>
  <si>
    <t>Autumn's Veil</t>
  </si>
  <si>
    <t>Shigeki, Visionário Jukai</t>
  </si>
  <si>
    <t>Splendid Reclamation</t>
  </si>
  <si>
    <t>Grimório Silvestre</t>
  </si>
  <si>
    <t>Ramunap Excavator</t>
  </si>
  <si>
    <t>Molda-mundo</t>
  </si>
  <si>
    <t>Crisol dos Mundos</t>
  </si>
  <si>
    <t>Worldly Tutor</t>
  </si>
  <si>
    <t>Crop Rotation</t>
  </si>
  <si>
    <t>Demonic Tutor</t>
  </si>
  <si>
    <t>Unmarked Grave</t>
  </si>
  <si>
    <t>Invasion of Ikoria</t>
  </si>
  <si>
    <t>Sylvan Scrying</t>
  </si>
  <si>
    <t>Buried Alive</t>
  </si>
  <si>
    <t>Entomb</t>
  </si>
  <si>
    <t>Green Sun's Zenith</t>
  </si>
  <si>
    <t>Eldritch Evolution</t>
  </si>
  <si>
    <t>Elfos - Thrasios e Miara</t>
  </si>
  <si>
    <t>Wirewood Lodge</t>
  </si>
  <si>
    <t>Path of Ancestry</t>
  </si>
  <si>
    <t>Yavimaya Coast</t>
  </si>
  <si>
    <t>Mortuary Mire</t>
  </si>
  <si>
    <t>Bala Ged Sanctuary</t>
  </si>
  <si>
    <t>Terras em Desenvolvimento</t>
  </si>
  <si>
    <t>Interação</t>
  </si>
  <si>
    <t>Port of Karfell</t>
  </si>
  <si>
    <t>Vastidão Morfoterrena</t>
  </si>
  <si>
    <t>Token</t>
  </si>
  <si>
    <t>Campos de Lótus</t>
  </si>
  <si>
    <t>Haste</t>
  </si>
  <si>
    <t>Nykthos, Shrine to Nyx</t>
  </si>
  <si>
    <t>Tumba Abandonada</t>
  </si>
  <si>
    <t>Circle of Dreams Druid</t>
  </si>
  <si>
    <t>Elvish Guidance</t>
  </si>
  <si>
    <t>Elvish Harbinger</t>
  </si>
  <si>
    <t>Marwyn, the Nurturer</t>
  </si>
  <si>
    <t>Elvish Archdruid</t>
  </si>
  <si>
    <t>Birchlore Rangers</t>
  </si>
  <si>
    <t>Wirewood Channeler</t>
  </si>
  <si>
    <t>Farhaven Elf</t>
  </si>
  <si>
    <t>Devoted Druid</t>
  </si>
  <si>
    <t>Wood Elves</t>
  </si>
  <si>
    <t>Springbloom Druid</t>
  </si>
  <si>
    <t>Arbor Elf</t>
  </si>
  <si>
    <t>Beastcaller Savant</t>
  </si>
  <si>
    <t>Joraga Treespeaker</t>
  </si>
  <si>
    <t>Rishkar, Renegado de Peema</t>
  </si>
  <si>
    <t>Llanowar Loamspeaker</t>
  </si>
  <si>
    <t>Tyvar Kell</t>
  </si>
  <si>
    <t>Rito do Criptólito</t>
  </si>
  <si>
    <t>Jaspera Sentinel</t>
  </si>
  <si>
    <t>Gwenna, Eyes of Gaea</t>
  </si>
  <si>
    <t>Imperious Perfect</t>
  </si>
  <si>
    <t>Lys Alana Huntmaster</t>
  </si>
  <si>
    <t>Riqueza Abominável</t>
  </si>
  <si>
    <t>Ezuri, Renegade Leader</t>
  </si>
  <si>
    <t>Apreciação Ecológica</t>
  </si>
  <si>
    <t>Evolutionary Leap</t>
  </si>
  <si>
    <t>Fauna Shaman</t>
  </si>
  <si>
    <t>Skyshroud Poacher</t>
  </si>
  <si>
    <t>Prime Speaker Vannifar</t>
  </si>
  <si>
    <t>Yisan, the Wanderer Bard</t>
  </si>
  <si>
    <t>Elvish Lyrist</t>
  </si>
  <si>
    <t>Elvish Scrapper</t>
  </si>
  <si>
    <t>Freyalise, Llanowar's Fury</t>
  </si>
  <si>
    <t>Reclamation Sage</t>
  </si>
  <si>
    <t>Masked Vandal</t>
  </si>
  <si>
    <t>Mirage Mirror</t>
  </si>
  <si>
    <t>Yeva, Nature's Herald</t>
  </si>
  <si>
    <t>Simic Charm</t>
  </si>
  <si>
    <t>Nissa, Resurgent Animist</t>
  </si>
  <si>
    <t>Wellwisher</t>
  </si>
  <si>
    <t>Intruder Alarm</t>
  </si>
  <si>
    <t>Seeker of Skybreak</t>
  </si>
  <si>
    <t>Copperhorn Scout</t>
  </si>
  <si>
    <t>Quest for Renewal</t>
  </si>
  <si>
    <t>Faces of the Past</t>
  </si>
  <si>
    <t>Teferi, Temporal Archmage</t>
  </si>
  <si>
    <t>Murkfiend Liege</t>
  </si>
  <si>
    <t>Kiora's Follower</t>
  </si>
  <si>
    <t>Wirewood Symbiote</t>
  </si>
  <si>
    <t>Nissa, Genesis Mage</t>
  </si>
  <si>
    <t>Elvish Soultiller</t>
  </si>
  <si>
    <t>Tyvar, Jubilant Brawler</t>
  </si>
  <si>
    <t>Thousand-Year Elixir</t>
  </si>
  <si>
    <t>Breya Foundry</t>
  </si>
  <si>
    <t>Vault of Whispers</t>
  </si>
  <si>
    <t>Buried Ruin</t>
  </si>
  <si>
    <t>Tumba do Dragão Espírito</t>
  </si>
  <si>
    <t>Power Depot</t>
  </si>
  <si>
    <t>Foundry</t>
  </si>
  <si>
    <t>Fundição dos Cônsules</t>
  </si>
  <si>
    <t>Reflecting Pool</t>
  </si>
  <si>
    <t>Goldmire Bridge</t>
  </si>
  <si>
    <t>Razortide Bridge</t>
  </si>
  <si>
    <t>Drossforge Bridge</t>
  </si>
  <si>
    <t>Win</t>
  </si>
  <si>
    <t>Rustvale Bridge</t>
  </si>
  <si>
    <t>Mistvault Bridge</t>
  </si>
  <si>
    <t>Silverbluff Bridge</t>
  </si>
  <si>
    <t>Castle Embereth</t>
  </si>
  <si>
    <t>Sulfurous Springs</t>
  </si>
  <si>
    <t>Underground River</t>
  </si>
  <si>
    <t>Orzhov Signet</t>
  </si>
  <si>
    <t>Dimir Signet</t>
  </si>
  <si>
    <t>Grand Architect</t>
  </si>
  <si>
    <t>Prosperous Partnership</t>
  </si>
  <si>
    <t>Chief Engineer</t>
  </si>
  <si>
    <t>Arcum Dagsson</t>
  </si>
  <si>
    <t>Aetherworks Marvel</t>
  </si>
  <si>
    <t>Skullclamp</t>
  </si>
  <si>
    <t>Grazilaxx, Illithid Scholar</t>
  </si>
  <si>
    <t>Losheel, Clockwork Scholar</t>
  </si>
  <si>
    <t>Kindred Discovery</t>
  </si>
  <si>
    <t>Curiosity Crafter</t>
  </si>
  <si>
    <t>Thopter Spy Network</t>
  </si>
  <si>
    <t>Bident of Thassa</t>
  </si>
  <si>
    <t>Loyal Apprentice</t>
  </si>
  <si>
    <t>Forja dos Mil Luas</t>
  </si>
  <si>
    <t>Elmo de Giramundo</t>
  </si>
  <si>
    <t>Pia and Kiran Nalaar</t>
  </si>
  <si>
    <t>Jan Jansen, Chaos Crafter</t>
  </si>
  <si>
    <t>Urza, Grão-lorde Artífice</t>
  </si>
  <si>
    <t>Skrelv's Hive</t>
  </si>
  <si>
    <t>Summoning Station</t>
  </si>
  <si>
    <t>Sharding Sphinx</t>
  </si>
  <si>
    <t>Biotransference</t>
  </si>
  <si>
    <t>Saheeli, the Gifted</t>
  </si>
  <si>
    <t>Hangarback Walker</t>
  </si>
  <si>
    <t>Brudiclad, Telchor Engineer</t>
  </si>
  <si>
    <t>Malcator, Purity Overseer</t>
  </si>
  <si>
    <t>Saheeli, Filigree Master</t>
  </si>
  <si>
    <t>Daretti, Ingenious Iconoclast</t>
  </si>
  <si>
    <t>Fundição Modificadora</t>
  </si>
  <si>
    <t>Spiteful Banditry</t>
  </si>
  <si>
    <t>Apropriação Abstrusa</t>
  </si>
  <si>
    <t>Anguished Unmaking</t>
  </si>
  <si>
    <t>Legislador Impiedoso</t>
  </si>
  <si>
    <t>Eldrazi Displacer</t>
  </si>
  <si>
    <t>Thassa, Deep-Dwelling</t>
  </si>
  <si>
    <t>Soulherder</t>
  </si>
  <si>
    <t>Nahiri's Resolve</t>
  </si>
  <si>
    <t>Teleportation Circle</t>
  </si>
  <si>
    <t>Venser, the Sojourner</t>
  </si>
  <si>
    <t>Mayhem Devil</t>
  </si>
  <si>
    <t>Time Sieve</t>
  </si>
  <si>
    <t>Tezzeret, Master of the Bridge</t>
  </si>
  <si>
    <t>Krark-Clan Ironworks</t>
  </si>
  <si>
    <t>The First Sliver</t>
  </si>
  <si>
    <t>Trioma de Ketria</t>
  </si>
  <si>
    <t>Palácio Opulento</t>
  </si>
  <si>
    <t>Trioma de Indatha</t>
  </si>
  <si>
    <t>Cidadela da Estepe Arenosa</t>
  </si>
  <si>
    <t>Trioma de Zagoth</t>
  </si>
  <si>
    <t>Panorama de Naya</t>
  </si>
  <si>
    <t>Trioma de Raugrin</t>
  </si>
  <si>
    <t>Trioma de Savai</t>
  </si>
  <si>
    <t>Raffine's Tower</t>
  </si>
  <si>
    <t>Xander's Lounge</t>
  </si>
  <si>
    <t>Ziatora's Proving Ground</t>
  </si>
  <si>
    <t>Jungle Shrine</t>
  </si>
  <si>
    <t>Jetmir's Garden</t>
  </si>
  <si>
    <t>Spara's Headquarters</t>
  </si>
  <si>
    <t>Caverna das Almas</t>
  </si>
  <si>
    <t>Terramorphic Expanse</t>
  </si>
  <si>
    <t>Desolação Fumegante</t>
  </si>
  <si>
    <t>Unclaimed Territory</t>
  </si>
  <si>
    <t>Sliver Hive</t>
  </si>
  <si>
    <t>Mina de Cristal</t>
  </si>
  <si>
    <t>Caminho da Ascendência</t>
  </si>
  <si>
    <t>Pátio Reservado</t>
  </si>
  <si>
    <t>Sliver Queen</t>
  </si>
  <si>
    <t>Sliver Hivelord</t>
  </si>
  <si>
    <t>Sliver Overlord</t>
  </si>
  <si>
    <t>Sliver Legion</t>
  </si>
  <si>
    <t>Sinew Sliver</t>
  </si>
  <si>
    <t>Sliver Gravemother</t>
  </si>
  <si>
    <t>Hibernation Sliver</t>
  </si>
  <si>
    <t>Necrotic Sliver</t>
  </si>
  <si>
    <t>Cloudshredder Sliver</t>
  </si>
  <si>
    <t>Dormant Sliver</t>
  </si>
  <si>
    <t>Harmonic Sliver</t>
  </si>
  <si>
    <t>Darkheart Sliver</t>
  </si>
  <si>
    <t>Lavabelly Sliver</t>
  </si>
  <si>
    <t>Sentinel Sliver</t>
  </si>
  <si>
    <t>Constricting Sliver</t>
  </si>
  <si>
    <t>Quilled Sliver</t>
  </si>
  <si>
    <t>Bonescythe Sliver</t>
  </si>
  <si>
    <t>Gemhide Sliver</t>
  </si>
  <si>
    <t>Venom Sliver</t>
  </si>
  <si>
    <t>Brood Sliver</t>
  </si>
  <si>
    <t>Manaweft Sliver</t>
  </si>
  <si>
    <t>Quick Sliver</t>
  </si>
  <si>
    <t>Root Sliver</t>
  </si>
  <si>
    <t>Basal Sliver</t>
  </si>
  <si>
    <t>Crypt Sliver</t>
  </si>
  <si>
    <t>Syphon Sliver</t>
  </si>
  <si>
    <t>Dregscape Sliver</t>
  </si>
  <si>
    <t>Heart Sliver</t>
  </si>
  <si>
    <t>Homing Sliver</t>
  </si>
  <si>
    <t>Blur Sliver</t>
  </si>
  <si>
    <t>Spiteful Sliver</t>
  </si>
  <si>
    <t>Magma Sliver</t>
  </si>
  <si>
    <t>Thorncaster Sliver</t>
  </si>
  <si>
    <t>Striking Sliver</t>
  </si>
  <si>
    <t>Opaline Sliver</t>
  </si>
  <si>
    <t>Diffusion Sliver</t>
  </si>
  <si>
    <t>Ward Sliver</t>
  </si>
  <si>
    <t>Winged Sliver</t>
  </si>
  <si>
    <t>Essence Sliver</t>
  </si>
  <si>
    <t>Galerider Sliver</t>
  </si>
  <si>
    <t>Crystalline Sliver</t>
  </si>
  <si>
    <t>Shifting Sliver</t>
  </si>
  <si>
    <t>Hatchery Sliver</t>
  </si>
  <si>
    <t>Taunting Sliver</t>
  </si>
  <si>
    <t>Eladamri's Call</t>
  </si>
  <si>
    <t>Signal the Clans</t>
  </si>
  <si>
    <t>Bring to Light</t>
  </si>
  <si>
    <t>Realmwalker</t>
  </si>
  <si>
    <t>Haunted Crossroads</t>
  </si>
  <si>
    <t>Rogues' Gallery</t>
  </si>
  <si>
    <t>Caminho dos Descendentes</t>
  </si>
  <si>
    <t>Marinheiro Instável</t>
  </si>
  <si>
    <t>Call to the Kindred</t>
  </si>
  <si>
    <t>Farseek</t>
  </si>
  <si>
    <t>Inventors' Fair</t>
  </si>
  <si>
    <t>Santuário Místico</t>
  </si>
  <si>
    <t>Santuário dos Deuses Esquecidos</t>
  </si>
  <si>
    <t>Minamo, School at Water's Edge</t>
  </si>
  <si>
    <t>Assento do Sínodo</t>
  </si>
  <si>
    <t>Profundezas de Halimar</t>
  </si>
  <si>
    <t>Rede dos Anéis de Mago</t>
  </si>
  <si>
    <t>Vazio Zhalfiriano</t>
  </si>
  <si>
    <t>Academy Ruins</t>
  </si>
  <si>
    <t>Arco da Inovação</t>
  </si>
  <si>
    <t>Everflowing Chalice</t>
  </si>
  <si>
    <t>Manoplas do Poder</t>
  </si>
  <si>
    <t>Urna de Mosco-lumes</t>
  </si>
  <si>
    <t>Autogerador Carregado</t>
  </si>
  <si>
    <t>Caged Sun</t>
  </si>
  <si>
    <t>Coldsteel Heart</t>
  </si>
  <si>
    <t>Worn Powerstone</t>
  </si>
  <si>
    <t>Relógio da Meia-Noite</t>
  </si>
  <si>
    <t>Planar Atlas</t>
  </si>
  <si>
    <t>Dreamstone Hedron</t>
  </si>
  <si>
    <t>Stonespeaker Crystal</t>
  </si>
  <si>
    <t>Patriar's Seal</t>
  </si>
  <si>
    <t>Sky Diamond</t>
  </si>
  <si>
    <t>Padeem, Consul of Innovation</t>
  </si>
  <si>
    <t>Herdeiro de Draco</t>
  </si>
  <si>
    <t>Master Transmuter</t>
  </si>
  <si>
    <t>Argivian Restoration</t>
  </si>
  <si>
    <t>Platinum Angel</t>
  </si>
  <si>
    <t>Spellskite</t>
  </si>
  <si>
    <t>The Stasis Coffin</t>
  </si>
  <si>
    <t>Brainstorm</t>
  </si>
  <si>
    <t>Brainstone</t>
  </si>
  <si>
    <t>Meteor Golem</t>
  </si>
  <si>
    <t>Counterspell</t>
  </si>
  <si>
    <t>Orbes de Proteção</t>
  </si>
  <si>
    <t>Spine of Ish Sah</t>
  </si>
  <si>
    <t>Duplicant</t>
  </si>
  <si>
    <t>Eterificar</t>
  </si>
  <si>
    <t>Portal to Phyrexia</t>
  </si>
  <si>
    <t>Rewind</t>
  </si>
  <si>
    <t>Desenrolar</t>
  </si>
  <si>
    <t>All is Dust</t>
  </si>
  <si>
    <t>Reality Shift</t>
  </si>
  <si>
    <t>Stoic Rebuttal</t>
  </si>
  <si>
    <t>Entreposto</t>
  </si>
  <si>
    <t>Mycosynth Golem</t>
  </si>
  <si>
    <t>Imposter Mech</t>
  </si>
  <si>
    <t>Colosso de Serralheria</t>
  </si>
  <si>
    <t>Filigree Sages</t>
  </si>
  <si>
    <t>Darksteel Forge</t>
  </si>
  <si>
    <t>Unwinding Clock</t>
  </si>
  <si>
    <t>Elixir da Imortalidade</t>
  </si>
  <si>
    <t>Magewright's Stone</t>
  </si>
  <si>
    <t>Nevinyrral's Disk</t>
  </si>
  <si>
    <t>Pentavus</t>
  </si>
  <si>
    <t>Phyrexian Metamorph</t>
  </si>
  <si>
    <t>Campos de Treinamento</t>
  </si>
  <si>
    <t>Chave Múltipla</t>
  </si>
  <si>
    <t>O Calendário do Milênio</t>
  </si>
  <si>
    <t>Memnarch</t>
  </si>
  <si>
    <t>Voltaic Key</t>
  </si>
  <si>
    <t>Mycosynth Lattice</t>
  </si>
  <si>
    <t>Chimil, o Sol Interior</t>
  </si>
  <si>
    <t>Thran Temporal Gateway</t>
  </si>
  <si>
    <t>Rielle, the Everwise</t>
  </si>
  <si>
    <t>Mystic Sanctuary</t>
  </si>
  <si>
    <t>Lonely Sandbar</t>
  </si>
  <si>
    <t>Forgotten Cave</t>
  </si>
  <si>
    <t>Desolate Lighthouse</t>
  </si>
  <si>
    <t>Remote Isle</t>
  </si>
  <si>
    <t>Smoldering Crater</t>
  </si>
  <si>
    <t>Desert of the Mindful</t>
  </si>
  <si>
    <t>Desert of the Fervent</t>
  </si>
  <si>
    <t>Combate</t>
  </si>
  <si>
    <t>Temple of the False God</t>
  </si>
  <si>
    <t>Terraço do Condado</t>
  </si>
  <si>
    <t>Sokenzan, Crisol da Afronta</t>
  </si>
  <si>
    <t>Riptide Laboratory</t>
  </si>
  <si>
    <t>Afundar em Estupor</t>
  </si>
  <si>
    <t>The Celestus</t>
  </si>
  <si>
    <t>Diamond Lion</t>
  </si>
  <si>
    <t>Anger</t>
  </si>
  <si>
    <t>Ataque Flamejante</t>
  </si>
  <si>
    <t>Archmage Ascension</t>
  </si>
  <si>
    <t>Ledger Shredder</t>
  </si>
  <si>
    <t>Magmatic Insight</t>
  </si>
  <si>
    <t>Tolarian Winds</t>
  </si>
  <si>
    <t>Breakthrough</t>
  </si>
  <si>
    <t>Careful Study</t>
  </si>
  <si>
    <t>Desperate Ravings</t>
  </si>
  <si>
    <t>Burning Inquiry</t>
  </si>
  <si>
    <t>Cathartic Reunion</t>
  </si>
  <si>
    <t>Dangerous Wager</t>
  </si>
  <si>
    <t>Thrill of Possibility</t>
  </si>
  <si>
    <t>Thirst for Meaning</t>
  </si>
  <si>
    <t>Scuttletide</t>
  </si>
  <si>
    <t>Read the Runes</t>
  </si>
  <si>
    <t>Reforma Tectônica</t>
  </si>
  <si>
    <t>Muralha da Academia</t>
  </si>
  <si>
    <t>Pensamento Sombrio</t>
  </si>
  <si>
    <t>Tatuzão da Bronze</t>
  </si>
  <si>
    <t>Gravar // Memória</t>
  </si>
  <si>
    <t>Defabricate</t>
  </si>
  <si>
    <t>Forbid</t>
  </si>
  <si>
    <t>Rites of Refusal</t>
  </si>
  <si>
    <t>Izzet Charm</t>
  </si>
  <si>
    <t>Whirlwind Denial</t>
  </si>
  <si>
    <t>Nimble Obstructionist</t>
  </si>
  <si>
    <t>Serenata das Estriges</t>
  </si>
  <si>
    <t>Foil</t>
  </si>
  <si>
    <t>Arcane Denial</t>
  </si>
  <si>
    <t>Wizard's Retort</t>
  </si>
  <si>
    <t>Turn Aside</t>
  </si>
  <si>
    <t>Stubborn Denial</t>
  </si>
  <si>
    <t>Delay</t>
  </si>
  <si>
    <t>Glorious Gale</t>
  </si>
  <si>
    <t>Unwind</t>
  </si>
  <si>
    <t>Perfurar Mágica</t>
  </si>
  <si>
    <t>Counterflux</t>
  </si>
  <si>
    <t>Chandra's Ignition</t>
  </si>
  <si>
    <t>Nahiri's Wrath</t>
  </si>
  <si>
    <t>Chaos Warp</t>
  </si>
  <si>
    <t>Fateful Showdown</t>
  </si>
  <si>
    <t>Turbulent Dreams</t>
  </si>
  <si>
    <t>Divide by Zero</t>
  </si>
  <si>
    <t>Aliança Impensável</t>
  </si>
  <si>
    <t>Ojer Pakpatiq, Era Profunda</t>
  </si>
  <si>
    <t>Storm-Kiln Artist</t>
  </si>
  <si>
    <t>Collector's Vault</t>
  </si>
  <si>
    <t>Hot Soup</t>
  </si>
  <si>
    <t>Wings of Hubris</t>
  </si>
  <si>
    <t>Invasion of Segovia</t>
  </si>
  <si>
    <t>Key to the City</t>
  </si>
  <si>
    <t>Currency Converter</t>
  </si>
  <si>
    <t>Mares Ameaçadores</t>
  </si>
  <si>
    <t>Surly Badgersaur</t>
  </si>
  <si>
    <t>Hall of Heliod's Generosity</t>
  </si>
  <si>
    <t>Godless Shrine</t>
  </si>
  <si>
    <t>Stax</t>
  </si>
  <si>
    <t>Drowned Catacomb</t>
  </si>
  <si>
    <t>Fort</t>
  </si>
  <si>
    <t>Castelo do Vale Arden</t>
  </si>
  <si>
    <t>Manto do Crepúsculo, Casa das Sombras</t>
  </si>
  <si>
    <t>Panorama de Esper</t>
  </si>
  <si>
    <t>Morphic Pool</t>
  </si>
  <si>
    <t>Urborg, Tumba de Yawgmoth</t>
  </si>
  <si>
    <t>Poças Calciformes</t>
  </si>
  <si>
    <t>Dreadship Reef</t>
  </si>
  <si>
    <t>Passagem Fabulosa</t>
  </si>
  <si>
    <t>Lagoa Espelhada</t>
  </si>
  <si>
    <t>Strixhaven Stadium</t>
  </si>
  <si>
    <t>Heraldic Banner</t>
  </si>
  <si>
    <t>Smothering Tithe</t>
  </si>
  <si>
    <t>Rhystic Study</t>
  </si>
  <si>
    <t>Enlightened Tutor</t>
  </si>
  <si>
    <t>Descoberta da Estirpe</t>
  </si>
  <si>
    <t>Tutor Idílico</t>
  </si>
  <si>
    <t>Bidente de Tassa</t>
  </si>
  <si>
    <t>Missão de Reconhecimento</t>
  </si>
  <si>
    <t>Artífice de Curiosidades</t>
  </si>
  <si>
    <t>Wedding Ring</t>
  </si>
  <si>
    <t>Profeta do Crepúsculo</t>
  </si>
  <si>
    <t>Obediência Cega</t>
  </si>
  <si>
    <t>Torpor Orb</t>
  </si>
  <si>
    <t>Mana Web</t>
  </si>
  <si>
    <t>Matriz Amortecedora</t>
  </si>
  <si>
    <t>The Immortal Sun</t>
  </si>
  <si>
    <t>Rest in Peace</t>
  </si>
  <si>
    <t>Gossamer Chains</t>
  </si>
  <si>
    <t>Eidolon of Rhetoric</t>
  </si>
  <si>
    <t>Frozen Aether</t>
  </si>
  <si>
    <t>Fora do Tempo</t>
  </si>
  <si>
    <t>Oubliette</t>
  </si>
  <si>
    <t>Aura of Silence</t>
  </si>
  <si>
    <t>Seal of Cleansing</t>
  </si>
  <si>
    <t>Capsula do Dispersor</t>
  </si>
  <si>
    <t>Seal of Doom</t>
  </si>
  <si>
    <t>Darksteel Mutation</t>
  </si>
  <si>
    <t>Imprisoned in the Moon</t>
  </si>
  <si>
    <t>Detention Sphere</t>
  </si>
  <si>
    <t>Grasp of Fate</t>
  </si>
  <si>
    <t>Steal Enchantment</t>
  </si>
  <si>
    <t>Scion of Oona</t>
  </si>
  <si>
    <t>Brave the Sands</t>
  </si>
  <si>
    <t>Intangible Virtue</t>
  </si>
  <si>
    <t>Divine Visitation</t>
  </si>
  <si>
    <t>Archetype of Courage</t>
  </si>
  <si>
    <t>Etchings of the Chosen</t>
  </si>
  <si>
    <t>Gravitational Shift</t>
  </si>
  <si>
    <t>Radiant Destiny</t>
  </si>
  <si>
    <t>Corte da Graça</t>
  </si>
  <si>
    <t>Luminarch Ascension</t>
  </si>
  <si>
    <t>Heliod, the Radiant Dawn</t>
  </si>
  <si>
    <t>Copy Enchantment</t>
  </si>
  <si>
    <t>Kabira Takedown</t>
  </si>
  <si>
    <t>Panorama de Bant</t>
  </si>
  <si>
    <t>Windbrisk Heights</t>
  </si>
  <si>
    <t>Calciform Pools</t>
  </si>
  <si>
    <t>Irrigated Farmland</t>
  </si>
  <si>
    <t>Nimbus Maze</t>
  </si>
  <si>
    <t>Orla Krosana</t>
  </si>
  <si>
    <t>Saltcrusted Steppe</t>
  </si>
  <si>
    <t>Access Tunnel</t>
  </si>
  <si>
    <t>Wall of Denial</t>
  </si>
  <si>
    <t>Tree of Redemption</t>
  </si>
  <si>
    <t>Barreira de Estilhaços</t>
  </si>
  <si>
    <t>Hover Barrier</t>
  </si>
  <si>
    <t>Cobaia de Ludevic</t>
  </si>
  <si>
    <t>Drift of Phantasms</t>
  </si>
  <si>
    <t>Barreira Angelical</t>
  </si>
  <si>
    <t>Teyo, Geometric Tactician</t>
  </si>
  <si>
    <t>Stalwart Shield-Bearers</t>
  </si>
  <si>
    <t>Barreira de Identidade Roubada</t>
  </si>
  <si>
    <t>Wall of Reverence</t>
  </si>
  <si>
    <t>The Pride of Hull Clade</t>
  </si>
  <si>
    <t>Orador de Ojutai</t>
  </si>
  <si>
    <t>Tetsuko Umezawa, Fugitive</t>
  </si>
  <si>
    <t>Mother of Runes</t>
  </si>
  <si>
    <t>Traproot Kami</t>
  </si>
  <si>
    <t>Midnight Pathlighter</t>
  </si>
  <si>
    <t>Weathered Sentinels</t>
  </si>
  <si>
    <t>Ponte Levadiça Esmagadora</t>
  </si>
  <si>
    <t>Overgrown Battlement</t>
  </si>
  <si>
    <t>Axebane Guardian</t>
  </si>
  <si>
    <t>Sunscape Familiar</t>
  </si>
  <si>
    <t>Muro do Luto</t>
  </si>
  <si>
    <t>Teyo, Mago dos Escudos</t>
  </si>
  <si>
    <t>Resolute Watchdog</t>
  </si>
  <si>
    <t>Jeskai Barricade</t>
  </si>
  <si>
    <t>Soulsworn Jury</t>
  </si>
  <si>
    <t>Barreira de Flores</t>
  </si>
  <si>
    <t>Wall of Omens</t>
  </si>
  <si>
    <t>Sentinela da Barreira de Escudos</t>
  </si>
  <si>
    <t>Mirari's Wake</t>
  </si>
  <si>
    <t>Sylvan Caryatid</t>
  </si>
  <si>
    <t>Slaughter the Strong</t>
  </si>
  <si>
    <t>Dusk // Dawn</t>
  </si>
  <si>
    <t>Vaga de Retribuição</t>
  </si>
  <si>
    <t>Ventos do Abandono</t>
  </si>
  <si>
    <t>True Conviction</t>
  </si>
  <si>
    <t>Stoneskin</t>
  </si>
  <si>
    <t>Concerted Effort</t>
  </si>
  <si>
    <t>Path to Exile</t>
  </si>
  <si>
    <t>Aura Shards</t>
  </si>
  <si>
    <t>Invasão de Ikoria</t>
  </si>
  <si>
    <t>Tamiyo, Pesquisadora de Campo</t>
  </si>
  <si>
    <t>Rigo, Streetwise Mentor</t>
  </si>
  <si>
    <t>Projeto Guardião</t>
  </si>
  <si>
    <t>Duplicata de Centelha</t>
  </si>
  <si>
    <t>Vivien, Campeã da Natureza</t>
  </si>
  <si>
    <t>Lae'zel's Acrobatics</t>
  </si>
  <si>
    <t>Amuleto Simic</t>
  </si>
  <si>
    <t>High Alert</t>
  </si>
  <si>
    <t>Assault Formation</t>
  </si>
  <si>
    <t>Jhoira of the Ghitu</t>
  </si>
  <si>
    <t>Colina da Rocha Espinhosa</t>
  </si>
  <si>
    <t>Silundi Vision</t>
  </si>
  <si>
    <t>Valfenda</t>
  </si>
  <si>
    <t>Bichão</t>
  </si>
  <si>
    <t>Final</t>
  </si>
  <si>
    <t>Emrakul, the Promised End</t>
  </si>
  <si>
    <t>Consecrated Sphinx</t>
  </si>
  <si>
    <t>Emrakul, um Novo Mundo</t>
  </si>
  <si>
    <t>Kozilek, Butcher of Truth</t>
  </si>
  <si>
    <t>Kozilek, the Great Distortion</t>
  </si>
  <si>
    <t>Ulamog, the Ceaseless Hunger</t>
  </si>
  <si>
    <t>Nezahal, Maré Primordial</t>
  </si>
  <si>
    <t>Ulamog, o Profanador</t>
  </si>
  <si>
    <t>Etali, Tormenta Primordial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</si>
  <si>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</si>
  <si>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</si>
  <si>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</si>
  <si>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</si>
  <si>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</si>
  <si>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</si>
  <si>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</si>
  <si>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Dilatação da Mente</t>
  </si>
  <si>
    <t>Obliterate</t>
  </si>
  <si>
    <t>Worldfire</t>
  </si>
  <si>
    <t>Apocalipse</t>
  </si>
  <si>
    <t>Jokulhaups</t>
  </si>
  <si>
    <t>Decree of Annihilation</t>
  </si>
  <si>
    <t>Consuming Tide</t>
  </si>
  <si>
    <t>Whelming Wave</t>
  </si>
  <si>
    <t>Evacuação</t>
  </si>
  <si>
    <t>Chain Reaction</t>
  </si>
  <si>
    <t>Blasphemous Act</t>
  </si>
  <si>
    <t>Devastation Tide</t>
  </si>
  <si>
    <t>Inundação de Lágrimas</t>
  </si>
  <si>
    <t>Curse of Opulence</t>
  </si>
  <si>
    <t>Wibbly-Wobbly, Timey-wimey</t>
  </si>
  <si>
    <t>Elemental da Fenda</t>
  </si>
  <si>
    <t>Medalhão da Fúria</t>
  </si>
  <si>
    <t>Clockspinning</t>
  </si>
  <si>
    <t>Timecrafting</t>
  </si>
  <si>
    <t>Jhoira's Timebug</t>
  </si>
  <si>
    <t>Negação Vorticosa</t>
  </si>
  <si>
    <t>Anular</t>
  </si>
  <si>
    <t>Verdade Reverberante</t>
  </si>
  <si>
    <t>Desvio de Realidade</t>
  </si>
  <si>
    <t>Rapid Hybridization</t>
  </si>
  <si>
    <t>Mana Leak</t>
  </si>
  <si>
    <t>Brincadeira da Polimorfista</t>
  </si>
  <si>
    <t>Cyber Conversion</t>
  </si>
  <si>
    <t>Pongify</t>
  </si>
  <si>
    <t>Suspend</t>
  </si>
  <si>
    <t>Atrasar</t>
  </si>
  <si>
    <t>Swan Song</t>
  </si>
  <si>
    <t>Crawlspace</t>
  </si>
  <si>
    <t>Solve the Equation</t>
  </si>
  <si>
    <t>Preordain</t>
  </si>
  <si>
    <t>Mystical Tutor</t>
  </si>
  <si>
    <t>Telling Time</t>
  </si>
  <si>
    <t>Academy Loremaster</t>
  </si>
  <si>
    <t>Visões do Soro</t>
  </si>
  <si>
    <t>Antecipar</t>
  </si>
  <si>
    <t>Impulso</t>
  </si>
  <si>
    <t>Castle Vantress</t>
  </si>
  <si>
    <t>Shizo, Death's Storehouse</t>
  </si>
  <si>
    <t>Sea Gate Restoration</t>
  </si>
  <si>
    <t>Zof Bloodbog</t>
  </si>
  <si>
    <t>Halimar Depths</t>
  </si>
  <si>
    <t>Batedor</t>
  </si>
  <si>
    <t>Creeping Tar Pit</t>
  </si>
  <si>
    <t>Tolaria West</t>
  </si>
  <si>
    <t>Turns</t>
  </si>
  <si>
    <t>Faerie Conclave</t>
  </si>
  <si>
    <t>Unb</t>
  </si>
  <si>
    <t>Mutavault</t>
  </si>
  <si>
    <t>Temple of Deceit</t>
  </si>
  <si>
    <t>Simetria Subterfugiosa</t>
  </si>
  <si>
    <t>Protection Racket</t>
  </si>
  <si>
    <t>Varragoth, Bloodsky Sire</t>
  </si>
  <si>
    <t>Personal Tutor</t>
  </si>
  <si>
    <t>Dig Through Time</t>
  </si>
  <si>
    <t>Changeling Outcast</t>
  </si>
  <si>
    <t>Slither Blade</t>
  </si>
  <si>
    <t>Thalakos Seer</t>
  </si>
  <si>
    <t>Siren Stormtamer</t>
  </si>
  <si>
    <t>Tormented Soul</t>
  </si>
  <si>
    <t>Gengibruto</t>
  </si>
  <si>
    <t>Sombra de Mil Faces</t>
  </si>
  <si>
    <t>Convocadora da Brisa de Oboro</t>
  </si>
  <si>
    <t>Mothdust Changeling</t>
  </si>
  <si>
    <t>Faerie Seer</t>
  </si>
  <si>
    <t>Thieves' Tools</t>
  </si>
  <si>
    <t>Asas da Arrogância</t>
  </si>
  <si>
    <t>Wingcrafter</t>
  </si>
  <si>
    <t>Sword Coast Sailor</t>
  </si>
  <si>
    <t>Smoke Shroud</t>
  </si>
  <si>
    <t>Faerie Slumber Party</t>
  </si>
  <si>
    <t>Inundar</t>
  </si>
  <si>
    <t>Coastal Breach</t>
  </si>
  <si>
    <t>Abraço dos Tentáculos</t>
  </si>
  <si>
    <t>Crotalus Mortífero</t>
  </si>
  <si>
    <t>Familiar's Ruse</t>
  </si>
  <si>
    <t>Comido Vivo</t>
  </si>
  <si>
    <t>Spark Harvest</t>
  </si>
  <si>
    <t>Bone Shards</t>
  </si>
  <si>
    <t>Dismember</t>
  </si>
  <si>
    <t>Murderous Cut</t>
  </si>
  <si>
    <t>Abjure</t>
  </si>
  <si>
    <t>Despedaçamento Temporal de Jarn</t>
  </si>
  <si>
    <t>Temporal Trespass</t>
  </si>
  <si>
    <t>Temporal Mastery</t>
  </si>
  <si>
    <t>Time Warp</t>
  </si>
  <si>
    <t>Repartir o Véu D'Água</t>
  </si>
  <si>
    <t>Walk the Aeons</t>
  </si>
  <si>
    <t>Temporal Manipulation</t>
  </si>
  <si>
    <t>Conspiracy</t>
  </si>
  <si>
    <t>Maskwood Nexus</t>
  </si>
  <si>
    <t>Arcane Adaptation</t>
  </si>
  <si>
    <t>Vile Consumption</t>
  </si>
  <si>
    <t>Prosperous Thief</t>
  </si>
  <si>
    <t>Nashi, Herdeiro da Sábia da Lua</t>
  </si>
  <si>
    <t>Call of the Ring</t>
  </si>
  <si>
    <t>Thassa, God of the Sea</t>
  </si>
  <si>
    <t>Tampo de Adivinhação do Sensei</t>
  </si>
  <si>
    <t>Amoeboid Changeling</t>
  </si>
  <si>
    <t>God-Eternal Kefnet</t>
  </si>
  <si>
    <t>Scroll Rack</t>
  </si>
  <si>
    <t>Homeward Path</t>
  </si>
  <si>
    <t>Mystic Monastery</t>
  </si>
  <si>
    <t>Madness</t>
  </si>
  <si>
    <t>Improve</t>
  </si>
  <si>
    <t>AutoPass</t>
  </si>
  <si>
    <t>Discerning Financier</t>
  </si>
  <si>
    <t>Garrafa da Água Infinita</t>
  </si>
  <si>
    <t>Pacto de Negação</t>
  </si>
  <si>
    <t>Acorrentado as Rochas</t>
  </si>
  <si>
    <t>Slash the Ranks</t>
  </si>
  <si>
    <t>Queda Solar</t>
  </si>
  <si>
    <t>Fumigate</t>
  </si>
  <si>
    <t>Cair sobre os Pecadores</t>
  </si>
  <si>
    <t>Out of Time</t>
  </si>
  <si>
    <t>One with the Stars</t>
  </si>
  <si>
    <t>Swift Reconfiguration</t>
  </si>
  <si>
    <t>Hithlain Rope</t>
  </si>
  <si>
    <t>Role Reversal</t>
  </si>
  <si>
    <t>Dragolâmpago Volátil</t>
  </si>
  <si>
    <t>Cavalo de Ácros</t>
  </si>
  <si>
    <t>Solitary Confinement</t>
  </si>
  <si>
    <t>Aether Flash</t>
  </si>
  <si>
    <t>Lightmine Field</t>
  </si>
  <si>
    <t>Divine Presence</t>
  </si>
  <si>
    <t>Pramikon, Ameias Celestes</t>
  </si>
  <si>
    <t>Reins of Power</t>
  </si>
  <si>
    <t>Words of War</t>
  </si>
  <si>
    <t>Aetherflux Reservoir</t>
  </si>
  <si>
    <t>Descent into Avernus</t>
  </si>
  <si>
    <t>Hive Mind</t>
  </si>
  <si>
    <t>Shared Fate</t>
  </si>
  <si>
    <t>Possibility Storm</t>
  </si>
  <si>
    <t>Conjured Currency</t>
  </si>
  <si>
    <t>Share the Spoils</t>
  </si>
  <si>
    <t>Knowledge Pool</t>
  </si>
  <si>
    <t>Perplexing Chimera</t>
  </si>
  <si>
    <t>Puca's Mischief</t>
  </si>
  <si>
    <t>Plargg and Nassari</t>
  </si>
  <si>
    <t>Custody Battle</t>
  </si>
  <si>
    <t>Confusão nas Fileiras</t>
  </si>
  <si>
    <t>Manabarbs</t>
  </si>
  <si>
    <t>Imunidade Diplomática</t>
  </si>
  <si>
    <t>Nove Vidas</t>
  </si>
  <si>
    <t>Venser's Journal</t>
  </si>
  <si>
    <t>Alhammarret's Archive</t>
  </si>
  <si>
    <t>Paradox Haze</t>
  </si>
  <si>
    <t>Archmage Inalla</t>
  </si>
  <si>
    <t>Casebre da Bruxa</t>
  </si>
  <si>
    <t>Grixis Panorama</t>
  </si>
  <si>
    <t>Recurso</t>
  </si>
  <si>
    <t>Escória Fundida</t>
  </si>
  <si>
    <t>Grande Fornalha</t>
  </si>
  <si>
    <t>Vivid Marsh</t>
  </si>
  <si>
    <t>Arcane Lighthouse</t>
  </si>
  <si>
    <t>Núcleo de Mirrodin</t>
  </si>
  <si>
    <t>Glasspool Mimic</t>
  </si>
  <si>
    <t>Porto de Karfell</t>
  </si>
  <si>
    <t>Azami, Lady of Scrolls</t>
  </si>
  <si>
    <t>Sea Gate Oracle</t>
  </si>
  <si>
    <t>Master of Death</t>
  </si>
  <si>
    <t>Trinket Mage</t>
  </si>
  <si>
    <t>Discípulo de Nicol Bolas</t>
  </si>
  <si>
    <t>Riverwise Augur</t>
  </si>
  <si>
    <t>Vedalken Aethermage</t>
  </si>
  <si>
    <t>Trophy Mage</t>
  </si>
  <si>
    <t>Bloodline Necromancer</t>
  </si>
  <si>
    <t>Archaeomancer</t>
  </si>
  <si>
    <t>Visionário do Soro</t>
  </si>
  <si>
    <t>Tumbamorfo</t>
  </si>
  <si>
    <t>Vigia do Amanhã</t>
  </si>
  <si>
    <t>Vidente Nubígena</t>
  </si>
  <si>
    <t>Fiel de Sidisi</t>
  </si>
  <si>
    <t>Devastador de Basalto</t>
  </si>
  <si>
    <t>Winter Eladrin</t>
  </si>
  <si>
    <t>Aether Channeler</t>
  </si>
  <si>
    <t>Galecaster Colossus</t>
  </si>
  <si>
    <t>Exclusion Mage</t>
  </si>
  <si>
    <t>Barrin, Arquimago Tolariano</t>
  </si>
  <si>
    <t>Aether Adept</t>
  </si>
  <si>
    <t>Venser, Shaper Savant</t>
  </si>
  <si>
    <t>Aprendiz de Mago de Centelhas</t>
  </si>
  <si>
    <t>Ruthless Technomancer</t>
  </si>
  <si>
    <t>Naban, Dean of Iteration</t>
  </si>
  <si>
    <t>Harmonic Prodigy</t>
  </si>
  <si>
    <t>Teferi, Mage of Zhalfir</t>
  </si>
  <si>
    <t>Dualcaster Mage</t>
  </si>
  <si>
    <t>Quasiduplicata</t>
  </si>
  <si>
    <t>Amoque Morfolóide</t>
  </si>
  <si>
    <t>Specimen Collector</t>
  </si>
  <si>
    <t>Wanderwine Prophets</t>
  </si>
  <si>
    <t>Alferes de Riacho Rochoso</t>
  </si>
  <si>
    <t>Corneta do Arauto</t>
  </si>
  <si>
    <t>Portão Enigmático</t>
  </si>
  <si>
    <t>Oversold Cemetery</t>
  </si>
  <si>
    <t>Industrial Advancement</t>
  </si>
  <si>
    <t>Tremores de Impacto</t>
  </si>
  <si>
    <t>Panharmonicon</t>
  </si>
  <si>
    <t>Goblin Bombardment</t>
  </si>
  <si>
    <t>Cackling Counterpart</t>
  </si>
  <si>
    <t>Crystal Shard</t>
  </si>
  <si>
    <t>Persistir</t>
  </si>
  <si>
    <t>Ghostly Flicker</t>
  </si>
  <si>
    <t>Comando do Patriarca</t>
  </si>
  <si>
    <t>Diário de Tarrian</t>
  </si>
  <si>
    <t>Radiant Fountain</t>
  </si>
  <si>
    <t>Kabira Crossroads</t>
  </si>
  <si>
    <t>Blighted Steppe</t>
  </si>
  <si>
    <t>Shambling Vent</t>
  </si>
  <si>
    <t>Scoured Barrens</t>
  </si>
  <si>
    <t>Malakir Rebirth</t>
  </si>
  <si>
    <t>Memorial to Folly</t>
  </si>
  <si>
    <t>Japaland</t>
  </si>
  <si>
    <t>Vault of the Archangel</t>
  </si>
  <si>
    <t>Morte</t>
  </si>
  <si>
    <t>Retorno</t>
  </si>
  <si>
    <t>Obscura Storefront</t>
  </si>
  <si>
    <t>Campo Contaminado</t>
  </si>
  <si>
    <t>Necropotence</t>
  </si>
  <si>
    <t>Dark Confidant</t>
  </si>
  <si>
    <t>Guardiã da Aurora de Gavony</t>
  </si>
  <si>
    <t>Ranger of Eos</t>
  </si>
  <si>
    <t>Dark Tutelage</t>
  </si>
  <si>
    <t>Welcoming Vampire</t>
  </si>
  <si>
    <t>Sanctuary Warden</t>
  </si>
  <si>
    <t>Tymaret, Chosen from Death</t>
  </si>
  <si>
    <t>Ayli, Eternal Pilgrim</t>
  </si>
  <si>
    <t>High Priest of Penance</t>
  </si>
  <si>
    <t>Dawnbringer Cleric</t>
  </si>
  <si>
    <t>Iniciado Esperançoso</t>
  </si>
  <si>
    <t>Callous Bloodmage</t>
  </si>
  <si>
    <t>Soul Warden</t>
  </si>
  <si>
    <t>Soul's Attendant</t>
  </si>
  <si>
    <t>Suture Priest</t>
  </si>
  <si>
    <t>Kambal, Consul of Allocation</t>
  </si>
  <si>
    <t>Veterano Lunarca</t>
  </si>
  <si>
    <t>Reaper's Talisman</t>
  </si>
  <si>
    <t>Guia das Almas</t>
  </si>
  <si>
    <t>Daxos, Blessed by the Sun</t>
  </si>
  <si>
    <t>Distinguished Conjurer</t>
  </si>
  <si>
    <t>Orim's Prayer</t>
  </si>
  <si>
    <t>Boas-vindas de Ajani</t>
  </si>
  <si>
    <t>Sorin da Casa Markov</t>
  </si>
  <si>
    <t>Skyclave Cleric</t>
  </si>
  <si>
    <t>Autoridade dos Cônsules</t>
  </si>
  <si>
    <t>Deathgreeter</t>
  </si>
  <si>
    <t>Sun Droplet</t>
  </si>
  <si>
    <t>Elas il-Kor, Peregrina Sádica</t>
  </si>
  <si>
    <t>Ashes of the Abhorrent</t>
  </si>
  <si>
    <t>Spectrum Sentinel</t>
  </si>
  <si>
    <t>Case of the Uneaten Feast</t>
  </si>
  <si>
    <t>Speaker of the Heavens</t>
  </si>
  <si>
    <t>Vito, Thorn of the Dusk Rose</t>
  </si>
  <si>
    <t>Marauding Blight-Priest</t>
  </si>
  <si>
    <t>Redemption Choir</t>
  </si>
  <si>
    <t>Phyrexian Reclamation</t>
  </si>
  <si>
    <t>Veinwitch Coven</t>
  </si>
  <si>
    <t>Sorin, Vengeful Bloodlord</t>
  </si>
  <si>
    <t>Corte do Vale Arden</t>
  </si>
  <si>
    <t>Servidão Imortal</t>
  </si>
  <si>
    <t>Lurrus da Toca Onírica</t>
  </si>
  <si>
    <t>Sun Titan</t>
  </si>
  <si>
    <t>Extraction Specialist</t>
  </si>
  <si>
    <t>Nutridor de Heliósporo</t>
  </si>
  <si>
    <t>Vizkopa Guildmage</t>
  </si>
  <si>
    <t>Cleric Class</t>
  </si>
  <si>
    <t>Athreos, God of Passage</t>
  </si>
  <si>
    <t>Pega</t>
  </si>
  <si>
    <t>Revitalizing Repast</t>
  </si>
  <si>
    <t>Solemn Simulacrum</t>
  </si>
  <si>
    <t>Dawntreader Elk</t>
  </si>
  <si>
    <t>Sabedoria da Natureza</t>
  </si>
  <si>
    <t>Asceticism</t>
  </si>
  <si>
    <t>Ritmo dos Selvagens</t>
  </si>
  <si>
    <t>Shriekmaw</t>
  </si>
  <si>
    <t>Ravenous Chupacabra</t>
  </si>
  <si>
    <t>Magus of the Abyss</t>
  </si>
  <si>
    <t>Libertadora Forasteira</t>
  </si>
  <si>
    <t>Ginete Homicida</t>
  </si>
  <si>
    <t>Caustic Caterpillar</t>
  </si>
  <si>
    <t>Ingot Chewer</t>
  </si>
  <si>
    <t>Thrashing Brontodon</t>
  </si>
  <si>
    <t>Deadly Brew</t>
  </si>
  <si>
    <t>Plaguecrafter</t>
  </si>
  <si>
    <t>Ascensão do Rei-bruxo</t>
  </si>
  <si>
    <t>Fleshbag Marauder</t>
  </si>
  <si>
    <t>Merciless Executioner</t>
  </si>
  <si>
    <t>Tumulume</t>
  </si>
  <si>
    <t>Saqueador Amaldiçoado</t>
  </si>
  <si>
    <t>Demon's Disciple</t>
  </si>
  <si>
    <t>Soul Shatter</t>
  </si>
  <si>
    <t>Mogis, God of Slaughter</t>
  </si>
  <si>
    <t>Archfiend of Depravity</t>
  </si>
  <si>
    <t>Storm's Wrath</t>
  </si>
  <si>
    <t>Bane of Progress</t>
  </si>
  <si>
    <t>Ritual da Fuligem</t>
  </si>
  <si>
    <t>Savage Twister</t>
  </si>
  <si>
    <t>Pestilence</t>
  </si>
  <si>
    <t>Volcanic Fallout</t>
  </si>
  <si>
    <t>Incite Rebellion</t>
  </si>
  <si>
    <t>Colossal Majesty</t>
  </si>
  <si>
    <t>Jarad's Orders</t>
  </si>
  <si>
    <t>Trol da Ponte Ribombante</t>
  </si>
  <si>
    <t>Drumhunter</t>
  </si>
  <si>
    <t>Life's Legacy</t>
  </si>
  <si>
    <t>Soul's Majesty</t>
  </si>
  <si>
    <t>Oportunista Mórbida</t>
  </si>
  <si>
    <t>Rancor</t>
  </si>
  <si>
    <t>Procissão de Carniçais</t>
  </si>
  <si>
    <t>Feldon of the Third Path</t>
  </si>
  <si>
    <t>Loxodon Warhammer</t>
  </si>
  <si>
    <t>Brawn</t>
  </si>
  <si>
    <t>Arcbond</t>
  </si>
  <si>
    <t>Jarad, Golgari Lich Lord</t>
  </si>
  <si>
    <t>Mage Slayer</t>
  </si>
  <si>
    <t>Soul's Fire</t>
  </si>
  <si>
    <t>Thud</t>
  </si>
  <si>
    <t>Rite of Consumption</t>
  </si>
  <si>
    <t>Essence Harvest</t>
  </si>
  <si>
    <t>Fling</t>
  </si>
  <si>
    <t>Arcane Sanctum</t>
  </si>
  <si>
    <t>Seaside Citadel</t>
  </si>
  <si>
    <t>Crumbling Necropolis</t>
  </si>
  <si>
    <t>Savage Lands</t>
  </si>
  <si>
    <t>Nomad Outpost</t>
  </si>
  <si>
    <t>Draw PW</t>
  </si>
  <si>
    <t>Sandsteppe Citadel</t>
  </si>
  <si>
    <t>Remoção PW</t>
  </si>
  <si>
    <t>Opulent Palace</t>
  </si>
  <si>
    <t>Valor PW</t>
  </si>
  <si>
    <t>Frontier Bivouac</t>
  </si>
  <si>
    <t>Vitória PW</t>
  </si>
  <si>
    <t>Temple of Enlightenment</t>
  </si>
  <si>
    <t>Temple of Malice</t>
  </si>
  <si>
    <t>Temple of Abandon</t>
  </si>
  <si>
    <t>Temple of Epiphany</t>
  </si>
  <si>
    <t>Temple of Triumph</t>
  </si>
  <si>
    <t>Temple of Mystery</t>
  </si>
  <si>
    <t>Karn's Bastion</t>
  </si>
  <si>
    <t>Seguro de Vida</t>
  </si>
  <si>
    <t>Lolth, Rainha Aranha</t>
  </si>
  <si>
    <t>Sorin, Grim Nemesis</t>
  </si>
  <si>
    <t>Elminster</t>
  </si>
  <si>
    <t>Ajani Unyielding</t>
  </si>
  <si>
    <t>Liliana Vess</t>
  </si>
  <si>
    <t>Kasmina, Enigma Sage</t>
  </si>
  <si>
    <t>Commodore Guff</t>
  </si>
  <si>
    <t>Jace, Unraveler of Secrets</t>
  </si>
  <si>
    <t>Tasha, the Witch Queen</t>
  </si>
  <si>
    <t>Tamiyo, the Moon Sage</t>
  </si>
  <si>
    <t>Ob Nixilis Reignited</t>
  </si>
  <si>
    <t>Dihada, Binder of Wills</t>
  </si>
  <si>
    <t>Kaya the Inexorable</t>
  </si>
  <si>
    <t>O Ancião Renascido</t>
  </si>
  <si>
    <t>Elspeth, Sun's Champion</t>
  </si>
  <si>
    <t>Vraska the Unseen</t>
  </si>
  <si>
    <t>Ral Zarek</t>
  </si>
  <si>
    <t>The Wanderer</t>
  </si>
  <si>
    <t>Garruk, Cursed Huntsman</t>
  </si>
  <si>
    <t>Angrath, the Flame-Chained</t>
  </si>
  <si>
    <t>Dakkon, Shadow Slayer</t>
  </si>
  <si>
    <t>Ugin, the Ineffable</t>
  </si>
  <si>
    <t>Explosão Ruinosa de Urza</t>
  </si>
  <si>
    <t>Oko, Thief of Crowns</t>
  </si>
  <si>
    <t>Nicol Bolas, Dragon-God</t>
  </si>
  <si>
    <t>Supreme Verdict</t>
  </si>
  <si>
    <t>Vronos, Masked Inquisitor</t>
  </si>
  <si>
    <t>Venser, o Visitante</t>
  </si>
  <si>
    <t>Dovin, Hand of Control</t>
  </si>
  <si>
    <t>Karn Liberated</t>
  </si>
  <si>
    <t>Wrenn and Realmbreaker</t>
  </si>
  <si>
    <t>Aminatou, the Fateshifter</t>
  </si>
  <si>
    <t>Ashiok, Dream Render</t>
  </si>
  <si>
    <t>Narset, Parter of Veils</t>
  </si>
  <si>
    <t>Sarkhan the Masterless</t>
  </si>
  <si>
    <t>Chandra, Awakened Inferno</t>
  </si>
  <si>
    <t>Djeru, With Eyes Open</t>
  </si>
  <si>
    <t>Jodah, the Unifier</t>
  </si>
  <si>
    <t>Rings of Brighthearth</t>
  </si>
  <si>
    <t>Canalizadora de Fluxos</t>
  </si>
  <si>
    <t>Ripples of Potential</t>
  </si>
  <si>
    <t>Urza Assembles the Titans</t>
  </si>
  <si>
    <t>Carth the Lion</t>
  </si>
  <si>
    <t>Mila, Crafty Companion</t>
  </si>
  <si>
    <t>Brokers Ascendancy</t>
  </si>
  <si>
    <t>Gold-Forged Thopteryx</t>
  </si>
  <si>
    <t>Kethis, the Hidden Hand</t>
  </si>
  <si>
    <t>Oath of Chandra</t>
  </si>
  <si>
    <t>Oath of Ajani</t>
  </si>
  <si>
    <t>Oath of Nissa</t>
  </si>
  <si>
    <t>Oath of Teferi</t>
  </si>
  <si>
    <t>Oath of Gideon</t>
  </si>
  <si>
    <t>Oath of Kaya</t>
  </si>
  <si>
    <t>Oath of Jace</t>
  </si>
  <si>
    <t>Oath of Liliana</t>
  </si>
  <si>
    <t>Fearless Akiri</t>
  </si>
  <si>
    <t>Fúria de Kazuul</t>
  </si>
  <si>
    <t>Axgard Armory</t>
  </si>
  <si>
    <t>Redutor</t>
  </si>
  <si>
    <t>Agressivo</t>
  </si>
  <si>
    <t>Defensivo</t>
  </si>
  <si>
    <t>Bruenor Battlehammer</t>
  </si>
  <si>
    <t>Forge Anew</t>
  </si>
  <si>
    <t>Danitha Capashen, Paragon</t>
  </si>
  <si>
    <t>Chicote de Guerra de Bladehold</t>
  </si>
  <si>
    <t>Puresteel Paladin</t>
  </si>
  <si>
    <t>Ardenn, Arqueólogo Intrépido</t>
  </si>
  <si>
    <t>Brass Squire</t>
  </si>
  <si>
    <t>Auriok Steelshaper</t>
  </si>
  <si>
    <t>Open the Armory</t>
  </si>
  <si>
    <t>Caçadora Celeste Armadurada</t>
  </si>
  <si>
    <t>Forja Mística</t>
  </si>
  <si>
    <t>Sram, Senior Edificer</t>
  </si>
  <si>
    <t>Fighter Class</t>
  </si>
  <si>
    <t>A Forja da Espada de Tyrita</t>
  </si>
  <si>
    <t>Sombra Mutável</t>
  </si>
  <si>
    <t>Kellan, the Fae-Blooded // Birthright Boon</t>
  </si>
  <si>
    <t>Leonin Shikari</t>
  </si>
  <si>
    <t xml:space="preserve">Engenheira do Sítio de Escavação </t>
  </si>
  <si>
    <t>Astor, Portador das Lâminas</t>
  </si>
  <si>
    <t>Horn of Valhalla</t>
  </si>
  <si>
    <t>Lightning Spear</t>
  </si>
  <si>
    <t>Lion Sash</t>
  </si>
  <si>
    <t>Citizen's Crowbar</t>
  </si>
  <si>
    <t>Dispatch</t>
  </si>
  <si>
    <t>Wrath of God</t>
  </si>
  <si>
    <t>Vanquish the Horde</t>
  </si>
  <si>
    <t>Shatter the Sky</t>
  </si>
  <si>
    <t>Day of Judgment</t>
  </si>
  <si>
    <t>Fell the Mighty</t>
  </si>
  <si>
    <t>Winds of Rath</t>
  </si>
  <si>
    <t>Garras do Capitão</t>
  </si>
  <si>
    <t>Espada de Verdade e Justiça</t>
  </si>
  <si>
    <t>Kusari-Gama</t>
  </si>
  <si>
    <t>Espada de Passado e Futuro</t>
  </si>
  <si>
    <t>Tenza, Godo's Maul</t>
  </si>
  <si>
    <t>Espada de Fogo e Gelo</t>
  </si>
  <si>
    <t>Espada de Banquete e Fome</t>
  </si>
  <si>
    <t>Espada de Forja e Fronteira</t>
  </si>
  <si>
    <t>Espada de Lar e Morada</t>
  </si>
  <si>
    <t>Espada de Guerra e Paz</t>
  </si>
  <si>
    <t>Espada de Corpo e Mente</t>
  </si>
  <si>
    <t>Espada de Aço e Tendão</t>
  </si>
  <si>
    <t>Umezawa's Jitte</t>
  </si>
  <si>
    <t>Lizard Blades</t>
  </si>
  <si>
    <t>Jitte Perdida</t>
  </si>
  <si>
    <t>Barbed Spike</t>
  </si>
  <si>
    <t>Espada da Riqueza e do Poder</t>
  </si>
  <si>
    <t>Estrela da Manhã dos Goblins</t>
  </si>
  <si>
    <t>Armadura de Placas</t>
  </si>
  <si>
    <t>Leather Armor</t>
  </si>
  <si>
    <t>Glimmer Lens</t>
  </si>
  <si>
    <t>Mask of Memory</t>
  </si>
  <si>
    <t>Infiltration Lens</t>
  </si>
  <si>
    <t>Beamtown Beatstick</t>
  </si>
  <si>
    <t>Komainu Battle Armor</t>
  </si>
  <si>
    <t>Goldvein Pick</t>
  </si>
  <si>
    <t>Basilisk Collar</t>
  </si>
  <si>
    <t>Prying Blade</t>
  </si>
  <si>
    <t>Explorer's Scope</t>
  </si>
  <si>
    <t>Vial Smasher e Ishai</t>
  </si>
  <si>
    <t>Cascading Cataracts</t>
  </si>
  <si>
    <t>Grande Coliseu</t>
  </si>
  <si>
    <t>Arid Mesa</t>
  </si>
  <si>
    <t>Blood Crypt</t>
  </si>
  <si>
    <t>Ondu Inversion</t>
  </si>
  <si>
    <t>Equilibrio de Poderes</t>
  </si>
  <si>
    <t>Archivist of Oghma</t>
  </si>
  <si>
    <t>Sygg, River Cutthroat</t>
  </si>
  <si>
    <t>Tandem Lookout</t>
  </si>
  <si>
    <t>Inspiring Refrain</t>
  </si>
  <si>
    <t>Cruzeiro do Tesouro</t>
  </si>
  <si>
    <t>Sphinx's Revelation</t>
  </si>
  <si>
    <t>Crackling Doom</t>
  </si>
  <si>
    <t>Pile On</t>
  </si>
  <si>
    <t>Void Rend</t>
  </si>
  <si>
    <t>Mystic Reflection</t>
  </si>
  <si>
    <t>Sculpted Sunburst</t>
  </si>
  <si>
    <t>Subjugar a Horda</t>
  </si>
  <si>
    <t>Terminus</t>
  </si>
  <si>
    <t>Mito de Snapdax</t>
  </si>
  <si>
    <t>Exquisite Blood</t>
  </si>
  <si>
    <t>Pain Magnification</t>
  </si>
  <si>
    <t>Keranos, God of Storms</t>
  </si>
  <si>
    <t>Coisa no Gelo</t>
  </si>
  <si>
    <t>Ascensão do Grão-Vampiro</t>
  </si>
  <si>
    <t>Settle the Wreckage</t>
  </si>
  <si>
    <t>Aetherize</t>
  </si>
  <si>
    <t>Lagoas Fétidas</t>
  </si>
  <si>
    <t>Hall of Tagsin</t>
  </si>
  <si>
    <t>Mirror</t>
  </si>
  <si>
    <t>Thran Spider</t>
  </si>
  <si>
    <t>Sol Talisman</t>
  </si>
  <si>
    <t>Charcoal Diamond</t>
  </si>
  <si>
    <t>Ur-Golem's Eye</t>
  </si>
  <si>
    <t>Sisay's Ring</t>
  </si>
  <si>
    <t>Lotus-de-Nyx</t>
  </si>
  <si>
    <t>Estandarte Heráldico</t>
  </si>
  <si>
    <t>Midnight Clock</t>
  </si>
  <si>
    <t>Blinkmoth Urn</t>
  </si>
  <si>
    <t>Fragmento de Pedra de Energia</t>
  </si>
  <si>
    <t>Liliana dos Reinos Sombrios</t>
  </si>
  <si>
    <t>Karn, Living Legacy</t>
  </si>
  <si>
    <t>Gagueira Mágica</t>
  </si>
  <si>
    <t>Três Passos à Frente</t>
  </si>
  <si>
    <t>Resculpt</t>
  </si>
  <si>
    <t>Terisiare's Devastation</t>
  </si>
  <si>
    <t>Repreensão Metálica</t>
  </si>
  <si>
    <t>Redirecionamento de Gale</t>
  </si>
  <si>
    <t>Mirrormade</t>
  </si>
  <si>
    <t>Técnica de Replicação</t>
  </si>
  <si>
    <t>Sculpting Steel</t>
  </si>
  <si>
    <t>Clever Impersonator</t>
  </si>
  <si>
    <t>Masterful Replication</t>
  </si>
  <si>
    <t>Chave Voltaica</t>
  </si>
  <si>
    <t>Piscar de Olhos</t>
  </si>
  <si>
    <t>Oblivion Sower</t>
  </si>
  <si>
    <t>Notorious Throng</t>
  </si>
  <si>
    <t>Mind Grind</t>
  </si>
  <si>
    <t>Fabricate</t>
  </si>
  <si>
    <t>Dire Undercurrents</t>
  </si>
  <si>
    <t>Gerador da Estagnação</t>
  </si>
  <si>
    <t>Ayara, First of Locthwain</t>
  </si>
  <si>
    <t>Chave de Prata Lunar</t>
  </si>
  <si>
    <t>Merfolk</t>
  </si>
  <si>
    <t>Harvest Season</t>
  </si>
  <si>
    <t>Vanquisher's Banner</t>
  </si>
  <si>
    <t>Bred for the Hunt</t>
  </si>
  <si>
    <t>Reconnaissance Mission</t>
  </si>
  <si>
    <t>Lifecrafter's Bestiary</t>
  </si>
  <si>
    <t>Seahunter</t>
  </si>
  <si>
    <t>Zegana, Utopian Speaker</t>
  </si>
  <si>
    <t>Prime Speaker Zegana</t>
  </si>
  <si>
    <t>Thada Adel, Acquisitor</t>
  </si>
  <si>
    <t>Svyelun of Sea and Sky</t>
  </si>
  <si>
    <t>Kopala, Warden of Waves</t>
  </si>
  <si>
    <t>Tishana, Voice of Thunder</t>
  </si>
  <si>
    <t>Emperor Mihail II</t>
  </si>
  <si>
    <t>Coralhelm Commander</t>
  </si>
  <si>
    <t>Hakbal da Alma Crescente</t>
  </si>
  <si>
    <t>Master of the Pearl Trident</t>
  </si>
  <si>
    <t>Vodalian Hexcatcher</t>
  </si>
  <si>
    <t>Merrow Reejerey</t>
  </si>
  <si>
    <t>Merfolk Mistbinder</t>
  </si>
  <si>
    <t>Lord of Atlantis</t>
  </si>
  <si>
    <t>Metallic Mimic</t>
  </si>
  <si>
    <t>Adaptive Automaton</t>
  </si>
  <si>
    <t>Lullmage Mentor</t>
  </si>
  <si>
    <t>Deeproot Waters</t>
  </si>
  <si>
    <t>Seafloor Oracle</t>
  </si>
  <si>
    <t>Stonybrook Banneret</t>
  </si>
  <si>
    <t>Peregrinação a Raiz Profunda</t>
  </si>
  <si>
    <t>Herald of Secret Streams</t>
  </si>
  <si>
    <t>Forerunner of the Heralds</t>
  </si>
  <si>
    <t>Merrow Harbinger</t>
  </si>
  <si>
    <t>Merfolk Sovereign</t>
  </si>
  <si>
    <t>Cold-Eyed Selkie</t>
  </si>
  <si>
    <t>Wake Thrasher</t>
  </si>
  <si>
    <t>Deeproot Historian</t>
  </si>
  <si>
    <t>Surgespanner</t>
  </si>
  <si>
    <t>Singer of Swift Rivers</t>
  </si>
  <si>
    <t>Icon of Ancestry</t>
  </si>
  <si>
    <t>Throne of the God-Pharaoh</t>
  </si>
  <si>
    <t>Door of Destinies</t>
  </si>
  <si>
    <t>Merrow Commerce</t>
  </si>
  <si>
    <t>Filter Out</t>
  </si>
  <si>
    <t>Ashaya, Soul of the Wild</t>
  </si>
  <si>
    <t>Falcão Cobiçado</t>
  </si>
  <si>
    <t>Invasão de Segóvia</t>
  </si>
  <si>
    <t>Floresta Flagelada</t>
  </si>
  <si>
    <t>Espada de Luz e Sombra</t>
  </si>
  <si>
    <t>Army</t>
  </si>
  <si>
    <t>Mentor do Monastério</t>
  </si>
  <si>
    <t>Saheeli, Artífice Sublime</t>
  </si>
  <si>
    <t>Kykar, Fúria do Vento</t>
  </si>
  <si>
    <t>Iconoclasta da Terceira Via</t>
  </si>
  <si>
    <t>Young Pyromancer</t>
  </si>
  <si>
    <t>Resposta // Ressurgimento</t>
  </si>
  <si>
    <t>Ascendência Jeskai</t>
  </si>
  <si>
    <t>Tought Vessel</t>
  </si>
  <si>
    <t>Alfinetador de Pecados</t>
  </si>
  <si>
    <t>Optar</t>
  </si>
  <si>
    <t>Omen of the Sea</t>
  </si>
  <si>
    <t>Inferno Duplo</t>
  </si>
  <si>
    <t>Botas do Desbravador</t>
  </si>
  <si>
    <t>Surto da Salvação</t>
  </si>
  <si>
    <t>Artist's Talent</t>
  </si>
  <si>
    <t>Lifecreed Duo</t>
  </si>
  <si>
    <t>Darkstar Augur</t>
  </si>
  <si>
    <t>Gossip's Talent</t>
  </si>
  <si>
    <t>Dour Port-Mage</t>
  </si>
  <si>
    <t>Season of Weaving</t>
  </si>
  <si>
    <t>Presságio da Calamidade</t>
  </si>
  <si>
    <t>Baylen</t>
  </si>
  <si>
    <t>HighTokens</t>
  </si>
  <si>
    <t>Starscape Cleric</t>
  </si>
  <si>
    <t>For the Common Good</t>
  </si>
  <si>
    <t>Farmer Cotton</t>
  </si>
  <si>
    <t>Artifact Mutation</t>
  </si>
  <si>
    <t>Aura Mutation</t>
  </si>
  <si>
    <t>Peregrin Took</t>
  </si>
  <si>
    <t>Cadira, Caller of the Small</t>
  </si>
  <si>
    <t>March of the Multitudes</t>
  </si>
  <si>
    <t>Second Harvest</t>
  </si>
  <si>
    <t>Rosie Cotton of South Lane</t>
  </si>
  <si>
    <t>DoubleTokens</t>
  </si>
  <si>
    <t>AlwaysTokens</t>
  </si>
  <si>
    <t>InstaTokens</t>
  </si>
  <si>
    <t>Jacked Rabbit</t>
  </si>
  <si>
    <t>Arasta of the Endless Web</t>
  </si>
  <si>
    <t>Samwise Gangee</t>
  </si>
  <si>
    <t>Secure the Wastes</t>
  </si>
  <si>
    <t>Teferi's Protection</t>
  </si>
  <si>
    <t>Sundering Growth</t>
  </si>
  <si>
    <t>Crash the Party</t>
  </si>
  <si>
    <t>Cabaretti Charm</t>
  </si>
  <si>
    <t>Rootborn Defenses</t>
  </si>
  <si>
    <t>Pest Infestation</t>
  </si>
  <si>
    <t>Wildfire Awakener</t>
  </si>
  <si>
    <t>KillMachine</t>
  </si>
  <si>
    <t>Impact Tremors</t>
  </si>
  <si>
    <t>Warleader's Call</t>
  </si>
  <si>
    <t>Rabble Rousing</t>
  </si>
  <si>
    <t>Jetmir, Nexus of Revels</t>
  </si>
  <si>
    <t>Purphoros, God of the Forge</t>
  </si>
  <si>
    <t>Gala Greeters</t>
  </si>
  <si>
    <t>Many Partings</t>
  </si>
  <si>
    <t>The Shire</t>
  </si>
  <si>
    <t>Kher Keep</t>
  </si>
  <si>
    <t>Sheltering Landscape</t>
  </si>
  <si>
    <t>Mossfire Valley</t>
  </si>
  <si>
    <t>Sungrass Prairie</t>
  </si>
  <si>
    <t>Cinder Glade</t>
  </si>
  <si>
    <t>Sunscorched Divide</t>
  </si>
  <si>
    <t>Oltec Matterweaver</t>
  </si>
  <si>
    <t>Comando de Kayla</t>
  </si>
  <si>
    <t>Especialidade de Sram</t>
  </si>
  <si>
    <t>Illustrious Wanderglyph</t>
  </si>
  <si>
    <t>Mina dos Anões</t>
  </si>
  <si>
    <t>Casinha de Doces</t>
  </si>
  <si>
    <t>Ghired, Mirror of the Wilds</t>
  </si>
  <si>
    <t>Tempestade Serelepe</t>
  </si>
  <si>
    <t>Horda Germinal</t>
  </si>
  <si>
    <t>Horn of Valhalla // Ysgard's Call</t>
  </si>
  <si>
    <t>Ophiomancer</t>
  </si>
  <si>
    <t>Thirst for Knowledge</t>
  </si>
  <si>
    <t>Baylen, o  Coelho</t>
  </si>
  <si>
    <t>Pedra de Erech</t>
  </si>
  <si>
    <t>Hidetsugu, o Grande Devorador</t>
  </si>
  <si>
    <t>Teysa, Oligarca Opulenta</t>
  </si>
  <si>
    <t>Cephalid Coliseum</t>
  </si>
  <si>
    <t>Enduring Innocence</t>
  </si>
  <si>
    <t>Leyline of Hope</t>
  </si>
  <si>
    <t>Unholy Annex // Ritual Chamber</t>
  </si>
  <si>
    <t>Dazzling Theater // Prop Room</t>
  </si>
  <si>
    <t>Dollmaker's Shop // Porcelain Gallery</t>
  </si>
  <si>
    <t>Enduring Curiosity</t>
  </si>
  <si>
    <t>Marvin, Murderous Mimic</t>
  </si>
  <si>
    <t>Hedge Shredder</t>
  </si>
  <si>
    <t>Leyline of Transformation</t>
  </si>
  <si>
    <t>Silent Hallcreeper</t>
  </si>
  <si>
    <t>The Mindskinner</t>
  </si>
  <si>
    <t>Sokrates, Atheinan Teacher</t>
  </si>
  <si>
    <t>Three Tree City</t>
  </si>
  <si>
    <t>Time of Need</t>
  </si>
  <si>
    <t>Powerbalance</t>
  </si>
  <si>
    <t>Midnight Guard</t>
  </si>
  <si>
    <t>Insidious Fungus</t>
  </si>
  <si>
    <t>Restricted Office // Lecture Hall</t>
  </si>
  <si>
    <t>Zimone, Mystery Unraveler</t>
  </si>
  <si>
    <t>Crib Swap</t>
  </si>
  <si>
    <t>Scavenging Ooze</t>
  </si>
  <si>
    <t>Garra Krosana</t>
  </si>
  <si>
    <t>Scurry Oak</t>
  </si>
  <si>
    <t>Estorrar</t>
  </si>
  <si>
    <t>Noite da Vingança dos Doces</t>
  </si>
  <si>
    <t>Bolsa de Nobre</t>
  </si>
  <si>
    <t>Titanic Ultimatum</t>
  </si>
  <si>
    <t>Revive the Shire</t>
  </si>
  <si>
    <t>Saciar</t>
  </si>
  <si>
    <t>Augúrio do Sol</t>
  </si>
  <si>
    <t>Trilha de Migalhas</t>
  </si>
  <si>
    <t>Investigação Minuciosa</t>
  </si>
  <si>
    <t>Forno da Bruxa</t>
  </si>
  <si>
    <t>Taverneiro Prospero</t>
  </si>
  <si>
    <t>Contrabandear Gado</t>
  </si>
  <si>
    <t>Vitu-Ghazi, a Árvore-cidade</t>
  </si>
  <si>
    <t>Praia Inundada</t>
  </si>
  <si>
    <t>Selesnya Sanctuary</t>
  </si>
  <si>
    <t>Gleba Gruul</t>
  </si>
  <si>
    <t>Presença de Gond</t>
  </si>
  <si>
    <t>Dia</t>
  </si>
  <si>
    <t>Player 1</t>
  </si>
  <si>
    <t>Deck 1</t>
  </si>
  <si>
    <t>Player 2</t>
  </si>
  <si>
    <t>Deck 2</t>
  </si>
  <si>
    <t>Deck 3</t>
  </si>
  <si>
    <t>Deck 4</t>
  </si>
  <si>
    <t>Vitória</t>
  </si>
  <si>
    <t>Vivian</t>
  </si>
  <si>
    <t>Zimone</t>
  </si>
  <si>
    <t>Renato</t>
  </si>
  <si>
    <t>Dexter</t>
  </si>
  <si>
    <t>Kaalia</t>
  </si>
  <si>
    <t>Raffine</t>
  </si>
  <si>
    <t>Tovolar</t>
  </si>
  <si>
    <t>Hamster</t>
  </si>
  <si>
    <t>Trakiri</t>
  </si>
  <si>
    <t>Partidas</t>
  </si>
  <si>
    <t>Winrate</t>
  </si>
  <si>
    <t>Player</t>
  </si>
  <si>
    <t>Talita</t>
  </si>
  <si>
    <t>João</t>
  </si>
  <si>
    <t>Bloodghast</t>
  </si>
  <si>
    <t>Scryb Ranger</t>
  </si>
  <si>
    <t>Jadar, Ghoulcaller of Nephalia</t>
  </si>
  <si>
    <t>Nether Traitor</t>
  </si>
  <si>
    <t>Oathsworn Vampire</t>
  </si>
  <si>
    <t>Kraken do Nadir</t>
  </si>
  <si>
    <t>Winota</t>
  </si>
  <si>
    <t>Ladinos</t>
  </si>
  <si>
    <t>Who Time</t>
  </si>
  <si>
    <t>Who Villains</t>
  </si>
  <si>
    <t>Narset</t>
  </si>
  <si>
    <t>High-Society Hunter</t>
  </si>
  <si>
    <t>Homunculus Horde</t>
  </si>
  <si>
    <t>Crystal Barricade</t>
  </si>
  <si>
    <t>Scrawling Crawler</t>
  </si>
  <si>
    <t>Rev, Tithe Extractor</t>
  </si>
  <si>
    <t>Dionus, Elvish Archdruid</t>
  </si>
  <si>
    <t>Elvish Regrower</t>
  </si>
  <si>
    <t>Protection Magic</t>
  </si>
  <si>
    <t>Sphere Grid</t>
  </si>
  <si>
    <t>Maester Seymour</t>
  </si>
  <si>
    <t>Tromell, Seymour's Butler</t>
  </si>
  <si>
    <t>Ardbert, Warrior of Darkness</t>
  </si>
  <si>
    <t>Shelinda, Yevon Acolyte</t>
  </si>
  <si>
    <t>Luminous Broodmoth</t>
  </si>
  <si>
    <t>Resourceful Defense</t>
  </si>
  <si>
    <t>Scholar of New Horizons</t>
  </si>
  <si>
    <t>Inspiring Call</t>
  </si>
  <si>
    <t>Gyre Sage</t>
  </si>
  <si>
    <t>Incubation Druid</t>
  </si>
  <si>
    <t>Dever Além da Morte</t>
  </si>
  <si>
    <t>Muldrotha, the Gravetide</t>
  </si>
  <si>
    <t>Grave Pact</t>
  </si>
  <si>
    <t>Elvish Reclaimer</t>
  </si>
  <si>
    <t>Dictate of Erebos</t>
  </si>
  <si>
    <t>Ecological Appreciation</t>
  </si>
  <si>
    <t>Return</t>
  </si>
  <si>
    <t>Hollowmurk Siege</t>
  </si>
  <si>
    <t>Bulwark Ox</t>
  </si>
  <si>
    <t>Zack Fair</t>
  </si>
  <si>
    <t>Fog</t>
  </si>
  <si>
    <t>The Emperor of Palamecia</t>
  </si>
  <si>
    <t>Luxury Suite</t>
  </si>
  <si>
    <t>Inevitable Defeat</t>
  </si>
  <si>
    <t>Mangara, the Diplomat</t>
  </si>
  <si>
    <t>Comeuppance</t>
  </si>
  <si>
    <t>Take the Bait</t>
  </si>
  <si>
    <t>Blind Obedience</t>
  </si>
  <si>
    <t>Dawn Charm</t>
  </si>
  <si>
    <t>Batwing Brume</t>
  </si>
  <si>
    <t>Riot Control</t>
  </si>
  <si>
    <t>Deflecting Palm</t>
  </si>
  <si>
    <t>Mandate of Peace</t>
  </si>
  <si>
    <t>Prismatic Strands</t>
  </si>
  <si>
    <t>Promise of Loyalty</t>
  </si>
  <si>
    <t>Ever-Watching Threshold</t>
  </si>
  <si>
    <t>Amphibian Downpour</t>
  </si>
  <si>
    <t>Matoya, Archon Elder</t>
  </si>
  <si>
    <t>Champions from Beyond</t>
  </si>
  <si>
    <t>Cid, Freeflier Pilot</t>
  </si>
  <si>
    <t>Firion, Wild Rose Warrior</t>
  </si>
  <si>
    <t>Bureau Headmaster</t>
  </si>
  <si>
    <t>Cloud, Midgar Mercenary</t>
  </si>
  <si>
    <t>Dragonfire Blade</t>
  </si>
  <si>
    <t>Stiltzkin, Moogle Merchant</t>
  </si>
  <si>
    <t>Yes Man, Personal Securitron</t>
  </si>
  <si>
    <t>The Second Doctor</t>
  </si>
  <si>
    <t>Treasure Nabber</t>
  </si>
  <si>
    <t>Árbitro Silencioso</t>
  </si>
  <si>
    <t>Genji Glove</t>
  </si>
  <si>
    <t>The Water Crystal</t>
  </si>
  <si>
    <t>Aligned Heart</t>
  </si>
  <si>
    <t>Windcrag Siege</t>
  </si>
  <si>
    <t>Riverchurn Monument</t>
  </si>
  <si>
    <t>Full Throttle</t>
  </si>
  <si>
    <t>Relentless Assault</t>
  </si>
  <si>
    <t>World at War</t>
  </si>
  <si>
    <t>Broodheart Engine</t>
  </si>
  <si>
    <t>Tegwyll, Duke of Splendor</t>
  </si>
  <si>
    <t>Renewed Solidarity</t>
  </si>
  <si>
    <t>Baral, Chief of Compliance</t>
  </si>
  <si>
    <t>Gogo, Master of Mimicry</t>
  </si>
  <si>
    <t>Repurposing Bay</t>
  </si>
  <si>
    <t>Sonic Screwdriver</t>
  </si>
  <si>
    <t>Unstoppable Plan</t>
  </si>
  <si>
    <t>Jidoor, Aristocratic Capital // Overture</t>
  </si>
  <si>
    <t>Obyra, Dreaming Duelist</t>
  </si>
  <si>
    <t>Mistrise Village</t>
  </si>
  <si>
    <t>Louisoix's Sacrifice</t>
  </si>
  <si>
    <t>Satoru, the Infiltrator</t>
  </si>
  <si>
    <t>Ingenious Prodigy</t>
  </si>
  <si>
    <t>Mausoleum Wanderer</t>
  </si>
  <si>
    <t>Golbez, Crystal Collector</t>
  </si>
  <si>
    <t>Mahadi, Emporium Master</t>
  </si>
  <si>
    <t>Marionette Apprentice</t>
  </si>
  <si>
    <t>Stridehangar Automaton</t>
  </si>
  <si>
    <t>Cayth, Famed Mechanist</t>
  </si>
  <si>
    <t>Frostcliff Siege</t>
  </si>
  <si>
    <t>Adventurer's Inn</t>
  </si>
  <si>
    <t>Mother of runes</t>
  </si>
  <si>
    <t>Giver of Runes</t>
  </si>
  <si>
    <t>Exemplar of Light</t>
  </si>
  <si>
    <t>Hierofante de Elenda</t>
  </si>
  <si>
    <t>Hinterland Sanctifier</t>
  </si>
  <si>
    <t>Bugenhagen, Wise Elder</t>
  </si>
  <si>
    <t>Red XIII, Proud Warrior</t>
  </si>
  <si>
    <t>Nibelheim Aflame</t>
  </si>
  <si>
    <t>The Masamune</t>
  </si>
  <si>
    <t>Jenova, Ancient Calamity</t>
  </si>
  <si>
    <t>Ironwill Forger</t>
  </si>
  <si>
    <t>Taigam, Master Opportunist</t>
  </si>
  <si>
    <t>Bedrock Tortoise</t>
  </si>
  <si>
    <t>Quina, Qu Gourmet</t>
  </si>
  <si>
    <t>Spinner of Souls</t>
  </si>
  <si>
    <t>Fanatical Devotion</t>
  </si>
  <si>
    <t>Warren Soultrader</t>
  </si>
  <si>
    <t>Sidisi, Regent of the Mire</t>
  </si>
  <si>
    <t>Grow</t>
  </si>
  <si>
    <t>Control</t>
  </si>
  <si>
    <t>Together Forever</t>
  </si>
  <si>
    <t>Summon: Ixion</t>
  </si>
  <si>
    <t>Summon: Fenrir</t>
  </si>
  <si>
    <t>Rishkar, Peema Renegade</t>
  </si>
  <si>
    <t>Managorger Hydra</t>
  </si>
  <si>
    <t>Winding Constrictor</t>
  </si>
  <si>
    <t>Cankerbloom</t>
  </si>
  <si>
    <t>Hardened Scales</t>
  </si>
  <si>
    <t>Warden of the Grove</t>
  </si>
  <si>
    <t>Knight of Autumn</t>
  </si>
  <si>
    <t>Champion of Lambholt</t>
  </si>
  <si>
    <t>Kami of Whispered Hopes</t>
  </si>
  <si>
    <t>Basking Broodscale</t>
  </si>
  <si>
    <t>Metastatic Evangel</t>
  </si>
  <si>
    <t>Anafenza, Kin-Tree Spirit</t>
  </si>
  <si>
    <t>Lae'zel, Vlaakith's Champion</t>
  </si>
  <si>
    <t>Conclave Mentor</t>
  </si>
  <si>
    <t>Felothar, Dawn of the Abzan</t>
  </si>
  <si>
    <t>Abzan Falconer</t>
  </si>
  <si>
    <t>Breena, the Demagogue</t>
  </si>
  <si>
    <t>Botanical Brawler</t>
  </si>
  <si>
    <t>Skyclave Apparition</t>
  </si>
  <si>
    <t>Unbreakable Formation</t>
  </si>
  <si>
    <t>Damn</t>
  </si>
  <si>
    <t>Ozolith, the Shattered Spire</t>
  </si>
  <si>
    <t>Master Chef</t>
  </si>
  <si>
    <t>Branching Evolution</t>
  </si>
  <si>
    <t>Vraska Joins Up</t>
  </si>
  <si>
    <t>Thran Vigil</t>
  </si>
  <si>
    <t>Song of Freyalise</t>
  </si>
  <si>
    <t>Retribution of the Ancients</t>
  </si>
  <si>
    <t>Llanowar Reborn</t>
  </si>
  <si>
    <t>Duskshell Crawler</t>
  </si>
  <si>
    <t>Reyhan, Last of the Abzan</t>
  </si>
  <si>
    <t>Hydraw's Growth</t>
  </si>
  <si>
    <t>Stocking the Pantry</t>
  </si>
  <si>
    <t>Deceptive Landscape</t>
  </si>
  <si>
    <t>Arwen, Weaver of Hope</t>
  </si>
  <si>
    <t>Illusionist's Gambit</t>
  </si>
  <si>
    <t>Dissipation Field</t>
  </si>
  <si>
    <t>Tayam</t>
  </si>
  <si>
    <t>Bruma Etérea</t>
  </si>
  <si>
    <t>Haywire Mite</t>
  </si>
  <si>
    <t>Yavimaya, Berço de Crescimento</t>
  </si>
  <si>
    <t>The Rani's Force</t>
  </si>
  <si>
    <t>Rani</t>
  </si>
  <si>
    <t>Curse of Verbosity</t>
  </si>
  <si>
    <t>Eye of Nidhogg</t>
  </si>
  <si>
    <t>Bothersome Quasit</t>
  </si>
  <si>
    <t>Firkraag, Cunning Instigator</t>
  </si>
  <si>
    <t>Bloodthirsty Blade</t>
  </si>
  <si>
    <t>Ghoulish Impetus</t>
  </si>
  <si>
    <t>Hot Pursuit</t>
  </si>
  <si>
    <t>Renegade Silent</t>
  </si>
  <si>
    <t>Red Death, Shipwrecker</t>
  </si>
  <si>
    <t>Bjorna, Nightfall Alchemist</t>
  </si>
  <si>
    <t>Hateful Eidolon</t>
  </si>
  <si>
    <t>Life of the Party</t>
  </si>
  <si>
    <t>Grenzo, Havoc Raiser</t>
  </si>
  <si>
    <t>Sly Instigator</t>
  </si>
  <si>
    <t>Erdwal Illuminator</t>
  </si>
  <si>
    <t>Martha Jones</t>
  </si>
  <si>
    <t>Xantcha, Agente Adormecida</t>
  </si>
  <si>
    <t>Laurine, the Diversion</t>
  </si>
  <si>
    <t>Sontaran General</t>
  </si>
  <si>
    <t>Marchesa, Dealer of Death</t>
  </si>
  <si>
    <t>Coronation of Chaos</t>
  </si>
  <si>
    <t>Maestros Confluence</t>
  </si>
  <si>
    <t>Day of the Moon</t>
  </si>
  <si>
    <t>Archway of Innovation</t>
  </si>
  <si>
    <t>Trenzalore Clocktower</t>
  </si>
  <si>
    <t>Laser Screwdriver</t>
  </si>
  <si>
    <t>Dragonskull Summit</t>
  </si>
  <si>
    <t>Gallifrey Council Chamber</t>
  </si>
  <si>
    <t>Frenzied Gorespawn</t>
  </si>
  <si>
    <t>Jhoira Bichão</t>
  </si>
  <si>
    <t>Kozilek, the Broken Reality</t>
  </si>
  <si>
    <t>Time Beetle</t>
  </si>
  <si>
    <t>The Tenth Doctor</t>
  </si>
  <si>
    <t>Nezahal, Primal Tide</t>
  </si>
  <si>
    <t>Ulamog's Dreadsire</t>
  </si>
  <si>
    <t>Sibylline Soothsayer</t>
  </si>
  <si>
    <t>Inevitable Betrayal</t>
  </si>
  <si>
    <t>Rise of the Eldrazi</t>
  </si>
  <si>
    <t>Hit the Mother Lode</t>
  </si>
  <si>
    <t>Rotating Fireplace</t>
  </si>
  <si>
    <t>Mox Tantalite</t>
  </si>
  <si>
    <t>Estudo Rístico</t>
  </si>
  <si>
    <t>Three Visits</t>
  </si>
  <si>
    <t>Mestre de Cerimonias</t>
  </si>
  <si>
    <t>Utilidades</t>
  </si>
  <si>
    <t>Elesh Norn</t>
  </si>
  <si>
    <t>Ganso Dourado</t>
  </si>
  <si>
    <t>Drumbellower</t>
  </si>
  <si>
    <t>River's Rebuke</t>
  </si>
  <si>
    <t>Horror Quebra-Casco</t>
  </si>
  <si>
    <t>Esmoecer</t>
  </si>
  <si>
    <t>Coiling Oracle</t>
  </si>
  <si>
    <t>Imagem Espelhada</t>
  </si>
  <si>
    <t>Mergulhadora Celeste Ladra</t>
  </si>
  <si>
    <t>Espiral de Crescimento</t>
  </si>
  <si>
    <t>Eureka Moment</t>
  </si>
  <si>
    <t>Espelho dos Antepassados</t>
  </si>
  <si>
    <t>Distant Melody</t>
  </si>
  <si>
    <t>Reversão de Narset</t>
  </si>
  <si>
    <t>Elrond, Lord of Rivendell</t>
  </si>
  <si>
    <t>Repudiar // Replicar</t>
  </si>
  <si>
    <t>Barreira Psíquica</t>
  </si>
  <si>
    <t>Deliberar</t>
  </si>
  <si>
    <t>Lonis, Cryptozoologist</t>
  </si>
  <si>
    <t>Garrafa de Água Infinita</t>
  </si>
  <si>
    <t>Aether Spellbomb</t>
  </si>
  <si>
    <t>Summon: Leviathan</t>
  </si>
  <si>
    <t>Keen Duelist</t>
  </si>
  <si>
    <t>Stoneforge Mystic</t>
  </si>
  <si>
    <t>Angelic Renewal</t>
  </si>
  <si>
    <t>Molten Echoes</t>
  </si>
  <si>
    <t>Burnt Offering</t>
  </si>
  <si>
    <t>Saw in Half</t>
  </si>
  <si>
    <t>Mistbind Clique</t>
  </si>
  <si>
    <t>Altar Phyrexiano</t>
  </si>
  <si>
    <t>Saffi Eriksdotter</t>
  </si>
  <si>
    <t>Tribute Mage</t>
  </si>
  <si>
    <t>Merchant of Secrets</t>
  </si>
  <si>
    <t>Mana Echoes</t>
  </si>
  <si>
    <t>Detective's Satchel</t>
  </si>
  <si>
    <t>Fumiko, the Lowblood</t>
  </si>
  <si>
    <t>Espião-mestre Goblin</t>
  </si>
  <si>
    <t>Ginete Bronco Exaltado</t>
  </si>
  <si>
    <t>Horizon Explorer</t>
  </si>
  <si>
    <t>Sothera, the Supervoid</t>
  </si>
  <si>
    <t>Thrumming Hivepool</t>
  </si>
  <si>
    <t>Dúplice Debochada</t>
  </si>
  <si>
    <t>Long-Range Sensor</t>
  </si>
  <si>
    <t>Pain for All</t>
  </si>
  <si>
    <t>Adagia, Windswept Bastion</t>
  </si>
  <si>
    <t>Weapons Manufacturing</t>
  </si>
  <si>
    <t>Patrolling Peacemaker</t>
  </si>
  <si>
    <t>Equilíbrio de Poderes</t>
  </si>
  <si>
    <t>Vontade Dominadora</t>
  </si>
  <si>
    <t>Chronomantic Escape</t>
  </si>
  <si>
    <t>Planetary Annihilation</t>
  </si>
  <si>
    <t>Evendo, Waking Haven</t>
  </si>
  <si>
    <t>Susur Secundi, Void Altar</t>
  </si>
  <si>
    <t>Olho de Ojer Taq</t>
  </si>
  <si>
    <t>Marcha dos Canonizados</t>
  </si>
  <si>
    <t>Karplusan Forest</t>
  </si>
  <si>
    <t>Uthros, Titanic Godcore</t>
  </si>
  <si>
    <t>The Eternity Elevator</t>
  </si>
  <si>
    <t>Obelisco de Obsidiana</t>
  </si>
  <si>
    <t>Shaku da Honra Desgastada</t>
  </si>
  <si>
    <t>Exalted Sunborn</t>
  </si>
  <si>
    <t>Kutzil, Malamet Exemplar</t>
  </si>
  <si>
    <t>Terrasymbiosis</t>
  </si>
  <si>
    <t>Starter</t>
  </si>
  <si>
    <t>Syr Vondam, Sunstar Exemplar</t>
  </si>
  <si>
    <t>Philips</t>
  </si>
  <si>
    <t>Hashaton</t>
  </si>
  <si>
    <t>FF Counters</t>
  </si>
  <si>
    <t>Moonlit Meditation</t>
  </si>
  <si>
    <t>Scour for Scrap</t>
  </si>
  <si>
    <t>Haliya, Guided by Light</t>
  </si>
  <si>
    <t>Ascensão do Avernus</t>
  </si>
  <si>
    <t>Extinguisher Battleship</t>
  </si>
  <si>
    <t>Dauntless Scrapbot</t>
  </si>
  <si>
    <t>A Joia do Enigma</t>
  </si>
  <si>
    <t>O Dínamo Peregrino</t>
  </si>
  <si>
    <t>Nicol Bolas, God-Pharaoh</t>
  </si>
  <si>
    <t>Enlistamento</t>
  </si>
  <si>
    <t>Pirataria</t>
  </si>
  <si>
    <t>Vaan, Street Thief</t>
  </si>
  <si>
    <t>Lightning-Rig Crew</t>
  </si>
  <si>
    <t>Spectral Sailor</t>
  </si>
  <si>
    <t>Breeches, Eager Pillager</t>
  </si>
  <si>
    <t>Glint-Horn Buccaneer</t>
  </si>
  <si>
    <t>Revel in Riches</t>
  </si>
  <si>
    <t>Forerunner of the Coalition</t>
  </si>
  <si>
    <t>Warkite Marauder</t>
  </si>
  <si>
    <t>Breeches, Brazen Plunderer</t>
  </si>
  <si>
    <t>Hostage Taker</t>
  </si>
  <si>
    <t>Coercive Recruiter</t>
  </si>
  <si>
    <t>Ramirez DePietro, Pillager</t>
  </si>
  <si>
    <t>Kitesail Larcenist</t>
  </si>
  <si>
    <t>Captain Storm, Cosmium Raider</t>
  </si>
  <si>
    <t>Professional Face-Breaker</t>
  </si>
  <si>
    <t>Departed Deckhand</t>
  </si>
  <si>
    <t>Admiral Beckett Brass</t>
  </si>
  <si>
    <t>Gemcutter Buccaneer</t>
  </si>
  <si>
    <t>Reckless Fireweaver</t>
  </si>
  <si>
    <t>Spyglass Siren</t>
  </si>
  <si>
    <t>Timestream Navigator</t>
  </si>
  <si>
    <t>Xorn</t>
  </si>
  <si>
    <t>Breeches, the Blastmaker</t>
  </si>
  <si>
    <t>Kitesail Freebooter</t>
  </si>
  <si>
    <t>Broadside Bombardiers</t>
  </si>
  <si>
    <t>Captain Vargus Wrath</t>
  </si>
  <si>
    <t>Cutthroat Negotiator</t>
  </si>
  <si>
    <t>Storm Fleet Negotiator</t>
  </si>
  <si>
    <t>Deadeye Tracker</t>
  </si>
  <si>
    <t>Planejamento</t>
  </si>
  <si>
    <t>Marujo</t>
  </si>
  <si>
    <t>Todo Mundo é Pirata</t>
  </si>
  <si>
    <t>Prancha</t>
  </si>
  <si>
    <t>Boa Vida</t>
  </si>
  <si>
    <t>Recruta</t>
  </si>
  <si>
    <t>Coastline Marauders</t>
  </si>
  <si>
    <t>Invert Polarity</t>
  </si>
  <si>
    <t>Walk the Plank</t>
  </si>
  <si>
    <t>Back in Town</t>
  </si>
  <si>
    <t>The Indomitable</t>
  </si>
  <si>
    <t>Treasure Map</t>
  </si>
  <si>
    <t>Captain's Hook</t>
  </si>
  <si>
    <t>Coastal Piracy</t>
  </si>
  <si>
    <t>Storm the Vault</t>
  </si>
  <si>
    <t>Rain of Riches</t>
  </si>
  <si>
    <t>Treasure Vault</t>
  </si>
  <si>
    <t>Mines of Moria</t>
  </si>
  <si>
    <t>Lavagem</t>
  </si>
  <si>
    <t>Malcolm, Alluring Scoundrel</t>
  </si>
  <si>
    <t>Bucaneiro</t>
  </si>
  <si>
    <t>Tesouros</t>
  </si>
  <si>
    <t>Dano</t>
  </si>
  <si>
    <t>Piratas pra Bater</t>
  </si>
  <si>
    <t>Piratas pra Putaria</t>
  </si>
  <si>
    <t>Oficial</t>
  </si>
  <si>
    <t>Malcolm, the Eyes</t>
  </si>
  <si>
    <t>Amphin Mutineer</t>
  </si>
  <si>
    <t>Laughing Jasper Flint</t>
  </si>
  <si>
    <t>Hedron Detonator</t>
  </si>
  <si>
    <t>Weftstalker Ardent</t>
  </si>
  <si>
    <t>Secluded Courtyard</t>
  </si>
  <si>
    <t>Seething Landscape</t>
  </si>
  <si>
    <t>Go for the Throat</t>
  </si>
  <si>
    <t>Shoot the Sheriff</t>
  </si>
  <si>
    <t>Evolution Sage</t>
  </si>
  <si>
    <t>Zellix, Sanity Flayer</t>
  </si>
  <si>
    <t>Emergency Eject</t>
  </si>
  <si>
    <t>Smuggler's Share</t>
  </si>
  <si>
    <t>Piratas</t>
  </si>
  <si>
    <t>Commander</t>
  </si>
  <si>
    <t>Dross Scorpion</t>
  </si>
  <si>
    <t>Exploração de Cavernas</t>
  </si>
  <si>
    <t>Deprive</t>
  </si>
  <si>
    <t>Zona de Emergência</t>
  </si>
  <si>
    <t>Recifes de Nau-Terror</t>
  </si>
  <si>
    <t>Charneca Estéril</t>
  </si>
  <si>
    <t>Panorama de Grixis</t>
  </si>
  <si>
    <t>Afogar no Lago</t>
  </si>
  <si>
    <t>Arcanis, o Onipotente</t>
  </si>
  <si>
    <t>Akal Pakal, First Among Equals</t>
  </si>
  <si>
    <t>Ameoboid Changeling</t>
  </si>
  <si>
    <t>Diamante R</t>
  </si>
  <si>
    <t>Diamante U</t>
  </si>
  <si>
    <t>Diamante B</t>
  </si>
  <si>
    <t>Brumas do Paradoxo</t>
  </si>
  <si>
    <t>Visão Transbordante</t>
  </si>
  <si>
    <t>Flagelo do Vale de Skola</t>
  </si>
  <si>
    <t>Rogues Class</t>
  </si>
  <si>
    <t>Vial Smasher the Fierce</t>
  </si>
  <si>
    <t>Blood Artist</t>
  </si>
  <si>
    <t>Carta</t>
  </si>
  <si>
    <t>Gritrog</t>
  </si>
  <si>
    <t>VialIshai</t>
  </si>
  <si>
    <t>Thrasios, Triton Hero</t>
  </si>
  <si>
    <t>Akiri, Line-Slinger</t>
  </si>
  <si>
    <t>Trocar</t>
  </si>
  <si>
    <t>The Rani</t>
  </si>
  <si>
    <t xml:space="preserve"> </t>
  </si>
  <si>
    <t>Commnader</t>
  </si>
  <si>
    <t>OWA</t>
  </si>
  <si>
    <t>JhoiraB</t>
  </si>
  <si>
    <t>Muzzio, Visionary Architect</t>
  </si>
  <si>
    <t>Miara, Thorn of the Glade</t>
  </si>
  <si>
    <t>Alela, Artful Provocateur</t>
  </si>
  <si>
    <t>Arcades, the Strategist</t>
  </si>
  <si>
    <t>Ishai, Ojutai Dragonspeaker</t>
  </si>
  <si>
    <t>Yuriko, the Tiger's Shadow</t>
  </si>
  <si>
    <t>Zedruu the Greathearted</t>
  </si>
  <si>
    <t>Inalla, Archmage Ritualist</t>
  </si>
  <si>
    <t>Karlov of the Ghost Council</t>
  </si>
  <si>
    <t>Oona, Queen of the Fae</t>
  </si>
  <si>
    <t>Kresh the Bloodbraided</t>
  </si>
  <si>
    <t>Akiri, Fearless Voyager</t>
  </si>
  <si>
    <t>Breya, Etherium Shaper</t>
  </si>
  <si>
    <t>Sisay, Weatherlight Captain</t>
  </si>
  <si>
    <t>Othelm, Sigardian Outcast</t>
  </si>
  <si>
    <t>Wernog, Rider's Chaplain</t>
  </si>
  <si>
    <t>Narset, Enlightened Exile</t>
  </si>
  <si>
    <t>Kumena, Tyrant of Orazca</t>
  </si>
  <si>
    <t>Zimone and Dina</t>
  </si>
  <si>
    <t>Baylen, the Haymaker</t>
  </si>
  <si>
    <t>Tayam, Luminous Enigma</t>
  </si>
  <si>
    <t>Alterações</t>
  </si>
  <si>
    <t>Cores</t>
  </si>
  <si>
    <t>Wincon</t>
  </si>
  <si>
    <t>Sim</t>
  </si>
  <si>
    <t>Não</t>
  </si>
  <si>
    <t>Faltam</t>
  </si>
  <si>
    <t>Total</t>
  </si>
  <si>
    <t>Prioridade</t>
  </si>
  <si>
    <t>Gerrard's Hourglass Pendant</t>
  </si>
  <si>
    <t>Vexing Puzzlebox</t>
  </si>
  <si>
    <t>Promise of Aclazotz // Foul Rebirth</t>
  </si>
  <si>
    <t>Ripples of Undeath</t>
  </si>
  <si>
    <t>Virtue of Loyalty // Ardenvale Fealty</t>
  </si>
  <si>
    <t>Malcolm, Keen-Eyed Navigator</t>
  </si>
  <si>
    <t>Trabanation Blade</t>
  </si>
  <si>
    <t>Categoria</t>
  </si>
  <si>
    <t>Weathered Runestone</t>
  </si>
  <si>
    <t>Artefato</t>
  </si>
  <si>
    <t>Shivan Harvest</t>
  </si>
  <si>
    <t>Classe</t>
  </si>
  <si>
    <t>Tipo</t>
  </si>
  <si>
    <t>Encantamento</t>
  </si>
  <si>
    <t>Cemitério</t>
  </si>
  <si>
    <t>Scouting Trek</t>
  </si>
  <si>
    <t>Feitiço</t>
  </si>
  <si>
    <t>Overabundance</t>
  </si>
  <si>
    <t>Punição</t>
  </si>
  <si>
    <t>Spreading Plague</t>
  </si>
  <si>
    <t>Criaturas</t>
  </si>
  <si>
    <t>Explosão da Alma</t>
  </si>
  <si>
    <t>Instantânea</t>
  </si>
  <si>
    <t>Obsidian Fireheat</t>
  </si>
  <si>
    <t>Criatura</t>
  </si>
  <si>
    <t>Interdict</t>
  </si>
  <si>
    <t>Habilidade</t>
  </si>
  <si>
    <t>Mogg Infestation</t>
  </si>
  <si>
    <t>Life // Death</t>
  </si>
  <si>
    <t>Debt of Loyalt</t>
  </si>
  <si>
    <t>Roubo</t>
  </si>
  <si>
    <t>Yavimaya Hollow</t>
  </si>
  <si>
    <t>Identidade</t>
  </si>
  <si>
    <t>Dreams of the Dead</t>
  </si>
  <si>
    <t>Wrap in Vigor</t>
  </si>
  <si>
    <t>Tangleroot</t>
  </si>
  <si>
    <t>Porphyry Nodes</t>
  </si>
  <si>
    <t>Endless Whispers</t>
  </si>
  <si>
    <t>Chaos</t>
  </si>
  <si>
    <t>Hua Tuo, Honored Physician</t>
  </si>
  <si>
    <t>Kamber, the Plunderer</t>
  </si>
  <si>
    <t>Lifegain</t>
  </si>
  <si>
    <t>Cold Storage</t>
  </si>
  <si>
    <t>Poção da Benfeitora</t>
  </si>
  <si>
    <t>Preferência de Cineréia</t>
  </si>
  <si>
    <t>Base</t>
  </si>
  <si>
    <t>Overrun</t>
  </si>
  <si>
    <t>Voltron</t>
  </si>
  <si>
    <t>Sub Plan</t>
  </si>
  <si>
    <t>Ping</t>
  </si>
  <si>
    <t>-</t>
  </si>
  <si>
    <t>Dano Direto</t>
  </si>
  <si>
    <t>Descrição</t>
  </si>
  <si>
    <t>Mill e Tokens</t>
  </si>
  <si>
    <t>Muitos Tokens</t>
  </si>
  <si>
    <t>Tesouros e Roubos</t>
  </si>
  <si>
    <t>Ganhar Vida e Reanimate</t>
  </si>
  <si>
    <t>Counters, tudo drop 3-</t>
  </si>
  <si>
    <t>Atiçar e Investigar</t>
  </si>
  <si>
    <t>Tribal de Tritões</t>
  </si>
  <si>
    <t>Terrenos e Valor</t>
  </si>
  <si>
    <t>Destruição em Massa</t>
  </si>
  <si>
    <t>Big Mana</t>
  </si>
  <si>
    <t>Fast Combo</t>
  </si>
  <si>
    <t>Engrenagens para Combar</t>
  </si>
  <si>
    <t>Controlar e Punir</t>
  </si>
  <si>
    <t>Turnos Extras</t>
  </si>
  <si>
    <t>Magos e Combos</t>
  </si>
  <si>
    <t>Equipamentos</t>
  </si>
  <si>
    <t>Super-Amigos</t>
  </si>
  <si>
    <t>Muita Mana</t>
  </si>
  <si>
    <t>Tribal de Fractius</t>
  </si>
  <si>
    <t>Controle Voltron</t>
  </si>
  <si>
    <t>Thopteros e Blink</t>
  </si>
  <si>
    <t>Tokens e Reanimate</t>
  </si>
  <si>
    <t>Stax e Tokens</t>
  </si>
  <si>
    <t>Bater sem Apanhar</t>
  </si>
  <si>
    <t>Caos</t>
  </si>
  <si>
    <t>Spellslinger?</t>
  </si>
  <si>
    <t>Aristocratas?</t>
  </si>
  <si>
    <t>Reanimate?</t>
  </si>
  <si>
    <t>Encantamentos?</t>
  </si>
  <si>
    <t>Burn?</t>
  </si>
  <si>
    <t>Infect?</t>
  </si>
  <si>
    <t>Blink?</t>
  </si>
  <si>
    <t>Hatebears?</t>
  </si>
  <si>
    <t>Humans?</t>
  </si>
  <si>
    <t>Energy?</t>
  </si>
  <si>
    <t>Mutate?</t>
  </si>
  <si>
    <t>Guildgate?</t>
  </si>
  <si>
    <t>Atractions?</t>
  </si>
  <si>
    <t>Coin Flip?</t>
  </si>
  <si>
    <t>Rafiq of the Many</t>
  </si>
  <si>
    <t>Toph, the First Metalbender</t>
  </si>
  <si>
    <t>Exílio e Comidas</t>
  </si>
  <si>
    <t>Modular</t>
  </si>
  <si>
    <t>Hidden Volcano</t>
  </si>
  <si>
    <t>Hidden Nursery</t>
  </si>
  <si>
    <t>Hidden Courtyard</t>
  </si>
  <si>
    <t>Toph Modular</t>
  </si>
  <si>
    <t>Crescer</t>
  </si>
  <si>
    <t>Surge Conductor</t>
  </si>
  <si>
    <t>Evendo Brushrazer</t>
  </si>
  <si>
    <t>Kodama of the West Tree</t>
  </si>
  <si>
    <t>Arcbound Ravager</t>
  </si>
  <si>
    <t>Marketback Walker</t>
  </si>
  <si>
    <t>Arcbound Shikari</t>
  </si>
  <si>
    <t>Moraug, Fury of Akoum</t>
  </si>
  <si>
    <t>Filigree Vector</t>
  </si>
  <si>
    <t>Arcbound Crusher</t>
  </si>
  <si>
    <t>Scrapyard Recombiner</t>
  </si>
  <si>
    <t>Steel Overseer</t>
  </si>
  <si>
    <t>Throne of Geth</t>
  </si>
  <si>
    <t>Mystic Forge</t>
  </si>
  <si>
    <t>The Ozolith</t>
  </si>
  <si>
    <t>Exaltado</t>
  </si>
  <si>
    <t>Rafiq Exaltado</t>
  </si>
  <si>
    <t>Niv-Mizzet, Parun</t>
  </si>
  <si>
    <t>Jiang Yanguu, Wildcrafter</t>
  </si>
  <si>
    <t>Watertrap Wizard</t>
  </si>
  <si>
    <t>Deeprooot Wayfinder</t>
  </si>
  <si>
    <t>Aquatic Incursion</t>
  </si>
  <si>
    <t>Mascara da Longevisão</t>
  </si>
  <si>
    <t>Retorno a Natureza</t>
  </si>
  <si>
    <t>Encontro de Mentes</t>
  </si>
  <si>
    <t>Zabaz, the Glimmerwasp</t>
  </si>
  <si>
    <t>The Jolly Balloon Man</t>
  </si>
  <si>
    <t>Hanza, Guardian of Arashin</t>
  </si>
  <si>
    <t>Osgir, the Reconstructor</t>
  </si>
  <si>
    <t>Arcbound Mouser</t>
  </si>
  <si>
    <t>Arcbound Tracker</t>
  </si>
  <si>
    <t>Arcbound Javelineer</t>
  </si>
  <si>
    <t>Arcbound Reclaimer</t>
  </si>
  <si>
    <t>Arcbound Stinger</t>
  </si>
  <si>
    <t>Arcbound Slith</t>
  </si>
  <si>
    <t>Arcbound Whelp</t>
  </si>
  <si>
    <t>Esper Sentinel</t>
  </si>
  <si>
    <t>Arcbound Overseer</t>
  </si>
  <si>
    <t>Arcbound Fiend</t>
  </si>
  <si>
    <t>Goblin Engineer</t>
  </si>
  <si>
    <t>Goblin Welder</t>
  </si>
  <si>
    <t>Mindless Automaton</t>
  </si>
  <si>
    <t>Duty Beyond Death</t>
  </si>
  <si>
    <t>The Great Henge</t>
  </si>
  <si>
    <t>Trading Post</t>
  </si>
  <si>
    <t>Sunhome, Fortress of the Legion</t>
  </si>
  <si>
    <t>Monumental Henge</t>
  </si>
  <si>
    <t>Phyrexia's Core</t>
  </si>
  <si>
    <t>Inkmoth Nexus</t>
  </si>
  <si>
    <t>Tannuk, Memorial Ensign</t>
  </si>
  <si>
    <t>Annie Joins Up</t>
  </si>
  <si>
    <t>Terra Eternal</t>
  </si>
  <si>
    <t>Sacred Ground</t>
  </si>
  <si>
    <t>Lotus Field</t>
  </si>
  <si>
    <t>Slagwoods Bridge</t>
  </si>
  <si>
    <t>Thornglint Bridge</t>
  </si>
  <si>
    <t>Scrap Welder</t>
  </si>
  <si>
    <t>Earthbending Student</t>
  </si>
  <si>
    <t>Badgermole</t>
  </si>
  <si>
    <t>Haru, Hidden Talent</t>
  </si>
  <si>
    <t>Earth Rumble</t>
  </si>
  <si>
    <t>Lithoform Engine</t>
  </si>
  <si>
    <t>Toph, the Blind Bandit</t>
  </si>
  <si>
    <t>Bender</t>
  </si>
  <si>
    <t>Soldador</t>
  </si>
  <si>
    <t>Temporada da Multiplicação</t>
  </si>
  <si>
    <t>Final de Devastação</t>
  </si>
  <si>
    <t>Intervenção Heróica</t>
  </si>
  <si>
    <t>Presa-Gélida de Ohran</t>
  </si>
  <si>
    <t>Altar de Ashnod</t>
  </si>
  <si>
    <t>Ornato de Esmeralda</t>
  </si>
  <si>
    <t>Ornato de Azeviche</t>
  </si>
  <si>
    <t>Ornato de Rubi</t>
  </si>
  <si>
    <t>Ornato de Safira</t>
  </si>
  <si>
    <t>Ornato de Pérola</t>
  </si>
  <si>
    <t>Espada da Animista</t>
  </si>
  <si>
    <t>Fontes Rejuvenescedoras</t>
  </si>
  <si>
    <t>Lugar de Espectador</t>
  </si>
  <si>
    <t>Centro de Treinamento</t>
  </si>
  <si>
    <t>Estádio da Submata</t>
  </si>
  <si>
    <t>Câmara dos Campeões</t>
  </si>
  <si>
    <t>Lentes Extraplanares</t>
  </si>
  <si>
    <t>Synapse Sliver</t>
  </si>
  <si>
    <t>The Chain Veil</t>
  </si>
  <si>
    <t>Silent Arbiter</t>
  </si>
  <si>
    <t>Cascade Bluffs</t>
  </si>
  <si>
    <t>Mystic Gate</t>
  </si>
  <si>
    <t>Rugged Prairie</t>
  </si>
  <si>
    <t>Urza's Mine</t>
  </si>
  <si>
    <t>Urza's Powerplant</t>
  </si>
  <si>
    <t>Urza's Tower</t>
  </si>
  <si>
    <t>Captura de Jhinzou</t>
  </si>
  <si>
    <t>Bribery</t>
  </si>
  <si>
    <t>Cyclonic Rift</t>
  </si>
  <si>
    <t>Steelshaper's Gift</t>
  </si>
  <si>
    <t>Heliode, Coroa de Sol</t>
  </si>
  <si>
    <t>Dízimo Sufocante</t>
  </si>
  <si>
    <t>Urza, Grão-Lorde Artífice</t>
  </si>
  <si>
    <t>Fierce Guardianship</t>
  </si>
  <si>
    <t>Bloodchief Ascension</t>
  </si>
  <si>
    <t>Spellseeker</t>
  </si>
  <si>
    <t>Deadly Rollick</t>
  </si>
  <si>
    <t>Twilight Prophet</t>
  </si>
  <si>
    <t>Arachnogenesis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</si>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</sst>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62A"/>
      <name val="Segoe UI"/>
      <family val="2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/>
    <xf numFmtId="166" fontId="0" fillId="0" borderId="0" xfId="0" applyNumberFormat="1"/>
    <xf numFmtId="166" fontId="0" fillId="2" borderId="0" xfId="0" applyNumberFormat="1" applyFill="1"/>
    <xf numFmtId="0" fontId="3" fillId="0" borderId="0" xfId="0" applyFont="1"/>
    <xf numFmtId="164" fontId="0" fillId="0" borderId="0" xfId="1" applyFont="1"/>
    <xf numFmtId="0" fontId="0" fillId="0" borderId="0" xfId="0" quotePrefix="1"/>
    <xf numFmtId="164" fontId="0" fillId="0" borderId="0" xfId="1" applyFont="1" applyFill="1"/>
    <xf numFmtId="164" fontId="0" fillId="0" borderId="0" xfId="1" applyFont="1" applyAlignment="1">
      <alignment horizontal="center"/>
    </xf>
    <xf numFmtId="0" fontId="6" fillId="0" borderId="0" xfId="0" applyFont="1"/>
    <xf numFmtId="164" fontId="0" fillId="0" borderId="0" xfId="1" quotePrefix="1" applyFont="1" applyFill="1"/>
    <xf numFmtId="164" fontId="0" fillId="0" borderId="0" xfId="1" applyFont="1" applyFill="1" applyAlignment="1">
      <alignment horizontal="left"/>
    </xf>
    <xf numFmtId="164" fontId="0" fillId="0" borderId="0" xfId="1" applyFont="1" applyAlignment="1">
      <alignment horizontal="left"/>
    </xf>
    <xf numFmtId="14" fontId="0" fillId="0" borderId="0" xfId="0" applyNumberFormat="1"/>
    <xf numFmtId="9" fontId="0" fillId="0" borderId="0" xfId="2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3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8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9"/>
      </font>
      <fill>
        <patternFill>
          <bgColor theme="9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8"/>
      </font>
      <fill>
        <patternFill>
          <bgColor theme="8"/>
        </patternFill>
      </fill>
    </dxf>
    <dxf>
      <font>
        <color theme="0"/>
      </font>
      <fill>
        <patternFill patternType="lightTrellis">
          <bgColor theme="0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8"/>
      </font>
      <fill>
        <patternFill>
          <bgColor theme="8"/>
        </patternFill>
      </fill>
    </dxf>
    <dxf>
      <font>
        <color theme="0"/>
      </font>
      <fill>
        <patternFill patternType="lightTrellis">
          <bgColor theme="0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8"/>
      </font>
      <fill>
        <patternFill>
          <bgColor theme="8"/>
        </patternFill>
      </fill>
    </dxf>
    <dxf>
      <font>
        <color theme="0"/>
      </font>
      <fill>
        <patternFill patternType="lightTrellis">
          <bgColor theme="0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" Target="richData/rdrichvalue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sheetPr codeName="Planilha1"/>
  <dimension ref="A1:AI26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7" sqref="F7"/>
    </sheetView>
  </sheetViews>
  <sheetFormatPr defaultRowHeight="15" x14ac:dyDescent="0.25"/>
  <cols>
    <col min="1" max="1" width="11.42578125" bestFit="1" customWidth="1"/>
    <col min="2" max="2" width="16" bestFit="1" customWidth="1"/>
    <col min="3" max="3" width="11.7109375" style="12" bestFit="1" customWidth="1"/>
    <col min="4" max="4" width="3.7109375" style="8" customWidth="1"/>
    <col min="5" max="5" width="8.5703125" bestFit="1" customWidth="1"/>
    <col min="6" max="6" width="37.28515625" bestFit="1" customWidth="1"/>
    <col min="7" max="7" width="10.140625" style="12" customWidth="1"/>
    <col min="8" max="8" width="9.140625" style="12" customWidth="1"/>
    <col min="9" max="9" width="9.140625" style="12"/>
    <col min="10" max="10" width="10.140625" style="12" bestFit="1" customWidth="1"/>
    <col min="11" max="11" width="3.7109375" style="8" customWidth="1"/>
    <col min="12" max="12" width="25.85546875" bestFit="1" customWidth="1"/>
    <col min="13" max="15" width="10.140625" style="12" bestFit="1" customWidth="1"/>
    <col min="16" max="16" width="3.7109375" style="8" customWidth="1"/>
    <col min="17" max="17" width="28" customWidth="1"/>
    <col min="18" max="20" width="9.140625" style="12" customWidth="1"/>
    <col min="21" max="21" width="3.7109375" style="8" customWidth="1"/>
    <col min="22" max="22" width="27.85546875" bestFit="1" customWidth="1"/>
    <col min="23" max="25" width="9.140625" style="12"/>
    <col min="26" max="26" width="3.7109375" style="8" customWidth="1"/>
    <col min="27" max="27" width="27.85546875" bestFit="1" customWidth="1"/>
    <col min="28" max="30" width="9.140625" style="12"/>
    <col min="31" max="31" width="3.7109375" style="8" customWidth="1"/>
    <col min="32" max="32" width="27.85546875" bestFit="1" customWidth="1"/>
    <col min="33" max="35" width="9.140625" style="12"/>
  </cols>
  <sheetData>
    <row r="1" spans="1:35" x14ac:dyDescent="0.25">
      <c r="A1" t="s">
        <v>0</v>
      </c>
      <c r="B1" s="9">
        <f>C2+C8+C13+C18+C23+C28+C32+C34+C38+C50</f>
        <v>0</v>
      </c>
      <c r="E1" t="s">
        <v>1</v>
      </c>
      <c r="F1" t="str">
        <f>A2</f>
        <v>Marcelo</v>
      </c>
      <c r="G1" s="18" t="str">
        <f>B3</f>
        <v>Overrun</v>
      </c>
      <c r="H1" s="14" t="str">
        <f>B4</f>
        <v>Base</v>
      </c>
      <c r="I1" s="14">
        <f>B5</f>
        <v>0</v>
      </c>
      <c r="J1" s="14" t="str">
        <f>B6</f>
        <v>Liga</v>
      </c>
      <c r="L1" t="str">
        <f>A8</f>
        <v>Interessantes</v>
      </c>
      <c r="M1" s="12" t="str">
        <f>B9</f>
        <v>Valor</v>
      </c>
      <c r="N1" s="12" t="str">
        <f>B10</f>
        <v>Liga</v>
      </c>
      <c r="O1" s="12" t="str">
        <f>B11</f>
        <v>Loja 1</v>
      </c>
      <c r="Q1" t="str">
        <f>A13</f>
        <v>Player 3</v>
      </c>
      <c r="R1" s="12" t="str">
        <f>B14</f>
        <v>Rayearth</v>
      </c>
      <c r="S1" s="12" t="str">
        <f>B15</f>
        <v>Mineral</v>
      </c>
      <c r="T1" s="12" t="str">
        <f>B16</f>
        <v>CardTutor</v>
      </c>
      <c r="V1" t="str">
        <f>A18</f>
        <v>Player 4</v>
      </c>
      <c r="W1" s="15" t="str">
        <f>B19</f>
        <v>Rayearth</v>
      </c>
      <c r="X1" s="15" t="str">
        <f>B20</f>
        <v>Mineral</v>
      </c>
      <c r="Y1" s="15" t="str">
        <f>B21</f>
        <v>CardTutor</v>
      </c>
      <c r="AA1" t="str">
        <f>A23</f>
        <v>Player 5</v>
      </c>
      <c r="AB1" s="12" t="str">
        <f>B24</f>
        <v>Rayearth</v>
      </c>
      <c r="AC1" s="12" t="str">
        <f>B25</f>
        <v>Mineral</v>
      </c>
      <c r="AD1" s="12" t="str">
        <f>B26</f>
        <v>CardTutor</v>
      </c>
      <c r="AF1" t="str">
        <f>A28</f>
        <v>Player 6</v>
      </c>
      <c r="AG1" s="12" t="str">
        <f>B29</f>
        <v>Rayearth</v>
      </c>
      <c r="AH1" s="12" t="str">
        <f>B30</f>
        <v>Mineral</v>
      </c>
      <c r="AI1" s="12" t="str">
        <f>B31</f>
        <v>CardTutor</v>
      </c>
    </row>
    <row r="2" spans="1:35" x14ac:dyDescent="0.25">
      <c r="A2" s="3" t="s">
        <v>2</v>
      </c>
      <c r="B2" t="s">
        <v>3</v>
      </c>
      <c r="C2" s="12">
        <f>SUM(C3:C6)</f>
        <v>0</v>
      </c>
      <c r="K2" s="10"/>
      <c r="M2"/>
      <c r="O2" s="14"/>
      <c r="P2" s="10"/>
      <c r="S2" s="14"/>
      <c r="T2" s="14"/>
      <c r="W2" s="14"/>
      <c r="X2" s="14"/>
      <c r="Y2" s="14"/>
      <c r="AB2" s="14"/>
      <c r="AC2" s="14"/>
      <c r="AD2" s="14"/>
      <c r="AG2" s="14"/>
      <c r="AH2" s="14"/>
      <c r="AI2" s="14"/>
    </row>
    <row r="3" spans="1:35" x14ac:dyDescent="0.25">
      <c r="A3" s="3">
        <f>COUNTA(F2:F216)</f>
        <v>0</v>
      </c>
      <c r="B3" s="13" t="s">
        <v>2138</v>
      </c>
      <c r="C3" s="12">
        <f>SUM(G:G)</f>
        <v>0</v>
      </c>
      <c r="K3" s="10"/>
      <c r="M3"/>
      <c r="P3" s="10"/>
      <c r="R3" s="14"/>
      <c r="S3" s="14"/>
      <c r="T3" s="14"/>
      <c r="W3" s="14"/>
      <c r="X3" s="14"/>
      <c r="Y3" s="14"/>
      <c r="AB3" s="14"/>
      <c r="AC3" s="14"/>
      <c r="AD3" s="14"/>
      <c r="AG3" s="14"/>
      <c r="AH3" s="14"/>
      <c r="AI3" s="14"/>
    </row>
    <row r="4" spans="1:35" x14ac:dyDescent="0.25">
      <c r="A4" s="3"/>
      <c r="B4" s="13" t="s">
        <v>2137</v>
      </c>
      <c r="C4" s="12">
        <f>SUM(H:H)</f>
        <v>0</v>
      </c>
      <c r="K4" s="10"/>
      <c r="M4"/>
      <c r="O4" s="14"/>
      <c r="P4" s="10"/>
      <c r="R4" s="14"/>
      <c r="S4" s="14"/>
      <c r="T4" s="14"/>
      <c r="W4" s="14"/>
      <c r="X4" s="14"/>
      <c r="Y4" s="14"/>
      <c r="AB4" s="14"/>
      <c r="AC4" s="14"/>
      <c r="AD4" s="14"/>
      <c r="AG4" s="14"/>
      <c r="AH4" s="14"/>
      <c r="AI4" s="14"/>
    </row>
    <row r="5" spans="1:35" x14ac:dyDescent="0.25">
      <c r="A5" s="3"/>
      <c r="B5" s="13"/>
      <c r="C5" s="12">
        <f>SUM(I:I)</f>
        <v>0</v>
      </c>
      <c r="M5"/>
      <c r="R5" s="14"/>
      <c r="S5" s="14"/>
      <c r="T5" s="14"/>
      <c r="W5" s="14"/>
      <c r="X5" s="14"/>
      <c r="Y5" s="14"/>
      <c r="AB5" s="14"/>
      <c r="AC5" s="14"/>
      <c r="AD5" s="14"/>
      <c r="AG5" s="14"/>
      <c r="AH5" s="14"/>
      <c r="AI5" s="14"/>
    </row>
    <row r="6" spans="1:35" x14ac:dyDescent="0.25">
      <c r="A6" s="3"/>
      <c r="B6" s="13" t="s">
        <v>4</v>
      </c>
      <c r="C6" s="12">
        <f>SUM(J:J)</f>
        <v>0</v>
      </c>
      <c r="M6"/>
      <c r="R6" s="14"/>
      <c r="S6" s="14"/>
      <c r="T6" s="14"/>
      <c r="W6" s="17"/>
      <c r="X6" s="14"/>
      <c r="Y6" s="14"/>
      <c r="AB6" s="14"/>
      <c r="AC6" s="14"/>
      <c r="AD6" s="14"/>
      <c r="AG6" s="14"/>
      <c r="AH6" s="14"/>
      <c r="AI6" s="14"/>
    </row>
    <row r="7" spans="1:35" x14ac:dyDescent="0.25">
      <c r="A7" s="3"/>
      <c r="B7" s="13"/>
      <c r="M7"/>
      <c r="R7" s="14"/>
      <c r="S7" s="14"/>
      <c r="T7" s="14"/>
      <c r="W7" s="14"/>
      <c r="X7" s="14"/>
      <c r="Y7" s="14"/>
      <c r="AB7" s="14"/>
      <c r="AC7" s="14"/>
      <c r="AD7" s="14"/>
      <c r="AG7" s="14"/>
      <c r="AH7" s="14"/>
      <c r="AI7" s="14"/>
    </row>
    <row r="8" spans="1:35" x14ac:dyDescent="0.25">
      <c r="A8" s="3" t="s">
        <v>5</v>
      </c>
      <c r="B8" t="s">
        <v>3</v>
      </c>
      <c r="C8" s="12">
        <f>SUM(C9:C11)</f>
        <v>0</v>
      </c>
      <c r="J8" s="19"/>
      <c r="M8"/>
      <c r="N8" s="14"/>
      <c r="R8" s="14"/>
      <c r="S8" s="14"/>
      <c r="T8" s="14"/>
      <c r="W8" s="14"/>
      <c r="X8" s="14"/>
      <c r="Y8" s="14"/>
      <c r="AB8" s="14"/>
      <c r="AC8" s="14"/>
      <c r="AD8" s="14"/>
      <c r="AG8" s="14"/>
      <c r="AH8" s="14"/>
      <c r="AI8" s="14"/>
    </row>
    <row r="9" spans="1:35" x14ac:dyDescent="0.25">
      <c r="A9" s="3">
        <f>COUNTA(L2:L173)</f>
        <v>0</v>
      </c>
      <c r="B9" s="13" t="s">
        <v>6</v>
      </c>
      <c r="C9" s="12">
        <f>SUM(M:M)</f>
        <v>0</v>
      </c>
      <c r="K9" s="10"/>
      <c r="M9"/>
      <c r="P9" s="10"/>
      <c r="R9" s="14"/>
      <c r="S9" s="14"/>
      <c r="T9" s="14"/>
      <c r="W9" s="14"/>
      <c r="X9" s="14"/>
      <c r="Y9" s="14"/>
      <c r="AB9" s="14"/>
      <c r="AC9" s="14"/>
      <c r="AD9" s="14"/>
      <c r="AG9" s="14"/>
      <c r="AH9" s="14"/>
      <c r="AI9" s="14"/>
    </row>
    <row r="10" spans="1:35" x14ac:dyDescent="0.25">
      <c r="A10" s="3"/>
      <c r="B10" s="13" t="s">
        <v>4</v>
      </c>
      <c r="C10" s="12">
        <f>SUM(N:N)</f>
        <v>0</v>
      </c>
      <c r="K10" s="10"/>
      <c r="M10"/>
      <c r="P10" s="10"/>
      <c r="R10" s="14"/>
      <c r="S10" s="14"/>
      <c r="T10" s="14"/>
      <c r="W10" s="14"/>
      <c r="X10" s="17"/>
      <c r="Y10" s="14"/>
      <c r="AB10" s="14"/>
      <c r="AC10" s="14"/>
      <c r="AD10" s="14"/>
      <c r="AG10" s="14"/>
      <c r="AH10" s="14"/>
      <c r="AI10" s="14"/>
    </row>
    <row r="11" spans="1:35" x14ac:dyDescent="0.25">
      <c r="A11" s="3"/>
      <c r="B11" s="13" t="s">
        <v>7</v>
      </c>
      <c r="C11" s="12">
        <f>SUM(O:O)</f>
        <v>0</v>
      </c>
      <c r="J11" s="19"/>
      <c r="K11" s="10"/>
      <c r="M11"/>
      <c r="O11" s="14"/>
      <c r="P11" s="10"/>
      <c r="R11" s="14"/>
      <c r="S11" s="14"/>
      <c r="T11" s="14"/>
      <c r="W11" s="14"/>
      <c r="X11" s="14"/>
      <c r="Y11" s="14"/>
      <c r="AB11" s="14"/>
      <c r="AC11" s="14"/>
      <c r="AD11" s="14"/>
      <c r="AG11" s="14"/>
      <c r="AH11" s="14"/>
      <c r="AI11" s="14"/>
    </row>
    <row r="12" spans="1:35" x14ac:dyDescent="0.25">
      <c r="A12" s="3"/>
      <c r="M12"/>
      <c r="O12" s="14"/>
      <c r="R12" s="14"/>
      <c r="S12" s="14"/>
      <c r="T12" s="14"/>
      <c r="W12" s="14"/>
      <c r="X12" s="14"/>
      <c r="Y12" s="14"/>
      <c r="AB12" s="14"/>
      <c r="AC12" s="14"/>
      <c r="AD12" s="14"/>
      <c r="AG12" s="14"/>
      <c r="AH12" s="14"/>
      <c r="AI12" s="14"/>
    </row>
    <row r="13" spans="1:35" x14ac:dyDescent="0.25">
      <c r="A13" s="3" t="s">
        <v>8</v>
      </c>
      <c r="B13" t="s">
        <v>3</v>
      </c>
      <c r="C13" s="12">
        <f>SUM(C14:C16)</f>
        <v>0</v>
      </c>
      <c r="K13" s="10"/>
      <c r="M13"/>
      <c r="P13" s="10"/>
      <c r="T13" s="14"/>
      <c r="W13" s="17"/>
      <c r="X13" s="14"/>
      <c r="Y13" s="14"/>
      <c r="AB13" s="14"/>
      <c r="AC13" s="14"/>
      <c r="AD13" s="14"/>
      <c r="AG13" s="14"/>
      <c r="AH13" s="14"/>
      <c r="AI13" s="14"/>
    </row>
    <row r="14" spans="1:35" x14ac:dyDescent="0.25">
      <c r="A14" s="3">
        <f>COUNTA(Q2:Q173)</f>
        <v>0</v>
      </c>
      <c r="B14" s="13" t="s">
        <v>9</v>
      </c>
      <c r="C14" s="12">
        <f>SUM(R:R)</f>
        <v>0</v>
      </c>
      <c r="G14" s="19"/>
      <c r="K14" s="10"/>
      <c r="M14"/>
      <c r="O14" s="14"/>
      <c r="P14" s="10"/>
      <c r="R14" s="14"/>
      <c r="S14" s="14"/>
      <c r="T14" s="14"/>
      <c r="W14" s="14"/>
      <c r="X14" s="14"/>
      <c r="Y14" s="14"/>
      <c r="AB14" s="14"/>
      <c r="AC14" s="14"/>
      <c r="AD14" s="14"/>
      <c r="AG14" s="14"/>
      <c r="AH14" s="14"/>
      <c r="AI14" s="14"/>
    </row>
    <row r="15" spans="1:35" x14ac:dyDescent="0.25">
      <c r="A15" s="3"/>
      <c r="B15" s="13" t="s">
        <v>10</v>
      </c>
      <c r="C15" s="12">
        <f>SUM(S:S)</f>
        <v>0</v>
      </c>
      <c r="K15" s="10"/>
      <c r="M15"/>
      <c r="P15" s="10"/>
      <c r="R15" s="14"/>
      <c r="S15" s="14"/>
      <c r="T15" s="14"/>
      <c r="W15" s="14"/>
      <c r="X15" s="14"/>
      <c r="Y15" s="14"/>
      <c r="AG15" s="14"/>
      <c r="AH15" s="14"/>
      <c r="AI15" s="14"/>
    </row>
    <row r="16" spans="1:35" x14ac:dyDescent="0.25">
      <c r="A16" s="3"/>
      <c r="B16" s="13" t="s">
        <v>11</v>
      </c>
      <c r="C16" s="12">
        <f>SUM(T:T)</f>
        <v>0</v>
      </c>
      <c r="K16" s="10"/>
      <c r="M16"/>
      <c r="P16" s="10"/>
      <c r="R16" s="14"/>
      <c r="S16" s="14"/>
      <c r="T16" s="14"/>
      <c r="W16" s="14"/>
      <c r="X16" s="14"/>
      <c r="Y16" s="14"/>
      <c r="AG16" s="14"/>
      <c r="AH16" s="14"/>
      <c r="AI16" s="14"/>
    </row>
    <row r="17" spans="1:35" x14ac:dyDescent="0.25">
      <c r="A17" s="3"/>
      <c r="K17" s="10"/>
      <c r="M17"/>
      <c r="P17" s="10"/>
      <c r="T17" s="14"/>
      <c r="W17" s="14"/>
      <c r="X17" s="14"/>
      <c r="Y17" s="14"/>
      <c r="AG17" s="14"/>
      <c r="AH17" s="14"/>
      <c r="AI17" s="14"/>
    </row>
    <row r="18" spans="1:35" x14ac:dyDescent="0.25">
      <c r="A18" s="3" t="s">
        <v>12</v>
      </c>
      <c r="B18" t="s">
        <v>3</v>
      </c>
      <c r="C18" s="12">
        <f>SUM(C19:C21)</f>
        <v>0</v>
      </c>
      <c r="M18"/>
      <c r="O18" s="14"/>
      <c r="R18" s="14"/>
      <c r="S18" s="14"/>
      <c r="T18" s="14"/>
      <c r="W18" s="14"/>
      <c r="X18" s="14"/>
      <c r="Y18" s="14"/>
      <c r="AG18" s="14"/>
      <c r="AH18" s="14"/>
      <c r="AI18" s="14"/>
    </row>
    <row r="19" spans="1:35" x14ac:dyDescent="0.25">
      <c r="A19" s="3">
        <f>COUNTA(V2:V173)</f>
        <v>0</v>
      </c>
      <c r="B19" s="13" t="s">
        <v>9</v>
      </c>
      <c r="C19" s="12">
        <f>SUM(W1:W9973)</f>
        <v>0</v>
      </c>
      <c r="I19" s="19"/>
      <c r="M19"/>
      <c r="N19" s="14"/>
      <c r="R19" s="14"/>
      <c r="S19" s="14"/>
      <c r="T19" s="14"/>
      <c r="W19" s="14"/>
      <c r="X19" s="14"/>
      <c r="Y19" s="14"/>
      <c r="AG19" s="14"/>
      <c r="AH19" s="14"/>
      <c r="AI19" s="14"/>
    </row>
    <row r="20" spans="1:35" x14ac:dyDescent="0.25">
      <c r="A20" s="3"/>
      <c r="B20" s="13" t="s">
        <v>10</v>
      </c>
      <c r="C20" s="12">
        <f>SUM(X1:X9978)</f>
        <v>0</v>
      </c>
      <c r="H20" s="19"/>
      <c r="K20" s="10"/>
      <c r="M20"/>
      <c r="P20" s="10"/>
      <c r="R20" s="14"/>
      <c r="S20" s="14"/>
      <c r="T20" s="14"/>
      <c r="W20" s="14"/>
      <c r="X20" s="14"/>
      <c r="Y20" s="14"/>
      <c r="AG20" s="14"/>
      <c r="AH20" s="14"/>
      <c r="AI20" s="14"/>
    </row>
    <row r="21" spans="1:35" x14ac:dyDescent="0.25">
      <c r="A21" s="3"/>
      <c r="B21" s="13" t="s">
        <v>11</v>
      </c>
      <c r="C21" s="12">
        <f>SUM(Y:Y)</f>
        <v>0</v>
      </c>
      <c r="M21"/>
      <c r="R21" s="14"/>
      <c r="S21" s="14"/>
      <c r="T21" s="14"/>
      <c r="W21" s="14"/>
      <c r="X21" s="14"/>
      <c r="Y21" s="14"/>
      <c r="AG21" s="14"/>
      <c r="AH21" s="14"/>
      <c r="AI21" s="14"/>
    </row>
    <row r="22" spans="1:35" ht="15" customHeight="1" x14ac:dyDescent="0.25">
      <c r="A22" s="3"/>
      <c r="M22"/>
      <c r="N22" s="14"/>
      <c r="R22" s="14"/>
      <c r="S22" s="14"/>
      <c r="T22" s="14"/>
      <c r="W22" s="14"/>
      <c r="X22" s="14"/>
      <c r="Y22" s="14"/>
      <c r="AG22" s="17"/>
      <c r="AH22" s="14"/>
      <c r="AI22" s="14"/>
    </row>
    <row r="23" spans="1:35" ht="15" customHeight="1" x14ac:dyDescent="0.25">
      <c r="A23" s="3" t="s">
        <v>13</v>
      </c>
      <c r="B23" t="s">
        <v>3</v>
      </c>
      <c r="C23" s="12">
        <f>SUM(C24:C26)</f>
        <v>0</v>
      </c>
      <c r="M23"/>
      <c r="R23" s="14"/>
      <c r="S23" s="14"/>
      <c r="T23" s="14"/>
      <c r="W23" s="14"/>
      <c r="X23" s="14"/>
      <c r="Y23" s="14"/>
      <c r="AG23" s="14"/>
      <c r="AH23" s="14"/>
      <c r="AI23" s="14"/>
    </row>
    <row r="24" spans="1:35" x14ac:dyDescent="0.25">
      <c r="A24" s="3">
        <f>COUNTA(V7:V178)</f>
        <v>0</v>
      </c>
      <c r="B24" s="13" t="s">
        <v>9</v>
      </c>
      <c r="C24" s="12">
        <f>SUM(AB:AB)</f>
        <v>0</v>
      </c>
      <c r="H24" s="19"/>
      <c r="M24"/>
      <c r="R24" s="14"/>
      <c r="S24" s="14"/>
      <c r="T24" s="14"/>
      <c r="W24" s="14"/>
      <c r="X24" s="14"/>
      <c r="Y24" s="14"/>
      <c r="AG24" s="14"/>
      <c r="AH24" s="14"/>
      <c r="AI24" s="14"/>
    </row>
    <row r="25" spans="1:35" x14ac:dyDescent="0.25">
      <c r="A25" s="3"/>
      <c r="B25" s="13" t="s">
        <v>10</v>
      </c>
      <c r="C25" s="12">
        <f>SUM(AC:AC)</f>
        <v>0</v>
      </c>
      <c r="K25" s="10"/>
      <c r="M25"/>
      <c r="P25" s="10"/>
      <c r="R25" s="14"/>
      <c r="T25" s="14"/>
      <c r="W25" s="14"/>
      <c r="X25" s="14"/>
      <c r="Y25" s="14"/>
      <c r="AG25" s="14"/>
      <c r="AH25" s="14"/>
      <c r="AI25" s="14"/>
    </row>
    <row r="26" spans="1:35" x14ac:dyDescent="0.25">
      <c r="A26" s="3"/>
      <c r="B26" s="13" t="s">
        <v>11</v>
      </c>
      <c r="C26" s="12">
        <f>SUM(AD:AD)</f>
        <v>0</v>
      </c>
      <c r="M26"/>
      <c r="O26" s="14"/>
      <c r="R26" s="14"/>
      <c r="S26" s="14"/>
      <c r="T26" s="14"/>
      <c r="W26" s="14"/>
      <c r="X26" s="14"/>
      <c r="Y26" s="14"/>
      <c r="AG26" s="14"/>
      <c r="AH26" s="14"/>
      <c r="AI26" s="14"/>
    </row>
    <row r="27" spans="1:35" x14ac:dyDescent="0.25">
      <c r="A27" s="3"/>
      <c r="M27"/>
      <c r="R27" s="14"/>
      <c r="S27" s="14"/>
      <c r="T27" s="14"/>
      <c r="W27" s="14"/>
      <c r="X27" s="14"/>
      <c r="Y27" s="14"/>
      <c r="AG27" s="14"/>
      <c r="AH27" s="14"/>
      <c r="AI27" s="14"/>
    </row>
    <row r="28" spans="1:35" x14ac:dyDescent="0.25">
      <c r="A28" s="3" t="s">
        <v>14</v>
      </c>
      <c r="B28" t="s">
        <v>3</v>
      </c>
      <c r="C28" s="12">
        <f>SUM(C29:C31)</f>
        <v>0</v>
      </c>
      <c r="M28"/>
      <c r="R28" s="14"/>
      <c r="S28" s="14"/>
      <c r="T28" s="14"/>
      <c r="W28" s="14"/>
      <c r="X28" s="14"/>
      <c r="Y28" s="14"/>
      <c r="AG28" s="14"/>
      <c r="AH28" s="14"/>
      <c r="AI28" s="14"/>
    </row>
    <row r="29" spans="1:35" x14ac:dyDescent="0.25">
      <c r="A29" s="3">
        <f>COUNTA(V11:V183)</f>
        <v>0</v>
      </c>
      <c r="B29" s="13" t="s">
        <v>9</v>
      </c>
      <c r="C29" s="12">
        <f>SUM(AG:AG)</f>
        <v>0</v>
      </c>
      <c r="M29"/>
      <c r="O29" s="14"/>
      <c r="R29" s="14"/>
      <c r="S29" s="14"/>
      <c r="T29" s="14"/>
      <c r="W29" s="14"/>
      <c r="X29" s="14"/>
      <c r="Y29" s="14"/>
      <c r="AG29" s="14"/>
      <c r="AH29" s="14"/>
      <c r="AI29" s="14"/>
    </row>
    <row r="30" spans="1:35" x14ac:dyDescent="0.25">
      <c r="B30" s="13" t="s">
        <v>10</v>
      </c>
      <c r="C30" s="12">
        <f>SUM(AH:AH)</f>
        <v>0</v>
      </c>
      <c r="M30"/>
      <c r="N30" s="14"/>
      <c r="R30" s="14"/>
      <c r="S30" s="14"/>
      <c r="T30" s="14"/>
      <c r="W30" s="17"/>
      <c r="X30" s="14"/>
      <c r="Y30" s="14"/>
      <c r="AG30" s="14"/>
      <c r="AH30" s="14"/>
      <c r="AI30" s="14"/>
    </row>
    <row r="31" spans="1:35" x14ac:dyDescent="0.25">
      <c r="B31" s="13" t="s">
        <v>11</v>
      </c>
      <c r="C31" s="12">
        <f>SUM(AI:AI)</f>
        <v>0</v>
      </c>
      <c r="K31" s="10"/>
      <c r="M31"/>
      <c r="P31" s="10"/>
      <c r="R31" s="14"/>
      <c r="S31" s="14"/>
      <c r="T31" s="14"/>
      <c r="W31" s="14"/>
      <c r="X31" s="14"/>
      <c r="Y31" s="14"/>
      <c r="AG31" s="14"/>
      <c r="AH31" s="14"/>
      <c r="AI31" s="14"/>
    </row>
    <row r="32" spans="1:35" x14ac:dyDescent="0.25">
      <c r="H32" s="19"/>
      <c r="K32" s="10"/>
      <c r="M32"/>
      <c r="O32" s="14"/>
      <c r="P32" s="10"/>
      <c r="R32" s="14"/>
      <c r="S32" s="14"/>
      <c r="T32" s="14"/>
      <c r="W32" s="14"/>
      <c r="X32" s="14"/>
      <c r="Y32" s="14"/>
      <c r="AG32" s="14"/>
      <c r="AH32" s="14"/>
      <c r="AI32" s="14"/>
    </row>
    <row r="33" spans="11:35" x14ac:dyDescent="0.25">
      <c r="K33" s="10"/>
      <c r="M33"/>
      <c r="O33" s="14"/>
      <c r="P33" s="10"/>
      <c r="R33" s="14"/>
      <c r="S33" s="14"/>
      <c r="T33" s="14"/>
      <c r="W33" s="14"/>
      <c r="X33" s="14"/>
      <c r="Y33" s="14"/>
      <c r="AG33" s="14"/>
      <c r="AH33" s="14"/>
      <c r="AI33" s="14"/>
    </row>
    <row r="34" spans="11:35" x14ac:dyDescent="0.25">
      <c r="K34" s="10"/>
      <c r="M34"/>
      <c r="P34" s="10"/>
      <c r="R34" s="14"/>
      <c r="T34" s="14"/>
      <c r="W34" s="14"/>
      <c r="X34" s="14"/>
      <c r="Y34" s="14"/>
      <c r="AG34" s="14"/>
      <c r="AH34" s="14"/>
      <c r="AI34" s="14"/>
    </row>
    <row r="35" spans="11:35" x14ac:dyDescent="0.25">
      <c r="M35"/>
      <c r="R35" s="14"/>
      <c r="S35" s="14"/>
      <c r="T35" s="14"/>
      <c r="W35" s="14"/>
      <c r="X35" s="14"/>
      <c r="Y35" s="14"/>
      <c r="AG35" s="14"/>
      <c r="AH35" s="14"/>
      <c r="AI35" s="14"/>
    </row>
    <row r="36" spans="11:35" x14ac:dyDescent="0.25">
      <c r="M36"/>
      <c r="R36" s="14"/>
      <c r="S36" s="14"/>
      <c r="T36" s="14"/>
      <c r="W36" s="14"/>
      <c r="X36" s="14"/>
      <c r="Y36" s="14"/>
      <c r="AG36" s="14"/>
      <c r="AH36" s="14"/>
      <c r="AI36" s="14"/>
    </row>
    <row r="37" spans="11:35" x14ac:dyDescent="0.25">
      <c r="K37" s="10"/>
      <c r="M37"/>
      <c r="P37" s="10"/>
      <c r="S37" s="14"/>
      <c r="T37" s="14"/>
      <c r="W37" s="14"/>
      <c r="X37" s="14"/>
      <c r="Y37" s="14"/>
      <c r="AG37" s="14"/>
      <c r="AH37" s="14"/>
      <c r="AI37" s="14"/>
    </row>
    <row r="38" spans="11:35" x14ac:dyDescent="0.25">
      <c r="K38" s="10"/>
      <c r="P38" s="10"/>
      <c r="R38" s="14"/>
      <c r="S38" s="14"/>
      <c r="T38" s="14"/>
      <c r="W38" s="14"/>
      <c r="X38" s="14"/>
      <c r="Y38" s="14"/>
      <c r="AG38" s="14"/>
      <c r="AH38" s="14"/>
      <c r="AI38" s="14"/>
    </row>
    <row r="39" spans="11:35" x14ac:dyDescent="0.25">
      <c r="K39" s="10"/>
      <c r="P39" s="10"/>
      <c r="T39" s="14"/>
      <c r="W39" s="14"/>
      <c r="X39" s="14"/>
      <c r="Y39" s="14"/>
      <c r="AG39" s="14"/>
      <c r="AH39" s="14"/>
      <c r="AI39" s="14"/>
    </row>
    <row r="40" spans="11:35" x14ac:dyDescent="0.25">
      <c r="K40" s="10"/>
      <c r="N40" s="14"/>
      <c r="P40" s="10"/>
      <c r="T40" s="14"/>
      <c r="W40" s="14"/>
      <c r="X40" s="14"/>
      <c r="Y40" s="14"/>
      <c r="AG40" s="14"/>
      <c r="AH40" s="14"/>
      <c r="AI40" s="14"/>
    </row>
    <row r="41" spans="11:35" x14ac:dyDescent="0.25">
      <c r="K41" s="10"/>
      <c r="P41" s="10"/>
      <c r="R41" s="14"/>
      <c r="S41" s="14"/>
      <c r="T41" s="14"/>
      <c r="W41" s="17"/>
      <c r="X41" s="14"/>
      <c r="Y41" s="14"/>
      <c r="AG41" s="14"/>
      <c r="AH41" s="14"/>
      <c r="AI41" s="14"/>
    </row>
    <row r="42" spans="11:35" x14ac:dyDescent="0.25">
      <c r="K42" s="10"/>
      <c r="P42" s="10"/>
      <c r="T42" s="14"/>
      <c r="W42" s="14"/>
      <c r="X42" s="14"/>
      <c r="Y42" s="14"/>
      <c r="AG42" s="17"/>
      <c r="AH42" s="14"/>
      <c r="AI42" s="14"/>
    </row>
    <row r="43" spans="11:35" x14ac:dyDescent="0.25">
      <c r="M43" s="14"/>
      <c r="O43" s="14"/>
      <c r="R43" s="14"/>
      <c r="S43" s="14"/>
      <c r="T43" s="14"/>
      <c r="V43" s="16"/>
      <c r="W43" s="14"/>
      <c r="X43" s="14"/>
      <c r="Y43" s="14"/>
      <c r="AH43" s="14"/>
      <c r="AI43" s="14"/>
    </row>
    <row r="44" spans="11:35" x14ac:dyDescent="0.25">
      <c r="K44" s="10"/>
      <c r="N44" s="14"/>
      <c r="P44" s="10"/>
      <c r="R44" s="14"/>
      <c r="S44" s="14"/>
      <c r="T44" s="14"/>
      <c r="W44" s="14"/>
      <c r="X44" s="14"/>
      <c r="Y44" s="14"/>
      <c r="AH44" s="14"/>
      <c r="AI44" s="14"/>
    </row>
    <row r="45" spans="11:35" x14ac:dyDescent="0.25">
      <c r="K45" s="10"/>
      <c r="P45" s="10"/>
      <c r="R45" s="14"/>
      <c r="S45" s="14"/>
      <c r="T45" s="14"/>
    </row>
    <row r="46" spans="11:35" x14ac:dyDescent="0.25">
      <c r="K46" s="10"/>
      <c r="P46" s="10"/>
      <c r="Q46" s="9"/>
      <c r="R46" s="14"/>
      <c r="S46" s="14"/>
      <c r="T46" s="14"/>
      <c r="V46" s="16"/>
    </row>
    <row r="47" spans="11:35" x14ac:dyDescent="0.25">
      <c r="K47" s="10"/>
      <c r="O47" s="14"/>
      <c r="P47" s="10"/>
      <c r="Q47" s="9"/>
      <c r="R47" s="14"/>
      <c r="S47" s="14"/>
      <c r="T47" s="14"/>
      <c r="V47" s="16"/>
    </row>
    <row r="48" spans="11:35" x14ac:dyDescent="0.25">
      <c r="K48" s="10"/>
      <c r="P48" s="10"/>
      <c r="R48" s="14"/>
      <c r="T48" s="14"/>
    </row>
    <row r="49" spans="10:22" x14ac:dyDescent="0.25">
      <c r="Q49" s="9"/>
      <c r="R49" s="14"/>
      <c r="S49" s="14"/>
      <c r="T49" s="14"/>
    </row>
    <row r="50" spans="10:22" x14ac:dyDescent="0.25">
      <c r="R50" s="14"/>
      <c r="S50" s="14"/>
      <c r="T50" s="14"/>
    </row>
    <row r="51" spans="10:22" x14ac:dyDescent="0.25">
      <c r="J51" s="19"/>
      <c r="K51" s="10"/>
      <c r="P51" s="10"/>
      <c r="Q51" s="9"/>
      <c r="R51" s="14"/>
      <c r="S51" s="14"/>
      <c r="T51" s="14"/>
    </row>
    <row r="52" spans="10:22" x14ac:dyDescent="0.25">
      <c r="K52" s="10"/>
      <c r="P52" s="10"/>
      <c r="R52" s="14"/>
      <c r="S52" s="14"/>
      <c r="T52" s="14"/>
    </row>
    <row r="53" spans="10:22" x14ac:dyDescent="0.25">
      <c r="K53" s="10"/>
      <c r="P53" s="10"/>
      <c r="Q53" s="9"/>
      <c r="R53" s="14"/>
      <c r="S53" s="14"/>
      <c r="T53" s="14"/>
    </row>
    <row r="54" spans="10:22" x14ac:dyDescent="0.25">
      <c r="K54" s="10"/>
      <c r="P54" s="10"/>
      <c r="R54" s="14"/>
      <c r="S54" s="14"/>
      <c r="T54" s="14"/>
      <c r="V54" s="16"/>
    </row>
    <row r="55" spans="10:22" x14ac:dyDescent="0.25">
      <c r="K55" s="10"/>
      <c r="P55" s="10"/>
      <c r="R55" s="14"/>
      <c r="S55" s="14"/>
      <c r="T55" s="14"/>
      <c r="V55" s="16"/>
    </row>
    <row r="56" spans="10:22" x14ac:dyDescent="0.25">
      <c r="J56" s="19"/>
      <c r="K56" s="10"/>
      <c r="P56" s="10"/>
      <c r="R56" s="14"/>
      <c r="S56" s="14"/>
      <c r="T56" s="14"/>
    </row>
    <row r="57" spans="10:22" x14ac:dyDescent="0.25">
      <c r="K57" s="10"/>
      <c r="P57" s="10"/>
    </row>
    <row r="58" spans="10:22" x14ac:dyDescent="0.25">
      <c r="K58" s="10"/>
      <c r="P58" s="10"/>
    </row>
    <row r="59" spans="10:22" x14ac:dyDescent="0.25">
      <c r="K59" s="10"/>
      <c r="P59" s="10"/>
    </row>
    <row r="60" spans="10:22" x14ac:dyDescent="0.25">
      <c r="K60" s="10"/>
      <c r="P60" s="10"/>
    </row>
    <row r="61" spans="10:22" x14ac:dyDescent="0.25">
      <c r="K61" s="10"/>
      <c r="P61" s="10"/>
    </row>
    <row r="62" spans="10:22" x14ac:dyDescent="0.25">
      <c r="K62" s="10"/>
      <c r="P62" s="10"/>
    </row>
    <row r="63" spans="10:22" x14ac:dyDescent="0.25">
      <c r="K63" s="10"/>
      <c r="P63" s="10"/>
    </row>
    <row r="64" spans="10:22" x14ac:dyDescent="0.25">
      <c r="K64" s="10"/>
      <c r="P64" s="10"/>
    </row>
    <row r="65" spans="11:16" x14ac:dyDescent="0.25">
      <c r="K65" s="10"/>
      <c r="P65" s="10"/>
    </row>
    <row r="66" spans="11:16" x14ac:dyDescent="0.25">
      <c r="K66" s="10"/>
      <c r="P66" s="10"/>
    </row>
    <row r="67" spans="11:16" x14ac:dyDescent="0.25">
      <c r="K67" s="10"/>
      <c r="P67" s="10"/>
    </row>
    <row r="68" spans="11:16" x14ac:dyDescent="0.25">
      <c r="K68" s="10"/>
      <c r="P68" s="10"/>
    </row>
    <row r="69" spans="11:16" x14ac:dyDescent="0.25">
      <c r="K69" s="10"/>
      <c r="P69" s="10"/>
    </row>
    <row r="70" spans="11:16" x14ac:dyDescent="0.25">
      <c r="K70" s="10"/>
      <c r="P70" s="10"/>
    </row>
    <row r="71" spans="11:16" x14ac:dyDescent="0.25">
      <c r="K71" s="10"/>
      <c r="P71" s="10"/>
    </row>
    <row r="72" spans="11:16" x14ac:dyDescent="0.25">
      <c r="K72" s="10"/>
      <c r="P72" s="10"/>
    </row>
    <row r="73" spans="11:16" x14ac:dyDescent="0.25">
      <c r="K73" s="10"/>
      <c r="P73" s="10"/>
    </row>
    <row r="105" spans="7:10" x14ac:dyDescent="0.25">
      <c r="G105" s="19"/>
      <c r="H105" s="19"/>
    </row>
    <row r="106" spans="7:10" x14ac:dyDescent="0.25">
      <c r="G106" s="19"/>
      <c r="H106" s="19"/>
    </row>
    <row r="107" spans="7:10" x14ac:dyDescent="0.25">
      <c r="G107" s="19"/>
      <c r="H107" s="19"/>
    </row>
    <row r="109" spans="7:10" x14ac:dyDescent="0.25">
      <c r="I109" s="19"/>
      <c r="J109" s="19"/>
    </row>
    <row r="147" spans="9:10" x14ac:dyDescent="0.25">
      <c r="I147" s="19"/>
      <c r="J147" s="19"/>
    </row>
    <row r="150" spans="9:10" x14ac:dyDescent="0.25">
      <c r="I150" s="19"/>
      <c r="J150" s="19"/>
    </row>
    <row r="151" spans="9:10" x14ac:dyDescent="0.25">
      <c r="I151" s="19"/>
      <c r="J151" s="19"/>
    </row>
    <row r="152" spans="9:10" x14ac:dyDescent="0.25">
      <c r="I152" s="19"/>
      <c r="J152" s="19"/>
    </row>
    <row r="153" spans="9:10" x14ac:dyDescent="0.25">
      <c r="I153" s="19"/>
      <c r="J153" s="19"/>
    </row>
    <row r="154" spans="9:10" x14ac:dyDescent="0.25">
      <c r="I154" s="19"/>
      <c r="J154" s="19"/>
    </row>
    <row r="168" spans="9:10" x14ac:dyDescent="0.25">
      <c r="I168" s="19"/>
      <c r="J168" s="19"/>
    </row>
    <row r="249" spans="7:10" x14ac:dyDescent="0.25">
      <c r="G249" s="19"/>
    </row>
    <row r="250" spans="7:10" x14ac:dyDescent="0.25">
      <c r="G250" s="19"/>
      <c r="H250" s="19"/>
      <c r="I250" s="19"/>
      <c r="J250" s="19"/>
    </row>
    <row r="251" spans="7:10" x14ac:dyDescent="0.25">
      <c r="G251" s="19"/>
      <c r="H251" s="19"/>
      <c r="I251" s="19"/>
      <c r="J251" s="19"/>
    </row>
    <row r="252" spans="7:10" x14ac:dyDescent="0.25">
      <c r="G252" s="19"/>
      <c r="H252" s="19"/>
      <c r="I252" s="19"/>
      <c r="J252" s="19"/>
    </row>
    <row r="253" spans="7:10" x14ac:dyDescent="0.25">
      <c r="G253" s="19"/>
      <c r="H253" s="19"/>
      <c r="I253" s="19"/>
      <c r="J253" s="19"/>
    </row>
    <row r="254" spans="7:10" x14ac:dyDescent="0.25">
      <c r="G254" s="19"/>
      <c r="H254" s="19"/>
      <c r="I254" s="19"/>
      <c r="J254" s="19"/>
    </row>
    <row r="255" spans="7:10" x14ac:dyDescent="0.25">
      <c r="G255" s="19"/>
      <c r="H255" s="19"/>
      <c r="I255" s="19"/>
      <c r="J255" s="19"/>
    </row>
    <row r="256" spans="7:10" x14ac:dyDescent="0.25">
      <c r="G256" s="19"/>
      <c r="H256" s="19"/>
      <c r="I256" s="19"/>
      <c r="J256" s="19"/>
    </row>
    <row r="257" spans="7:10" x14ac:dyDescent="0.25">
      <c r="G257" s="19"/>
      <c r="H257" s="19"/>
      <c r="I257" s="19"/>
      <c r="J257" s="19"/>
    </row>
    <row r="258" spans="7:10" x14ac:dyDescent="0.25">
      <c r="G258" s="19"/>
      <c r="H258" s="19"/>
      <c r="I258" s="19"/>
      <c r="J258" s="19"/>
    </row>
    <row r="259" spans="7:10" x14ac:dyDescent="0.25">
      <c r="H259" s="19"/>
      <c r="I259" s="19"/>
      <c r="J259" s="19"/>
    </row>
    <row r="260" spans="7:10" x14ac:dyDescent="0.25">
      <c r="H260" s="19"/>
      <c r="I260" s="19"/>
      <c r="J260" s="19"/>
    </row>
    <row r="261" spans="7:10" x14ac:dyDescent="0.25">
      <c r="G261" s="19"/>
      <c r="H261" s="19"/>
      <c r="I261" s="19"/>
      <c r="J261" s="19"/>
    </row>
    <row r="262" spans="7:10" x14ac:dyDescent="0.25">
      <c r="H262" s="19"/>
      <c r="I262" s="19"/>
      <c r="J262" s="19"/>
    </row>
  </sheetData>
  <autoFilter ref="E1:J64" xr:uid="{ECA3C9C2-80EC-490F-B169-A635168C3A31}">
    <sortState xmlns:xlrd2="http://schemas.microsoft.com/office/spreadsheetml/2017/richdata2" ref="E2:J64">
      <sortCondition ref="E1:E64"/>
    </sortState>
  </autoFilter>
  <sortState xmlns:xlrd2="http://schemas.microsoft.com/office/spreadsheetml/2017/richdata2" ref="F3:F65">
    <sortCondition ref="F2:F65"/>
  </sortState>
  <phoneticPr fontId="5" type="noConversion"/>
  <conditionalFormatting sqref="L77:L78 L80 L53:L54 L50 L38:L48">
    <cfRule type="duplicateValues" dxfId="76" priority="27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D4F7-4D99-4EC2-9D24-FABB22B75A9C}">
  <dimension ref="A1:S27"/>
  <sheetViews>
    <sheetView workbookViewId="0">
      <selection activeCell="G21" sqref="G21"/>
    </sheetView>
  </sheetViews>
  <sheetFormatPr defaultRowHeight="15" x14ac:dyDescent="0.25"/>
  <cols>
    <col min="1" max="1" width="10.7109375" bestFit="1" customWidth="1"/>
    <col min="2" max="9" width="11.28515625" customWidth="1"/>
    <col min="10" max="10" width="11" style="3" customWidth="1"/>
    <col min="11" max="11" width="12.140625" style="3" bestFit="1" customWidth="1"/>
    <col min="13" max="13" width="12.140625" bestFit="1" customWidth="1"/>
    <col min="15" max="15" width="11.5703125" style="21" bestFit="1" customWidth="1"/>
    <col min="19" max="19" width="11.5703125" style="3" bestFit="1" customWidth="1"/>
  </cols>
  <sheetData>
    <row r="1" spans="1:19" s="3" customFormat="1" x14ac:dyDescent="0.25">
      <c r="A1" s="3" t="s">
        <v>1651</v>
      </c>
      <c r="B1" s="3" t="s">
        <v>1652</v>
      </c>
      <c r="C1" s="3" t="s">
        <v>1653</v>
      </c>
      <c r="D1" s="3" t="s">
        <v>1654</v>
      </c>
      <c r="E1" s="3" t="s">
        <v>1655</v>
      </c>
      <c r="F1" s="3" t="s">
        <v>8</v>
      </c>
      <c r="G1" s="3" t="s">
        <v>1656</v>
      </c>
      <c r="H1" s="3" t="s">
        <v>12</v>
      </c>
      <c r="I1" s="3" t="s">
        <v>1657</v>
      </c>
      <c r="J1" s="29" t="s">
        <v>1658</v>
      </c>
      <c r="K1" s="29"/>
      <c r="M1" s="3" t="s">
        <v>1</v>
      </c>
      <c r="N1" s="3" t="s">
        <v>1668</v>
      </c>
      <c r="O1" s="21" t="s">
        <v>1669</v>
      </c>
      <c r="Q1" s="3" t="s">
        <v>1670</v>
      </c>
      <c r="R1" s="3" t="s">
        <v>1668</v>
      </c>
      <c r="S1" s="3" t="s">
        <v>1669</v>
      </c>
    </row>
    <row r="2" spans="1:19" x14ac:dyDescent="0.25">
      <c r="A2" s="20">
        <v>45587</v>
      </c>
      <c r="B2" t="s">
        <v>2</v>
      </c>
      <c r="C2" t="s">
        <v>16</v>
      </c>
      <c r="D2" t="s">
        <v>1659</v>
      </c>
      <c r="E2" t="s">
        <v>1660</v>
      </c>
      <c r="F2" t="s">
        <v>1661</v>
      </c>
      <c r="G2" t="s">
        <v>1664</v>
      </c>
      <c r="H2" t="s">
        <v>1662</v>
      </c>
      <c r="I2" t="s">
        <v>1663</v>
      </c>
      <c r="J2" s="3" t="s">
        <v>2</v>
      </c>
      <c r="K2" s="3" t="s">
        <v>16</v>
      </c>
      <c r="M2" t="s">
        <v>29</v>
      </c>
      <c r="N2" s="3">
        <f t="shared" ref="N2:N26" si="0">COUNTIF(C:C,M2)+COUNTIF(E:E,M2)+COUNTIF(G:G,M2)+COUNTIF(I:I,M2)</f>
        <v>2</v>
      </c>
      <c r="O2" s="21" t="str">
        <f t="shared" ref="O2:O26" si="1">IF(N2&gt;=10,(COUNTIF(K:K,M2)/N2),"Insuficiente")</f>
        <v>Insuficiente</v>
      </c>
      <c r="Q2" t="s">
        <v>2</v>
      </c>
      <c r="R2" s="3">
        <f>COUNTIF(B:B,Q2)+COUNTIF(D:D,Q2)+COUNTIF(F:F,Q2)+COUNTIF(H:H,Q2)</f>
        <v>11</v>
      </c>
      <c r="S2" s="21">
        <f>IF(R2&gt;=10, (COUNTIF(J:J,Q2)/R2), "Insuficiente")</f>
        <v>0.36363636363636365</v>
      </c>
    </row>
    <row r="3" spans="1:19" x14ac:dyDescent="0.25">
      <c r="A3" s="20">
        <v>45594</v>
      </c>
      <c r="B3" t="s">
        <v>2</v>
      </c>
      <c r="C3" t="s">
        <v>30</v>
      </c>
      <c r="D3" t="s">
        <v>1659</v>
      </c>
      <c r="E3" t="s">
        <v>1660</v>
      </c>
      <c r="F3" t="s">
        <v>1661</v>
      </c>
      <c r="G3" t="s">
        <v>1664</v>
      </c>
      <c r="H3" t="s">
        <v>1662</v>
      </c>
      <c r="I3" t="s">
        <v>1665</v>
      </c>
      <c r="J3" s="3" t="s">
        <v>1659</v>
      </c>
      <c r="K3" s="3" t="s">
        <v>1660</v>
      </c>
      <c r="M3" t="s">
        <v>22</v>
      </c>
      <c r="N3" s="3">
        <f t="shared" si="0"/>
        <v>1</v>
      </c>
      <c r="O3" s="21" t="str">
        <f t="shared" si="1"/>
        <v>Insuficiente</v>
      </c>
      <c r="Q3" t="s">
        <v>1659</v>
      </c>
      <c r="R3" s="3">
        <f t="shared" ref="R3:R9" si="2">COUNTIF(B:B,Q3)+COUNTIF(D:D,Q3)+COUNTIF(F:F,Q3)+COUNTIF(H:H,Q3)</f>
        <v>11</v>
      </c>
      <c r="S3" s="21">
        <f t="shared" ref="S3:S9" si="3">IF(R3&gt;=10, (COUNTIF(J:J,Q3)/R3), "Insuficiente")</f>
        <v>0.27272727272727271</v>
      </c>
    </row>
    <row r="4" spans="1:19" x14ac:dyDescent="0.25">
      <c r="A4" s="20">
        <v>45594</v>
      </c>
      <c r="B4" t="s">
        <v>2</v>
      </c>
      <c r="C4" t="s">
        <v>1667</v>
      </c>
      <c r="D4" t="s">
        <v>1659</v>
      </c>
      <c r="E4" t="s">
        <v>1660</v>
      </c>
      <c r="F4" t="s">
        <v>1661</v>
      </c>
      <c r="G4" t="s">
        <v>1664</v>
      </c>
      <c r="H4" t="s">
        <v>1666</v>
      </c>
      <c r="I4" t="s">
        <v>19</v>
      </c>
      <c r="J4" s="3" t="s">
        <v>2</v>
      </c>
      <c r="K4" s="3" t="s">
        <v>1667</v>
      </c>
      <c r="M4" t="s">
        <v>1553</v>
      </c>
      <c r="N4" s="3">
        <f t="shared" si="0"/>
        <v>1</v>
      </c>
      <c r="O4" s="21" t="str">
        <f t="shared" si="1"/>
        <v>Insuficiente</v>
      </c>
      <c r="Q4" t="s">
        <v>1661</v>
      </c>
      <c r="R4" s="3">
        <f t="shared" si="2"/>
        <v>6</v>
      </c>
      <c r="S4" s="21" t="str">
        <f t="shared" si="3"/>
        <v>Insuficiente</v>
      </c>
    </row>
    <row r="5" spans="1:19" x14ac:dyDescent="0.25">
      <c r="A5" s="20">
        <v>45594</v>
      </c>
      <c r="B5" t="s">
        <v>2</v>
      </c>
      <c r="C5" t="s">
        <v>29</v>
      </c>
      <c r="D5" t="s">
        <v>1659</v>
      </c>
      <c r="E5" t="s">
        <v>1660</v>
      </c>
      <c r="F5" t="s">
        <v>1661</v>
      </c>
      <c r="G5" t="s">
        <v>1553</v>
      </c>
      <c r="H5" t="s">
        <v>1666</v>
      </c>
      <c r="I5" t="s">
        <v>55</v>
      </c>
      <c r="J5" s="3" t="s">
        <v>2</v>
      </c>
      <c r="K5" s="3" t="s">
        <v>29</v>
      </c>
      <c r="M5" t="s">
        <v>30</v>
      </c>
      <c r="N5" s="3">
        <f t="shared" si="0"/>
        <v>1</v>
      </c>
      <c r="O5" s="21" t="str">
        <f t="shared" si="1"/>
        <v>Insuficiente</v>
      </c>
      <c r="Q5" t="s">
        <v>1662</v>
      </c>
      <c r="R5" s="3">
        <f t="shared" si="2"/>
        <v>5</v>
      </c>
      <c r="S5" s="21" t="str">
        <f t="shared" si="3"/>
        <v>Insuficiente</v>
      </c>
    </row>
    <row r="6" spans="1:19" x14ac:dyDescent="0.25">
      <c r="A6" s="20">
        <v>45597</v>
      </c>
      <c r="B6" t="s">
        <v>2</v>
      </c>
      <c r="C6" t="s">
        <v>25</v>
      </c>
      <c r="D6" t="s">
        <v>1659</v>
      </c>
      <c r="E6" t="s">
        <v>1660</v>
      </c>
      <c r="F6" t="s">
        <v>1661</v>
      </c>
      <c r="G6" t="s">
        <v>1664</v>
      </c>
      <c r="H6" t="s">
        <v>1672</v>
      </c>
      <c r="I6" t="s">
        <v>1679</v>
      </c>
      <c r="J6" s="3" t="s">
        <v>1672</v>
      </c>
      <c r="K6" s="3" t="s">
        <v>1679</v>
      </c>
      <c r="M6" t="s">
        <v>16</v>
      </c>
      <c r="N6" s="3">
        <f t="shared" si="0"/>
        <v>1</v>
      </c>
      <c r="O6" s="21" t="str">
        <f t="shared" si="1"/>
        <v>Insuficiente</v>
      </c>
      <c r="Q6" t="s">
        <v>1666</v>
      </c>
      <c r="R6" s="3">
        <f t="shared" si="2"/>
        <v>2</v>
      </c>
      <c r="S6" s="21" t="str">
        <f t="shared" si="3"/>
        <v>Insuficiente</v>
      </c>
    </row>
    <row r="7" spans="1:19" x14ac:dyDescent="0.25">
      <c r="A7" s="20">
        <v>45597</v>
      </c>
      <c r="B7" t="s">
        <v>2</v>
      </c>
      <c r="C7" t="s">
        <v>23</v>
      </c>
      <c r="D7" t="s">
        <v>1659</v>
      </c>
      <c r="E7" t="s">
        <v>1660</v>
      </c>
      <c r="F7" t="s">
        <v>1661</v>
      </c>
      <c r="G7" t="s">
        <v>1664</v>
      </c>
      <c r="H7" t="s">
        <v>1672</v>
      </c>
      <c r="I7" t="s">
        <v>1679</v>
      </c>
      <c r="J7" s="3" t="s">
        <v>1659</v>
      </c>
      <c r="K7" s="3" t="s">
        <v>1660</v>
      </c>
      <c r="M7" t="s">
        <v>1950</v>
      </c>
      <c r="N7" s="3">
        <f t="shared" si="0"/>
        <v>2</v>
      </c>
      <c r="O7" s="21" t="str">
        <f t="shared" si="1"/>
        <v>Insuficiente</v>
      </c>
      <c r="Q7" t="s">
        <v>1671</v>
      </c>
      <c r="R7" s="3">
        <f t="shared" si="2"/>
        <v>3</v>
      </c>
      <c r="S7" s="21" t="str">
        <f t="shared" si="3"/>
        <v>Insuficiente</v>
      </c>
    </row>
    <row r="8" spans="1:19" x14ac:dyDescent="0.25">
      <c r="A8" s="20">
        <v>45599</v>
      </c>
      <c r="B8" t="s">
        <v>2</v>
      </c>
      <c r="C8" t="s">
        <v>1683</v>
      </c>
      <c r="D8" t="s">
        <v>1659</v>
      </c>
      <c r="E8" t="s">
        <v>22</v>
      </c>
      <c r="F8" t="s">
        <v>1662</v>
      </c>
      <c r="G8" t="s">
        <v>1682</v>
      </c>
      <c r="H8" t="s">
        <v>1671</v>
      </c>
      <c r="I8" t="s">
        <v>1681</v>
      </c>
      <c r="J8" s="3" t="s">
        <v>1659</v>
      </c>
      <c r="K8" s="3" t="s">
        <v>22</v>
      </c>
      <c r="M8" t="s">
        <v>1949</v>
      </c>
      <c r="N8" s="3">
        <f t="shared" si="0"/>
        <v>1</v>
      </c>
      <c r="O8" s="21" t="str">
        <f t="shared" si="1"/>
        <v>Insuficiente</v>
      </c>
      <c r="Q8" t="s">
        <v>1672</v>
      </c>
      <c r="R8" s="3">
        <f t="shared" si="2"/>
        <v>4</v>
      </c>
      <c r="S8" s="21" t="str">
        <f t="shared" si="3"/>
        <v>Insuficiente</v>
      </c>
    </row>
    <row r="9" spans="1:19" x14ac:dyDescent="0.25">
      <c r="A9" s="20">
        <v>45599</v>
      </c>
      <c r="B9" t="s">
        <v>2</v>
      </c>
      <c r="C9" t="s">
        <v>52</v>
      </c>
      <c r="D9" t="s">
        <v>1659</v>
      </c>
      <c r="E9" t="s">
        <v>29</v>
      </c>
      <c r="F9" t="s">
        <v>1662</v>
      </c>
      <c r="G9" t="s">
        <v>1682</v>
      </c>
      <c r="H9" t="s">
        <v>1671</v>
      </c>
      <c r="I9" t="s">
        <v>1680</v>
      </c>
      <c r="J9" s="3" t="s">
        <v>1671</v>
      </c>
      <c r="K9" s="3" t="s">
        <v>1680</v>
      </c>
      <c r="M9" t="s">
        <v>25</v>
      </c>
      <c r="N9" s="3">
        <f t="shared" si="0"/>
        <v>1</v>
      </c>
      <c r="O9" s="21" t="str">
        <f t="shared" si="1"/>
        <v>Insuficiente</v>
      </c>
      <c r="Q9" t="s">
        <v>1948</v>
      </c>
      <c r="R9" s="3">
        <f t="shared" si="2"/>
        <v>2</v>
      </c>
      <c r="S9" s="3" t="str">
        <f t="shared" si="3"/>
        <v>Insuficiente</v>
      </c>
    </row>
    <row r="10" spans="1:19" x14ac:dyDescent="0.25">
      <c r="A10" s="20">
        <v>45835</v>
      </c>
      <c r="B10" t="s">
        <v>2</v>
      </c>
      <c r="C10" t="s">
        <v>24</v>
      </c>
      <c r="D10" t="s">
        <v>1659</v>
      </c>
      <c r="E10" t="s">
        <v>17</v>
      </c>
      <c r="F10" t="s">
        <v>1662</v>
      </c>
      <c r="G10" t="s">
        <v>1682</v>
      </c>
      <c r="H10" t="s">
        <v>1671</v>
      </c>
      <c r="I10" t="s">
        <v>1681</v>
      </c>
      <c r="J10" s="3" t="s">
        <v>1662</v>
      </c>
      <c r="K10" s="3" t="s">
        <v>1682</v>
      </c>
      <c r="M10" t="s">
        <v>17</v>
      </c>
      <c r="N10" s="3">
        <f t="shared" si="0"/>
        <v>1</v>
      </c>
      <c r="O10" s="21" t="str">
        <f t="shared" si="1"/>
        <v>Insuficiente</v>
      </c>
    </row>
    <row r="11" spans="1:19" x14ac:dyDescent="0.25">
      <c r="A11" s="20">
        <v>45864</v>
      </c>
      <c r="B11" t="s">
        <v>2</v>
      </c>
      <c r="C11" t="s">
        <v>19</v>
      </c>
      <c r="D11" t="s">
        <v>1659</v>
      </c>
      <c r="E11" t="s">
        <v>1660</v>
      </c>
      <c r="F11" t="s">
        <v>1948</v>
      </c>
      <c r="G11" t="s">
        <v>1949</v>
      </c>
      <c r="H11" t="s">
        <v>1672</v>
      </c>
      <c r="I11" t="s">
        <v>1950</v>
      </c>
      <c r="J11" s="3" t="s">
        <v>2</v>
      </c>
      <c r="K11" s="3" t="s">
        <v>19</v>
      </c>
      <c r="M11" t="s">
        <v>1663</v>
      </c>
      <c r="N11" s="3">
        <f t="shared" si="0"/>
        <v>2</v>
      </c>
      <c r="O11" s="21" t="str">
        <f t="shared" si="1"/>
        <v>Insuficiente</v>
      </c>
    </row>
    <row r="12" spans="1:19" x14ac:dyDescent="0.25">
      <c r="A12" s="20">
        <v>45864</v>
      </c>
      <c r="B12" t="s">
        <v>2</v>
      </c>
      <c r="C12" t="s">
        <v>53</v>
      </c>
      <c r="D12" t="s">
        <v>1659</v>
      </c>
      <c r="E12" t="s">
        <v>1660</v>
      </c>
      <c r="F12" t="s">
        <v>1948</v>
      </c>
      <c r="G12" t="s">
        <v>1663</v>
      </c>
      <c r="H12" t="s">
        <v>1672</v>
      </c>
      <c r="I12" t="s">
        <v>1950</v>
      </c>
      <c r="J12" s="3" t="s">
        <v>1948</v>
      </c>
      <c r="K12" s="3" t="s">
        <v>1663</v>
      </c>
      <c r="M12" t="s">
        <v>55</v>
      </c>
      <c r="N12" s="3">
        <f t="shared" si="0"/>
        <v>1</v>
      </c>
      <c r="O12" s="21" t="str">
        <f t="shared" si="1"/>
        <v>Insuficiente</v>
      </c>
    </row>
    <row r="13" spans="1:19" x14ac:dyDescent="0.25">
      <c r="M13" t="s">
        <v>1680</v>
      </c>
      <c r="N13" s="3">
        <f t="shared" si="0"/>
        <v>1</v>
      </c>
      <c r="O13" s="21" t="str">
        <f t="shared" si="1"/>
        <v>Insuficiente</v>
      </c>
    </row>
    <row r="14" spans="1:19" x14ac:dyDescent="0.25">
      <c r="M14" t="s">
        <v>19</v>
      </c>
      <c r="N14" s="3">
        <f t="shared" si="0"/>
        <v>2</v>
      </c>
      <c r="O14" s="21" t="str">
        <f t="shared" si="1"/>
        <v>Insuficiente</v>
      </c>
    </row>
    <row r="15" spans="1:19" x14ac:dyDescent="0.25">
      <c r="M15" t="s">
        <v>1683</v>
      </c>
      <c r="N15" s="3">
        <f t="shared" si="0"/>
        <v>1</v>
      </c>
      <c r="O15" s="21" t="str">
        <f t="shared" si="1"/>
        <v>Insuficiente</v>
      </c>
    </row>
    <row r="16" spans="1:19" x14ac:dyDescent="0.25">
      <c r="M16" t="s">
        <v>1664</v>
      </c>
      <c r="N16" s="3">
        <f t="shared" si="0"/>
        <v>5</v>
      </c>
      <c r="O16" s="21" t="str">
        <f t="shared" si="1"/>
        <v>Insuficiente</v>
      </c>
    </row>
    <row r="17" spans="13:15" x14ac:dyDescent="0.25">
      <c r="M17" t="s">
        <v>53</v>
      </c>
      <c r="N17" s="3">
        <f t="shared" si="0"/>
        <v>1</v>
      </c>
      <c r="O17" s="21" t="str">
        <f t="shared" si="1"/>
        <v>Insuficiente</v>
      </c>
    </row>
    <row r="18" spans="13:15" x14ac:dyDescent="0.25">
      <c r="M18" t="s">
        <v>52</v>
      </c>
      <c r="N18" s="3">
        <f t="shared" si="0"/>
        <v>1</v>
      </c>
      <c r="O18" s="21" t="str">
        <f t="shared" si="1"/>
        <v>Insuficiente</v>
      </c>
    </row>
    <row r="19" spans="13:15" x14ac:dyDescent="0.25">
      <c r="M19" t="s">
        <v>1665</v>
      </c>
      <c r="N19" s="3">
        <f t="shared" si="0"/>
        <v>1</v>
      </c>
      <c r="O19" s="21" t="str">
        <f t="shared" si="1"/>
        <v>Insuficiente</v>
      </c>
    </row>
    <row r="20" spans="13:15" x14ac:dyDescent="0.25">
      <c r="M20" t="s">
        <v>1667</v>
      </c>
      <c r="N20" s="3">
        <f t="shared" si="0"/>
        <v>1</v>
      </c>
      <c r="O20" s="21" t="str">
        <f t="shared" si="1"/>
        <v>Insuficiente</v>
      </c>
    </row>
    <row r="21" spans="13:15" x14ac:dyDescent="0.25">
      <c r="M21" t="s">
        <v>1681</v>
      </c>
      <c r="N21" s="3">
        <f t="shared" si="0"/>
        <v>2</v>
      </c>
      <c r="O21" s="21" t="str">
        <f t="shared" si="1"/>
        <v>Insuficiente</v>
      </c>
    </row>
    <row r="22" spans="13:15" x14ac:dyDescent="0.25">
      <c r="M22" t="s">
        <v>1682</v>
      </c>
      <c r="N22" s="3">
        <f t="shared" si="0"/>
        <v>3</v>
      </c>
      <c r="O22" s="21" t="str">
        <f t="shared" si="1"/>
        <v>Insuficiente</v>
      </c>
    </row>
    <row r="23" spans="13:15" x14ac:dyDescent="0.25">
      <c r="M23" t="s">
        <v>1679</v>
      </c>
      <c r="N23" s="3">
        <f t="shared" si="0"/>
        <v>2</v>
      </c>
      <c r="O23" s="21" t="str">
        <f t="shared" si="1"/>
        <v>Insuficiente</v>
      </c>
    </row>
    <row r="24" spans="13:15" x14ac:dyDescent="0.25">
      <c r="M24" t="s">
        <v>23</v>
      </c>
      <c r="N24" s="3">
        <f t="shared" si="0"/>
        <v>1</v>
      </c>
      <c r="O24" s="21" t="str">
        <f t="shared" si="1"/>
        <v>Insuficiente</v>
      </c>
    </row>
    <row r="25" spans="13:15" x14ac:dyDescent="0.25">
      <c r="M25" t="s">
        <v>24</v>
      </c>
      <c r="N25" s="3">
        <f t="shared" si="0"/>
        <v>1</v>
      </c>
      <c r="O25" s="21" t="str">
        <f t="shared" si="1"/>
        <v>Insuficiente</v>
      </c>
    </row>
    <row r="26" spans="13:15" x14ac:dyDescent="0.25">
      <c r="M26" t="s">
        <v>1660</v>
      </c>
      <c r="N26" s="3">
        <f t="shared" si="0"/>
        <v>8</v>
      </c>
      <c r="O26" s="21" t="str">
        <f t="shared" si="1"/>
        <v>Insuficiente</v>
      </c>
    </row>
    <row r="27" spans="13:15" x14ac:dyDescent="0.25">
      <c r="N27" s="3"/>
    </row>
  </sheetData>
  <sortState xmlns:xlrd2="http://schemas.microsoft.com/office/spreadsheetml/2017/richdata2" ref="M2:O26">
    <sortCondition ref="M2:M26"/>
  </sortState>
  <mergeCells count="1">
    <mergeCell ref="J1:K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EB1C-DCE3-4F2D-B794-A24A226AB0B1}">
  <dimension ref="A1:K74"/>
  <sheetViews>
    <sheetView tabSelected="1" workbookViewId="0">
      <selection activeCell="J2" sqref="J2"/>
    </sheetView>
  </sheetViews>
  <sheetFormatPr defaultRowHeight="15" x14ac:dyDescent="0.25"/>
  <cols>
    <col min="1" max="1" width="26.140625" bestFit="1" customWidth="1"/>
    <col min="2" max="6" width="4.140625" style="3" customWidth="1"/>
    <col min="7" max="7" width="13.85546875" bestFit="1" customWidth="1"/>
    <col min="8" max="8" width="9.42578125" style="5" bestFit="1" customWidth="1"/>
    <col min="9" max="9" width="10.5703125" bestFit="1" customWidth="1"/>
  </cols>
  <sheetData>
    <row r="1" spans="1:11" s="4" customFormat="1" x14ac:dyDescent="0.25">
      <c r="A1" s="4" t="s">
        <v>2052</v>
      </c>
      <c r="B1" s="30" t="s">
        <v>2124</v>
      </c>
      <c r="C1" s="30"/>
      <c r="D1" s="30"/>
      <c r="E1" s="30"/>
      <c r="F1" s="30"/>
      <c r="G1" s="4" t="s">
        <v>2104</v>
      </c>
      <c r="H1" s="4" t="s">
        <v>2099</v>
      </c>
      <c r="I1" s="4" t="s">
        <v>2103</v>
      </c>
      <c r="J1" s="4" t="s">
        <v>2296</v>
      </c>
      <c r="K1" s="4" t="s">
        <v>1</v>
      </c>
    </row>
    <row r="2" spans="1:11" s="4" customFormat="1" x14ac:dyDescent="0.25"/>
    <row r="3" spans="1:11" s="4" customFormat="1" x14ac:dyDescent="0.25"/>
    <row r="4" spans="1:11" s="4" customFormat="1" x14ac:dyDescent="0.25"/>
    <row r="5" spans="1:11" x14ac:dyDescent="0.25">
      <c r="A5" t="s">
        <v>2100</v>
      </c>
      <c r="B5" s="3" t="s">
        <v>2088</v>
      </c>
      <c r="C5" s="3" t="s">
        <v>2088</v>
      </c>
      <c r="D5" s="3" t="s">
        <v>2088</v>
      </c>
      <c r="E5" s="3" t="s">
        <v>2088</v>
      </c>
      <c r="F5" s="3" t="s">
        <v>2088</v>
      </c>
      <c r="G5" t="s">
        <v>2101</v>
      </c>
      <c r="H5" s="5" t="s">
        <v>818</v>
      </c>
      <c r="I5" t="s">
        <v>2106</v>
      </c>
    </row>
    <row r="6" spans="1:11" x14ac:dyDescent="0.25">
      <c r="A6" t="s">
        <v>2102</v>
      </c>
      <c r="B6" s="3" t="s">
        <v>2088</v>
      </c>
      <c r="C6" s="3" t="s">
        <v>2088</v>
      </c>
      <c r="D6" s="3" t="s">
        <v>2087</v>
      </c>
      <c r="E6" s="3" t="s">
        <v>2088</v>
      </c>
      <c r="F6" s="3" t="s">
        <v>2088</v>
      </c>
      <c r="G6" t="s">
        <v>2105</v>
      </c>
      <c r="H6" s="5" t="s">
        <v>43</v>
      </c>
      <c r="I6" t="s">
        <v>35</v>
      </c>
    </row>
    <row r="7" spans="1:11" x14ac:dyDescent="0.25">
      <c r="A7" t="s">
        <v>2107</v>
      </c>
      <c r="B7" s="3" t="s">
        <v>2088</v>
      </c>
      <c r="C7" s="3" t="s">
        <v>2088</v>
      </c>
      <c r="D7" s="3" t="s">
        <v>2088</v>
      </c>
      <c r="E7" s="3" t="s">
        <v>2088</v>
      </c>
      <c r="F7" s="3" t="s">
        <v>2087</v>
      </c>
      <c r="G7" t="s">
        <v>2108</v>
      </c>
      <c r="H7" s="5" t="s">
        <v>335</v>
      </c>
      <c r="I7" t="s">
        <v>339</v>
      </c>
    </row>
    <row r="8" spans="1:11" x14ac:dyDescent="0.25">
      <c r="A8" t="s">
        <v>2109</v>
      </c>
      <c r="B8" s="3" t="s">
        <v>2088</v>
      </c>
      <c r="C8" s="3" t="s">
        <v>2088</v>
      </c>
      <c r="D8" s="3" t="s">
        <v>2087</v>
      </c>
      <c r="E8" s="3" t="s">
        <v>2088</v>
      </c>
      <c r="F8" s="3" t="s">
        <v>2088</v>
      </c>
      <c r="G8" t="s">
        <v>2105</v>
      </c>
      <c r="H8" s="5" t="s">
        <v>41</v>
      </c>
      <c r="I8" t="s">
        <v>2110</v>
      </c>
    </row>
    <row r="9" spans="1:11" x14ac:dyDescent="0.25">
      <c r="A9" t="s">
        <v>2111</v>
      </c>
      <c r="B9" s="3" t="s">
        <v>2088</v>
      </c>
      <c r="C9" s="3" t="s">
        <v>2088</v>
      </c>
      <c r="D9" s="3" t="s">
        <v>2088</v>
      </c>
      <c r="E9" s="3" t="s">
        <v>2087</v>
      </c>
      <c r="F9" s="3" t="s">
        <v>2088</v>
      </c>
      <c r="G9" t="s">
        <v>2105</v>
      </c>
      <c r="H9" s="5" t="s">
        <v>818</v>
      </c>
      <c r="I9" t="s">
        <v>2112</v>
      </c>
    </row>
    <row r="10" spans="1:11" x14ac:dyDescent="0.25">
      <c r="A10" t="s">
        <v>2113</v>
      </c>
      <c r="B10" s="3" t="s">
        <v>2088</v>
      </c>
      <c r="C10" s="3" t="s">
        <v>2088</v>
      </c>
      <c r="D10" s="3" t="s">
        <v>2087</v>
      </c>
      <c r="E10" s="3" t="s">
        <v>2088</v>
      </c>
      <c r="F10" s="3" t="s">
        <v>2088</v>
      </c>
      <c r="G10" t="s">
        <v>2114</v>
      </c>
      <c r="H10" s="5" t="s">
        <v>2086</v>
      </c>
      <c r="I10" t="s">
        <v>2013</v>
      </c>
    </row>
    <row r="11" spans="1:11" x14ac:dyDescent="0.25">
      <c r="A11" t="s">
        <v>2115</v>
      </c>
      <c r="B11" s="3" t="s">
        <v>2088</v>
      </c>
      <c r="C11" s="3" t="s">
        <v>2088</v>
      </c>
      <c r="D11" s="3" t="s">
        <v>2087</v>
      </c>
      <c r="E11" s="3" t="s">
        <v>2088</v>
      </c>
      <c r="F11" s="3" t="s">
        <v>2088</v>
      </c>
      <c r="G11" t="s">
        <v>2116</v>
      </c>
      <c r="H11" s="5" t="s">
        <v>2086</v>
      </c>
      <c r="I11" t="s">
        <v>2110</v>
      </c>
    </row>
    <row r="12" spans="1:11" x14ac:dyDescent="0.25">
      <c r="A12" t="s">
        <v>2117</v>
      </c>
      <c r="B12" s="3" t="s">
        <v>2088</v>
      </c>
      <c r="C12" s="3" t="s">
        <v>2087</v>
      </c>
      <c r="D12" s="3" t="s">
        <v>2088</v>
      </c>
      <c r="E12" s="3" t="s">
        <v>2088</v>
      </c>
      <c r="F12" s="3" t="s">
        <v>2088</v>
      </c>
      <c r="G12" t="s">
        <v>2114</v>
      </c>
      <c r="H12" s="5" t="s">
        <v>49</v>
      </c>
      <c r="I12" t="s">
        <v>2118</v>
      </c>
    </row>
    <row r="13" spans="1:11" x14ac:dyDescent="0.25">
      <c r="A13" t="s">
        <v>2119</v>
      </c>
      <c r="B13" s="3" t="s">
        <v>2088</v>
      </c>
      <c r="C13" s="3" t="s">
        <v>2088</v>
      </c>
      <c r="D13" s="3" t="s">
        <v>2087</v>
      </c>
      <c r="E13" s="3" t="s">
        <v>2088</v>
      </c>
      <c r="F13" s="3" t="s">
        <v>2088</v>
      </c>
      <c r="G13" t="s">
        <v>2108</v>
      </c>
      <c r="H13" s="5" t="s">
        <v>43</v>
      </c>
      <c r="I13" t="s">
        <v>2112</v>
      </c>
    </row>
    <row r="14" spans="1:11" x14ac:dyDescent="0.25">
      <c r="A14" t="s">
        <v>2120</v>
      </c>
      <c r="B14" s="3" t="s">
        <v>2088</v>
      </c>
      <c r="C14" s="3" t="s">
        <v>2088</v>
      </c>
      <c r="D14" s="3" t="s">
        <v>2088</v>
      </c>
      <c r="E14" s="3" t="s">
        <v>2088</v>
      </c>
      <c r="F14" s="3" t="s">
        <v>2087</v>
      </c>
      <c r="G14" t="s">
        <v>2108</v>
      </c>
      <c r="H14" s="5" t="s">
        <v>335</v>
      </c>
      <c r="I14" t="s">
        <v>35</v>
      </c>
    </row>
    <row r="15" spans="1:11" x14ac:dyDescent="0.25">
      <c r="A15" t="s">
        <v>2121</v>
      </c>
      <c r="B15" s="3" t="s">
        <v>2087</v>
      </c>
      <c r="C15" s="3" t="s">
        <v>2088</v>
      </c>
      <c r="D15" s="3" t="s">
        <v>2088</v>
      </c>
      <c r="E15" s="3" t="s">
        <v>2088</v>
      </c>
      <c r="F15" s="3" t="s">
        <v>2088</v>
      </c>
      <c r="G15" t="s">
        <v>2114</v>
      </c>
      <c r="H15" s="5" t="s">
        <v>43</v>
      </c>
      <c r="I15" t="s">
        <v>2122</v>
      </c>
    </row>
    <row r="16" spans="1:11" x14ac:dyDescent="0.25">
      <c r="A16" t="s">
        <v>2123</v>
      </c>
      <c r="B16" s="3" t="s">
        <v>2088</v>
      </c>
      <c r="C16" s="3" t="s">
        <v>2088</v>
      </c>
      <c r="D16" s="3" t="s">
        <v>2088</v>
      </c>
      <c r="E16" s="3" t="s">
        <v>2088</v>
      </c>
      <c r="F16" s="3" t="s">
        <v>2087</v>
      </c>
      <c r="G16" t="s">
        <v>35</v>
      </c>
      <c r="H16" s="5" t="s">
        <v>66</v>
      </c>
      <c r="I16" t="s">
        <v>2112</v>
      </c>
    </row>
    <row r="17" spans="1:9" x14ac:dyDescent="0.25">
      <c r="A17" t="s">
        <v>2125</v>
      </c>
      <c r="B17" s="3" t="s">
        <v>2088</v>
      </c>
      <c r="C17" s="3" t="s">
        <v>2087</v>
      </c>
      <c r="D17" s="3" t="s">
        <v>2088</v>
      </c>
      <c r="E17" s="3" t="s">
        <v>2088</v>
      </c>
      <c r="F17" s="3" t="s">
        <v>2088</v>
      </c>
      <c r="G17" t="s">
        <v>2105</v>
      </c>
      <c r="H17" s="5" t="s">
        <v>335</v>
      </c>
      <c r="I17" t="s">
        <v>2106</v>
      </c>
    </row>
    <row r="18" spans="1:9" x14ac:dyDescent="0.25">
      <c r="A18" t="s">
        <v>2126</v>
      </c>
      <c r="B18" s="3" t="s">
        <v>2088</v>
      </c>
      <c r="C18" s="3" t="s">
        <v>2088</v>
      </c>
      <c r="D18" s="3" t="s">
        <v>2088</v>
      </c>
      <c r="E18" s="3" t="s">
        <v>2088</v>
      </c>
      <c r="F18" s="3" t="s">
        <v>2087</v>
      </c>
      <c r="G18" t="s">
        <v>2114</v>
      </c>
      <c r="H18" s="5" t="s">
        <v>66</v>
      </c>
      <c r="I18" t="s">
        <v>2112</v>
      </c>
    </row>
    <row r="19" spans="1:9" x14ac:dyDescent="0.25">
      <c r="A19" t="s">
        <v>2127</v>
      </c>
      <c r="B19" s="3" t="s">
        <v>2088</v>
      </c>
      <c r="C19" s="3" t="s">
        <v>2088</v>
      </c>
      <c r="D19" s="3" t="s">
        <v>2088</v>
      </c>
      <c r="E19" s="3" t="s">
        <v>2088</v>
      </c>
      <c r="F19" s="3" t="s">
        <v>2087</v>
      </c>
      <c r="G19" t="s">
        <v>2101</v>
      </c>
      <c r="H19" s="5" t="s">
        <v>335</v>
      </c>
      <c r="I19" t="s">
        <v>2112</v>
      </c>
    </row>
    <row r="20" spans="1:9" x14ac:dyDescent="0.25">
      <c r="A20" t="s">
        <v>2128</v>
      </c>
      <c r="B20" s="3" t="s">
        <v>2087</v>
      </c>
      <c r="C20" s="3" t="s">
        <v>2088</v>
      </c>
      <c r="D20" s="3" t="s">
        <v>2088</v>
      </c>
      <c r="E20" s="3" t="s">
        <v>2088</v>
      </c>
      <c r="F20" s="3" t="s">
        <v>2088</v>
      </c>
      <c r="G20" t="s">
        <v>2105</v>
      </c>
      <c r="H20" s="5" t="s">
        <v>818</v>
      </c>
      <c r="I20" t="s">
        <v>2112</v>
      </c>
    </row>
    <row r="21" spans="1:9" x14ac:dyDescent="0.25">
      <c r="A21" t="s">
        <v>2129</v>
      </c>
      <c r="B21" s="3" t="s">
        <v>2088</v>
      </c>
      <c r="C21" s="3" t="s">
        <v>2088</v>
      </c>
      <c r="D21" s="3" t="s">
        <v>2088</v>
      </c>
      <c r="E21" s="3" t="s">
        <v>2087</v>
      </c>
      <c r="F21" s="3" t="s">
        <v>2088</v>
      </c>
      <c r="G21" t="s">
        <v>2105</v>
      </c>
      <c r="H21" s="5" t="s">
        <v>2130</v>
      </c>
      <c r="I21" t="s">
        <v>2112</v>
      </c>
    </row>
    <row r="22" spans="1:9" x14ac:dyDescent="0.25">
      <c r="A22" t="s">
        <v>2131</v>
      </c>
      <c r="B22" s="3" t="s">
        <v>2088</v>
      </c>
      <c r="C22" s="3" t="s">
        <v>2088</v>
      </c>
      <c r="D22" s="3" t="s">
        <v>2088</v>
      </c>
      <c r="E22" s="3" t="s">
        <v>2088</v>
      </c>
      <c r="F22" s="3" t="s">
        <v>2087</v>
      </c>
      <c r="G22" t="s">
        <v>2116</v>
      </c>
      <c r="H22" s="5" t="s">
        <v>277</v>
      </c>
      <c r="I22" t="s">
        <v>2112</v>
      </c>
    </row>
    <row r="23" spans="1:9" x14ac:dyDescent="0.25">
      <c r="A23" t="s">
        <v>2132</v>
      </c>
      <c r="B23" s="3" t="s">
        <v>2088</v>
      </c>
      <c r="C23" s="3" t="s">
        <v>2088</v>
      </c>
      <c r="D23" s="3" t="s">
        <v>2088</v>
      </c>
      <c r="E23" s="3" t="s">
        <v>2087</v>
      </c>
      <c r="F23" s="3" t="s">
        <v>2088</v>
      </c>
      <c r="G23" t="s">
        <v>2116</v>
      </c>
      <c r="H23" s="5" t="s">
        <v>151</v>
      </c>
      <c r="I23" t="s">
        <v>2133</v>
      </c>
    </row>
    <row r="24" spans="1:9" x14ac:dyDescent="0.25">
      <c r="A24" t="s">
        <v>2134</v>
      </c>
      <c r="B24" s="3" t="s">
        <v>2088</v>
      </c>
      <c r="C24" s="3" t="s">
        <v>2088</v>
      </c>
      <c r="D24" s="3" t="s">
        <v>2088</v>
      </c>
      <c r="E24" s="3" t="s">
        <v>2088</v>
      </c>
      <c r="F24" s="3" t="s">
        <v>2088</v>
      </c>
      <c r="G24" t="s">
        <v>2101</v>
      </c>
      <c r="H24" s="5" t="s">
        <v>66</v>
      </c>
      <c r="I24" t="s">
        <v>51</v>
      </c>
    </row>
    <row r="25" spans="1:9" x14ac:dyDescent="0.25">
      <c r="A25" t="s">
        <v>2135</v>
      </c>
      <c r="B25" s="3" t="s">
        <v>2088</v>
      </c>
      <c r="C25" s="3" t="s">
        <v>2088</v>
      </c>
      <c r="D25" s="3" t="s">
        <v>2088</v>
      </c>
      <c r="E25" s="3" t="s">
        <v>2088</v>
      </c>
      <c r="F25" s="3" t="s">
        <v>2087</v>
      </c>
      <c r="G25" t="s">
        <v>2114</v>
      </c>
      <c r="H25" s="5" t="s">
        <v>42</v>
      </c>
      <c r="I25" t="s">
        <v>271</v>
      </c>
    </row>
    <row r="26" spans="1:9" x14ac:dyDescent="0.25">
      <c r="A26" t="s">
        <v>2136</v>
      </c>
      <c r="B26" s="3" t="s">
        <v>2088</v>
      </c>
      <c r="C26" s="3" t="s">
        <v>2088</v>
      </c>
      <c r="D26" s="3" t="s">
        <v>2087</v>
      </c>
      <c r="E26" s="3" t="s">
        <v>2088</v>
      </c>
      <c r="F26" s="3" t="s">
        <v>2088</v>
      </c>
      <c r="G26" t="s">
        <v>2105</v>
      </c>
      <c r="H26" s="5" t="s">
        <v>818</v>
      </c>
      <c r="I26" t="s">
        <v>2112</v>
      </c>
    </row>
    <row r="27" spans="1:9" x14ac:dyDescent="0.25">
      <c r="A27" t="s">
        <v>2257</v>
      </c>
    </row>
    <row r="28" spans="1:9" x14ac:dyDescent="0.25">
      <c r="A28" t="s">
        <v>2258</v>
      </c>
    </row>
    <row r="29" spans="1:9" x14ac:dyDescent="0.25">
      <c r="A29" t="s">
        <v>2235</v>
      </c>
    </row>
    <row r="30" spans="1:9" x14ac:dyDescent="0.25">
      <c r="A30" t="s">
        <v>2259</v>
      </c>
    </row>
    <row r="31" spans="1:9" x14ac:dyDescent="0.25">
      <c r="A31" t="s">
        <v>2260</v>
      </c>
    </row>
    <row r="32" spans="1:9" x14ac:dyDescent="0.25">
      <c r="A32" t="s">
        <v>2261</v>
      </c>
    </row>
    <row r="33" spans="1:1" x14ac:dyDescent="0.25">
      <c r="A33" t="s">
        <v>2262</v>
      </c>
    </row>
    <row r="34" spans="1:1" x14ac:dyDescent="0.25">
      <c r="A34" t="s">
        <v>2263</v>
      </c>
    </row>
    <row r="35" spans="1:1" x14ac:dyDescent="0.25">
      <c r="A35" t="s">
        <v>2264</v>
      </c>
    </row>
    <row r="36" spans="1:1" x14ac:dyDescent="0.25">
      <c r="A36" t="s">
        <v>2265</v>
      </c>
    </row>
    <row r="37" spans="1:1" x14ac:dyDescent="0.25">
      <c r="A37" t="s">
        <v>2266</v>
      </c>
    </row>
    <row r="38" spans="1:1" x14ac:dyDescent="0.25">
      <c r="A38" t="s">
        <v>2267</v>
      </c>
    </row>
    <row r="39" spans="1:1" x14ac:dyDescent="0.25">
      <c r="A39" t="s">
        <v>2268</v>
      </c>
    </row>
    <row r="40" spans="1:1" x14ac:dyDescent="0.25">
      <c r="A40" t="s">
        <v>2269</v>
      </c>
    </row>
    <row r="41" spans="1:1" x14ac:dyDescent="0.25">
      <c r="A41" t="s">
        <v>2270</v>
      </c>
    </row>
    <row r="42" spans="1:1" x14ac:dyDescent="0.25">
      <c r="A42" t="s">
        <v>2271</v>
      </c>
    </row>
    <row r="43" spans="1:1" x14ac:dyDescent="0.25">
      <c r="A43" t="s">
        <v>2272</v>
      </c>
    </row>
    <row r="44" spans="1:1" x14ac:dyDescent="0.25">
      <c r="A44" t="s">
        <v>2273</v>
      </c>
    </row>
    <row r="45" spans="1:1" x14ac:dyDescent="0.25">
      <c r="A45" t="s">
        <v>2274</v>
      </c>
    </row>
    <row r="46" spans="1:1" x14ac:dyDescent="0.25">
      <c r="A46" t="s">
        <v>246</v>
      </c>
    </row>
    <row r="47" spans="1:1" x14ac:dyDescent="0.25">
      <c r="A47" t="s">
        <v>225</v>
      </c>
    </row>
    <row r="48" spans="1:1" x14ac:dyDescent="0.25">
      <c r="A48" t="s">
        <v>1880</v>
      </c>
    </row>
    <row r="49" spans="1:1" x14ac:dyDescent="0.25">
      <c r="A49" t="s">
        <v>2275</v>
      </c>
    </row>
    <row r="50" spans="1:1" x14ac:dyDescent="0.25">
      <c r="A50" t="s">
        <v>2276</v>
      </c>
    </row>
    <row r="51" spans="1:1" x14ac:dyDescent="0.25">
      <c r="A51" t="s">
        <v>1486</v>
      </c>
    </row>
    <row r="52" spans="1:1" x14ac:dyDescent="0.25">
      <c r="A52" t="s">
        <v>1114</v>
      </c>
    </row>
    <row r="53" spans="1:1" x14ac:dyDescent="0.25">
      <c r="A53" t="s">
        <v>2277</v>
      </c>
    </row>
    <row r="54" spans="1:1" x14ac:dyDescent="0.25">
      <c r="A54" t="s">
        <v>2278</v>
      </c>
    </row>
    <row r="55" spans="1:1" x14ac:dyDescent="0.25">
      <c r="A55" t="s">
        <v>2279</v>
      </c>
    </row>
    <row r="56" spans="1:1" x14ac:dyDescent="0.25">
      <c r="A56" t="s">
        <v>2280</v>
      </c>
    </row>
    <row r="57" spans="1:1" x14ac:dyDescent="0.25">
      <c r="A57" t="s">
        <v>2281</v>
      </c>
    </row>
    <row r="58" spans="1:1" x14ac:dyDescent="0.25">
      <c r="A58" t="s">
        <v>2282</v>
      </c>
    </row>
    <row r="59" spans="1:1" x14ac:dyDescent="0.25">
      <c r="A59" t="s">
        <v>2283</v>
      </c>
    </row>
    <row r="60" spans="1:1" x14ac:dyDescent="0.25">
      <c r="A60" t="s">
        <v>2284</v>
      </c>
    </row>
    <row r="61" spans="1:1" x14ac:dyDescent="0.25">
      <c r="A61" t="s">
        <v>2285</v>
      </c>
    </row>
    <row r="62" spans="1:1" x14ac:dyDescent="0.25">
      <c r="A62" t="s">
        <v>2286</v>
      </c>
    </row>
    <row r="63" spans="1:1" x14ac:dyDescent="0.25">
      <c r="A63" t="s">
        <v>1740</v>
      </c>
    </row>
    <row r="64" spans="1:1" x14ac:dyDescent="0.25">
      <c r="A64" t="s">
        <v>2287</v>
      </c>
    </row>
    <row r="65" spans="1:1" x14ac:dyDescent="0.25">
      <c r="A65" t="s">
        <v>2288</v>
      </c>
    </row>
    <row r="66" spans="1:1" x14ac:dyDescent="0.25">
      <c r="A66" t="s">
        <v>2289</v>
      </c>
    </row>
    <row r="67" spans="1:1" x14ac:dyDescent="0.25">
      <c r="A67" t="s">
        <v>1013</v>
      </c>
    </row>
    <row r="68" spans="1:1" x14ac:dyDescent="0.25">
      <c r="A68" t="s">
        <v>2290</v>
      </c>
    </row>
    <row r="69" spans="1:1" x14ac:dyDescent="0.25">
      <c r="A69" t="s">
        <v>2291</v>
      </c>
    </row>
    <row r="70" spans="1:1" x14ac:dyDescent="0.25">
      <c r="A70" t="s">
        <v>2292</v>
      </c>
    </row>
    <row r="71" spans="1:1" x14ac:dyDescent="0.25">
      <c r="A71" t="s">
        <v>2293</v>
      </c>
    </row>
    <row r="72" spans="1:1" x14ac:dyDescent="0.25">
      <c r="A72" t="s">
        <v>464</v>
      </c>
    </row>
    <row r="73" spans="1:1" x14ac:dyDescent="0.25">
      <c r="A73" t="s">
        <v>2294</v>
      </c>
    </row>
    <row r="74" spans="1:1" x14ac:dyDescent="0.25">
      <c r="A74" t="s">
        <v>2295</v>
      </c>
    </row>
  </sheetData>
  <mergeCells count="1">
    <mergeCell ref="B1:F1"/>
  </mergeCells>
  <conditionalFormatting sqref="B1:B1048576">
    <cfRule type="containsText" dxfId="75" priority="7" operator="containsText" text="Sim">
      <formula>NOT(ISERROR(SEARCH("Sim",B1)))</formula>
    </cfRule>
  </conditionalFormatting>
  <conditionalFormatting sqref="B1:F1048576 H8">
    <cfRule type="containsText" dxfId="74" priority="2" operator="containsText" text="Não">
      <formula>NOT(ISERROR(SEARCH("Não",B1)))</formula>
    </cfRule>
  </conditionalFormatting>
  <conditionalFormatting sqref="B5:F33 H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1048576">
    <cfRule type="containsText" dxfId="73" priority="6" operator="containsText" text="Sim">
      <formula>NOT(ISERROR(SEARCH("Sim",C1)))</formula>
    </cfRule>
  </conditionalFormatting>
  <conditionalFormatting sqref="D1:D1048576">
    <cfRule type="containsText" dxfId="72" priority="3" operator="containsText" text="Sim">
      <formula>NOT(ISERROR(SEARCH("Sim",D1)))</formula>
    </cfRule>
  </conditionalFormatting>
  <conditionalFormatting sqref="E1:E1048576">
    <cfRule type="containsText" dxfId="71" priority="4" operator="containsText" text="Sim">
      <formula>NOT(ISERROR(SEARCH("Sim",E1)))</formula>
    </cfRule>
  </conditionalFormatting>
  <conditionalFormatting sqref="F1:F1048576 H8">
    <cfRule type="containsText" dxfId="70" priority="5" operator="containsText" text="Sim">
      <formula>NOT(ISERROR(SEARCH("Sim",F1)))</formula>
    </cfRule>
  </conditionalFormatting>
  <conditionalFormatting sqref="A1:A1048576">
    <cfRule type="duplicateValues" dxfId="69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5595-9915-4BE6-A12D-A938ACD47CCD}">
  <dimension ref="A1:BT451"/>
  <sheetViews>
    <sheetView workbookViewId="0">
      <selection activeCell="G12" sqref="G12"/>
    </sheetView>
  </sheetViews>
  <sheetFormatPr defaultColWidth="9.140625" defaultRowHeight="15" x14ac:dyDescent="0.25"/>
  <cols>
    <col min="1" max="1" width="14.85546875" style="3" bestFit="1" customWidth="1"/>
    <col min="2" max="2" width="11.5703125" style="3" bestFit="1" customWidth="1"/>
    <col min="3" max="3" width="11.7109375" style="3" customWidth="1"/>
    <col min="4" max="6" width="11.7109375" style="3" hidden="1" customWidth="1"/>
    <col min="7" max="7" width="39.28515625" bestFit="1" customWidth="1"/>
    <col min="8" max="8" width="4.140625" style="8" customWidth="1"/>
    <col min="9" max="9" width="9.140625" customWidth="1"/>
    <col min="10" max="10" width="10.42578125" style="3" bestFit="1" customWidth="1"/>
    <col min="11" max="15" width="4.140625" style="3" customWidth="1"/>
    <col min="16" max="17" width="11.5703125" style="3" bestFit="1" customWidth="1"/>
    <col min="18" max="18" width="24.28515625" style="3" bestFit="1" customWidth="1"/>
    <col min="19" max="19" width="10.28515625" style="3" bestFit="1" customWidth="1"/>
    <col min="20" max="20" width="4.140625" style="8" customWidth="1"/>
    <col min="37" max="37" width="9.140625" customWidth="1"/>
    <col min="40" max="41" width="9.140625" customWidth="1"/>
    <col min="46" max="46" width="9.140625" customWidth="1"/>
    <col min="65" max="65" width="8.7109375" customWidth="1"/>
  </cols>
  <sheetData>
    <row r="1" spans="1:72" s="4" customFormat="1" x14ac:dyDescent="0.25">
      <c r="A1" s="4" t="s">
        <v>2091</v>
      </c>
      <c r="B1" s="4" t="s">
        <v>2089</v>
      </c>
      <c r="C1" s="4" t="s">
        <v>1653</v>
      </c>
      <c r="D1" s="4" t="s">
        <v>1655</v>
      </c>
      <c r="E1" s="4" t="s">
        <v>1656</v>
      </c>
      <c r="F1" s="4" t="s">
        <v>1657</v>
      </c>
      <c r="G1" s="4" t="s">
        <v>2052</v>
      </c>
      <c r="H1" s="27"/>
      <c r="J1" s="4" t="s">
        <v>2084</v>
      </c>
      <c r="K1" s="30" t="s">
        <v>2085</v>
      </c>
      <c r="L1" s="30"/>
      <c r="M1" s="30"/>
      <c r="N1" s="30"/>
      <c r="O1" s="30"/>
      <c r="P1" s="4" t="str">
        <f>COUNTA(I3:I5000) &amp; " Decks"</f>
        <v>30 Decks</v>
      </c>
      <c r="Q1" s="3"/>
      <c r="T1" s="27"/>
      <c r="U1" s="26" t="s">
        <v>2030</v>
      </c>
      <c r="V1" s="26" t="s">
        <v>1553</v>
      </c>
      <c r="W1" s="26" t="s">
        <v>1683</v>
      </c>
      <c r="X1" s="26" t="s">
        <v>1832</v>
      </c>
      <c r="Y1" s="26" t="s">
        <v>26</v>
      </c>
      <c r="Z1" s="26" t="s">
        <v>1837</v>
      </c>
      <c r="AA1" s="26" t="s">
        <v>55</v>
      </c>
      <c r="AB1" s="26" t="s">
        <v>1660</v>
      </c>
      <c r="AC1" s="26" t="s">
        <v>2062</v>
      </c>
      <c r="AD1" s="26" t="s">
        <v>2053</v>
      </c>
      <c r="AE1" s="26" t="s">
        <v>19</v>
      </c>
      <c r="AF1" s="26" t="s">
        <v>2054</v>
      </c>
      <c r="AG1" s="26" t="s">
        <v>23</v>
      </c>
      <c r="AH1" s="26" t="s">
        <v>25</v>
      </c>
      <c r="AI1" s="26" t="s">
        <v>29</v>
      </c>
      <c r="AJ1" s="26" t="s">
        <v>53</v>
      </c>
      <c r="AK1" s="26" t="s">
        <v>15</v>
      </c>
      <c r="AL1" s="26" t="s">
        <v>16</v>
      </c>
      <c r="AM1" s="26" t="s">
        <v>17</v>
      </c>
      <c r="AN1" s="26" t="s">
        <v>18</v>
      </c>
      <c r="AO1" s="26" t="s">
        <v>20</v>
      </c>
      <c r="AP1" s="26" t="s">
        <v>27</v>
      </c>
      <c r="AQ1" s="26" t="s">
        <v>28</v>
      </c>
      <c r="AR1" s="26" t="s">
        <v>30</v>
      </c>
      <c r="AS1" s="26" t="s">
        <v>2061</v>
      </c>
      <c r="AT1" s="26" t="s">
        <v>21</v>
      </c>
      <c r="AU1" s="26" t="s">
        <v>22</v>
      </c>
      <c r="AV1" s="26" t="s">
        <v>24</v>
      </c>
      <c r="AW1" s="26" t="s">
        <v>2207</v>
      </c>
      <c r="AX1" s="26" t="s">
        <v>2187</v>
      </c>
    </row>
    <row r="2" spans="1:72" x14ac:dyDescent="0.25">
      <c r="A2" s="3" t="str">
        <f ca="1">IFERROR(INDEX($S$3:$S$200, MATCH($C2, $I$3:$I$200, 0)), "")</f>
        <v>3</v>
      </c>
      <c r="B2" s="3">
        <f ca="1">COUNTIF(U:AX,G2)</f>
        <v>1</v>
      </c>
      <c r="C2" s="3" t="str">
        <f ca="1">IFERROR(
 INDEX($U$1:$AX$1,
  MATCH(TRUE,
   CHOOSE({1;2;3;4;5;6;7;8;9;10;11;12;13;14;15;16;17;18;19;20;21;22;23;24;25;26;27;28;29;30;31;32},
    COUNTIFS($U$2:$U$200,$G2)&gt;0,
    COUNTIFS($V$2:$V$200,$G2)&gt;0,
    COUNTIFS($W$2:$W$200,$G2)&gt;0,
    COUNTIFS($X$2:$X$200,$G2)&gt;0,
    COUNTIFS($Y$2:$Y$200,$G2)&gt;0,
    COUNTIFS($Z$2:$Z$200,$G2)&gt;0,
    COUNTIFS($AA$2:$AA$200,$G2)&gt;0,
    COUNTIFS($AB$2:$AB$200,$G2)&gt;0,
    COUNTIFS($AC$2:$AC$200,$G2)&gt;0,
    COUNTIFS($AD$2:$AD$200,$G2)&gt;0,
    COUNTIFS($AE$2:$AE$200,$G2)&gt;0,
    COUNTIFS($AF$2:$AF$200,$G2)&gt;0,
    COUNTIFS($AG$2:$AG$200,$G2)&gt;0,
    COUNTIFS($AH$2:$AH$200,$G2)&gt;0,
    COUNTIFS($AI$2:$AI$200,$G2)&gt;0,
    COUNTIFS($AJ$2:$AJ$200,$G2)&gt;0,
    COUNTIFS($AK$2:$AK$200,$G2)&gt;0,
    COUNTIFS($AL$2:$AL$200,$G2)&gt;0,
    COUNTIFS($AM$2:$AM$200,$G2)&gt;0,
    COUNTIFS($AN$2:$AN$200,$G2)&gt;0,
    COUNTIFS($AO$2:$AO$200,$G2)&gt;0,
    COUNTIFS($AP$2:$AP$200,$G2)&gt;0,
    COUNTIFS($AQ$2:$AQ$200,$G2)&gt;0,
    COUNTIFS($AR$2:$AR$200,$G2)&gt;0,
    COUNTIFS($AS$2:$AS$200,$G2)&gt;0,
    COUNTIFS($AT$2:$AT$200,$G2)&gt;0,
    COUNTIFS($AU$2:$AU$200,$G2)&gt;0,
    COUNTIFS($AV$2:$AV$200,$G2)&gt;0,
    COUNTIFS($AW$2:$AW$200,$G2)&gt;0,
    COUNTIFS($AX$2:$AX$200,$G2)&gt;0
   ),
  0)
 ),
"")</f>
        <v>Muzzio</v>
      </c>
      <c r="D2" s="3" t="str" cm="1">
        <f t="array" aca="1" ref="D2" ca="1">IFERROR(
 INDEX(
  _xlfn._xlws.FILTER($U$1:$AX$1,
   TRANSPOSE(
    CHOOSE({1;2;3;4;5;6;7;8;9;10;11;12;13;14;15;16;17;18;19;20;21;22;23;24;25;26;27;28;29;30},
     COUNTIFS($U$2:$U$200,$G2)&gt;0,
     COUNTIFS($V$2:$V$200,$G2)&gt;0,
     COUNTIFS($W$2:$W$200,$G2)&gt;0,
     COUNTIFS($X$2:$X$200,$G2)&gt;0,
     COUNTIFS($Y$2:$Y$200,$G2)&gt;0,
     COUNTIFS($Z$2:$Z$200,$G2)&gt;0,
     COUNTIFS($AA$2:$AA$200,$G2)&gt;0,
     COUNTIFS($AB$2:$AB$200,$G2)&gt;0,
     COUNTIFS($AC$2:$AC$200,$G2)&gt;0,
     COUNTIFS($AD$2:$AD$200,$G2)&gt;0,
     COUNTIFS($AE$2:$AE$200,$G2)&gt;0,
     COUNTIFS($AF$2:$AF$200,$G2)&gt;0,
     COUNTIFS($AG$2:$AG$200,$G2)&gt;0,
     COUNTIFS($AH$2:$AH$200,$G2)&gt;0,
     COUNTIFS($AI$2:$AI$200,$G2)&gt;0,
     COUNTIFS($AJ$2:$AJ$200,$G2)&gt;0,
     COUNTIFS($AK$2:$AK$200,$G2)&gt;0,
     COUNTIFS($AL$2:$AL$200,$G2)&gt;0,
     COUNTIFS($AM$2:$AM$200,$G2)&gt;0,
     COUNTIFS($AN$2:$AN$200,$G2)&gt;0,
     COUNTIFS($AO$2:$AO$200,$G2)&gt;0,
     COUNTIFS($AP$2:$AP$200,$G2)&gt;0,
     COUNTIFS($AQ$2:$AQ$200,$G2)&gt;0,
     COUNTIFS($AR$2:$AR$200,$G2)&gt;0,
     COUNTIFS($AS$2:$AS$200,$G2)&gt;0,
     COUNTIFS($AT$2:$AT$200,$G2)&gt;0,
     COUNTIFS($AU$2:$AU$200,$G2)&gt;0,
     COUNTIFS($AV$2:$AV$200,$G2)&gt;0,
     COUNTIFS($AW$2:$AW$200,$G2)&gt;0,
     COUNTIFS($AX$2:$AX$200,$G2)&gt;0
   )),
  ),
  2
 ),
"")</f>
        <v/>
      </c>
      <c r="E2" s="3" t="str" cm="1">
        <f t="array" aca="1" ref="E2" ca="1">IFERROR(
 INDEX(
  _xlfn._xlws.FILTER($U$1:$AX$1,
   TRANSPOSE(
    CHOOSE({1;2;3;4;5;6;7;8;9;10;11;12;13;14;15;16;17;18;19;20;21;22;23;24;25;26;27;28;29;30},
     COUNTIFS($U$2:$U$200,$G2)&gt;0,
     COUNTIFS($V$2:$V$200,$G2)&gt;0,
     COUNTIFS($W$2:$W$200,$G2)&gt;0,
     COUNTIFS($X$2:$X$200,$G2)&gt;0,
     COUNTIFS($Y$2:$Y$200,$G2)&gt;0,
     COUNTIFS($Z$2:$Z$200,$G2)&gt;0,
     COUNTIFS($AA$2:$AA$200,$G2)&gt;0,
     COUNTIFS($AB$2:$AB$200,$G2)&gt;0,
     COUNTIFS($AC$2:$AC$200,$G2)&gt;0,
     COUNTIFS($AD$2:$AD$200,$G2)&gt;0,
     COUNTIFS($AE$2:$AE$200,$G2)&gt;0,
     COUNTIFS($AF$2:$AF$200,$G2)&gt;0,
     COUNTIFS($AG$2:$AG$200,$G2)&gt;0,
     COUNTIFS($AH$2:$AH$200,$G2)&gt;0,
     COUNTIFS($AI$2:$AI$200,$G2)&gt;0,
     COUNTIFS($AJ$2:$AJ$200,$G2)&gt;0,
     COUNTIFS($AK$2:$AK$200,$G2)&gt;0,
     COUNTIFS($AL$2:$AL$200,$G2)&gt;0,
     COUNTIFS($AM$2:$AM$200,$G2)&gt;0,
     COUNTIFS($AN$2:$AN$200,$G2)&gt;0,
     COUNTIFS($AO$2:$AO$200,$G2)&gt;0,
     COUNTIFS($AP$2:$AP$200,$G2)&gt;0,
     COUNTIFS($AQ$2:$AQ$200,$G2)&gt;0,
     COUNTIFS($AR$2:$AR$200,$G2)&gt;0,
     COUNTIFS($AS$2:$AS$200,$G2)&gt;0,
     COUNTIFS($AT$2:$AT$200,$G2)&gt;0,
     COUNTIFS($AU$2:$AU$200,$G2)&gt;0,
     COUNTIFS($AV$2:$AV$200,$G2)&gt;0,
     COUNTIFS($AW$2:$AW$200,$G2)&gt;0,
     COUNTIFS($AX$2:$AX$200,$G2)&gt;0
   )),
  ),
  3
 ),
"")</f>
        <v/>
      </c>
      <c r="F2" s="3" t="str" cm="1">
        <f t="array" aca="1" ref="F2" ca="1">IFERROR(
 INDEX(
  _xlfn._xlws.FILTER($U$1:$AX$1,
   TRANSPOSE(
    CHOOSE({1;2;3;4;5;6;7;8;9;10;11;12;13;14;15;16;17;18;19;20;21;22;23;24;25;26;27;28;29;30},
     COUNTIFS($U$2:$U$200,$G2)&gt;0,
     COUNTIFS($V$2:$V$200,$G2)&gt;0,
     COUNTIFS($W$2:$W$200,$G2)&gt;0,
     COUNTIFS($X$2:$X$200,$G2)&gt;0,
     COUNTIFS($Y$2:$Y$200,$G2)&gt;0,
     COUNTIFS($Z$2:$Z$200,$G2)&gt;0,
     COUNTIFS($AA$2:$AA$200,$G2)&gt;0,
     COUNTIFS($AB$2:$AB$200,$G2)&gt;0,
     COUNTIFS($AC$2:$AC$200,$G2)&gt;0,
     COUNTIFS($AD$2:$AD$200,$G2)&gt;0,
     COUNTIFS($AE$2:$AE$200,$G2)&gt;0,
     COUNTIFS($AF$2:$AF$200,$G2)&gt;0,
     COUNTIFS($AG$2:$AG$200,$G2)&gt;0,
     COUNTIFS($AH$2:$AH$200,$G2)&gt;0,
     COUNTIFS($AI$2:$AI$200,$G2)&gt;0,
     COUNTIFS($AJ$2:$AJ$200,$G2)&gt;0,
     COUNTIFS($AK$2:$AK$200,$G2)&gt;0,
     COUNTIFS($AL$2:$AL$200,$G2)&gt;0,
     COUNTIFS($AM$2:$AM$200,$G2)&gt;0,
     COUNTIFS($AN$2:$AN$200,$G2)&gt;0,
     COUNTIFS($AO$2:$AO$200,$G2)&gt;0,
     COUNTIFS($AP$2:$AP$200,$G2)&gt;0,
     COUNTIFS($AQ$2:$AQ$200,$G2)&gt;0,
     COUNTIFS($AR$2:$AR$200,$G2)&gt;0,
     COUNTIFS($AS$2:$AS$200,$G2)&gt;0,
     COUNTIFS($AT$2:$AT$200,$G2)&gt;0,
     COUNTIFS($AU$2:$AU$200,$G2)&gt;0,
     COUNTIFS($AV$2:$AV$200,$G2)&gt;0,
     COUNTIFS($AW$2:$AW$200,$G2)&gt;0,
     COUNTIFS($AX$2:$AX$200,$G2)&gt;0
   )),
  ),
  4
 ),
"")</f>
        <v/>
      </c>
      <c r="G2" t="str" cm="1">
        <f t="array" aca="1" ref="G2:G408" ca="1">IF(COUNTA(_xlfn.ANCHORARRAY($BT$2))+COUNTA(_xlfn.ANCHORARRAY($BO$2))=0,"",_xlfn._xlws.SORT(_xlfn.UNIQUE(IF(ROW(INDIRECT("1:"&amp;(COUNTA(_xlfn.ANCHORARRAY($BT$2))+COUNTA(_xlfn.ANCHORARRAY($BO$2)))))&lt;=COUNTA(_xlfn.ANCHORARRAY($BT$2)),INDEX(_xlfn.ANCHORARRAY($BT$2),ROW(INDIRECT("1:"&amp;(COUNTA(_xlfn.ANCHORARRAY($BT$2))+COUNTA(_xlfn.ANCHORARRAY($BO$2)))))),INDEX(_xlfn.ANCHORARRAY($BO$2),ROW(INDIRECT("1:"&amp;(COUNTA(_xlfn.ANCHORARRAY($BT$2))+COUNTA(_xlfn.ANCHORARRAY($BO$2)))))-COUNTA(_xlfn.ANCHORARRAY($BT$2))))),1,1))</f>
        <v>A Joia do Enigma</v>
      </c>
      <c r="I2" t="s">
        <v>2090</v>
      </c>
      <c r="J2" s="3">
        <f>SUM(J3:J30)</f>
        <v>357</v>
      </c>
      <c r="K2" s="3">
        <f>COUNTIF(K3:K5000,"Sim")</f>
        <v>16</v>
      </c>
      <c r="L2" s="3">
        <f>COUNTIF(L3:L5000,"Sim")</f>
        <v>22</v>
      </c>
      <c r="M2" s="3">
        <f>COUNTIF(M3:M5000,"Sim")</f>
        <v>17</v>
      </c>
      <c r="N2" s="3">
        <f>COUNTIF(N3:N5000,"Sim")</f>
        <v>17</v>
      </c>
      <c r="O2" s="3">
        <f>COUNTIF(O3:O5000,"Sim")</f>
        <v>14</v>
      </c>
      <c r="P2" s="4" t="s">
        <v>2086</v>
      </c>
      <c r="Q2" s="4" t="s">
        <v>2140</v>
      </c>
      <c r="R2" s="4" t="s">
        <v>2144</v>
      </c>
      <c r="S2" s="4" t="s">
        <v>2091</v>
      </c>
      <c r="U2" t="str" cm="1">
        <f t="array" ref="U2:U29">IF(COUNTA(_xlfn._xlws.FILTER(Piratas!C3:C200,(Piratas!B3:B200&lt;&gt;Piratas!C3:C200)*(Piratas!C3:C200&lt;&gt;"")))=0,"",_xlfn._xlws.SORT(_xlfn._xlws.FILTER(Piratas!C3:C200,(Piratas!B3:B200&lt;&gt;Piratas!C3:C200)*(Piratas!C3:C200&lt;&gt;"")),1,1))</f>
        <v>Back in Town</v>
      </c>
      <c r="V2" t="str" cm="1">
        <f t="array" ref="V2:V32">IF(COUNTA(_xlfn._xlws.FILTER(Baylen!C3:C200,(Baylen!B3:B200&lt;&gt;Baylen!C3:C200)*(Baylen!C3:C200&lt;&gt;"")))=0,"",_xlfn._xlws.SORT(_xlfn._xlws.FILTER(Baylen!C3:C200,(Baylen!B3:B200&lt;&gt;Baylen!C3:C200)*(Baylen!C3:C200&lt;&gt;"")),1,1))</f>
        <v>Artifact Mutation</v>
      </c>
      <c r="W2" t="str" cm="1">
        <f t="array" ref="W2:W31">IF(COUNTA(_xlfn._xlws.FILTER(Narset!C3:C200,(Narset!B3:B200&lt;&gt;Narset!C3:C200)*(Narset!C3:C200&lt;&gt;"")))=0,"",_xlfn._xlws.SORT(_xlfn._xlws.FILTER(Narset!C3:C200,(Narset!B3:B200&lt;&gt;Narset!C3:C200)*(Narset!C3:C200&lt;&gt;"")),1,1))</f>
        <v>Adarkar Wastes</v>
      </c>
      <c r="X2" t="str" cm="1">
        <f t="array" ref="X2:X43">IF(COUNTA(_xlfn._xlws.FILTER(Tayam!C3:C200,(Tayam!B3:B200&lt;&gt;Tayam!C3:C200)*(Tayam!C3:C200&lt;&gt;"")))=0,"",_xlfn._xlws.SORT(_xlfn._xlws.FILTER(Tayam!C3:C200,(Tayam!B3:B200&lt;&gt;Tayam!C3:C200)*(Tayam!C3:C200&lt;&gt;"")),1,1))</f>
        <v>Ardbert, Warrior of Darkness</v>
      </c>
      <c r="Y2" t="str" cm="1">
        <f t="array" ref="Y2:Y16">IF(COUNTA(_xlfn._xlws.FILTER(Carlos!C3:C200,(Carlos!B3:B200&lt;&gt;Carlos!C3:C200)*(Carlos!C3:C200&lt;&gt;"")))=0,"",_xlfn._xlws.SORT(_xlfn._xlws.FILTER(Carlos!C3:C200,(Carlos!B3:B200&lt;&gt;Carlos!C3:C200)*(Carlos!C3:C200&lt;&gt;"")),1,1))</f>
        <v>Ascensão do Avernus</v>
      </c>
      <c r="Z2" t="str" cm="1">
        <f t="array" ref="Z2:Z20">IF(COUNTA(_xlfn._xlws.FILTER(Rani!C3:C200,(Rani!B3:B200&lt;&gt;Rani!C3:C200)*(Rani!C3:C200&lt;&gt;"")))=0,"",_xlfn._xlws.SORT(_xlfn._xlws.FILTER(Rani!C3:C200,(Rani!B3:B200&lt;&gt;Rani!C3:C200)*(Rani!C3:C200&lt;&gt;"")),1,1))</f>
        <v>Access Tunnel</v>
      </c>
      <c r="AA2" t="str" cm="1">
        <f t="array" ref="AA2:AA22">IF(COUNTA(_xlfn._xlws.FILTER(Kumena!C3:C200,(Kumena!B3:B200&lt;&gt;Kumena!C3:C200)*(Kumena!C3:C200&lt;&gt;"")))=0,"",_xlfn._xlws.SORT(_xlfn._xlws.FILTER(Kumena!C3:C200,(Kumena!B3:B200&lt;&gt;Kumena!C3:C200)*(Kumena!C3:C200&lt;&gt;"")),1,1))</f>
        <v>Beast Within</v>
      </c>
      <c r="AB2" t="str" cm="1">
        <f t="array" ref="AB2:AB14">IF(COUNTA(_xlfn._xlws.FILTER(Zimone!C3:C200,(Zimone!B3:B200&lt;&gt;Zimone!C3:C200)*(Zimone!C3:C200&lt;&gt;"")))=0,"",_xlfn._xlws.SORT(_xlfn._xlws.FILTER(Zimone!C3:C200,(Zimone!B3:B200&lt;&gt;Zimone!C3:C200)*(Zimone!C3:C200&lt;&gt;"")),1,1))</f>
        <v>Ancient Greenwarden</v>
      </c>
      <c r="AC2" t="str" cm="1">
        <f t="array" ref="AC2:AC13">IF(COUNTA(_xlfn._xlws.FILTER(JhoiraB!C3:C200,(JhoiraB!B3:B200&lt;&gt;JhoiraB!C3:C200)*(JhoiraB!C3:C200&lt;&gt;"")))=0,"",_xlfn._xlws.SORT(_xlfn._xlws.FILTER(JhoiraB!C3:C200,(JhoiraB!B3:B200&lt;&gt;JhoiraB!C3:C200)*(JhoiraB!C3:C200&lt;&gt;"")),1,1))</f>
        <v>Emrakul, um Novo Mundo</v>
      </c>
      <c r="AD2" t="str" cm="1">
        <f t="array" ref="AD2:AD13">IF(COUNTA(_xlfn._xlws.FILTER(Gitrog!C3:C200,(Gitrog!B3:B200&lt;&gt;Gitrog!C3:C200)*(Gitrog!C3:C200&lt;&gt;"")))=0,"",_xlfn._xlws.SORT(_xlfn._xlws.FILTER(Gitrog!C3:C200,(Gitrog!B3:B200&lt;&gt;Gitrog!C3:C200)*(Gitrog!C3:C200&lt;&gt;"")),1,1))</f>
        <v>Ancient Tomb</v>
      </c>
      <c r="AE2" t="str" cm="1">
        <f t="array" ref="AE2:AE13">IF(COUNTA(_xlfn._xlws.FILTER(Muzzio!C3:C200,(Muzzio!B3:B200&lt;&gt;Muzzio!C3:C200)*(Muzzio!C3:C200&lt;&gt;"")))=0,"",_xlfn._xlws.SORT(_xlfn._xlws.FILTER(Muzzio!C3:C200,(Muzzio!B3:B200&lt;&gt;Muzzio!C3:C200)*(Muzzio!C3:C200&lt;&gt;"")),1,1))</f>
        <v>A Joia do Enigma</v>
      </c>
      <c r="AF2" t="str" cm="1">
        <f t="array" ref="AF2:AF12">IF(COUNTA(_xlfn._xlws.FILTER(VialIshai!C3:C200,(VialIshai!B3:B200&lt;&gt;VialIshai!C3:C200)*(VialIshai!C3:C200&lt;&gt;"")))=0,"",_xlfn._xlws.SORT(_xlfn._xlws.FILTER(VialIshai!C3:C200,(VialIshai!B3:B200&lt;&gt;VialIshai!C3:C200)*(VialIshai!C3:C200&lt;&gt;"")),1,1))</f>
        <v>Amphibian Downpour</v>
      </c>
      <c r="AG2" t="str" cm="1">
        <f t="array" ref="AG2:AG13">IF(COUNTA(_xlfn._xlws.FILTER(Yuriko!C3:C200,(Yuriko!B3:B200&lt;&gt;Yuriko!C3:C200)*(Yuriko!C3:C200&lt;&gt;"")))=0,"",_xlfn._xlws.SORT(_xlfn._xlws.FILTER(Yuriko!C3:C200,(Yuriko!B3:B200&lt;&gt;Yuriko!C3:C200)*(Yuriko!C3:C200&lt;&gt;"")),1,1))</f>
        <v>Creeping Tar Pit</v>
      </c>
      <c r="AH2" t="str" cm="1">
        <f t="array" ref="AH2:AH13">IF(COUNTA(_xlfn._xlws.FILTER(Inalla!C3:C200,(Inalla!B3:B200&lt;&gt;Inalla!C3:C200)*(Inalla!C3:C200&lt;&gt;"")))=0,"",_xlfn._xlws.SORT(_xlfn._xlws.FILTER(Inalla!C3:C200,(Inalla!B3:B200&lt;&gt;Inalla!C3:C200)*(Inalla!C3:C200&lt;&gt;"")),1,1))</f>
        <v>Arcane Lighthouse</v>
      </c>
      <c r="AI2" t="str" cm="1">
        <f t="array" ref="AI2:AI13">IF(COUNTA(_xlfn._xlws.FILTER(Akiri!C3:C200,(Akiri!B3:B200&lt;&gt;Akiri!C3:C200)*(Akiri!C3:C200&lt;&gt;"")))=0,"",_xlfn._xlws.SORT(_xlfn._xlws.FILTER(Akiri!C3:C200,(Akiri!B3:B200&lt;&gt;Akiri!C3:C200)*(Akiri!C3:C200&lt;&gt;"")),1,1))</f>
        <v>Cid, Freeflier Pilot</v>
      </c>
      <c r="AJ2" t="str" cm="1">
        <f t="array" ref="AJ2:AJ12">IF(COUNTA(_xlfn._xlws.FILTER(Sisay!C3:C200,(Sisay!B3:B200&lt;&gt;Sisay!C3:C200)*(Sisay!C3:C200&lt;&gt;"")))=0,"",_xlfn._xlws.SORT(_xlfn._xlws.FILTER(Sisay!C3:C200,(Sisay!B3:B200&lt;&gt;Sisay!C3:C200)*(Sisay!C3:C200&lt;&gt;"")),1,1))</f>
        <v>Commodore Guff</v>
      </c>
      <c r="AK2" t="str" cm="1">
        <f t="array" ref="AK2:AK5">IF(COUNTA(_xlfn._xlws.FILTER(Thrakiri!C3:C200,(Thrakiri!B3:B200&lt;&gt;Thrakiri!C3:C200)*(Thrakiri!C3:C200&lt;&gt;"")))=0,"",_xlfn._xlws.SORT(_xlfn._xlws.FILTER(Thrakiri!C3:C200,(Thrakiri!B3:B200&lt;&gt;Thrakiri!C3:C200)*(Thrakiri!C3:C200&lt;&gt;"")),1,1))</f>
        <v>Matoya, Archon Elder</v>
      </c>
      <c r="AL2" t="str" cm="1">
        <f t="array" ref="AL2:AL7">IF(COUNTA(_xlfn._xlws.FILTER(Elfos!C3:C200,(Elfos!B3:B200&lt;&gt;Elfos!C3:C200)*(Elfos!C3:C200&lt;&gt;"")))=0,"",_xlfn._xlws.SORT(_xlfn._xlws.FILTER(Elfos!C3:C200,(Elfos!B3:B200&lt;&gt;Elfos!C3:C200)*(Elfos!C3:C200&lt;&gt;"")),1,1))</f>
        <v>Alchemist's Refuge</v>
      </c>
      <c r="AM2" t="str" cm="1">
        <f t="array" ref="AM2:AM6">IF(COUNTA(_xlfn._xlws.FILTER(Jhoira!C3:C200,(Jhoira!B3:B200&lt;&gt;Jhoira!C3:C200)*(Jhoira!C3:C200&lt;&gt;"")))=0,"",_xlfn._xlws.SORT(_xlfn._xlws.FILTER(Jhoira!C3:C200,(Jhoira!B3:B200&lt;&gt;Jhoira!C3:C200)*(Jhoira!C3:C200&lt;&gt;"")),1,1))</f>
        <v>Emrakul, um Novo Mundo</v>
      </c>
      <c r="AN2" t="str" cm="1">
        <f t="array" ref="AN2:AN9">IF(COUNTA(_xlfn._xlws.FILTER(Fractius!C3:C200,(Fractius!B3:B200&lt;&gt;Fractius!C3:C200)*(Fractius!C3:C200&lt;&gt;"")))=0,"",_xlfn._xlws.SORT(_xlfn._xlws.FILTER(Fractius!C3:C200,(Fractius!B3:B200&lt;&gt;Fractius!C3:C200)*(Fractius!C3:C200&lt;&gt;"")),1,1))</f>
        <v>Caverna das Almas</v>
      </c>
      <c r="AO2" t="str" cm="1">
        <f t="array" ref="AO2:AO8">IF(COUNTA(_xlfn._xlws.FILTER(Rielle!C3:C200,(Rielle!B3:B200&lt;&gt;Rielle!C3:C200)*(Rielle!C3:C200&lt;&gt;"")))=0,"",_xlfn._xlws.SORT(_xlfn._xlws.FILTER(Rielle!C3:C200,(Rielle!B3:B200&lt;&gt;Rielle!C3:C200)*(Rielle!C3:C200&lt;&gt;"")),1,1))</f>
        <v>Afundar em Estupor</v>
      </c>
      <c r="AP2" t="str" cm="1">
        <f t="array" ref="AP2:AP8">IF(COUNTA(_xlfn._xlws.FILTER(Oona!C3:C200,(Oona!B3:B200&lt;&gt;Oona!C3:C200)*(Oona!C3:C200&lt;&gt;"")))=0,"",_xlfn._xlws.SORT(_xlfn._xlws.FILTER(Oona!C3:C200,(Oona!B3:B200&lt;&gt;Oona!C3:C200)*(Oona!C3:C200&lt;&gt;"")),1,1))</f>
        <v>Invasion of Segovia</v>
      </c>
      <c r="AQ2" t="str" cm="1">
        <f t="array" ref="AQ2:AQ10">IF(COUNTA(_xlfn._xlws.FILTER(Kresh!C3:C200,(Kresh!B3:B200&lt;&gt;Kresh!C3:C200)*(Kresh!C3:C200&lt;&gt;"")))=0,"",_xlfn._xlws.SORT(_xlfn._xlws.FILTER(Kresh!C3:C200,(Kresh!B3:B200&lt;&gt;Kresh!C3:C200)*(Kresh!C3:C200&lt;&gt;"")),1,1))</f>
        <v>Bugenhagen, Wise Elder</v>
      </c>
      <c r="AR2" t="str" cm="1">
        <f t="array" ref="AR2:AR4">IF(COUNTA(_xlfn._xlws.FILTER(Breya!C3:C200,(Breya!B3:B200&lt;&gt;Breya!C3:C200)*(Breya!C3:C200&lt;&gt;"")))=0,"",_xlfn._xlws.SORT(_xlfn._xlws.FILTER(Breya!C3:C200,(Breya!B3:B200&lt;&gt;Breya!C3:C200)*(Breya!C3:C200&lt;&gt;"")),1,1))</f>
        <v>Adagia, Windswept Bastion</v>
      </c>
      <c r="AS2" t="str" cm="1">
        <f t="array" ref="AS2:AS7">IF(COUNTA(_xlfn._xlws.FILTER(OWA!C3:C200,(OWA!B3:B200&lt;&gt;OWA!C3:C200)*(OWA!C3:C200&lt;&gt;"")))=0,"",_xlfn._xlws.SORT(_xlfn._xlws.FILTER(OWA!C3:C200,(OWA!B3:B200&lt;&gt;OWA!C3:C200)*(OWA!C3:C200&lt;&gt;"")),1,1))</f>
        <v>Dollmaker's Shop // Porcelain Gallery</v>
      </c>
      <c r="AT2" t="str" cm="1">
        <f t="array" ref="AT2:AT6">IF(COUNTA(_xlfn._xlws.FILTER(Alela!C3:C200,(Alela!B3:B200&lt;&gt;Alela!C3:C200)*(Alela!C3:C200&lt;&gt;"")))=0,"",_xlfn._xlws.SORT(_xlfn._xlws.FILTER(Alela!C3:C200,(Alela!B3:B200&lt;&gt;Alela!C3:C200)*(Alela!C3:C200&lt;&gt;"")),1,1))</f>
        <v>Adagia, Windswept Bastion</v>
      </c>
      <c r="AU2" t="str" cm="1">
        <f t="array" ref="AU2:AU3">IF(COUNTA(_xlfn._xlws.FILTER(Arcades!C3:C200,(Arcades!B3:B200&lt;&gt;Arcades!C3:C200)*(Arcades!C3:C200&lt;&gt;"")))=0,"",_xlfn._xlws.SORT(_xlfn._xlws.FILTER(Arcades!C3:C200,(Arcades!B3:B200&lt;&gt;Arcades!C3:C200)*(Arcades!C3:C200&lt;&gt;"")),1,1))</f>
        <v>Alchemist's Refuge</v>
      </c>
      <c r="AV2" t="str" cm="1">
        <f t="array" ref="AV2:AV4">IF(COUNTA(_xlfn._xlws.FILTER(Zedruu!C3:C200,(Zedruu!B3:B200&lt;&gt;Zedruu!C3:C200)*(Zedruu!C3:C200&lt;&gt;"")))=0,"",_xlfn._xlws.SORT(_xlfn._xlws.FILTER(Zedruu!C3:C200,(Zedruu!B3:B200&lt;&gt;Zedruu!C3:C200)*(Zedruu!C3:C200&lt;&gt;"")),1,1))</f>
        <v>Árbitro Silencioso</v>
      </c>
      <c r="AW2" t="e" cm="1" vm="1">
        <f t="array" ref="AW2">IF(COUNTA(_xlfn._xlws.FILTER(Exaltado!C3:C200,(Exaltado!B3:B200&lt;&gt;Exaltado!C3:C200)*(Exaltado!C3:C200&lt;&gt;"")))=0,"",_xlfn._xlws.SORT(_xlfn._xlws.FILTER(Exaltado!C3:C200,(Exaltado!B3:B200&lt;&gt;Exaltado!C3:C200)*(Exaltado!C3:C200&lt;&gt;"")),1,1))</f>
        <v>#VALUE!</v>
      </c>
      <c r="AX2" t="str" cm="1">
        <f t="array" ref="AX2:AX95">IF(COUNTA(_xlfn._xlws.FILTER(Modular!C3:C200,(Modular!B3:B200&lt;&gt;Modular!C3:C200)*(Modular!C3:C200&lt;&gt;"")))=0,"",_xlfn._xlws.SORT(_xlfn._xlws.FILTER(Modular!C3:C200,(Modular!B3:B200&lt;&gt;Modular!C3:C200)*(Modular!C3:C200&lt;&gt;"")),1,1))</f>
        <v>Adagia, Windswept Bastion</v>
      </c>
      <c r="AZ2" t="str" cm="1">
        <f t="array" aca="1" ref="AZ2:AZ23" ca="1">IF(COUNTA(_xlfn._xlws.FILTER(Thrakiri!C3:C103,(Thrakiri!B3:B103&lt;&gt;Thrakiri!C3:C103)*(Thrakiri!C3:C103&lt;&gt;"")))+COUNTA(_xlfn._xlws.FILTER(Gitrog!C3:C102,(Gitrog!B3:B102&lt;&gt;Gitrog!C3:C102)*(Gitrog!C3:C102&lt;&gt;"")))+COUNTA(_xlfn._xlws.FILTER(Elfos!C3:C103,(Elfos!B3:B103&lt;&gt;Elfos!C3:C103)*(Elfos!C3:C103&lt;&gt;"")))=0,"",_xlfn._xlws.SORT(_xlfn.UNIQUE(IF(ROW(INDIRECT("1:"&amp;(COUNTA(_xlfn._xlws.FILTER(Thrakiri!C3:C103,(Thrakiri!B3:B103&lt;&gt;Thrakiri!C3:C103)*(Thrakiri!C3:C103&lt;&gt;"")))+COUNTA(_xlfn._xlws.FILTER(Gitrog!C3:C102,(Gitrog!B3:B102&lt;&gt;Gitrog!C3:C102)*(Gitrog!C3:C102&lt;&gt;"")))+COUNTA(_xlfn._xlws.FILTER(Elfos!C3:C103,(Elfos!B3:B103&lt;&gt;Elfos!C3:C103)*(Elfos!C3:C103&lt;&gt;""))))))&lt;=COUNTA(_xlfn._xlws.FILTER(Thrakiri!C3:C103,(Thrakiri!B3:B103&lt;&gt;Thrakiri!C3:C103)*(Thrakiri!C3:C103&lt;&gt;""))),INDEX(_xlfn._xlws.FILTER(Thrakiri!C3:C103,(Thrakiri!B3:B103&lt;&gt;Thrakiri!C3:C103)*(Thrakiri!C3:C103&lt;&gt;"")),ROW(INDIRECT("1:"&amp;(COUNTA(_xlfn._xlws.FILTER(Thrakiri!C3:C103,(Thrakiri!B3:B103&lt;&gt;Thrakiri!C3:C103)*(Thrakiri!C3:C103&lt;&gt;"")))+COUNTA(_xlfn._xlws.FILTER(Gitrog!C3:C102,(Gitrog!B3:B102&lt;&gt;Gitrog!C3:C102)*(Gitrog!C3:C102&lt;&gt;"")))+COUNTA(_xlfn._xlws.FILTER(Elfos!C3:C103,(Elfos!B3:B103&lt;&gt;Elfos!C3:C103)*(Elfos!C3:C103&lt;&gt;""))))))),IF(ROW(INDIRECT("1:"&amp;(COUNTA(_xlfn._xlws.FILTER(Thrakiri!C3:C103,(Thrakiri!B3:B103&lt;&gt;Thrakiri!C3:C103)*(Thrakiri!C3:C103&lt;&gt;"")))+COUNTA(_xlfn._xlws.FILTER(Gitrog!C3:C102,(Gitrog!B3:B102&lt;&gt;Gitrog!C3:C102)*(Gitrog!C3:C102&lt;&gt;"")))+COUNTA(_xlfn._xlws.FILTER(Elfos!C3:C103,(Elfos!B3:B103&lt;&gt;Elfos!C3:C103)*(Elfos!C3:C103&lt;&gt;""))))))&lt;=COUNTA(_xlfn._xlws.FILTER(Thrakiri!C3:C103,(Thrakiri!B3:B103&lt;&gt;Thrakiri!C3:C103)*(Thrakiri!C3:C103&lt;&gt;"")))+COUNTA(_xlfn._xlws.FILTER(Gitrog!C3:C102,(Gitrog!B3:B102&lt;&gt;Gitrog!C3:C102)*(Gitrog!C3:C102&lt;&gt;""))),INDEX(_xlfn._xlws.FILTER(Gitrog!C3:C102,(Gitrog!B3:B102&lt;&gt;Gitrog!C3:C102)*(Gitrog!C3:C102&lt;&gt;"")),ROW(INDIRECT("1:"&amp;(COUNTA(_xlfn._xlws.FILTER(Thrakiri!C3:C103,(Thrakiri!B3:B103&lt;&gt;Thrakiri!C3:C103)*(Thrakiri!C3:C103&lt;&gt;"")))+COUNTA(_xlfn._xlws.FILTER(Gitrog!C3:C102,(Gitrog!B3:B102&lt;&gt;Gitrog!C3:C102)*(Gitrog!C3:C102&lt;&gt;"")))+COUNTA(_xlfn._xlws.FILTER(Elfos!C3:C103,(Elfos!B3:B103&lt;&gt;Elfos!C3:C103)*(Elfos!C3:C103&lt;&gt;""))))))-COUNTA(_xlfn._xlws.FILTER(Thrakiri!C3:C103,(Thrakiri!B3:B103&lt;&gt;Thrakiri!C3:C103)*(Thrakiri!C3:C103&lt;&gt;"")))),INDEX(_xlfn._xlws.FILTER(Elfos!C3:C103,(Elfos!B3:B103&lt;&gt;Elfos!C3:C103)*(Elfos!C3:C103&lt;&gt;"")),ROW(INDIRECT("1:"&amp;(COUNTA(_xlfn._xlws.FILTER(Thrakiri!C3:C103,(Thrakiri!B3:B103&lt;&gt;Thrakiri!C3:C103)*(Thrakiri!C3:C103&lt;&gt;"")))+COUNTA(_xlfn._xlws.FILTER(Gitrog!C3:C102,(Gitrog!B3:B102&lt;&gt;Gitrog!C3:C102)*(Gitrog!C3:C102&lt;&gt;"")))+COUNTA(_xlfn._xlws.FILTER(Elfos!C3:C103,(Elfos!B3:B103&lt;&gt;Elfos!C3:C103)*(Elfos!C3:C103&lt;&gt;""))))))-COUNTA(_xlfn._xlws.FILTER(Thrakiri!C3:C103,(Thrakiri!B3:B103&lt;&gt;Thrakiri!C3:C103)*(Thrakiri!C3:C103&lt;&gt;"")))-COUNTA(_xlfn._xlws.FILTER(Gitrog!C3:C102,(Gitrog!B3:B102&lt;&gt;Gitrog!C3:C102)*(Gitrog!C3:C102&lt;&gt;"")))))),1,-1)))</f>
        <v>Alchemist's Refuge</v>
      </c>
      <c r="BA2" t="str" cm="1">
        <f t="array" aca="1" ref="BA2:BA26" ca="1">IF(COUNTA(_xlfn._xlws.FILTER(Jhoira!C3:C101,(Jhoira!B3:B101&lt;&gt;Jhoira!C3:C101)*(Jhoira!C3:C101&lt;&gt;"")))+COUNTA(_xlfn._xlws.FILTER(Fractius!C3:C102,(Fractius!B3:B102&lt;&gt;Fractius!C3:C102)*(Fractius!C3:C102&lt;&gt;"")))+COUNTA(_xlfn._xlws.FILTER(Muzzio!C3:C102,(Muzzio!B3:B102&lt;&gt;Muzzio!C3:C102)*(Muzzio!C3:C102&lt;&gt;"")))=0,"",_xlfn._xlws.SORT(_xlfn.UNIQUE(IF(ROW(INDIRECT("1:"&amp;(COUNTA(_xlfn._xlws.FILTER(Jhoira!C3:C101,(Jhoira!B3:B101&lt;&gt;Jhoira!C3:C101)*(Jhoira!C3:C101&lt;&gt;"")))+COUNTA(_xlfn._xlws.FILTER(Fractius!C3:C102,(Fractius!B3:B102&lt;&gt;Fractius!C3:C102)*(Fractius!C3:C102&lt;&gt;"")))+COUNTA(_xlfn._xlws.FILTER(Muzzio!C3:C102,(Muzzio!B3:B102&lt;&gt;Muzzio!C3:C102)*(Muzzio!C3:C102&lt;&gt;""))))))&lt;=COUNTA(_xlfn._xlws.FILTER(Jhoira!C3:C101,(Jhoira!B3:B101&lt;&gt;Jhoira!C3:C101)*(Jhoira!C3:C101&lt;&gt;""))),INDEX(_xlfn._xlws.FILTER(Jhoira!C3:C101,(Jhoira!B3:B101&lt;&gt;Jhoira!C3:C101)*(Jhoira!C3:C101&lt;&gt;"")),ROW(INDIRECT("1:"&amp;(COUNTA(_xlfn._xlws.FILTER(Jhoira!C3:C101,(Jhoira!B3:B101&lt;&gt;Jhoira!C3:C101)*(Jhoira!C3:C101&lt;&gt;"")))+COUNTA(_xlfn._xlws.FILTER(Fractius!C3:C102,(Fractius!B3:B102&lt;&gt;Fractius!C3:C102)*(Fractius!C3:C102&lt;&gt;"")))+COUNTA(_xlfn._xlws.FILTER(Muzzio!C3:C102,(Muzzio!B3:B102&lt;&gt;Muzzio!C3:C102)*(Muzzio!C3:C102&lt;&gt;""))))))),IF(ROW(INDIRECT("1:"&amp;(COUNTA(_xlfn._xlws.FILTER(Jhoira!C3:C101,(Jhoira!B3:B101&lt;&gt;Jhoira!C3:C101)*(Jhoira!C3:C101&lt;&gt;"")))+COUNTA(_xlfn._xlws.FILTER(Fractius!C3:C102,(Fractius!B3:B102&lt;&gt;Fractius!C3:C102)*(Fractius!C3:C102&lt;&gt;"")))+COUNTA(_xlfn._xlws.FILTER(Muzzio!C3:C102,(Muzzio!B3:B102&lt;&gt;Muzzio!C3:C102)*(Muzzio!C3:C102&lt;&gt;""))))))&lt;=COUNTA(_xlfn._xlws.FILTER(Jhoira!C3:C101,(Jhoira!B3:B101&lt;&gt;Jhoira!C3:C101)*(Jhoira!C3:C101&lt;&gt;"")))+COUNTA(_xlfn._xlws.FILTER(Fractius!C3:C102,(Fractius!B3:B102&lt;&gt;Fractius!C3:C102)*(Fractius!C3:C102&lt;&gt;""))),INDEX(_xlfn._xlws.FILTER(Fractius!C3:C102,(Fractius!B3:B102&lt;&gt;Fractius!C3:C102)*(Fractius!C3:C102&lt;&gt;"")),ROW(INDIRECT("1:"&amp;(COUNTA(_xlfn._xlws.FILTER(Jhoira!C3:C101,(Jhoira!B3:B101&lt;&gt;Jhoira!C3:C101)*(Jhoira!C3:C101&lt;&gt;"")))+COUNTA(_xlfn._xlws.FILTER(Fractius!C3:C102,(Fractius!B3:B102&lt;&gt;Fractius!C3:C102)*(Fractius!C3:C102&lt;&gt;"")))+COUNTA(_xlfn._xlws.FILTER(Muzzio!C3:C102,(Muzzio!B3:B102&lt;&gt;Muzzio!C3:C102)*(Muzzio!C3:C102&lt;&gt;""))))))-COUNTA(_xlfn._xlws.FILTER(Jhoira!C3:C101,(Jhoira!B3:B101&lt;&gt;Jhoira!C3:C101)*(Jhoira!C3:C101&lt;&gt;"")))),INDEX(_xlfn._xlws.FILTER(Muzzio!C3:C102,(Muzzio!B3:B102&lt;&gt;Muzzio!C3:C102)*(Muzzio!C3:C102&lt;&gt;"")),ROW(INDIRECT("1:"&amp;(COUNTA(_xlfn._xlws.FILTER(Jhoira!C3:C101,(Jhoira!B3:B101&lt;&gt;Jhoira!C3:C101)*(Jhoira!C3:C101&lt;&gt;"")))+COUNTA(_xlfn._xlws.FILTER(Fractius!C3:C102,(Fractius!B3:B102&lt;&gt;Fractius!C3:C102)*(Fractius!C3:C102&lt;&gt;"")))+COUNTA(_xlfn._xlws.FILTER(Muzzio!C3:C102,(Muzzio!B3:B102&lt;&gt;Muzzio!C3:C102)*(Muzzio!C3:C102&lt;&gt;""))))))-COUNTA(_xlfn._xlws.FILTER(Jhoira!C3:C101,(Jhoira!B3:B101&lt;&gt;Jhoira!C3:C101)*(Jhoira!C3:C101&lt;&gt;"")))-COUNTA(_xlfn._xlws.FILTER(Fractius!C3:C102,(Fractius!B3:B102&lt;&gt;Fractius!C3:C102)*(Fractius!C3:C102&lt;&gt;"")))))),1,-1)))</f>
        <v>A Joia do Enigma</v>
      </c>
      <c r="BB2" t="str" cm="1">
        <f t="array" aca="1" ref="BB2:BB15" ca="1">IF(COUNTA(_xlfn._xlws.FILTER(Rielle!C3:C102,(Rielle!B3:B102&lt;&gt;Rielle!C3:C102)*(Rielle!C3:C102&lt;&gt;"")))+COUNTA(_xlfn._xlws.FILTER(Alela!C3:C102,(Alela!B3:B102&lt;&gt;Alela!C3:C102)*(Alela!C3:C102&lt;&gt;"")))+COUNTA(_xlfn._xlws.FILTER(Arcades!C3:C102,(Arcades!B3:B102&lt;&gt;Arcades!C3:C102)*(Arcades!C3:C102&lt;&gt;"")))=0,"",_xlfn._xlws.SORT(_xlfn.UNIQUE(IF(ROW(INDIRECT("1:"&amp;(COUNTA(_xlfn._xlws.FILTER(Rielle!C3:C102,(Rielle!B3:B102&lt;&gt;Rielle!C3:C102)*(Rielle!C3:C102&lt;&gt;"")))+COUNTA(_xlfn._xlws.FILTER(Alela!C3:C102,(Alela!B3:B102&lt;&gt;Alela!C3:C102)*(Alela!C3:C102&lt;&gt;"")))+COUNTA(_xlfn._xlws.FILTER(Arcades!C3:C102,(Arcades!B3:B102&lt;&gt;Arcades!C3:C102)*(Arcades!C3:C102&lt;&gt;""))))))&lt;=COUNTA(_xlfn._xlws.FILTER(Rielle!C3:C102,(Rielle!B3:B102&lt;&gt;Rielle!C3:C102)*(Rielle!C3:C102&lt;&gt;""))),INDEX(_xlfn._xlws.FILTER(Rielle!C3:C102,(Rielle!B3:B102&lt;&gt;Rielle!C3:C102)*(Rielle!C3:C102&lt;&gt;"")),ROW(INDIRECT("1:"&amp;(COUNTA(_xlfn._xlws.FILTER(Rielle!C3:C102,(Rielle!B3:B102&lt;&gt;Rielle!C3:C102)*(Rielle!C3:C102&lt;&gt;"")))+COUNTA(_xlfn._xlws.FILTER(Alela!C3:C102,(Alela!B3:B102&lt;&gt;Alela!C3:C102)*(Alela!C3:C102&lt;&gt;"")))+COUNTA(_xlfn._xlws.FILTER(Arcades!C3:C102,(Arcades!B3:B102&lt;&gt;Arcades!C3:C102)*(Arcades!C3:C102&lt;&gt;""))))))),IF(ROW(INDIRECT("1:"&amp;(COUNTA(_xlfn._xlws.FILTER(Rielle!C3:C102,(Rielle!B3:B102&lt;&gt;Rielle!C3:C102)*(Rielle!C3:C102&lt;&gt;"")))+COUNTA(_xlfn._xlws.FILTER(Alela!C3:C102,(Alela!B3:B102&lt;&gt;Alela!C3:C102)*(Alela!C3:C102&lt;&gt;"")))+COUNTA(_xlfn._xlws.FILTER(Arcades!C3:C102,(Arcades!B3:B102&lt;&gt;Arcades!C3:C102)*(Arcades!C3:C102&lt;&gt;""))))))&lt;=COUNTA(_xlfn._xlws.FILTER(Rielle!C3:C102,(Rielle!B3:B102&lt;&gt;Rielle!C3:C102)*(Rielle!C3:C102&lt;&gt;"")))+COUNTA(_xlfn._xlws.FILTER(Alela!C3:C102,(Alela!B3:B102&lt;&gt;Alela!C3:C102)*(Alela!C3:C102&lt;&gt;""))),INDEX(_xlfn._xlws.FILTER(Alela!C3:C102,(Alela!B3:B102&lt;&gt;Alela!C3:C102)*(Alela!C3:C102&lt;&gt;"")),ROW(INDIRECT("1:"&amp;(COUNTA(_xlfn._xlws.FILTER(Rielle!C3:C102,(Rielle!B3:B102&lt;&gt;Rielle!C3:C102)*(Rielle!C3:C102&lt;&gt;"")))+COUNTA(_xlfn._xlws.FILTER(Alela!C3:C102,(Alela!B3:B102&lt;&gt;Alela!C3:C102)*(Alela!C3:C102&lt;&gt;"")))+COUNTA(_xlfn._xlws.FILTER(Arcades!C3:C102,(Arcades!B3:B102&lt;&gt;Arcades!C3:C102)*(Arcades!C3:C102&lt;&gt;""))))))-COUNTA(_xlfn._xlws.FILTER(Rielle!C3:C102,(Rielle!B3:B102&lt;&gt;Rielle!C3:C102)*(Rielle!C3:C102&lt;&gt;"")))),INDEX(_xlfn._xlws.FILTER(Arcades!C3:C102,(Arcades!B3:B102&lt;&gt;Arcades!C3:C102)*(Arcades!C3:C102&lt;&gt;"")),ROW(INDIRECT("1:"&amp;(COUNTA(_xlfn._xlws.FILTER(Rielle!C3:C102,(Rielle!B3:B102&lt;&gt;Rielle!C3:C102)*(Rielle!C3:C102&lt;&gt;"")))+COUNTA(_xlfn._xlws.FILTER(Alela!C3:C102,(Alela!B3:B102&lt;&gt;Alela!C3:C102)*(Alela!C3:C102&lt;&gt;"")))+COUNTA(_xlfn._xlws.FILTER(Arcades!C3:C102,(Arcades!B3:B102&lt;&gt;Arcades!C3:C102)*(Arcades!C3:C102&lt;&gt;""))))))-COUNTA(_xlfn._xlws.FILTER(Rielle!C3:C102,(Rielle!B3:B102&lt;&gt;Rielle!C3:C102)*(Rielle!C3:C102&lt;&gt;"")))-COUNTA(_xlfn._xlws.FILTER(Alela!C3:C102,(Alela!B3:B102&lt;&gt;Alela!C3:C102)*(Alela!C3:C102&lt;&gt;"")))))),1,-1)))</f>
        <v>Adagia, Windswept Bastion</v>
      </c>
      <c r="BC2" t="str" cm="1">
        <f t="array" aca="1" ref="BC2:BC27" ca="1">IF(COUNTA(_xlfn._xlws.FILTER(VialIshai!C3:C103,(VialIshai!B3:B103&lt;&gt;VialIshai!C3:C103)*(VialIshai!C3:C103&lt;&gt;"")))+COUNTA(_xlfn._xlws.FILTER(Yuriko!C3:C102,(Yuriko!B3:B102&lt;&gt;Yuriko!C3:C102)*(Yuriko!C3:C102&lt;&gt;"")))+COUNTA(_xlfn._xlws.FILTER(Zedruu!C3:C102,(Zedruu!B3:B102&lt;&gt;Zedruu!C3:C102)*(Zedruu!C3:C102&lt;&gt;"")))=0,"",_xlfn._xlws.SORT(_xlfn.UNIQUE(IF(ROW(INDIRECT("1:"&amp;(COUNTA(_xlfn._xlws.FILTER(VialIshai!C3:C103,(VialIshai!B3:B103&lt;&gt;VialIshai!C3:C103)*(VialIshai!C3:C103&lt;&gt;"")))+COUNTA(_xlfn._xlws.FILTER(Yuriko!C3:C102,(Yuriko!B3:B102&lt;&gt;Yuriko!C3:C102)*(Yuriko!C3:C102&lt;&gt;"")))+COUNTA(_xlfn._xlws.FILTER(Zedruu!C3:C102,(Zedruu!B3:B102&lt;&gt;Zedruu!C3:C102)*(Zedruu!C3:C102&lt;&gt;""))))))&lt;=COUNTA(_xlfn._xlws.FILTER(VialIshai!C3:C103,(VialIshai!B3:B103&lt;&gt;VialIshai!C3:C103)*(VialIshai!C3:C103&lt;&gt;""))),INDEX(_xlfn._xlws.FILTER(VialIshai!C3:C103,(VialIshai!B3:B103&lt;&gt;VialIshai!C3:C103)*(VialIshai!C3:C103&lt;&gt;"")),ROW(INDIRECT("1:"&amp;(COUNTA(_xlfn._xlws.FILTER(VialIshai!C3:C103,(VialIshai!B3:B103&lt;&gt;VialIshai!C3:C103)*(VialIshai!C3:C103&lt;&gt;"")))+COUNTA(_xlfn._xlws.FILTER(Yuriko!C3:C102,(Yuriko!B3:B102&lt;&gt;Yuriko!C3:C102)*(Yuriko!C3:C102&lt;&gt;"")))+COUNTA(_xlfn._xlws.FILTER(Zedruu!C3:C102,(Zedruu!B3:B102&lt;&gt;Zedruu!C3:C102)*(Zedruu!C3:C102&lt;&gt;""))))))),IF(ROW(INDIRECT("1:"&amp;(COUNTA(_xlfn._xlws.FILTER(VialIshai!C3:C103,(VialIshai!B3:B103&lt;&gt;VialIshai!C3:C103)*(VialIshai!C3:C103&lt;&gt;"")))+COUNTA(_xlfn._xlws.FILTER(Yuriko!C3:C102,(Yuriko!B3:B102&lt;&gt;Yuriko!C3:C102)*(Yuriko!C3:C102&lt;&gt;"")))+COUNTA(_xlfn._xlws.FILTER(Zedruu!C3:C102,(Zedruu!B3:B102&lt;&gt;Zedruu!C3:C102)*(Zedruu!C3:C102&lt;&gt;""))))))&lt;=COUNTA(_xlfn._xlws.FILTER(VialIshai!C3:C103,(VialIshai!B3:B103&lt;&gt;VialIshai!C3:C103)*(VialIshai!C3:C103&lt;&gt;"")))+COUNTA(_xlfn._xlws.FILTER(Yuriko!C3:C102,(Yuriko!B3:B102&lt;&gt;Yuriko!C3:C102)*(Yuriko!C3:C102&lt;&gt;""))),INDEX(_xlfn._xlws.FILTER(Yuriko!C3:C102,(Yuriko!B3:B102&lt;&gt;Yuriko!C3:C102)*(Yuriko!C3:C102&lt;&gt;"")),ROW(INDIRECT("1:"&amp;(COUNTA(_xlfn._xlws.FILTER(VialIshai!C3:C103,(VialIshai!B3:B103&lt;&gt;VialIshai!C3:C103)*(VialIshai!C3:C103&lt;&gt;"")))+COUNTA(_xlfn._xlws.FILTER(Yuriko!C3:C102,(Yuriko!B3:B102&lt;&gt;Yuriko!C3:C102)*(Yuriko!C3:C102&lt;&gt;"")))+COUNTA(_xlfn._xlws.FILTER(Zedruu!C3:C102,(Zedruu!B3:B102&lt;&gt;Zedruu!C3:C102)*(Zedruu!C3:C102&lt;&gt;""))))))-COUNTA(_xlfn._xlws.FILTER(VialIshai!C3:C103,(VialIshai!B3:B103&lt;&gt;VialIshai!C3:C103)*(VialIshai!C3:C103&lt;&gt;"")))),INDEX(_xlfn._xlws.FILTER(Zedruu!C3:C102,(Zedruu!B3:B102&lt;&gt;Zedruu!C3:C102)*(Zedruu!C3:C102&lt;&gt;"")),ROW(INDIRECT("1:"&amp;(COUNTA(_xlfn._xlws.FILTER(VialIshai!C3:C103,(VialIshai!B3:B103&lt;&gt;VialIshai!C3:C103)*(VialIshai!C3:C103&lt;&gt;"")))+COUNTA(_xlfn._xlws.FILTER(Yuriko!C3:C102,(Yuriko!B3:B102&lt;&gt;Yuriko!C3:C102)*(Yuriko!C3:C102&lt;&gt;"")))+COUNTA(_xlfn._xlws.FILTER(Zedruu!C3:C102,(Zedruu!B3:B102&lt;&gt;Zedruu!C3:C102)*(Zedruu!C3:C102&lt;&gt;""))))))-COUNTA(_xlfn._xlws.FILTER(VialIshai!C3:C103,(VialIshai!B3:B103&lt;&gt;VialIshai!C3:C103)*(VialIshai!C3:C103&lt;&gt;"")))-COUNTA(_xlfn._xlws.FILTER(Yuriko!C3:C102,(Yuriko!B3:B102&lt;&gt;Yuriko!C3:C102)*(Yuriko!C3:C102&lt;&gt;"")))))),1,-1)))</f>
        <v>Amphibian Downpour</v>
      </c>
      <c r="BD2" t="str" cm="1">
        <f t="array" aca="1" ref="BD2:BD35" ca="1">IF(COUNTA(_xlfn._xlws.FILTER(Inalla!C3:C102,(Inalla!B3:B102&lt;&gt;Inalla!C3:C102)*(Inalla!C3:C102&lt;&gt;"")))+COUNTA(_xlfn._xlws.FILTER(Carlos!C3:C102,(Carlos!B3:B102&lt;&gt;Carlos!C3:C102)*(Carlos!C3:C102&lt;&gt;"")))+COUNTA(_xlfn._xlws.FILTER(Oona!C3:C102,(Oona!B3:B102&lt;&gt;Oona!C3:C102)*(Oona!C3:C102&lt;&gt;"")))=0,"",_xlfn._xlws.SORT(_xlfn.UNIQUE(IF(ROW(INDIRECT("1:"&amp;(COUNTA(_xlfn._xlws.FILTER(Inalla!C3:C102,(Inalla!B3:B102&lt;&gt;Inalla!C3:C102)*(Inalla!C3:C102&lt;&gt;"")))+COUNTA(_xlfn._xlws.FILTER(Carlos!C3:C102,(Carlos!B3:B102&lt;&gt;Carlos!C3:C102)*(Carlos!C3:C102&lt;&gt;"")))+COUNTA(_xlfn._xlws.FILTER(Oona!C3:C102,(Oona!B3:B102&lt;&gt;Oona!C3:C102)*(Oona!C3:C102&lt;&gt;""))))))&lt;=COUNTA(_xlfn._xlws.FILTER(Inalla!C3:C102,(Inalla!B3:B102&lt;&gt;Inalla!C3:C102)*(Inalla!C3:C102&lt;&gt;""))),INDEX(_xlfn._xlws.FILTER(Inalla!C3:C102,(Inalla!B3:B102&lt;&gt;Inalla!C3:C102)*(Inalla!C3:C102&lt;&gt;"")),ROW(INDIRECT("1:"&amp;(COUNTA(_xlfn._xlws.FILTER(Inalla!C3:C102,(Inalla!B3:B102&lt;&gt;Inalla!C3:C102)*(Inalla!C3:C102&lt;&gt;"")))+COUNTA(_xlfn._xlws.FILTER(Carlos!C3:C102,(Carlos!B3:B102&lt;&gt;Carlos!C3:C102)*(Carlos!C3:C102&lt;&gt;"")))+COUNTA(_xlfn._xlws.FILTER(Oona!C3:C102,(Oona!B3:B102&lt;&gt;Oona!C3:C102)*(Oona!C3:C102&lt;&gt;""))))))),IF(ROW(INDIRECT("1:"&amp;(COUNTA(_xlfn._xlws.FILTER(Inalla!C3:C102,(Inalla!B3:B102&lt;&gt;Inalla!C3:C102)*(Inalla!C3:C102&lt;&gt;"")))+COUNTA(_xlfn._xlws.FILTER(Carlos!C3:C102,(Carlos!B3:B102&lt;&gt;Carlos!C3:C102)*(Carlos!C3:C102&lt;&gt;"")))+COUNTA(_xlfn._xlws.FILTER(Oona!C3:C102,(Oona!B3:B102&lt;&gt;Oona!C3:C102)*(Oona!C3:C102&lt;&gt;""))))))&lt;=COUNTA(_xlfn._xlws.FILTER(Inalla!C3:C102,(Inalla!B3:B102&lt;&gt;Inalla!C3:C102)*(Inalla!C3:C102&lt;&gt;"")))+COUNTA(_xlfn._xlws.FILTER(Carlos!C3:C102,(Carlos!B3:B102&lt;&gt;Carlos!C3:C102)*(Carlos!C3:C102&lt;&gt;""))),INDEX(_xlfn._xlws.FILTER(Carlos!C3:C102,(Carlos!B3:B102&lt;&gt;Carlos!C3:C102)*(Carlos!C3:C102&lt;&gt;"")),ROW(INDIRECT("1:"&amp;(COUNTA(_xlfn._xlws.FILTER(Inalla!C3:C102,(Inalla!B3:B102&lt;&gt;Inalla!C3:C102)*(Inalla!C3:C102&lt;&gt;"")))+COUNTA(_xlfn._xlws.FILTER(Carlos!C3:C102,(Carlos!B3:B102&lt;&gt;Carlos!C3:C102)*(Carlos!C3:C102&lt;&gt;"")))+COUNTA(_xlfn._xlws.FILTER(Oona!C3:C102,(Oona!B3:B102&lt;&gt;Oona!C3:C102)*(Oona!C3:C102&lt;&gt;""))))))-COUNTA(_xlfn._xlws.FILTER(Inalla!C3:C102,(Inalla!B3:B102&lt;&gt;Inalla!C3:C102)*(Inalla!C3:C102&lt;&gt;"")))),INDEX(_xlfn._xlws.FILTER(Oona!C3:C102,(Oona!B3:B102&lt;&gt;Oona!C3:C102)*(Oona!C3:C102&lt;&gt;"")),ROW(INDIRECT("1:"&amp;(COUNTA(_xlfn._xlws.FILTER(Inalla!C3:C102,(Inalla!B3:B102&lt;&gt;Inalla!C3:C102)*(Inalla!C3:C102&lt;&gt;"")))+COUNTA(_xlfn._xlws.FILTER(Carlos!C3:C102,(Carlos!B3:B102&lt;&gt;Carlos!C3:C102)*(Carlos!C3:C102&lt;&gt;"")))+COUNTA(_xlfn._xlws.FILTER(Oona!C3:C102,(Oona!B3:B102&lt;&gt;Oona!C3:C102)*(Oona!C3:C102&lt;&gt;""))))))-COUNTA(_xlfn._xlws.FILTER(Inalla!C3:C102,(Inalla!B3:B102&lt;&gt;Inalla!C3:C102)*(Inalla!C3:C102&lt;&gt;"")))-COUNTA(_xlfn._xlws.FILTER(Carlos!C3:C102,(Carlos!B3:B102&lt;&gt;Carlos!C3:C102)*(Carlos!C3:C102&lt;&gt;"")))))),1,-1)))</f>
        <v>Arcane Lighthouse</v>
      </c>
      <c r="BE2" t="str" cm="1">
        <f t="array" aca="1" ref="BE2:BE25" ca="1">IF(COUNTA(_xlfn._xlws.FILTER(Kresh!C3:C102,(Kresh!B3:B102&lt;&gt;Kresh!C3:C102)*(Kresh!C3:C102&lt;&gt;"")))+COUNTA(_xlfn._xlws.FILTER(Akiri!C3:C102,(Akiri!B3:B102&lt;&gt;Akiri!C3:C102)*(Akiri!C3:C102&lt;&gt;"")))+COUNTA(_xlfn._xlws.FILTER(Breya!C3:C102,(Breya!B3:B102&lt;&gt;Breya!C3:C102)*(Breya!C3:C102&lt;&gt;"")))=0,"",_xlfn._xlws.SORT(_xlfn.UNIQUE(IF(ROW(INDIRECT("1:"&amp;(COUNTA(_xlfn._xlws.FILTER(Kresh!C3:C102,(Kresh!B3:B102&lt;&gt;Kresh!C3:C102)*(Kresh!C3:C102&lt;&gt;"")))+COUNTA(_xlfn._xlws.FILTER(Akiri!C3:C102,(Akiri!B3:B102&lt;&gt;Akiri!C3:C102)*(Akiri!C3:C102&lt;&gt;"")))+COUNTA(_xlfn._xlws.FILTER(Breya!C3:C102,(Breya!B3:B102&lt;&gt;Breya!C3:C102)*(Breya!C3:C102&lt;&gt;""))))))&lt;=COUNTA(_xlfn._xlws.FILTER(Kresh!C3:C102,(Kresh!B3:B102&lt;&gt;Kresh!C3:C102)*(Kresh!C3:C102&lt;&gt;""))),INDEX(_xlfn._xlws.FILTER(Kresh!C3:C102,(Kresh!B3:B102&lt;&gt;Kresh!C3:C102)*(Kresh!C3:C102&lt;&gt;"")),ROW(INDIRECT("1:"&amp;(COUNTA(_xlfn._xlws.FILTER(Kresh!C3:C102,(Kresh!B3:B102&lt;&gt;Kresh!C3:C102)*(Kresh!C3:C102&lt;&gt;"")))+COUNTA(_xlfn._xlws.FILTER(Akiri!C3:C102,(Akiri!B3:B102&lt;&gt;Akiri!C3:C102)*(Akiri!C3:C102&lt;&gt;"")))+COUNTA(_xlfn._xlws.FILTER(Breya!C3:C102,(Breya!B3:B102&lt;&gt;Breya!C3:C102)*(Breya!C3:C102&lt;&gt;""))))))),IF(ROW(INDIRECT("1:"&amp;(COUNTA(_xlfn._xlws.FILTER(Kresh!C3:C102,(Kresh!B3:B102&lt;&gt;Kresh!C3:C102)*(Kresh!C3:C102&lt;&gt;"")))+COUNTA(_xlfn._xlws.FILTER(Akiri!C3:C102,(Akiri!B3:B102&lt;&gt;Akiri!C3:C102)*(Akiri!C3:C102&lt;&gt;"")))+COUNTA(_xlfn._xlws.FILTER(Breya!C3:C102,(Breya!B3:B102&lt;&gt;Breya!C3:C102)*(Breya!C3:C102&lt;&gt;""))))))&lt;=COUNTA(_xlfn._xlws.FILTER(Kresh!C3:C102,(Kresh!B3:B102&lt;&gt;Kresh!C3:C102)*(Kresh!C3:C102&lt;&gt;"")))+COUNTA(_xlfn._xlws.FILTER(Akiri!C3:C102,(Akiri!B3:B102&lt;&gt;Akiri!C3:C102)*(Akiri!C3:C102&lt;&gt;""))),INDEX(_xlfn._xlws.FILTER(Akiri!C3:C102,(Akiri!B3:B102&lt;&gt;Akiri!C3:C102)*(Akiri!C3:C102&lt;&gt;"")),ROW(INDIRECT("1:"&amp;(COUNTA(_xlfn._xlws.FILTER(Kresh!C3:C102,(Kresh!B3:B102&lt;&gt;Kresh!C3:C102)*(Kresh!C3:C102&lt;&gt;"")))+COUNTA(_xlfn._xlws.FILTER(Akiri!C3:C102,(Akiri!B3:B102&lt;&gt;Akiri!C3:C102)*(Akiri!C3:C102&lt;&gt;"")))+COUNTA(_xlfn._xlws.FILTER(Breya!C3:C102,(Breya!B3:B102&lt;&gt;Breya!C3:C102)*(Breya!C3:C102&lt;&gt;""))))))-COUNTA(_xlfn._xlws.FILTER(Kresh!C3:C102,(Kresh!B3:B102&lt;&gt;Kresh!C3:C102)*(Kresh!C3:C102&lt;&gt;"")))),INDEX(_xlfn._xlws.FILTER(Breya!C3:C102,(Breya!B3:B102&lt;&gt;Breya!C3:C102)*(Breya!C3:C102&lt;&gt;"")),ROW(INDIRECT("1:"&amp;(COUNTA(_xlfn._xlws.FILTER(Kresh!C3:C102,(Kresh!B3:B102&lt;&gt;Kresh!C3:C102)*(Kresh!C3:C102&lt;&gt;"")))+COUNTA(_xlfn._xlws.FILTER(Akiri!C3:C102,(Akiri!B3:B102&lt;&gt;Akiri!C3:C102)*(Akiri!C3:C102&lt;&gt;"")))+COUNTA(_xlfn._xlws.FILTER(Breya!C3:C102,(Breya!B3:B102&lt;&gt;Breya!C3:C102)*(Breya!C3:C102&lt;&gt;""))))))-COUNTA(_xlfn._xlws.FILTER(Kresh!C3:C102,(Kresh!B3:B102&lt;&gt;Kresh!C3:C102)*(Kresh!C3:C102&lt;&gt;"")))-COUNTA(_xlfn._xlws.FILTER(Akiri!C3:C102,(Akiri!B3:B102&lt;&gt;Akiri!C3:C102)*(Akiri!C3:C102&lt;&gt;"")))))),1,-1)))</f>
        <v>Adagia, Windswept Bastion</v>
      </c>
      <c r="BF2" t="str" cm="1">
        <f t="array" aca="1" ref="BF2:BF37" ca="1">IF(COUNTA(_xlfn._xlws.FILTER(Rani!C3:C102,(Rani!B3:B102&lt;&gt;Rani!C3:C102)*(Rani!C3:C102&lt;&gt;"")))+COUNTA(_xlfn._xlws.FILTER(Sisay!C3:C102,(Sisay!B3:B102&lt;&gt;Sisay!C3:C102)*(Sisay!C3:C102&lt;&gt;"")))+COUNTA(_xlfn._xlws.FILTER(OWA!C3:C103,(OWA!B3:B103&lt;&gt;OWA!C3:C103)*(OWA!C3:C103&lt;&gt;"")))=0,"",_xlfn._xlws.SORT(_xlfn.UNIQUE(IF(ROW(INDIRECT("1:"&amp;(COUNTA(_xlfn._xlws.FILTER(Rani!C3:C102,(Rani!B3:B102&lt;&gt;Rani!C3:C102)*(Rani!C3:C102&lt;&gt;"")))+COUNTA(_xlfn._xlws.FILTER(Sisay!C3:C102,(Sisay!B3:B102&lt;&gt;Sisay!C3:C102)*(Sisay!C3:C102&lt;&gt;"")))+COUNTA(_xlfn._xlws.FILTER(OWA!C3:C103,(OWA!B3:B103&lt;&gt;OWA!C3:C103)*(OWA!C3:C103&lt;&gt;""))))))&lt;=COUNTA(_xlfn._xlws.FILTER(Rani!C3:C102,(Rani!B3:B102&lt;&gt;Rani!C3:C102)*(Rani!C3:C102&lt;&gt;""))),INDEX(_xlfn._xlws.FILTER(Rani!C3:C102,(Rani!B3:B102&lt;&gt;Rani!C3:C102)*(Rani!C3:C102&lt;&gt;"")),ROW(INDIRECT("1:"&amp;(COUNTA(_xlfn._xlws.FILTER(Rani!C3:C102,(Rani!B3:B102&lt;&gt;Rani!C3:C102)*(Rani!C3:C102&lt;&gt;"")))+COUNTA(_xlfn._xlws.FILTER(Sisay!C3:C102,(Sisay!B3:B102&lt;&gt;Sisay!C3:C102)*(Sisay!C3:C102&lt;&gt;"")))+COUNTA(_xlfn._xlws.FILTER(OWA!C3:C103,(OWA!B3:B103&lt;&gt;OWA!C3:C103)*(OWA!C3:C103&lt;&gt;""))))))),IF(ROW(INDIRECT("1:"&amp;(COUNTA(_xlfn._xlws.FILTER(Rani!C3:C102,(Rani!B3:B102&lt;&gt;Rani!C3:C102)*(Rani!C3:C102&lt;&gt;"")))+COUNTA(_xlfn._xlws.FILTER(Sisay!C3:C102,(Sisay!B3:B102&lt;&gt;Sisay!C3:C102)*(Sisay!C3:C102&lt;&gt;"")))+COUNTA(_xlfn._xlws.FILTER(OWA!C3:C103,(OWA!B3:B103&lt;&gt;OWA!C3:C103)*(OWA!C3:C103&lt;&gt;""))))))&lt;=COUNTA(_xlfn._xlws.FILTER(Rani!C3:C102,(Rani!B3:B102&lt;&gt;Rani!C3:C102)*(Rani!C3:C102&lt;&gt;"")))+COUNTA(_xlfn._xlws.FILTER(Sisay!C3:C102,(Sisay!B3:B102&lt;&gt;Sisay!C3:C102)*(Sisay!C3:C102&lt;&gt;""))),INDEX(_xlfn._xlws.FILTER(Sisay!C3:C102,(Sisay!B3:B102&lt;&gt;Sisay!C3:C102)*(Sisay!C3:C102&lt;&gt;"")),ROW(INDIRECT("1:"&amp;(COUNTA(_xlfn._xlws.FILTER(Rani!C3:C102,(Rani!B3:B102&lt;&gt;Rani!C3:C102)*(Rani!C3:C102&lt;&gt;"")))+COUNTA(_xlfn._xlws.FILTER(Sisay!C3:C102,(Sisay!B3:B102&lt;&gt;Sisay!C3:C102)*(Sisay!C3:C102&lt;&gt;"")))+COUNTA(_xlfn._xlws.FILTER(OWA!C3:C103,(OWA!B3:B103&lt;&gt;OWA!C3:C103)*(OWA!C3:C103&lt;&gt;""))))))-COUNTA(_xlfn._xlws.FILTER(Rani!C3:C102,(Rani!B3:B102&lt;&gt;Rani!C3:C102)*(Rani!C3:C102&lt;&gt;"")))),INDEX(_xlfn._xlws.FILTER(OWA!C3:C103,(OWA!B3:B103&lt;&gt;OWA!C3:C103)*(OWA!C3:C103&lt;&gt;"")),ROW(INDIRECT("1:"&amp;(COUNTA(_xlfn._xlws.FILTER(Rani!C3:C102,(Rani!B3:B102&lt;&gt;Rani!C3:C102)*(Rani!C3:C102&lt;&gt;"")))+COUNTA(_xlfn._xlws.FILTER(Sisay!C3:C102,(Sisay!B3:B102&lt;&gt;Sisay!C3:C102)*(Sisay!C3:C102&lt;&gt;"")))+COUNTA(_xlfn._xlws.FILTER(OWA!C3:C103,(OWA!B3:B103&lt;&gt;OWA!C3:C103)*(OWA!C3:C103&lt;&gt;""))))))-COUNTA(_xlfn._xlws.FILTER(Rani!C3:C102,(Rani!B3:B102&lt;&gt;Rani!C3:C102)*(Rani!C3:C102&lt;&gt;"")))-COUNTA(_xlfn._xlws.FILTER(Sisay!C3:C102,(Sisay!B3:B102&lt;&gt;Sisay!C3:C102)*(Sisay!C3:C102&lt;&gt;"")))))),1,-1)))</f>
        <v>Access Tunnel</v>
      </c>
      <c r="BG2" t="str" cm="1">
        <f t="array" aca="1" ref="BG2:BG65" ca="1">IF(COUNTA(_xlfn._xlws.FILTER(Narset!C3:C102,(Narset!B3:B102&lt;&gt;Narset!C3:C102)*(Narset!C3:C102&lt;&gt;"")))+COUNTA(_xlfn._xlws.FILTER(Kumena!C3:C102,(Kumena!B3:B102&lt;&gt;Kumena!C3:C102)*(Kumena!C3:C102&lt;&gt;"")))+COUNTA(_xlfn._xlws.FILTER(Zimone!C3:C102,(Zimone!B3:B102&lt;&gt;Zimone!C3:C102)*(Zimone!C3:C102&lt;&gt;"")))=0,"",_xlfn._xlws.SORT(_xlfn.UNIQUE(IF(ROW(INDIRECT("1:"&amp;(COUNTA(_xlfn._xlws.FILTER(Narset!C3:C102,(Narset!B3:B102&lt;&gt;Narset!C3:C102)*(Narset!C3:C102&lt;&gt;"")))+COUNTA(_xlfn._xlws.FILTER(Kumena!C3:C102,(Kumena!B3:B102&lt;&gt;Kumena!C3:C102)*(Kumena!C3:C102&lt;&gt;"")))+COUNTA(_xlfn._xlws.FILTER(Zimone!C3:C102,(Zimone!B3:B102&lt;&gt;Zimone!C3:C102)*(Zimone!C3:C102&lt;&gt;""))))))&lt;=COUNTA(_xlfn._xlws.FILTER(Narset!C3:C102,(Narset!B3:B102&lt;&gt;Narset!C3:C102)*(Narset!C3:C102&lt;&gt;""))),INDEX(_xlfn._xlws.FILTER(Narset!C3:C102,(Narset!B3:B102&lt;&gt;Narset!C3:C102)*(Narset!C3:C102&lt;&gt;"")),ROW(INDIRECT("1:"&amp;(COUNTA(_xlfn._xlws.FILTER(Narset!C3:C102,(Narset!B3:B102&lt;&gt;Narset!C3:C102)*(Narset!C3:C102&lt;&gt;"")))+COUNTA(_xlfn._xlws.FILTER(Kumena!C3:C102,(Kumena!B3:B102&lt;&gt;Kumena!C3:C102)*(Kumena!C3:C102&lt;&gt;"")))+COUNTA(_xlfn._xlws.FILTER(Zimone!C3:C102,(Zimone!B3:B102&lt;&gt;Zimone!C3:C102)*(Zimone!C3:C102&lt;&gt;""))))))),IF(ROW(INDIRECT("1:"&amp;(COUNTA(_xlfn._xlws.FILTER(Narset!C3:C102,(Narset!B3:B102&lt;&gt;Narset!C3:C102)*(Narset!C3:C102&lt;&gt;"")))+COUNTA(_xlfn._xlws.FILTER(Kumena!C3:C102,(Kumena!B3:B102&lt;&gt;Kumena!C3:C102)*(Kumena!C3:C102&lt;&gt;"")))+COUNTA(_xlfn._xlws.FILTER(Zimone!C3:C102,(Zimone!B3:B102&lt;&gt;Zimone!C3:C102)*(Zimone!C3:C102&lt;&gt;""))))))&lt;=COUNTA(_xlfn._xlws.FILTER(Narset!C3:C102,(Narset!B3:B102&lt;&gt;Narset!C3:C102)*(Narset!C3:C102&lt;&gt;"")))+COUNTA(_xlfn._xlws.FILTER(Kumena!C3:C102,(Kumena!B3:B102&lt;&gt;Kumena!C3:C102)*(Kumena!C3:C102&lt;&gt;""))),INDEX(_xlfn._xlws.FILTER(Kumena!C3:C102,(Kumena!B3:B102&lt;&gt;Kumena!C3:C102)*(Kumena!C3:C102&lt;&gt;"")),ROW(INDIRECT("1:"&amp;(COUNTA(_xlfn._xlws.FILTER(Narset!C3:C102,(Narset!B3:B102&lt;&gt;Narset!C3:C102)*(Narset!C3:C102&lt;&gt;"")))+COUNTA(_xlfn._xlws.FILTER(Kumena!C3:C102,(Kumena!B3:B102&lt;&gt;Kumena!C3:C102)*(Kumena!C3:C102&lt;&gt;"")))+COUNTA(_xlfn._xlws.FILTER(Zimone!C3:C102,(Zimone!B3:B102&lt;&gt;Zimone!C3:C102)*(Zimone!C3:C102&lt;&gt;""))))))-COUNTA(_xlfn._xlws.FILTER(Narset!C3:C102,(Narset!B3:B102&lt;&gt;Narset!C3:C102)*(Narset!C3:C102&lt;&gt;"")))),INDEX(_xlfn._xlws.FILTER(Zimone!C3:C102,(Zimone!B3:B102&lt;&gt;Zimone!C3:C102)*(Zimone!C3:C102&lt;&gt;"")),ROW(INDIRECT("1:"&amp;(COUNTA(_xlfn._xlws.FILTER(Narset!C3:C102,(Narset!B3:B102&lt;&gt;Narset!C3:C102)*(Narset!C3:C102&lt;&gt;"")))+COUNTA(_xlfn._xlws.FILTER(Kumena!C3:C102,(Kumena!B3:B102&lt;&gt;Kumena!C3:C102)*(Kumena!C3:C102&lt;&gt;"")))+COUNTA(_xlfn._xlws.FILTER(Zimone!C3:C102,(Zimone!B3:B102&lt;&gt;Zimone!C3:C102)*(Zimone!C3:C102&lt;&gt;""))))))-COUNTA(_xlfn._xlws.FILTER(Narset!C3:C102,(Narset!B3:B102&lt;&gt;Narset!C3:C102)*(Narset!C3:C102&lt;&gt;"")))-COUNTA(_xlfn._xlws.FILTER(Kumena!C3:C102,(Kumena!B3:B102&lt;&gt;Kumena!C3:C102)*(Kumena!C3:C102&lt;&gt;"")))))),1,-1)))</f>
        <v>Adarkar Wastes</v>
      </c>
      <c r="BH2" t="str" cm="1">
        <f t="array" aca="1" ref="BH2:BH86" ca="1">IF(COUNTA(_xlfn._xlws.FILTER(Baylen!C3:C102,(Baylen!B3:B102&lt;&gt;Baylen!C3:C102)*(Baylen!C3:C102&lt;&gt;"")))+COUNTA(_xlfn._xlws.FILTER(Tayam!C3:C101,(Tayam!B3:B101&lt;&gt;Tayam!C3:C101)*(Tayam!C3:C101&lt;&gt;"")))+COUNTA(_xlfn._xlws.FILTER(JhoiraB!C3:C101,(JhoiraB!B3:B101&lt;&gt;JhoiraB!C3:C101)*(JhoiraB!C3:C101&lt;&gt;"")))=0,"",_xlfn._xlws.SORT(_xlfn.UNIQUE(IF(ROW(INDIRECT("1:"&amp;(COUNTA(_xlfn._xlws.FILTER(Baylen!C3:C102,(Baylen!B3:B102&lt;&gt;Baylen!C3:C102)*(Baylen!C3:C102&lt;&gt;"")))+COUNTA(_xlfn._xlws.FILTER(Tayam!C3:C101,(Tayam!B3:B101&lt;&gt;Tayam!C3:C101)*(Tayam!C3:C101&lt;&gt;"")))+COUNTA(_xlfn._xlws.FILTER(JhoiraB!C3:C101,(JhoiraB!B3:B101&lt;&gt;JhoiraB!C3:C101)*(JhoiraB!C3:C101&lt;&gt;""))))))&lt;=COUNTA(_xlfn._xlws.FILTER(Baylen!C3:C102,(Baylen!B3:B102&lt;&gt;Baylen!C3:C102)*(Baylen!C3:C102&lt;&gt;""))),INDEX(_xlfn._xlws.FILTER(Baylen!C3:C102,(Baylen!B3:B102&lt;&gt;Baylen!C3:C102)*(Baylen!C3:C102&lt;&gt;"")),ROW(INDIRECT("1:"&amp;(COUNTA(_xlfn._xlws.FILTER(Baylen!C3:C102,(Baylen!B3:B102&lt;&gt;Baylen!C3:C102)*(Baylen!C3:C102&lt;&gt;"")))+COUNTA(_xlfn._xlws.FILTER(Tayam!C3:C101,(Tayam!B3:B101&lt;&gt;Tayam!C3:C101)*(Tayam!C3:C101&lt;&gt;"")))+COUNTA(_xlfn._xlws.FILTER(JhoiraB!C3:C101,(JhoiraB!B3:B101&lt;&gt;JhoiraB!C3:C101)*(JhoiraB!C3:C101&lt;&gt;""))))))),IF(ROW(INDIRECT("1:"&amp;(COUNTA(_xlfn._xlws.FILTER(Baylen!C3:C102,(Baylen!B3:B102&lt;&gt;Baylen!C3:C102)*(Baylen!C3:C102&lt;&gt;"")))+COUNTA(_xlfn._xlws.FILTER(Tayam!C3:C101,(Tayam!B3:B101&lt;&gt;Tayam!C3:C101)*(Tayam!C3:C101&lt;&gt;"")))+COUNTA(_xlfn._xlws.FILTER(JhoiraB!C3:C101,(JhoiraB!B3:B101&lt;&gt;JhoiraB!C3:C101)*(JhoiraB!C3:C101&lt;&gt;""))))))&lt;=COUNTA(_xlfn._xlws.FILTER(Baylen!C3:C102,(Baylen!B3:B102&lt;&gt;Baylen!C3:C102)*(Baylen!C3:C102&lt;&gt;"")))+COUNTA(_xlfn._xlws.FILTER(Tayam!C3:C101,(Tayam!B3:B101&lt;&gt;Tayam!C3:C101)*(Tayam!C3:C101&lt;&gt;""))),INDEX(_xlfn._xlws.FILTER(Tayam!C3:C101,(Tayam!B3:B101&lt;&gt;Tayam!C3:C101)*(Tayam!C3:C101&lt;&gt;"")),ROW(INDIRECT("1:"&amp;(COUNTA(_xlfn._xlws.FILTER(Baylen!C3:C102,(Baylen!B3:B102&lt;&gt;Baylen!C3:C102)*(Baylen!C3:C102&lt;&gt;"")))+COUNTA(_xlfn._xlws.FILTER(Tayam!C3:C101,(Tayam!B3:B101&lt;&gt;Tayam!C3:C101)*(Tayam!C3:C101&lt;&gt;"")))+COUNTA(_xlfn._xlws.FILTER(JhoiraB!C3:C101,(JhoiraB!B3:B101&lt;&gt;JhoiraB!C3:C101)*(JhoiraB!C3:C101&lt;&gt;""))))))-COUNTA(_xlfn._xlws.FILTER(Baylen!C3:C102,(Baylen!B3:B102&lt;&gt;Baylen!C3:C102)*(Baylen!C3:C102&lt;&gt;"")))),INDEX(_xlfn._xlws.FILTER(JhoiraB!C3:C101,(JhoiraB!B3:B101&lt;&gt;JhoiraB!C3:C101)*(JhoiraB!C3:C101&lt;&gt;"")),ROW(INDIRECT("1:"&amp;(COUNTA(_xlfn._xlws.FILTER(Baylen!C3:C102,(Baylen!B3:B102&lt;&gt;Baylen!C3:C102)*(Baylen!C3:C102&lt;&gt;"")))+COUNTA(_xlfn._xlws.FILTER(Tayam!C3:C101,(Tayam!B3:B101&lt;&gt;Tayam!C3:C101)*(Tayam!C3:C101&lt;&gt;"")))+COUNTA(_xlfn._xlws.FILTER(JhoiraB!C3:C101,(JhoiraB!B3:B101&lt;&gt;JhoiraB!C3:C101)*(JhoiraB!C3:C101&lt;&gt;""))))))-COUNTA(_xlfn._xlws.FILTER(Baylen!C3:C102,(Baylen!B3:B102&lt;&gt;Baylen!C3:C102)*(Baylen!C3:C102&lt;&gt;"")))-COUNTA(_xlfn._xlws.FILTER(Tayam!C3:C101,(Tayam!B3:B101&lt;&gt;Tayam!C3:C101)*(Tayam!C3:C101&lt;&gt;"")))))),1,-1)))</f>
        <v>Ardbert, Warrior of Darkness</v>
      </c>
      <c r="BI2" t="str" cm="1">
        <f t="array" aca="1" ref="BI2:BI123" ca="1">IF(COUNTA(_xlfn._xlws.FILTER(Piratas!C3:C102,(Piratas!B3:B102&lt;&gt;Piratas!C3:C102)*(Piratas!C3:C102&lt;&gt;"")))+COUNTA(_xlfn._xlws.FILTER(#REF!,(#REF!&lt;&gt;#REF!)*(#REF!&lt;&gt;"")))+COUNTA(_xlfn._xlws.FILTER(Modular!C3:C101,(Modular!B3:B101&lt;&gt;Modular!C3:C101)*(Modular!C3:C101&lt;&gt;"")))=0,"",_xlfn._xlws.SORT(_xlfn.UNIQUE(IF(ROW(INDIRECT("1:"&amp;(COUNTA(_xlfn._xlws.FILTER(Piratas!C3:C102,(Piratas!B3:B102&lt;&gt;Piratas!C3:C102)*(Piratas!C3:C102&lt;&gt;"")))+COUNTA(_xlfn._xlws.FILTER(#REF!,(#REF!&lt;&gt;#REF!)*(#REF!&lt;&gt;"")))+COUNTA(_xlfn._xlws.FILTER(Modular!C3:C101,(Modular!B3:B101&lt;&gt;Modular!C3:C101)*(Modular!C3:C101&lt;&gt;""))))))&lt;=COUNTA(_xlfn._xlws.FILTER(Piratas!C3:C102,(Piratas!B3:B102&lt;&gt;Piratas!C3:C102)*(Piratas!C3:C102&lt;&gt;""))),INDEX(_xlfn._xlws.FILTER(Piratas!C3:C102,(Piratas!B3:B102&lt;&gt;Piratas!C3:C102)*(Piratas!C3:C102&lt;&gt;"")),ROW(INDIRECT("1:"&amp;(COUNTA(_xlfn._xlws.FILTER(Piratas!C3:C102,(Piratas!B3:B102&lt;&gt;Piratas!C3:C102)*(Piratas!C3:C102&lt;&gt;"")))+COUNTA(_xlfn._xlws.FILTER(#REF!,(#REF!&lt;&gt;#REF!)*(#REF!&lt;&gt;"")))+COUNTA(_xlfn._xlws.FILTER(Modular!C3:C101,(Modular!B3:B101&lt;&gt;Modular!C3:C101)*(Modular!C3:C101&lt;&gt;""))))))),IF(ROW(INDIRECT("1:"&amp;(COUNTA(_xlfn._xlws.FILTER(Piratas!C3:C102,(Piratas!B3:B102&lt;&gt;Piratas!C3:C102)*(Piratas!C3:C102&lt;&gt;"")))+COUNTA(_xlfn._xlws.FILTER(#REF!,(#REF!&lt;&gt;#REF!)*(#REF!&lt;&gt;"")))+COUNTA(_xlfn._xlws.FILTER(Modular!C3:C101,(Modular!B3:B101&lt;&gt;Modular!C3:C101)*(Modular!C3:C101&lt;&gt;""))))))&lt;=COUNTA(_xlfn._xlws.FILTER(Piratas!C3:C102,(Piratas!B3:B102&lt;&gt;Piratas!C3:C102)*(Piratas!C3:C102&lt;&gt;"")))+COUNTA(_xlfn._xlws.FILTER(#REF!,(#REF!&lt;&gt;#REF!)*(#REF!&lt;&gt;""))),INDEX(_xlfn._xlws.FILTER(#REF!,(#REF!&lt;&gt;#REF!)*(#REF!&lt;&gt;"")),ROW(INDIRECT("1:"&amp;(COUNTA(_xlfn._xlws.FILTER(Piratas!C3:C102,(Piratas!B3:B102&lt;&gt;Piratas!C3:C102)*(Piratas!C3:C102&lt;&gt;"")))+COUNTA(_xlfn._xlws.FILTER(#REF!,(#REF!&lt;&gt;#REF!)*(#REF!&lt;&gt;"")))+COUNTA(_xlfn._xlws.FILTER(Modular!C3:C101,(Modular!B3:B101&lt;&gt;Modular!C3:C101)*(Modular!C3:C101&lt;&gt;""))))))-COUNTA(_xlfn._xlws.FILTER(Piratas!C3:C102,(Piratas!B3:B102&lt;&gt;Piratas!C3:C102)*(Piratas!C3:C102&lt;&gt;"")))),INDEX(_xlfn._xlws.FILTER(Modular!C3:C101,(Modular!B3:B101&lt;&gt;Modular!C3:C101)*(Modular!C3:C101&lt;&gt;"")),ROW(INDIRECT("1:"&amp;(COUNTA(_xlfn._xlws.FILTER(Piratas!C3:C102,(Piratas!B3:B102&lt;&gt;Piratas!C3:C102)*(Piratas!C3:C102&lt;&gt;"")))+COUNTA(_xlfn._xlws.FILTER(#REF!,(#REF!&lt;&gt;#REF!)*(#REF!&lt;&gt;"")))+COUNTA(_xlfn._xlws.FILTER(Modular!C3:C101,(Modular!B3:B101&lt;&gt;Modular!C3:C101)*(Modular!C3:C101&lt;&gt;""))))))-COUNTA(_xlfn._xlws.FILTER(Piratas!C3:C102,(Piratas!B3:B102&lt;&gt;Piratas!C3:C102)*(Piratas!C3:C102&lt;&gt;"")))-COUNTA(_xlfn._xlws.FILTER(#REF!,(#REF!&lt;&gt;#REF!)*(#REF!&lt;&gt;"")))))),1,-1)))</f>
        <v>Adagia, Windswept Bastion</v>
      </c>
      <c r="BK2" t="str" cm="1">
        <f t="array" aca="1" ref="BK2:BK48" ca="1">IF(COUNTA(_xlfn.ANCHORARRAY($AZ$2))+COUNTA(_xlfn.ANCHORARRAY($BA$2))=0,"",_xlfn._xlws.SORT(_xlfn.UNIQUE(IF(ROW(INDIRECT("1:"&amp;(COUNTA(_xlfn.ANCHORARRAY($AZ$2))+COUNTA(_xlfn.ANCHORARRAY($BA$2)))))&lt;=COUNTA(_xlfn.ANCHORARRAY($AZ$2)),INDEX(_xlfn.ANCHORARRAY($AZ$2),ROW(INDIRECT("1:"&amp;(COUNTA(_xlfn.ANCHORARRAY($AZ$2))+COUNTA(_xlfn.ANCHORARRAY($BA$2)))))),INDEX(_xlfn.ANCHORARRAY($BA$2),ROW(INDIRECT("1:"&amp;(COUNTA(_xlfn.ANCHORARRAY($AZ$2))+COUNTA(_xlfn.ANCHORARRAY($BA$2)))))-COUNTA(_xlfn.ANCHORARRAY($AZ$2))))),1,1))</f>
        <v>A Joia do Enigma</v>
      </c>
      <c r="BL2" t="str" cm="1">
        <f t="array" aca="1" ref="BL2:BL40" ca="1">IF(COUNTA(_xlfn.ANCHORARRAY($BB$2))+COUNTA(_xlfn.ANCHORARRAY($BC$2))=0,"",_xlfn._xlws.SORT(_xlfn.UNIQUE(IF(ROW(INDIRECT("1:"&amp;(COUNTA(_xlfn.ANCHORARRAY($BB$2))+COUNTA(_xlfn.ANCHORARRAY($BC$2)))))&lt;=COUNTA(_xlfn.ANCHORARRAY($BB$2)),INDEX(_xlfn.ANCHORARRAY($BB$2),ROW(INDIRECT("1:"&amp;(COUNTA(_xlfn.ANCHORARRAY($BB$2))+COUNTA(_xlfn.ANCHORARRAY($BC$2)))))),INDEX(_xlfn.ANCHORARRAY($BC$2),ROW(INDIRECT("1:"&amp;(COUNTA(_xlfn.ANCHORARRAY($BB$2))+COUNTA(_xlfn.ANCHORARRAY($BC$2)))))-COUNTA(_xlfn.ANCHORARRAY($BB$2))))),1,1))</f>
        <v>Adagia, Windswept Bastion</v>
      </c>
      <c r="BM2" t="str" cm="1">
        <f t="array" aca="1" ref="BM2:BM58" ca="1">IF(COUNTA(_xlfn.ANCHORARRAY($BD$2))+COUNTA(_xlfn.ANCHORARRAY($BE$2))=0,"",_xlfn._xlws.SORT(_xlfn.UNIQUE(IF(ROW(INDIRECT("1:"&amp;(COUNTA(_xlfn.ANCHORARRAY($BD$2))+COUNTA(_xlfn.ANCHORARRAY($BE$2)))))&lt;=COUNTA(_xlfn.ANCHORARRAY($BD$2)),INDEX(_xlfn.ANCHORARRAY($BD$2),ROW(INDIRECT("1:"&amp;(COUNTA(_xlfn.ANCHORARRAY($BD$2))+COUNTA(_xlfn.ANCHORARRAY($BE$2)))))),INDEX(_xlfn.ANCHORARRAY($BE$2),ROW(INDIRECT("1:"&amp;(COUNTA(_xlfn.ANCHORARRAY($BD$2))+COUNTA(_xlfn.ANCHORARRAY($BE$2)))))-COUNTA(_xlfn.ANCHORARRAY($BD$2))))),1,1))</f>
        <v>Adagia, Windswept Bastion</v>
      </c>
      <c r="BN2" t="str" cm="1">
        <f t="array" aca="1" ref="BN2:BN98" ca="1">IF(COUNTA(_xlfn.ANCHORARRAY($BF$2))+COUNTA(_xlfn.ANCHORARRAY($BG$2))=0,"",_xlfn._xlws.SORT(_xlfn.UNIQUE(IF(ROW(INDIRECT("1:"&amp;(COUNTA(_xlfn.ANCHORARRAY($BF$2))+COUNTA(_xlfn.ANCHORARRAY($BG$2)))))&lt;=COUNTA(_xlfn.ANCHORARRAY($BF$2)),INDEX(_xlfn.ANCHORARRAY($BF$2),ROW(INDIRECT("1:"&amp;(COUNTA(_xlfn.ANCHORARRAY($BF$2))+COUNTA(_xlfn.ANCHORARRAY($BG$2)))))),INDEX(_xlfn.ANCHORARRAY($BG$2),ROW(INDIRECT("1:"&amp;(COUNTA(_xlfn.ANCHORARRAY($BF$2))+COUNTA(_xlfn.ANCHORARRAY($BG$2)))))-COUNTA(_xlfn.ANCHORARRAY($BF$2))))),1,1))</f>
        <v>Access Tunnel</v>
      </c>
      <c r="BO2" t="str" cm="1">
        <f t="array" aca="1" ref="BO2:BO194" ca="1">IF(COUNTA(_xlfn.ANCHORARRAY($BH$2))+COUNTA(_xlfn.ANCHORARRAY($BI$2))=0,"",_xlfn._xlws.SORT(_xlfn.UNIQUE(IF(ROW(INDIRECT("1:"&amp;(COUNTA(_xlfn.ANCHORARRAY($BH$2))+COUNTA(_xlfn.ANCHORARRAY($BI$2)))))&lt;=COUNTA(_xlfn.ANCHORARRAY($BH$2)),INDEX(_xlfn.ANCHORARRAY($BH$2),ROW(INDIRECT("1:"&amp;(COUNTA(_xlfn.ANCHORARRAY($BH$2))+COUNTA(_xlfn.ANCHORARRAY($BI$2)))))),INDEX(_xlfn.ANCHORARRAY($BI$2),ROW(INDIRECT("1:"&amp;(COUNTA(_xlfn.ANCHORARRAY($BH$2))+COUNTA(_xlfn.ANCHORARRAY($BI$2)))))-COUNTA(_xlfn.ANCHORARRAY($BH$2))))),1,1))</f>
        <v>Adagia, Windswept Bastion</v>
      </c>
      <c r="BQ2" t="str" cm="1">
        <f t="array" aca="1" ref="BQ2:BQ85" ca="1">IF(COUNTA(_xlfn.ANCHORARRAY($BK$2))+COUNTA(_xlfn.ANCHORARRAY($BL$2))=0,"",_xlfn._xlws.SORT(_xlfn.UNIQUE(IF(ROW(INDIRECT("1:"&amp;(COUNTA(_xlfn.ANCHORARRAY($BK$2))+COUNTA(_xlfn.ANCHORARRAY($BL$2)))))&lt;=COUNTA(_xlfn.ANCHORARRAY($BK$2)),INDEX(_xlfn.ANCHORARRAY($BK$2),ROW(INDIRECT("1:"&amp;(COUNTA(_xlfn.ANCHORARRAY($BK$2))+COUNTA(_xlfn.ANCHORARRAY($BL$2)))))),INDEX(_xlfn.ANCHORARRAY($BL$2),ROW(INDIRECT("1:"&amp;(COUNTA(_xlfn.ANCHORARRAY($BK$2))+COUNTA(_xlfn.ANCHORARRAY($BL$2)))))-COUNTA(_xlfn.ANCHORARRAY($BK$2))))),1,1))</f>
        <v>A Joia do Enigma</v>
      </c>
      <c r="BR2" t="str" cm="1">
        <f t="array" aca="1" ref="BR2:BR150" ca="1">IF(COUNTA(_xlfn.ANCHORARRAY($BM$2))+COUNTA(_xlfn.ANCHORARRAY($BN$2))=0,"",_xlfn._xlws.SORT(_xlfn.UNIQUE(IF(ROW(INDIRECT("1:"&amp;(COUNTA(_xlfn.ANCHORARRAY($BM$2))+COUNTA(_xlfn.ANCHORARRAY($BN$2)))))&lt;=COUNTA(_xlfn.ANCHORARRAY($BM$2)),INDEX(_xlfn.ANCHORARRAY($BM$2),ROW(INDIRECT("1:"&amp;(COUNTA(_xlfn.ANCHORARRAY($BM$2))+COUNTA(_xlfn.ANCHORARRAY($BN$2)))))),INDEX(_xlfn.ANCHORARRAY($BN$2),ROW(INDIRECT("1:"&amp;(COUNTA(_xlfn.ANCHORARRAY($BM$2))+COUNTA(_xlfn.ANCHORARRAY($BN$2)))))-COUNTA(_xlfn.ANCHORARRAY($BM$2))))),1,1))</f>
        <v>Access Tunnel</v>
      </c>
      <c r="BT2" t="str" cm="1">
        <f t="array" aca="1" ref="BT2:BT228" ca="1">IF(COUNTA(_xlfn.ANCHORARRAY($BQ$2))+COUNTA(_xlfn.ANCHORARRAY($BR$2))=0,"",_xlfn._xlws.SORT(_xlfn.UNIQUE(IF(ROW(INDIRECT("1:"&amp;(COUNTA(_xlfn.ANCHORARRAY($BQ$2))+COUNTA(_xlfn.ANCHORARRAY($BR$2)))))&lt;=COUNTA(_xlfn.ANCHORARRAY($BQ$2)),INDEX(_xlfn.ANCHORARRAY($BQ$2),ROW(INDIRECT("1:"&amp;(COUNTA(_xlfn.ANCHORARRAY($BQ$2))+COUNTA(_xlfn.ANCHORARRAY($BR$2)))))),INDEX(_xlfn.ANCHORARRAY($BR$2),ROW(INDIRECT("1:"&amp;(COUNTA(_xlfn.ANCHORARRAY($BQ$2))+COUNTA(_xlfn.ANCHORARRAY($BR$2)))))-COUNTA(_xlfn.ANCHORARRAY($BQ$2))))),1,1))</f>
        <v>A Joia do Enigma</v>
      </c>
    </row>
    <row r="3" spans="1:72" x14ac:dyDescent="0.25">
      <c r="A3" s="3" t="str">
        <f t="shared" ref="A3:A66" ca="1" si="0">IFERROR(INDEX($S$3:$S$200, MATCH($C3, $I$3:$I$200, 0)), "")</f>
        <v>3</v>
      </c>
      <c r="B3" s="3">
        <f t="shared" ref="B3:B66" ca="1" si="1">COUNTIF(U:AX,G3)</f>
        <v>1</v>
      </c>
      <c r="C3" s="3" t="str">
        <f ca="1">IFERROR(
 INDEX($U$1:$AX$1,
  MATCH(TRUE,
   CHOOSE({1;2;3;4;5;6;7;8;9;10;11;12;13;14;15;16;17;18;19;20;21;22;23;24;25;26;27;28;29;30;31;32},
    COUNTIFS($U$2:$U$200,$G3)&gt;0,
    COUNTIFS($V$2:$V$200,$G3)&gt;0,
    COUNTIFS($W$2:$W$200,$G3)&gt;0,
    COUNTIFS($X$2:$X$200,$G3)&gt;0,
    COUNTIFS($Y$2:$Y$200,$G3)&gt;0,
    COUNTIFS($Z$2:$Z$200,$G3)&gt;0,
    COUNTIFS($AA$2:$AA$200,$G3)&gt;0,
    COUNTIFS($AB$2:$AB$200,$G3)&gt;0,
    COUNTIFS($AC$2:$AC$200,$G3)&gt;0,
    COUNTIFS($AD$2:$AD$200,$G3)&gt;0,
    COUNTIFS($AE$2:$AE$200,$G3)&gt;0,
    COUNTIFS($AF$2:$AF$200,$G3)&gt;0,
    COUNTIFS($AG$2:$AG$200,$G3)&gt;0,
    COUNTIFS($AH$2:$AH$200,$G3)&gt;0,
    COUNTIFS($AI$2:$AI$200,$G3)&gt;0,
    COUNTIFS($AJ$2:$AJ$200,$G3)&gt;0,
    COUNTIFS($AK$2:$AK$200,$G3)&gt;0,
    COUNTIFS($AL$2:$AL$200,$G3)&gt;0,
    COUNTIFS($AM$2:$AM$200,$G3)&gt;0,
    COUNTIFS($AN$2:$AN$200,$G3)&gt;0,
    COUNTIFS($AO$2:$AO$200,$G3)&gt;0,
    COUNTIFS($AP$2:$AP$200,$G3)&gt;0,
    COUNTIFS($AQ$2:$AQ$200,$G3)&gt;0,
    COUNTIFS($AR$2:$AR$200,$G3)&gt;0,
    COUNTIFS($AS$2:$AS$200,$G3)&gt;0,
    COUNTIFS($AT$2:$AT$200,$G3)&gt;0,
    COUNTIFS($AU$2:$AU$200,$G3)&gt;0,
    COUNTIFS($AV$2:$AV$200,$G3)&gt;0,
    COUNTIFS($AW$2:$AW$200,$G3)&gt;0,
    COUNTIFS($AX$2:$AX$200,$G3)&gt;0
   ),
  0)
 ),
"")</f>
        <v>Muzzio</v>
      </c>
      <c r="D3" s="3" t="str" cm="1">
        <f t="array" aca="1" ref="D3" ca="1">IFERROR(
 INDEX(
  _xlfn._xlws.FILTER($U$1:$AX$1,
   TRANSPOSE(
    CHOOSE({1;2;3;4;5;6;7;8;9;10;11;12;13;14;15;16;17;18;19;20;21;22;23;24;25;26;27;28;29;30},
     COUNTIFS($U$2:$U$200,$G3)&gt;0,
     COUNTIFS($V$2:$V$200,$G3)&gt;0,
     COUNTIFS($W$2:$W$200,$G3)&gt;0,
     COUNTIFS($X$2:$X$200,$G3)&gt;0,
     COUNTIFS($Y$2:$Y$200,$G3)&gt;0,
     COUNTIFS($Z$2:$Z$200,$G3)&gt;0,
     COUNTIFS($AA$2:$AA$200,$G3)&gt;0,
     COUNTIFS($AB$2:$AB$200,$G3)&gt;0,
     COUNTIFS($AC$2:$AC$200,$G3)&gt;0,
     COUNTIFS($AD$2:$AD$200,$G3)&gt;0,
     COUNTIFS($AE$2:$AE$200,$G3)&gt;0,
     COUNTIFS($AF$2:$AF$200,$G3)&gt;0,
     COUNTIFS($AG$2:$AG$200,$G3)&gt;0,
     COUNTIFS($AH$2:$AH$200,$G3)&gt;0,
     COUNTIFS($AI$2:$AI$200,$G3)&gt;0,
     COUNTIFS($AJ$2:$AJ$200,$G3)&gt;0,
     COUNTIFS($AK$2:$AK$200,$G3)&gt;0,
     COUNTIFS($AL$2:$AL$200,$G3)&gt;0,
     COUNTIFS($AM$2:$AM$200,$G3)&gt;0,
     COUNTIFS($AN$2:$AN$200,$G3)&gt;0,
     COUNTIFS($AO$2:$AO$200,$G3)&gt;0,
     COUNTIFS($AP$2:$AP$200,$G3)&gt;0,
     COUNTIFS($AQ$2:$AQ$200,$G3)&gt;0,
     COUNTIFS($AR$2:$AR$200,$G3)&gt;0,
     COUNTIFS($AS$2:$AS$200,$G3)&gt;0,
     COUNTIFS($AT$2:$AT$200,$G3)&gt;0,
     COUNTIFS($AU$2:$AU$200,$G3)&gt;0,
     COUNTIFS($AV$2:$AV$200,$G3)&gt;0,
     COUNTIFS($AW$2:$AW$200,$G3)&gt;0,
     COUNTIFS($AX$2:$AX$200,$G3)&gt;0
   )),
  ),
  2
 ),
"")</f>
        <v/>
      </c>
      <c r="E3" s="3" t="str" cm="1">
        <f t="array" aca="1" ref="E3" ca="1">IFERROR(
 INDEX(
  _xlfn._xlws.FILTER($U$1:$AX$1,
   TRANSPOSE(
    CHOOSE({1;2;3;4;5;6;7;8;9;10;11;12;13;14;15;16;17;18;19;20;21;22;23;24;25;26;27;28;29;30},
     COUNTIFS($U$2:$U$200,$G3)&gt;0,
     COUNTIFS($V$2:$V$200,$G3)&gt;0,
     COUNTIFS($W$2:$W$200,$G3)&gt;0,
     COUNTIFS($X$2:$X$200,$G3)&gt;0,
     COUNTIFS($Y$2:$Y$200,$G3)&gt;0,
     COUNTIFS($Z$2:$Z$200,$G3)&gt;0,
     COUNTIFS($AA$2:$AA$200,$G3)&gt;0,
     COUNTIFS($AB$2:$AB$200,$G3)&gt;0,
     COUNTIFS($AC$2:$AC$200,$G3)&gt;0,
     COUNTIFS($AD$2:$AD$200,$G3)&gt;0,
     COUNTIFS($AE$2:$AE$200,$G3)&gt;0,
     COUNTIFS($AF$2:$AF$200,$G3)&gt;0,
     COUNTIFS($AG$2:$AG$200,$G3)&gt;0,
     COUNTIFS($AH$2:$AH$200,$G3)&gt;0,
     COUNTIFS($AI$2:$AI$200,$G3)&gt;0,
     COUNTIFS($AJ$2:$AJ$200,$G3)&gt;0,
     COUNTIFS($AK$2:$AK$200,$G3)&gt;0,
     COUNTIFS($AL$2:$AL$200,$G3)&gt;0,
     COUNTIFS($AM$2:$AM$200,$G3)&gt;0,
     COUNTIFS($AN$2:$AN$200,$G3)&gt;0,
     COUNTIFS($AO$2:$AO$200,$G3)&gt;0,
     COUNTIFS($AP$2:$AP$200,$G3)&gt;0,
     COUNTIFS($AQ$2:$AQ$200,$G3)&gt;0,
     COUNTIFS($AR$2:$AR$200,$G3)&gt;0,
     COUNTIFS($AS$2:$AS$200,$G3)&gt;0,
     COUNTIFS($AT$2:$AT$200,$G3)&gt;0,
     COUNTIFS($AU$2:$AU$200,$G3)&gt;0,
     COUNTIFS($AV$2:$AV$200,$G3)&gt;0,
     COUNTIFS($AW$2:$AW$200,$G3)&gt;0,
     COUNTIFS($AX$2:$AX$200,$G3)&gt;0
   )),
  ),
  3
 ),
"")</f>
        <v/>
      </c>
      <c r="F3" s="3" t="str" cm="1">
        <f t="array" aca="1" ref="F3" ca="1">IFERROR(
 INDEX(
  _xlfn._xlws.FILTER($U$1:$AX$1,
   TRANSPOSE(
    CHOOSE({1;2;3;4;5;6;7;8;9;10;11;12;13;14;15;16;17;18;19;20;21;22;23;24;25;26;27;28;29;30},
     COUNTIFS($U$2:$U$200,$G3)&gt;0,
     COUNTIFS($V$2:$V$200,$G3)&gt;0,
     COUNTIFS($W$2:$W$200,$G3)&gt;0,
     COUNTIFS($X$2:$X$200,$G3)&gt;0,
     COUNTIFS($Y$2:$Y$200,$G3)&gt;0,
     COUNTIFS($Z$2:$Z$200,$G3)&gt;0,
     COUNTIFS($AA$2:$AA$200,$G3)&gt;0,
     COUNTIFS($AB$2:$AB$200,$G3)&gt;0,
     COUNTIFS($AC$2:$AC$200,$G3)&gt;0,
     COUNTIFS($AD$2:$AD$200,$G3)&gt;0,
     COUNTIFS($AE$2:$AE$200,$G3)&gt;0,
     COUNTIFS($AF$2:$AF$200,$G3)&gt;0,
     COUNTIFS($AG$2:$AG$200,$G3)&gt;0,
     COUNTIFS($AH$2:$AH$200,$G3)&gt;0,
     COUNTIFS($AI$2:$AI$200,$G3)&gt;0,
     COUNTIFS($AJ$2:$AJ$200,$G3)&gt;0,
     COUNTIFS($AK$2:$AK$200,$G3)&gt;0,
     COUNTIFS($AL$2:$AL$200,$G3)&gt;0,
     COUNTIFS($AM$2:$AM$200,$G3)&gt;0,
     COUNTIFS($AN$2:$AN$200,$G3)&gt;0,
     COUNTIFS($AO$2:$AO$200,$G3)&gt;0,
     COUNTIFS($AP$2:$AP$200,$G3)&gt;0,
     COUNTIFS($AQ$2:$AQ$200,$G3)&gt;0,
     COUNTIFS($AR$2:$AR$200,$G3)&gt;0,
     COUNTIFS($AS$2:$AS$200,$G3)&gt;0,
     COUNTIFS($AT$2:$AT$200,$G3)&gt;0,
     COUNTIFS($AU$2:$AU$200,$G3)&gt;0,
     COUNTIFS($AV$2:$AV$200,$G3)&gt;0,
     COUNTIFS($AW$2:$AW$200,$G3)&gt;0,
     COUNTIFS($AX$2:$AX$200,$G3)&gt;0
   )),
  ),
  4
 ),
"")</f>
        <v/>
      </c>
      <c r="G3" t="str">
        <f ca="1"/>
        <v>Academy Ruins</v>
      </c>
      <c r="I3" t="s">
        <v>1683</v>
      </c>
      <c r="J3" s="3">
        <f>Narset!G2</f>
        <v>30</v>
      </c>
      <c r="K3" s="3" t="s">
        <v>2087</v>
      </c>
      <c r="L3" s="3" t="s">
        <v>2087</v>
      </c>
      <c r="M3" s="3" t="s">
        <v>2087</v>
      </c>
      <c r="N3" s="3" t="s">
        <v>2088</v>
      </c>
      <c r="O3" s="3" t="s">
        <v>2088</v>
      </c>
      <c r="P3" s="3" t="s">
        <v>191</v>
      </c>
      <c r="Q3" s="3" t="s">
        <v>753</v>
      </c>
      <c r="R3" s="3" t="s">
        <v>2145</v>
      </c>
      <c r="S3" s="3" t="str">
        <f t="shared" ref="S3:S30" si="2">IF(J3&lt;6,"5",IF(J3&lt;11,"4",IF(J3&lt;16,"3",IF(J3&lt;31,"2","1"))))</f>
        <v>2</v>
      </c>
      <c r="U3" t="str">
        <v>Bident of Thassa</v>
      </c>
      <c r="V3" t="str">
        <v>Aura Mutation</v>
      </c>
      <c r="W3" t="str">
        <v>Aligned Heart</v>
      </c>
      <c r="X3" t="str">
        <v>Arwen, Weaver of Hope</v>
      </c>
      <c r="Y3" t="str">
        <v>Autoridade dos Cônsules</v>
      </c>
      <c r="Z3" t="str">
        <v>Bojuka Bog</v>
      </c>
      <c r="AA3" t="str">
        <v>Call to the Kindred</v>
      </c>
      <c r="AB3" t="str">
        <v>Bloodstained Mire</v>
      </c>
      <c r="AC3" t="str">
        <v>Kozilek, the Broken Reality</v>
      </c>
      <c r="AD3" t="str">
        <v>Broodheart Engine</v>
      </c>
      <c r="AE3" t="str">
        <v>Academy Ruins</v>
      </c>
      <c r="AF3" t="str">
        <v>Arid Mesa</v>
      </c>
      <c r="AG3" t="str">
        <v>Drowned Catacomb</v>
      </c>
      <c r="AH3" t="str">
        <v>Bojuka Bog</v>
      </c>
      <c r="AI3" t="str">
        <v>Cloud, Midgar Mercenary</v>
      </c>
      <c r="AJ3" t="str">
        <v>Elspeth, Sun's Champion</v>
      </c>
      <c r="AK3" t="str">
        <v>Obelisco de Obsidiana</v>
      </c>
      <c r="AL3" t="str">
        <v>Dionus, Elvish Archdruid</v>
      </c>
      <c r="AM3" t="str">
        <v>Mistrise Village</v>
      </c>
      <c r="AN3" t="str">
        <v>Jetmir's Garden</v>
      </c>
      <c r="AO3" t="str">
        <v>Baral, Chief of Compliance</v>
      </c>
      <c r="AP3" t="str">
        <v>Jidoor, Aristocratic Capital // Overture</v>
      </c>
      <c r="AQ3" t="str">
        <v>Chandra's Ignition</v>
      </c>
      <c r="AR3" t="str">
        <v>Daretti, Ingenious Iconoclast</v>
      </c>
      <c r="AS3" t="str">
        <v>Illustrious Wanderglyph</v>
      </c>
      <c r="AT3" t="str">
        <v>Lagoa Espelhada</v>
      </c>
      <c r="AU3" t="str">
        <v>Teyo, Geometric Tactician</v>
      </c>
      <c r="AV3" t="str">
        <v>Emergency Eject</v>
      </c>
      <c r="AX3" t="str">
        <v>Ancient Den</v>
      </c>
      <c r="AZ3" t="str">
        <f ca="1"/>
        <v>Ancient Tomb</v>
      </c>
      <c r="BA3" t="str">
        <f ca="1"/>
        <v>Academy Ruins</v>
      </c>
      <c r="BB3" t="str">
        <f ca="1"/>
        <v>Afundar em Estupor</v>
      </c>
      <c r="BC3" t="str">
        <f ca="1"/>
        <v>Árbitro Silencioso</v>
      </c>
      <c r="BD3" t="str">
        <f ca="1"/>
        <v>Ascensão do Avernus</v>
      </c>
      <c r="BE3" t="str">
        <f ca="1"/>
        <v>Bugenhagen, Wise Elder</v>
      </c>
      <c r="BF3" t="str">
        <f ca="1"/>
        <v>Bojuka Bog</v>
      </c>
      <c r="BG3" t="str">
        <f ca="1"/>
        <v>Aligned Heart</v>
      </c>
      <c r="BH3" t="str">
        <f ca="1"/>
        <v>Artifact Mutation</v>
      </c>
      <c r="BI3" t="str">
        <f ca="1"/>
        <v>Ancient Den</v>
      </c>
      <c r="BK3" t="str">
        <f ca="1"/>
        <v>Academy Ruins</v>
      </c>
      <c r="BL3" t="str">
        <f ca="1"/>
        <v>Afundar em Estupor</v>
      </c>
      <c r="BM3" t="str">
        <f ca="1"/>
        <v>Arcane Lighthouse</v>
      </c>
      <c r="BN3" t="str">
        <f ca="1"/>
        <v>Adarkar Wastes</v>
      </c>
      <c r="BO3" t="str">
        <f ca="1"/>
        <v>Ancient Den</v>
      </c>
      <c r="BQ3" t="str">
        <f ca="1"/>
        <v>Academy Ruins</v>
      </c>
      <c r="BR3" t="str">
        <f ca="1"/>
        <v>Adagia, Windswept Bastion</v>
      </c>
      <c r="BT3" t="str">
        <f ca="1"/>
        <v>Academy Ruins</v>
      </c>
    </row>
    <row r="4" spans="1:72" x14ac:dyDescent="0.25">
      <c r="A4" s="3" t="str">
        <f t="shared" ca="1" si="0"/>
        <v>2</v>
      </c>
      <c r="B4" s="3">
        <f t="shared" ca="1" si="1"/>
        <v>1</v>
      </c>
      <c r="C4" s="3" t="str">
        <f ca="1">IFERROR(
 INDEX($U$1:$AX$1,
  MATCH(TRUE,
   CHOOSE({1;2;3;4;5;6;7;8;9;10;11;12;13;14;15;16;17;18;19;20;21;22;23;24;25;26;27;28;29;30;31;32},
    COUNTIFS($U$2:$U$200,$G4)&gt;0,
    COUNTIFS($V$2:$V$200,$G4)&gt;0,
    COUNTIFS($W$2:$W$200,$G4)&gt;0,
    COUNTIFS($X$2:$X$200,$G4)&gt;0,
    COUNTIFS($Y$2:$Y$200,$G4)&gt;0,
    COUNTIFS($Z$2:$Z$200,$G4)&gt;0,
    COUNTIFS($AA$2:$AA$200,$G4)&gt;0,
    COUNTIFS($AB$2:$AB$200,$G4)&gt;0,
    COUNTIFS($AC$2:$AC$200,$G4)&gt;0,
    COUNTIFS($AD$2:$AD$200,$G4)&gt;0,
    COUNTIFS($AE$2:$AE$200,$G4)&gt;0,
    COUNTIFS($AF$2:$AF$200,$G4)&gt;0,
    COUNTIFS($AG$2:$AG$200,$G4)&gt;0,
    COUNTIFS($AH$2:$AH$200,$G4)&gt;0,
    COUNTIFS($AI$2:$AI$200,$G4)&gt;0,
    COUNTIFS($AJ$2:$AJ$200,$G4)&gt;0,
    COUNTIFS($AK$2:$AK$200,$G4)&gt;0,
    COUNTIFS($AL$2:$AL$200,$G4)&gt;0,
    COUNTIFS($AM$2:$AM$200,$G4)&gt;0,
    COUNTIFS($AN$2:$AN$200,$G4)&gt;0,
    COUNTIFS($AO$2:$AO$200,$G4)&gt;0,
    COUNTIFS($AP$2:$AP$200,$G4)&gt;0,
    COUNTIFS($AQ$2:$AQ$200,$G4)&gt;0,
    COUNTIFS($AR$2:$AR$200,$G4)&gt;0,
    COUNTIFS($AS$2:$AS$200,$G4)&gt;0,
    COUNTIFS($AT$2:$AT$200,$G4)&gt;0,
    COUNTIFS($AU$2:$AU$200,$G4)&gt;0,
    COUNTIFS($AV$2:$AV$200,$G4)&gt;0,
    COUNTIFS($AW$2:$AW$200,$G4)&gt;0,
    COUNTIFS($AX$2:$AX$200,$G4)&gt;0
   ),
  0)
 ),
"")</f>
        <v>Rani</v>
      </c>
      <c r="D4" s="3" t="str" cm="1">
        <f t="array" aca="1" ref="D4" ca="1">IFERROR(
 INDEX(
  _xlfn._xlws.FILTER($U$1:$AX$1,
   TRANSPOSE(
    CHOOSE({1;2;3;4;5;6;7;8;9;10;11;12;13;14;15;16;17;18;19;20;21;22;23;24;25;26;27;28;29;30},
     COUNTIFS($U$2:$U$200,$G4)&gt;0,
     COUNTIFS($V$2:$V$200,$G4)&gt;0,
     COUNTIFS($W$2:$W$200,$G4)&gt;0,
     COUNTIFS($X$2:$X$200,$G4)&gt;0,
     COUNTIFS($Y$2:$Y$200,$G4)&gt;0,
     COUNTIFS($Z$2:$Z$200,$G4)&gt;0,
     COUNTIFS($AA$2:$AA$200,$G4)&gt;0,
     COUNTIFS($AB$2:$AB$200,$G4)&gt;0,
     COUNTIFS($AC$2:$AC$200,$G4)&gt;0,
     COUNTIFS($AD$2:$AD$200,$G4)&gt;0,
     COUNTIFS($AE$2:$AE$200,$G4)&gt;0,
     COUNTIFS($AF$2:$AF$200,$G4)&gt;0,
     COUNTIFS($AG$2:$AG$200,$G4)&gt;0,
     COUNTIFS($AH$2:$AH$200,$G4)&gt;0,
     COUNTIFS($AI$2:$AI$200,$G4)&gt;0,
     COUNTIFS($AJ$2:$AJ$200,$G4)&gt;0,
     COUNTIFS($AK$2:$AK$200,$G4)&gt;0,
     COUNTIFS($AL$2:$AL$200,$G4)&gt;0,
     COUNTIFS($AM$2:$AM$200,$G4)&gt;0,
     COUNTIFS($AN$2:$AN$200,$G4)&gt;0,
     COUNTIFS($AO$2:$AO$200,$G4)&gt;0,
     COUNTIFS($AP$2:$AP$200,$G4)&gt;0,
     COUNTIFS($AQ$2:$AQ$200,$G4)&gt;0,
     COUNTIFS($AR$2:$AR$200,$G4)&gt;0,
     COUNTIFS($AS$2:$AS$200,$G4)&gt;0,
     COUNTIFS($AT$2:$AT$200,$G4)&gt;0,
     COUNTIFS($AU$2:$AU$200,$G4)&gt;0,
     COUNTIFS($AV$2:$AV$200,$G4)&gt;0,
     COUNTIFS($AW$2:$AW$200,$G4)&gt;0,
     COUNTIFS($AX$2:$AX$200,$G4)&gt;0
   )),
  ),
  2
 ),
"")</f>
        <v/>
      </c>
      <c r="E4" s="3" t="str" cm="1">
        <f t="array" aca="1" ref="E4" ca="1">IFERROR(
 INDEX(
  _xlfn._xlws.FILTER($U$1:$AX$1,
   TRANSPOSE(
    CHOOSE({1;2;3;4;5;6;7;8;9;10;11;12;13;14;15;16;17;18;19;20;21;22;23;24;25;26;27;28;29;30},
     COUNTIFS($U$2:$U$200,$G4)&gt;0,
     COUNTIFS($V$2:$V$200,$G4)&gt;0,
     COUNTIFS($W$2:$W$200,$G4)&gt;0,
     COUNTIFS($X$2:$X$200,$G4)&gt;0,
     COUNTIFS($Y$2:$Y$200,$G4)&gt;0,
     COUNTIFS($Z$2:$Z$200,$G4)&gt;0,
     COUNTIFS($AA$2:$AA$200,$G4)&gt;0,
     COUNTIFS($AB$2:$AB$200,$G4)&gt;0,
     COUNTIFS($AC$2:$AC$200,$G4)&gt;0,
     COUNTIFS($AD$2:$AD$200,$G4)&gt;0,
     COUNTIFS($AE$2:$AE$200,$G4)&gt;0,
     COUNTIFS($AF$2:$AF$200,$G4)&gt;0,
     COUNTIFS($AG$2:$AG$200,$G4)&gt;0,
     COUNTIFS($AH$2:$AH$200,$G4)&gt;0,
     COUNTIFS($AI$2:$AI$200,$G4)&gt;0,
     COUNTIFS($AJ$2:$AJ$200,$G4)&gt;0,
     COUNTIFS($AK$2:$AK$200,$G4)&gt;0,
     COUNTIFS($AL$2:$AL$200,$G4)&gt;0,
     COUNTIFS($AM$2:$AM$200,$G4)&gt;0,
     COUNTIFS($AN$2:$AN$200,$G4)&gt;0,
     COUNTIFS($AO$2:$AO$200,$G4)&gt;0,
     COUNTIFS($AP$2:$AP$200,$G4)&gt;0,
     COUNTIFS($AQ$2:$AQ$200,$G4)&gt;0,
     COUNTIFS($AR$2:$AR$200,$G4)&gt;0,
     COUNTIFS($AS$2:$AS$200,$G4)&gt;0,
     COUNTIFS($AT$2:$AT$200,$G4)&gt;0,
     COUNTIFS($AU$2:$AU$200,$G4)&gt;0,
     COUNTIFS($AV$2:$AV$200,$G4)&gt;0,
     COUNTIFS($AW$2:$AW$200,$G4)&gt;0,
     COUNTIFS($AX$2:$AX$200,$G4)&gt;0
   )),
  ),
  3
 ),
"")</f>
        <v/>
      </c>
      <c r="F4" s="3" t="str" cm="1">
        <f t="array" aca="1" ref="F4" ca="1">IFERROR(
 INDEX(
  _xlfn._xlws.FILTER($U$1:$AX$1,
   TRANSPOSE(
    CHOOSE({1;2;3;4;5;6;7;8;9;10;11;12;13;14;15;16;17;18;19;20;21;22;23;24;25;26;27;28;29;30},
     COUNTIFS($U$2:$U$200,$G4)&gt;0,
     COUNTIFS($V$2:$V$200,$G4)&gt;0,
     COUNTIFS($W$2:$W$200,$G4)&gt;0,
     COUNTIFS($X$2:$X$200,$G4)&gt;0,
     COUNTIFS($Y$2:$Y$200,$G4)&gt;0,
     COUNTIFS($Z$2:$Z$200,$G4)&gt;0,
     COUNTIFS($AA$2:$AA$200,$G4)&gt;0,
     COUNTIFS($AB$2:$AB$200,$G4)&gt;0,
     COUNTIFS($AC$2:$AC$200,$G4)&gt;0,
     COUNTIFS($AD$2:$AD$200,$G4)&gt;0,
     COUNTIFS($AE$2:$AE$200,$G4)&gt;0,
     COUNTIFS($AF$2:$AF$200,$G4)&gt;0,
     COUNTIFS($AG$2:$AG$200,$G4)&gt;0,
     COUNTIFS($AH$2:$AH$200,$G4)&gt;0,
     COUNTIFS($AI$2:$AI$200,$G4)&gt;0,
     COUNTIFS($AJ$2:$AJ$200,$G4)&gt;0,
     COUNTIFS($AK$2:$AK$200,$G4)&gt;0,
     COUNTIFS($AL$2:$AL$200,$G4)&gt;0,
     COUNTIFS($AM$2:$AM$200,$G4)&gt;0,
     COUNTIFS($AN$2:$AN$200,$G4)&gt;0,
     COUNTIFS($AO$2:$AO$200,$G4)&gt;0,
     COUNTIFS($AP$2:$AP$200,$G4)&gt;0,
     COUNTIFS($AQ$2:$AQ$200,$G4)&gt;0,
     COUNTIFS($AR$2:$AR$200,$G4)&gt;0,
     COUNTIFS($AS$2:$AS$200,$G4)&gt;0,
     COUNTIFS($AT$2:$AT$200,$G4)&gt;0,
     COUNTIFS($AU$2:$AU$200,$G4)&gt;0,
     COUNTIFS($AV$2:$AV$200,$G4)&gt;0,
     COUNTIFS($AW$2:$AW$200,$G4)&gt;0,
     COUNTIFS($AX$2:$AX$200,$G4)&gt;0
   )),
  ),
  4
 ),
"")</f>
        <v/>
      </c>
      <c r="G4" t="str">
        <f ca="1"/>
        <v>Access Tunnel</v>
      </c>
      <c r="I4" t="s">
        <v>1553</v>
      </c>
      <c r="J4" s="3">
        <f>Baylen!G2</f>
        <v>31</v>
      </c>
      <c r="K4" s="3" t="s">
        <v>2087</v>
      </c>
      <c r="L4" s="3" t="s">
        <v>2088</v>
      </c>
      <c r="M4" s="3" t="s">
        <v>2087</v>
      </c>
      <c r="N4" s="3" t="s">
        <v>2088</v>
      </c>
      <c r="O4" s="3" t="s">
        <v>2087</v>
      </c>
      <c r="P4" s="3" t="s">
        <v>2139</v>
      </c>
      <c r="Q4" s="3" t="s">
        <v>753</v>
      </c>
      <c r="R4" s="3" t="s">
        <v>2146</v>
      </c>
      <c r="S4" s="3" t="str">
        <f t="shared" si="2"/>
        <v>1</v>
      </c>
      <c r="U4" t="str">
        <v>Bojuka Bog</v>
      </c>
      <c r="V4" t="str">
        <v>Boros Charm</v>
      </c>
      <c r="W4" t="str">
        <v>Clifftop Retreat</v>
      </c>
      <c r="X4" t="str">
        <v>Branching Evolution</v>
      </c>
      <c r="Y4" t="str">
        <v>Bojuka Bog</v>
      </c>
      <c r="Z4" t="str">
        <v>Counterspell</v>
      </c>
      <c r="AA4" t="str">
        <v>Deeproot Historian</v>
      </c>
      <c r="AB4" t="str">
        <v>Fabled Passage</v>
      </c>
      <c r="AC4" t="str">
        <v>Mistrise Village</v>
      </c>
      <c r="AD4" t="str">
        <v>Crisol dos Mundos</v>
      </c>
      <c r="AE4" t="str">
        <v>Chimil, o Sol Interior</v>
      </c>
      <c r="AF4" t="str">
        <v>Batwing Brume</v>
      </c>
      <c r="AG4" t="str">
        <v>Faerie Slumber Party</v>
      </c>
      <c r="AH4" t="str">
        <v>Burnt Offering</v>
      </c>
      <c r="AI4" t="str">
        <v>Espada da Riqueza e do Poder</v>
      </c>
      <c r="AJ4" t="str">
        <v>Freyalise, Llanowar's Fury</v>
      </c>
      <c r="AK4" t="str">
        <v>Shaku da Honra Desgastada</v>
      </c>
      <c r="AL4" t="str">
        <v>Evendo, Waking Haven</v>
      </c>
      <c r="AM4" t="str">
        <v>Planetary Annihilation</v>
      </c>
      <c r="AN4" t="str">
        <v>Raffine's Tower</v>
      </c>
      <c r="AO4" t="str">
        <v>Careful Study</v>
      </c>
      <c r="AP4" t="str">
        <v>Scour for Scrap</v>
      </c>
      <c r="AQ4" t="str">
        <v>High-Society Hunter</v>
      </c>
      <c r="AR4" t="str">
        <v>Reflecting Pool</v>
      </c>
      <c r="AS4" t="str">
        <v>Scattered Groves</v>
      </c>
      <c r="AT4" t="str">
        <v>Olho de Ojer Taq</v>
      </c>
      <c r="AV4" t="str">
        <v>Homeward Path</v>
      </c>
      <c r="AX4" t="str">
        <v>Annie Joins Up</v>
      </c>
      <c r="AZ4" t="str">
        <f ca="1"/>
        <v>Broodheart Engine</v>
      </c>
      <c r="BA4" t="str">
        <f ca="1"/>
        <v>Caverna das Almas</v>
      </c>
      <c r="BB4" t="str">
        <f ca="1"/>
        <v>Alchemist's Refuge</v>
      </c>
      <c r="BC4" t="str">
        <f ca="1"/>
        <v>Arid Mesa</v>
      </c>
      <c r="BD4" t="str">
        <f ca="1"/>
        <v>Autoridade dos Cônsules</v>
      </c>
      <c r="BE4" t="str">
        <f ca="1"/>
        <v>Chandra's Ignition</v>
      </c>
      <c r="BF4" t="str">
        <f ca="1"/>
        <v>Commodore Guff</v>
      </c>
      <c r="BG4" t="str">
        <f ca="1"/>
        <v>Ancient Greenwarden</v>
      </c>
      <c r="BH4" t="str">
        <f ca="1"/>
        <v>Arwen, Weaver of Hope</v>
      </c>
      <c r="BI4" t="str">
        <f ca="1"/>
        <v>Annie Joins Up</v>
      </c>
      <c r="BK4" t="str">
        <f ca="1"/>
        <v>Alchemist's Refuge</v>
      </c>
      <c r="BL4" t="str">
        <f ca="1"/>
        <v>Alchemist's Refuge</v>
      </c>
      <c r="BM4" t="str">
        <f ca="1"/>
        <v>Ascensão do Avernus</v>
      </c>
      <c r="BN4" t="str">
        <f ca="1"/>
        <v>Aligned Heart</v>
      </c>
      <c r="BO4" t="str">
        <f ca="1"/>
        <v>Annie Joins Up</v>
      </c>
      <c r="BQ4" t="str">
        <f ca="1"/>
        <v>Adagia, Windswept Bastion</v>
      </c>
      <c r="BR4" t="str">
        <f ca="1"/>
        <v>Adarkar Wastes</v>
      </c>
      <c r="BT4" t="str">
        <f ca="1"/>
        <v>Access Tunnel</v>
      </c>
    </row>
    <row r="5" spans="1:72" x14ac:dyDescent="0.25">
      <c r="A5" s="3" t="str">
        <f t="shared" ca="1" si="0"/>
        <v>5</v>
      </c>
      <c r="B5" s="3">
        <f t="shared" ca="1" si="1"/>
        <v>3</v>
      </c>
      <c r="C5" s="3" t="str">
        <f ca="1">IFERROR(
 INDEX($U$1:$AX$1,
  MATCH(TRUE,
   CHOOSE({1;2;3;4;5;6;7;8;9;10;11;12;13;14;15;16;17;18;19;20;21;22;23;24;25;26;27;28;29;30;31;32},
    COUNTIFS($U$2:$U$200,$G5)&gt;0,
    COUNTIFS($V$2:$V$200,$G5)&gt;0,
    COUNTIFS($W$2:$W$200,$G5)&gt;0,
    COUNTIFS($X$2:$X$200,$G5)&gt;0,
    COUNTIFS($Y$2:$Y$200,$G5)&gt;0,
    COUNTIFS($Z$2:$Z$200,$G5)&gt;0,
    COUNTIFS($AA$2:$AA$200,$G5)&gt;0,
    COUNTIFS($AB$2:$AB$200,$G5)&gt;0,
    COUNTIFS($AC$2:$AC$200,$G5)&gt;0,
    COUNTIFS($AD$2:$AD$200,$G5)&gt;0,
    COUNTIFS($AE$2:$AE$200,$G5)&gt;0,
    COUNTIFS($AF$2:$AF$200,$G5)&gt;0,
    COUNTIFS($AG$2:$AG$200,$G5)&gt;0,
    COUNTIFS($AH$2:$AH$200,$G5)&gt;0,
    COUNTIFS($AI$2:$AI$200,$G5)&gt;0,
    COUNTIFS($AJ$2:$AJ$200,$G5)&gt;0,
    COUNTIFS($AK$2:$AK$200,$G5)&gt;0,
    COUNTIFS($AL$2:$AL$200,$G5)&gt;0,
    COUNTIFS($AM$2:$AM$200,$G5)&gt;0,
    COUNTIFS($AN$2:$AN$200,$G5)&gt;0,
    COUNTIFS($AO$2:$AO$200,$G5)&gt;0,
    COUNTIFS($AP$2:$AP$200,$G5)&gt;0,
    COUNTIFS($AQ$2:$AQ$200,$G5)&gt;0,
    COUNTIFS($AR$2:$AR$200,$G5)&gt;0,
    COUNTIFS($AS$2:$AS$200,$G5)&gt;0,
    COUNTIFS($AT$2:$AT$200,$G5)&gt;0,
    COUNTIFS($AU$2:$AU$200,$G5)&gt;0,
    COUNTIFS($AV$2:$AV$200,$G5)&gt;0,
    COUNTIFS($AW$2:$AW$200,$G5)&gt;0,
    COUNTIFS($AX$2:$AX$200,$G5)&gt;0
   ),
  0)
 ),
"")</f>
        <v>Breya</v>
      </c>
      <c r="D5" s="3" t="str" cm="1">
        <f t="array" aca="1" ref="D5" ca="1">IFERROR(
 INDEX(
  _xlfn._xlws.FILTER($U$1:$AX$1,
   TRANSPOSE(
    CHOOSE({1;2;3;4;5;6;7;8;9;10;11;12;13;14;15;16;17;18;19;20;21;22;23;24;25;26;27;28;29;30},
     COUNTIFS($U$2:$U$200,$G5)&gt;0,
     COUNTIFS($V$2:$V$200,$G5)&gt;0,
     COUNTIFS($W$2:$W$200,$G5)&gt;0,
     COUNTIFS($X$2:$X$200,$G5)&gt;0,
     COUNTIFS($Y$2:$Y$200,$G5)&gt;0,
     COUNTIFS($Z$2:$Z$200,$G5)&gt;0,
     COUNTIFS($AA$2:$AA$200,$G5)&gt;0,
     COUNTIFS($AB$2:$AB$200,$G5)&gt;0,
     COUNTIFS($AC$2:$AC$200,$G5)&gt;0,
     COUNTIFS($AD$2:$AD$200,$G5)&gt;0,
     COUNTIFS($AE$2:$AE$200,$G5)&gt;0,
     COUNTIFS($AF$2:$AF$200,$G5)&gt;0,
     COUNTIFS($AG$2:$AG$200,$G5)&gt;0,
     COUNTIFS($AH$2:$AH$200,$G5)&gt;0,
     COUNTIFS($AI$2:$AI$200,$G5)&gt;0,
     COUNTIFS($AJ$2:$AJ$200,$G5)&gt;0,
     COUNTIFS($AK$2:$AK$200,$G5)&gt;0,
     COUNTIFS($AL$2:$AL$200,$G5)&gt;0,
     COUNTIFS($AM$2:$AM$200,$G5)&gt;0,
     COUNTIFS($AN$2:$AN$200,$G5)&gt;0,
     COUNTIFS($AO$2:$AO$200,$G5)&gt;0,
     COUNTIFS($AP$2:$AP$200,$G5)&gt;0,
     COUNTIFS($AQ$2:$AQ$200,$G5)&gt;0,
     COUNTIFS($AR$2:$AR$200,$G5)&gt;0,
     COUNTIFS($AS$2:$AS$200,$G5)&gt;0,
     COUNTIFS($AT$2:$AT$200,$G5)&gt;0,
     COUNTIFS($AU$2:$AU$200,$G5)&gt;0,
     COUNTIFS($AV$2:$AV$200,$G5)&gt;0,
     COUNTIFS($AW$2:$AW$200,$G5)&gt;0,
     COUNTIFS($AX$2:$AX$200,$G5)&gt;0
   )),
  ),
  2
 ),
"")</f>
        <v>Alela</v>
      </c>
      <c r="E5" s="3" t="str" cm="1">
        <f t="array" aca="1" ref="E5" ca="1">IFERROR(
 INDEX(
  _xlfn._xlws.FILTER($U$1:$AX$1,
   TRANSPOSE(
    CHOOSE({1;2;3;4;5;6;7;8;9;10;11;12;13;14;15;16;17;18;19;20;21;22;23;24;25;26;27;28;29;30},
     COUNTIFS($U$2:$U$200,$G5)&gt;0,
     COUNTIFS($V$2:$V$200,$G5)&gt;0,
     COUNTIFS($W$2:$W$200,$G5)&gt;0,
     COUNTIFS($X$2:$X$200,$G5)&gt;0,
     COUNTIFS($Y$2:$Y$200,$G5)&gt;0,
     COUNTIFS($Z$2:$Z$200,$G5)&gt;0,
     COUNTIFS($AA$2:$AA$200,$G5)&gt;0,
     COUNTIFS($AB$2:$AB$200,$G5)&gt;0,
     COUNTIFS($AC$2:$AC$200,$G5)&gt;0,
     COUNTIFS($AD$2:$AD$200,$G5)&gt;0,
     COUNTIFS($AE$2:$AE$200,$G5)&gt;0,
     COUNTIFS($AF$2:$AF$200,$G5)&gt;0,
     COUNTIFS($AG$2:$AG$200,$G5)&gt;0,
     COUNTIFS($AH$2:$AH$200,$G5)&gt;0,
     COUNTIFS($AI$2:$AI$200,$G5)&gt;0,
     COUNTIFS($AJ$2:$AJ$200,$G5)&gt;0,
     COUNTIFS($AK$2:$AK$200,$G5)&gt;0,
     COUNTIFS($AL$2:$AL$200,$G5)&gt;0,
     COUNTIFS($AM$2:$AM$200,$G5)&gt;0,
     COUNTIFS($AN$2:$AN$200,$G5)&gt;0,
     COUNTIFS($AO$2:$AO$200,$G5)&gt;0,
     COUNTIFS($AP$2:$AP$200,$G5)&gt;0,
     COUNTIFS($AQ$2:$AQ$200,$G5)&gt;0,
     COUNTIFS($AR$2:$AR$200,$G5)&gt;0,
     COUNTIFS($AS$2:$AS$200,$G5)&gt;0,
     COUNTIFS($AT$2:$AT$200,$G5)&gt;0,
     COUNTIFS($AU$2:$AU$200,$G5)&gt;0,
     COUNTIFS($AV$2:$AV$200,$G5)&gt;0,
     COUNTIFS($AW$2:$AW$200,$G5)&gt;0,
     COUNTIFS($AX$2:$AX$200,$G5)&gt;0
   )),
  ),
  3
 ),
"")</f>
        <v>Modular</v>
      </c>
      <c r="F5" s="3" t="str" cm="1">
        <f t="array" aca="1" ref="F5" ca="1">IFERROR(
 INDEX(
  _xlfn._xlws.FILTER($U$1:$AX$1,
   TRANSPOSE(
    CHOOSE({1;2;3;4;5;6;7;8;9;10;11;12;13;14;15;16;17;18;19;20;21;22;23;24;25;26;27;28;29;30},
     COUNTIFS($U$2:$U$200,$G5)&gt;0,
     COUNTIFS($V$2:$V$200,$G5)&gt;0,
     COUNTIFS($W$2:$W$200,$G5)&gt;0,
     COUNTIFS($X$2:$X$200,$G5)&gt;0,
     COUNTIFS($Y$2:$Y$200,$G5)&gt;0,
     COUNTIFS($Z$2:$Z$200,$G5)&gt;0,
     COUNTIFS($AA$2:$AA$200,$G5)&gt;0,
     COUNTIFS($AB$2:$AB$200,$G5)&gt;0,
     COUNTIFS($AC$2:$AC$200,$G5)&gt;0,
     COUNTIFS($AD$2:$AD$200,$G5)&gt;0,
     COUNTIFS($AE$2:$AE$200,$G5)&gt;0,
     COUNTIFS($AF$2:$AF$200,$G5)&gt;0,
     COUNTIFS($AG$2:$AG$200,$G5)&gt;0,
     COUNTIFS($AH$2:$AH$200,$G5)&gt;0,
     COUNTIFS($AI$2:$AI$200,$G5)&gt;0,
     COUNTIFS($AJ$2:$AJ$200,$G5)&gt;0,
     COUNTIFS($AK$2:$AK$200,$G5)&gt;0,
     COUNTIFS($AL$2:$AL$200,$G5)&gt;0,
     COUNTIFS($AM$2:$AM$200,$G5)&gt;0,
     COUNTIFS($AN$2:$AN$200,$G5)&gt;0,
     COUNTIFS($AO$2:$AO$200,$G5)&gt;0,
     COUNTIFS($AP$2:$AP$200,$G5)&gt;0,
     COUNTIFS($AQ$2:$AQ$200,$G5)&gt;0,
     COUNTIFS($AR$2:$AR$200,$G5)&gt;0,
     COUNTIFS($AS$2:$AS$200,$G5)&gt;0,
     COUNTIFS($AT$2:$AT$200,$G5)&gt;0,
     COUNTIFS($AU$2:$AU$200,$G5)&gt;0,
     COUNTIFS($AV$2:$AV$200,$G5)&gt;0,
     COUNTIFS($AW$2:$AW$200,$G5)&gt;0,
     COUNTIFS($AX$2:$AX$200,$G5)&gt;0
   )),
  ),
  4
 ),
"")</f>
        <v/>
      </c>
      <c r="G5" t="str">
        <f ca="1"/>
        <v>Adagia, Windswept Bastion</v>
      </c>
      <c r="I5" t="s">
        <v>1832</v>
      </c>
      <c r="J5" s="3">
        <f>Tayam!G2</f>
        <v>41</v>
      </c>
      <c r="K5" s="3" t="s">
        <v>2087</v>
      </c>
      <c r="L5" s="3" t="s">
        <v>2088</v>
      </c>
      <c r="M5" s="3" t="s">
        <v>2088</v>
      </c>
      <c r="N5" s="3" t="s">
        <v>2087</v>
      </c>
      <c r="O5" s="3" t="s">
        <v>2087</v>
      </c>
      <c r="P5" s="3" t="s">
        <v>753</v>
      </c>
      <c r="Q5" s="3" t="s">
        <v>335</v>
      </c>
      <c r="R5" s="3" t="s">
        <v>2149</v>
      </c>
      <c r="S5" s="3" t="str">
        <f t="shared" si="2"/>
        <v>1</v>
      </c>
      <c r="U5" t="str">
        <v>Broadside Bombardiers</v>
      </c>
      <c r="V5" t="str">
        <v>Brushland</v>
      </c>
      <c r="W5" t="str">
        <v>Full Throttle</v>
      </c>
      <c r="X5" t="str">
        <v>Bulwark Ox</v>
      </c>
      <c r="Y5" t="str">
        <v>Enduring Innocence</v>
      </c>
      <c r="Z5" t="str">
        <v>Cyber Conversion</v>
      </c>
      <c r="AA5" t="str">
        <v>Harvest Season</v>
      </c>
      <c r="AB5" t="str">
        <v>Grave Pact</v>
      </c>
      <c r="AC5" t="str">
        <v>Mox Tantalite</v>
      </c>
      <c r="AD5" t="str">
        <v>Delighted Halfling</v>
      </c>
      <c r="AE5" t="str">
        <v>Extinguisher Battleship</v>
      </c>
      <c r="AF5" t="str">
        <v>Chronomantic Escape</v>
      </c>
      <c r="AG5" t="str">
        <v>Louisoix's Sacrifice</v>
      </c>
      <c r="AH5" t="str">
        <v>Diário de Tarrian</v>
      </c>
      <c r="AI5" t="str">
        <v>Espada de Banquete e Fome</v>
      </c>
      <c r="AJ5" t="str">
        <v>Karn Liberated</v>
      </c>
      <c r="AK5" t="str">
        <v>Uthros, Titanic Godcore</v>
      </c>
      <c r="AL5" t="str">
        <v>Nissa, Resurgent Animist</v>
      </c>
      <c r="AM5" t="str">
        <v>Ulamog, o Profanador</v>
      </c>
      <c r="AN5" t="str">
        <v>Sliver Gravemother</v>
      </c>
      <c r="AO5" t="str">
        <v>Collector's Vault</v>
      </c>
      <c r="AP5" t="str">
        <v>Season of Weaving</v>
      </c>
      <c r="AQ5" t="str">
        <v>Jenova, Ancient Calamity</v>
      </c>
      <c r="AS5" t="str">
        <v>Stridehangar Automaton</v>
      </c>
      <c r="AT5" t="str">
        <v>Renewed Solidarity</v>
      </c>
      <c r="AX5" t="str">
        <v>Arcane Signet</v>
      </c>
      <c r="AZ5" t="str">
        <f ca="1"/>
        <v>Crisol dos Mundos</v>
      </c>
      <c r="BA5" t="str">
        <f ca="1"/>
        <v>Chimil, o Sol Interior</v>
      </c>
      <c r="BB5" t="str">
        <f ca="1"/>
        <v>Baral, Chief of Compliance</v>
      </c>
      <c r="BC5" t="str">
        <f ca="1"/>
        <v>Batwing Brume</v>
      </c>
      <c r="BD5" t="str">
        <f ca="1"/>
        <v>Bojuka Bog</v>
      </c>
      <c r="BE5" t="str">
        <f ca="1"/>
        <v>Cid, Freeflier Pilot</v>
      </c>
      <c r="BF5" t="str">
        <f ca="1"/>
        <v>Counterspell</v>
      </c>
      <c r="BG5" t="str">
        <f ca="1"/>
        <v>Beast Within</v>
      </c>
      <c r="BH5" t="str">
        <f ca="1"/>
        <v>Aura Mutation</v>
      </c>
      <c r="BI5" t="str">
        <f ca="1"/>
        <v>Arcane Signet</v>
      </c>
      <c r="BK5" t="str">
        <f ca="1"/>
        <v>Ancient Tomb</v>
      </c>
      <c r="BL5" t="str">
        <f ca="1"/>
        <v>Amphibian Downpour</v>
      </c>
      <c r="BM5" t="str">
        <f ca="1"/>
        <v>Autoridade dos Cônsules</v>
      </c>
      <c r="BN5" t="str">
        <f ca="1"/>
        <v>Ancient Greenwarden</v>
      </c>
      <c r="BO5" t="str">
        <f ca="1"/>
        <v>Arcane Signet</v>
      </c>
      <c r="BQ5" t="str">
        <f ca="1"/>
        <v>Afundar em Estupor</v>
      </c>
      <c r="BR5" t="str">
        <f ca="1"/>
        <v>Aligned Heart</v>
      </c>
      <c r="BT5" t="str">
        <f ca="1"/>
        <v>Adagia, Windswept Bastion</v>
      </c>
    </row>
    <row r="6" spans="1:72" x14ac:dyDescent="0.25">
      <c r="A6" s="3" t="str">
        <f t="shared" ca="1" si="0"/>
        <v>2</v>
      </c>
      <c r="B6" s="3">
        <f t="shared" ca="1" si="1"/>
        <v>1</v>
      </c>
      <c r="C6" s="3" t="str">
        <f ca="1">IFERROR(
 INDEX($U$1:$AX$1,
  MATCH(TRUE,
   CHOOSE({1;2;3;4;5;6;7;8;9;10;11;12;13;14;15;16;17;18;19;20;21;22;23;24;25;26;27;28;29;30;31;32},
    COUNTIFS($U$2:$U$200,$G6)&gt;0,
    COUNTIFS($V$2:$V$200,$G6)&gt;0,
    COUNTIFS($W$2:$W$200,$G6)&gt;0,
    COUNTIFS($X$2:$X$200,$G6)&gt;0,
    COUNTIFS($Y$2:$Y$200,$G6)&gt;0,
    COUNTIFS($Z$2:$Z$200,$G6)&gt;0,
    COUNTIFS($AA$2:$AA$200,$G6)&gt;0,
    COUNTIFS($AB$2:$AB$200,$G6)&gt;0,
    COUNTIFS($AC$2:$AC$200,$G6)&gt;0,
    COUNTIFS($AD$2:$AD$200,$G6)&gt;0,
    COUNTIFS($AE$2:$AE$200,$G6)&gt;0,
    COUNTIFS($AF$2:$AF$200,$G6)&gt;0,
    COUNTIFS($AG$2:$AG$200,$G6)&gt;0,
    COUNTIFS($AH$2:$AH$200,$G6)&gt;0,
    COUNTIFS($AI$2:$AI$200,$G6)&gt;0,
    COUNTIFS($AJ$2:$AJ$200,$G6)&gt;0,
    COUNTIFS($AK$2:$AK$200,$G6)&gt;0,
    COUNTIFS($AL$2:$AL$200,$G6)&gt;0,
    COUNTIFS($AM$2:$AM$200,$G6)&gt;0,
    COUNTIFS($AN$2:$AN$200,$G6)&gt;0,
    COUNTIFS($AO$2:$AO$200,$G6)&gt;0,
    COUNTIFS($AP$2:$AP$200,$G6)&gt;0,
    COUNTIFS($AQ$2:$AQ$200,$G6)&gt;0,
    COUNTIFS($AR$2:$AR$200,$G6)&gt;0,
    COUNTIFS($AS$2:$AS$200,$G6)&gt;0,
    COUNTIFS($AT$2:$AT$200,$G6)&gt;0,
    COUNTIFS($AU$2:$AU$200,$G6)&gt;0,
    COUNTIFS($AV$2:$AV$200,$G6)&gt;0,
    COUNTIFS($AW$2:$AW$200,$G6)&gt;0,
    COUNTIFS($AX$2:$AX$200,$G6)&gt;0
   ),
  0)
 ),
"")</f>
        <v>Narset</v>
      </c>
      <c r="D6" s="3" t="str" cm="1">
        <f t="array" aca="1" ref="D6" ca="1">IFERROR(
 INDEX(
  _xlfn._xlws.FILTER($U$1:$AX$1,
   TRANSPOSE(
    CHOOSE({1;2;3;4;5;6;7;8;9;10;11;12;13;14;15;16;17;18;19;20;21;22;23;24;25;26;27;28;29;30},
     COUNTIFS($U$2:$U$200,$G6)&gt;0,
     COUNTIFS($V$2:$V$200,$G6)&gt;0,
     COUNTIFS($W$2:$W$200,$G6)&gt;0,
     COUNTIFS($X$2:$X$200,$G6)&gt;0,
     COUNTIFS($Y$2:$Y$200,$G6)&gt;0,
     COUNTIFS($Z$2:$Z$200,$G6)&gt;0,
     COUNTIFS($AA$2:$AA$200,$G6)&gt;0,
     COUNTIFS($AB$2:$AB$200,$G6)&gt;0,
     COUNTIFS($AC$2:$AC$200,$G6)&gt;0,
     COUNTIFS($AD$2:$AD$200,$G6)&gt;0,
     COUNTIFS($AE$2:$AE$200,$G6)&gt;0,
     COUNTIFS($AF$2:$AF$200,$G6)&gt;0,
     COUNTIFS($AG$2:$AG$200,$G6)&gt;0,
     COUNTIFS($AH$2:$AH$200,$G6)&gt;0,
     COUNTIFS($AI$2:$AI$200,$G6)&gt;0,
     COUNTIFS($AJ$2:$AJ$200,$G6)&gt;0,
     COUNTIFS($AK$2:$AK$200,$G6)&gt;0,
     COUNTIFS($AL$2:$AL$200,$G6)&gt;0,
     COUNTIFS($AM$2:$AM$200,$G6)&gt;0,
     COUNTIFS($AN$2:$AN$200,$G6)&gt;0,
     COUNTIFS($AO$2:$AO$200,$G6)&gt;0,
     COUNTIFS($AP$2:$AP$200,$G6)&gt;0,
     COUNTIFS($AQ$2:$AQ$200,$G6)&gt;0,
     COUNTIFS($AR$2:$AR$200,$G6)&gt;0,
     COUNTIFS($AS$2:$AS$200,$G6)&gt;0,
     COUNTIFS($AT$2:$AT$200,$G6)&gt;0,
     COUNTIFS($AU$2:$AU$200,$G6)&gt;0,
     COUNTIFS($AV$2:$AV$200,$G6)&gt;0,
     COUNTIFS($AW$2:$AW$200,$G6)&gt;0,
     COUNTIFS($AX$2:$AX$200,$G6)&gt;0
   )),
  ),
  2
 ),
"")</f>
        <v/>
      </c>
      <c r="E6" s="3" t="str" cm="1">
        <f t="array" aca="1" ref="E6" ca="1">IFERROR(
 INDEX(
  _xlfn._xlws.FILTER($U$1:$AX$1,
   TRANSPOSE(
    CHOOSE({1;2;3;4;5;6;7;8;9;10;11;12;13;14;15;16;17;18;19;20;21;22;23;24;25;26;27;28;29;30},
     COUNTIFS($U$2:$U$200,$G6)&gt;0,
     COUNTIFS($V$2:$V$200,$G6)&gt;0,
     COUNTIFS($W$2:$W$200,$G6)&gt;0,
     COUNTIFS($X$2:$X$200,$G6)&gt;0,
     COUNTIFS($Y$2:$Y$200,$G6)&gt;0,
     COUNTIFS($Z$2:$Z$200,$G6)&gt;0,
     COUNTIFS($AA$2:$AA$200,$G6)&gt;0,
     COUNTIFS($AB$2:$AB$200,$G6)&gt;0,
     COUNTIFS($AC$2:$AC$200,$G6)&gt;0,
     COUNTIFS($AD$2:$AD$200,$G6)&gt;0,
     COUNTIFS($AE$2:$AE$200,$G6)&gt;0,
     COUNTIFS($AF$2:$AF$200,$G6)&gt;0,
     COUNTIFS($AG$2:$AG$200,$G6)&gt;0,
     COUNTIFS($AH$2:$AH$200,$G6)&gt;0,
     COUNTIFS($AI$2:$AI$200,$G6)&gt;0,
     COUNTIFS($AJ$2:$AJ$200,$G6)&gt;0,
     COUNTIFS($AK$2:$AK$200,$G6)&gt;0,
     COUNTIFS($AL$2:$AL$200,$G6)&gt;0,
     COUNTIFS($AM$2:$AM$200,$G6)&gt;0,
     COUNTIFS($AN$2:$AN$200,$G6)&gt;0,
     COUNTIFS($AO$2:$AO$200,$G6)&gt;0,
     COUNTIFS($AP$2:$AP$200,$G6)&gt;0,
     COUNTIFS($AQ$2:$AQ$200,$G6)&gt;0,
     COUNTIFS($AR$2:$AR$200,$G6)&gt;0,
     COUNTIFS($AS$2:$AS$200,$G6)&gt;0,
     COUNTIFS($AT$2:$AT$200,$G6)&gt;0,
     COUNTIFS($AU$2:$AU$200,$G6)&gt;0,
     COUNTIFS($AV$2:$AV$200,$G6)&gt;0,
     COUNTIFS($AW$2:$AW$200,$G6)&gt;0,
     COUNTIFS($AX$2:$AX$200,$G6)&gt;0
   )),
  ),
  3
 ),
"")</f>
        <v/>
      </c>
      <c r="F6" s="3" t="str" cm="1">
        <f t="array" aca="1" ref="F6" ca="1">IFERROR(
 INDEX(
  _xlfn._xlws.FILTER($U$1:$AX$1,
   TRANSPOSE(
    CHOOSE({1;2;3;4;5;6;7;8;9;10;11;12;13;14;15;16;17;18;19;20;21;22;23;24;25;26;27;28;29;30},
     COUNTIFS($U$2:$U$200,$G6)&gt;0,
     COUNTIFS($V$2:$V$200,$G6)&gt;0,
     COUNTIFS($W$2:$W$200,$G6)&gt;0,
     COUNTIFS($X$2:$X$200,$G6)&gt;0,
     COUNTIFS($Y$2:$Y$200,$G6)&gt;0,
     COUNTIFS($Z$2:$Z$200,$G6)&gt;0,
     COUNTIFS($AA$2:$AA$200,$G6)&gt;0,
     COUNTIFS($AB$2:$AB$200,$G6)&gt;0,
     COUNTIFS($AC$2:$AC$200,$G6)&gt;0,
     COUNTIFS($AD$2:$AD$200,$G6)&gt;0,
     COUNTIFS($AE$2:$AE$200,$G6)&gt;0,
     COUNTIFS($AF$2:$AF$200,$G6)&gt;0,
     COUNTIFS($AG$2:$AG$200,$G6)&gt;0,
     COUNTIFS($AH$2:$AH$200,$G6)&gt;0,
     COUNTIFS($AI$2:$AI$200,$G6)&gt;0,
     COUNTIFS($AJ$2:$AJ$200,$G6)&gt;0,
     COUNTIFS($AK$2:$AK$200,$G6)&gt;0,
     COUNTIFS($AL$2:$AL$200,$G6)&gt;0,
     COUNTIFS($AM$2:$AM$200,$G6)&gt;0,
     COUNTIFS($AN$2:$AN$200,$G6)&gt;0,
     COUNTIFS($AO$2:$AO$200,$G6)&gt;0,
     COUNTIFS($AP$2:$AP$200,$G6)&gt;0,
     COUNTIFS($AQ$2:$AQ$200,$G6)&gt;0,
     COUNTIFS($AR$2:$AR$200,$G6)&gt;0,
     COUNTIFS($AS$2:$AS$200,$G6)&gt;0,
     COUNTIFS($AT$2:$AT$200,$G6)&gt;0,
     COUNTIFS($AU$2:$AU$200,$G6)&gt;0,
     COUNTIFS($AV$2:$AV$200,$G6)&gt;0,
     COUNTIFS($AW$2:$AW$200,$G6)&gt;0,
     COUNTIFS($AX$2:$AX$200,$G6)&gt;0
   )),
  ),
  4
 ),
"")</f>
        <v/>
      </c>
      <c r="G6" t="str">
        <f ca="1"/>
        <v>Adarkar Wastes</v>
      </c>
      <c r="I6" t="s">
        <v>2030</v>
      </c>
      <c r="J6" s="3">
        <f>Piratas!G2</f>
        <v>28</v>
      </c>
      <c r="K6" s="3" t="s">
        <v>2088</v>
      </c>
      <c r="L6" s="3" t="s">
        <v>2087</v>
      </c>
      <c r="M6" s="3" t="s">
        <v>2087</v>
      </c>
      <c r="N6" s="3" t="s">
        <v>2087</v>
      </c>
      <c r="O6" s="3" t="s">
        <v>2088</v>
      </c>
      <c r="P6" s="3" t="s">
        <v>753</v>
      </c>
      <c r="Q6" s="3" t="s">
        <v>335</v>
      </c>
      <c r="R6" s="3" t="s">
        <v>2147</v>
      </c>
      <c r="S6" s="3" t="str">
        <f t="shared" si="2"/>
        <v>2</v>
      </c>
      <c r="U6" t="str">
        <v>Coastline Marauders</v>
      </c>
      <c r="V6" t="str">
        <v>Canopy Vista</v>
      </c>
      <c r="W6" t="str">
        <v>Genji Glove</v>
      </c>
      <c r="X6" t="str">
        <v>Cankerbloom</v>
      </c>
      <c r="Y6" t="str">
        <v>Exemplar of Light</v>
      </c>
      <c r="Z6" t="str">
        <v>Drowned Catacomb</v>
      </c>
      <c r="AA6" t="str">
        <v>Herald of Secret Streams</v>
      </c>
      <c r="AB6" t="str">
        <v>Horizon Explorer</v>
      </c>
      <c r="AC6" t="str">
        <v>Rise of the Eldrazi</v>
      </c>
      <c r="AD6" t="str">
        <v>Entomb</v>
      </c>
      <c r="AE6" t="str">
        <v>Gerrard's Hourglass Pendant</v>
      </c>
      <c r="AF6" t="str">
        <v>Luxury Suite</v>
      </c>
      <c r="AG6" t="str">
        <v>Morphic Pool</v>
      </c>
      <c r="AH6" t="str">
        <v>Dour Port-Mage</v>
      </c>
      <c r="AI6" t="str">
        <v>Espada de Fogo e Gelo</v>
      </c>
      <c r="AJ6" t="str">
        <v>Kaya the Inexorable</v>
      </c>
      <c r="AL6" t="str">
        <v>Three Tree City</v>
      </c>
      <c r="AM6" t="str">
        <v>Valfenda</v>
      </c>
      <c r="AN6" t="str">
        <v>Thrumming Hivepool</v>
      </c>
      <c r="AO6" t="str">
        <v>Ojer Pakpatiq, Era Profunda</v>
      </c>
      <c r="AP6" t="str">
        <v>Sonic Screwdriver</v>
      </c>
      <c r="AQ6" t="str">
        <v>Nibelheim Aflame</v>
      </c>
      <c r="AS6" t="str">
        <v>Susur Secundi, Void Altar</v>
      </c>
      <c r="AT6" t="str">
        <v>Westvale Abbey</v>
      </c>
      <c r="AX6" t="str">
        <v>Arcbound Crusher</v>
      </c>
      <c r="AZ6" t="str">
        <f ca="1"/>
        <v>Delighted Halfling</v>
      </c>
      <c r="BA6" t="str">
        <f ca="1"/>
        <v>Emrakul, um Novo Mundo</v>
      </c>
      <c r="BB6" t="str">
        <f ca="1"/>
        <v>Careful Study</v>
      </c>
      <c r="BC6" t="str">
        <f ca="1"/>
        <v>Chronomantic Escape</v>
      </c>
      <c r="BD6" t="str">
        <f ca="1"/>
        <v>Bojuka Bog</v>
      </c>
      <c r="BE6" t="str">
        <f ca="1"/>
        <v>Cloud, Midgar Mercenary</v>
      </c>
      <c r="BF6" t="str">
        <f ca="1"/>
        <v>Cyber Conversion</v>
      </c>
      <c r="BG6" t="str">
        <f ca="1"/>
        <v>Bloodstained Mire</v>
      </c>
      <c r="BH6" t="str">
        <f ca="1"/>
        <v>Boros Charm</v>
      </c>
      <c r="BI6" t="str">
        <f ca="1"/>
        <v>Arcbound Crusher</v>
      </c>
      <c r="BK6" t="str">
        <f ca="1"/>
        <v>Broodheart Engine</v>
      </c>
      <c r="BL6" t="str">
        <f ca="1"/>
        <v>Árbitro Silencioso</v>
      </c>
      <c r="BM6" t="str">
        <f ca="1"/>
        <v>Bojuka Bog</v>
      </c>
      <c r="BN6" t="str">
        <f ca="1"/>
        <v>Beast Within</v>
      </c>
      <c r="BO6" t="str">
        <f ca="1"/>
        <v>Arcbound Crusher</v>
      </c>
      <c r="BQ6" t="str">
        <f ca="1"/>
        <v>Alchemist's Refuge</v>
      </c>
      <c r="BR6" t="str">
        <f ca="1"/>
        <v>Ancient Greenwarden</v>
      </c>
      <c r="BT6" t="str">
        <f ca="1"/>
        <v>Adarkar Wastes</v>
      </c>
    </row>
    <row r="7" spans="1:72" x14ac:dyDescent="0.25">
      <c r="A7" s="3" t="str">
        <f t="shared" ca="1" si="0"/>
        <v>4</v>
      </c>
      <c r="B7" s="3">
        <f t="shared" ca="1" si="1"/>
        <v>1</v>
      </c>
      <c r="C7" s="3" t="str">
        <f ca="1">IFERROR(
 INDEX($U$1:$AX$1,
  MATCH(TRUE,
   CHOOSE({1;2;3;4;5;6;7;8;9;10;11;12;13;14;15;16;17;18;19;20;21;22;23;24;25;26;27;28;29;30;31;32},
    COUNTIFS($U$2:$U$200,$G7)&gt;0,
    COUNTIFS($V$2:$V$200,$G7)&gt;0,
    COUNTIFS($W$2:$W$200,$G7)&gt;0,
    COUNTIFS($X$2:$X$200,$G7)&gt;0,
    COUNTIFS($Y$2:$Y$200,$G7)&gt;0,
    COUNTIFS($Z$2:$Z$200,$G7)&gt;0,
    COUNTIFS($AA$2:$AA$200,$G7)&gt;0,
    COUNTIFS($AB$2:$AB$200,$G7)&gt;0,
    COUNTIFS($AC$2:$AC$200,$G7)&gt;0,
    COUNTIFS($AD$2:$AD$200,$G7)&gt;0,
    COUNTIFS($AE$2:$AE$200,$G7)&gt;0,
    COUNTIFS($AF$2:$AF$200,$G7)&gt;0,
    COUNTIFS($AG$2:$AG$200,$G7)&gt;0,
    COUNTIFS($AH$2:$AH$200,$G7)&gt;0,
    COUNTIFS($AI$2:$AI$200,$G7)&gt;0,
    COUNTIFS($AJ$2:$AJ$200,$G7)&gt;0,
    COUNTIFS($AK$2:$AK$200,$G7)&gt;0,
    COUNTIFS($AL$2:$AL$200,$G7)&gt;0,
    COUNTIFS($AM$2:$AM$200,$G7)&gt;0,
    COUNTIFS($AN$2:$AN$200,$G7)&gt;0,
    COUNTIFS($AO$2:$AO$200,$G7)&gt;0,
    COUNTIFS($AP$2:$AP$200,$G7)&gt;0,
    COUNTIFS($AQ$2:$AQ$200,$G7)&gt;0,
    COUNTIFS($AR$2:$AR$200,$G7)&gt;0,
    COUNTIFS($AS$2:$AS$200,$G7)&gt;0,
    COUNTIFS($AT$2:$AT$200,$G7)&gt;0,
    COUNTIFS($AU$2:$AU$200,$G7)&gt;0,
    COUNTIFS($AV$2:$AV$200,$G7)&gt;0,
    COUNTIFS($AW$2:$AW$200,$G7)&gt;0,
    COUNTIFS($AX$2:$AX$200,$G7)&gt;0
   ),
  0)
 ),
"")</f>
        <v>Rielle</v>
      </c>
      <c r="D7" s="3" t="str" cm="1">
        <f t="array" aca="1" ref="D7" ca="1">IFERROR(
 INDEX(
  _xlfn._xlws.FILTER($U$1:$AX$1,
   TRANSPOSE(
    CHOOSE({1;2;3;4;5;6;7;8;9;10;11;12;13;14;15;16;17;18;19;20;21;22;23;24;25;26;27;28;29;30},
     COUNTIFS($U$2:$U$200,$G7)&gt;0,
     COUNTIFS($V$2:$V$200,$G7)&gt;0,
     COUNTIFS($W$2:$W$200,$G7)&gt;0,
     COUNTIFS($X$2:$X$200,$G7)&gt;0,
     COUNTIFS($Y$2:$Y$200,$G7)&gt;0,
     COUNTIFS($Z$2:$Z$200,$G7)&gt;0,
     COUNTIFS($AA$2:$AA$200,$G7)&gt;0,
     COUNTIFS($AB$2:$AB$200,$G7)&gt;0,
     COUNTIFS($AC$2:$AC$200,$G7)&gt;0,
     COUNTIFS($AD$2:$AD$200,$G7)&gt;0,
     COUNTIFS($AE$2:$AE$200,$G7)&gt;0,
     COUNTIFS($AF$2:$AF$200,$G7)&gt;0,
     COUNTIFS($AG$2:$AG$200,$G7)&gt;0,
     COUNTIFS($AH$2:$AH$200,$G7)&gt;0,
     COUNTIFS($AI$2:$AI$200,$G7)&gt;0,
     COUNTIFS($AJ$2:$AJ$200,$G7)&gt;0,
     COUNTIFS($AK$2:$AK$200,$G7)&gt;0,
     COUNTIFS($AL$2:$AL$200,$G7)&gt;0,
     COUNTIFS($AM$2:$AM$200,$G7)&gt;0,
     COUNTIFS($AN$2:$AN$200,$G7)&gt;0,
     COUNTIFS($AO$2:$AO$200,$G7)&gt;0,
     COUNTIFS($AP$2:$AP$200,$G7)&gt;0,
     COUNTIFS($AQ$2:$AQ$200,$G7)&gt;0,
     COUNTIFS($AR$2:$AR$200,$G7)&gt;0,
     COUNTIFS($AS$2:$AS$200,$G7)&gt;0,
     COUNTIFS($AT$2:$AT$200,$G7)&gt;0,
     COUNTIFS($AU$2:$AU$200,$G7)&gt;0,
     COUNTIFS($AV$2:$AV$200,$G7)&gt;0,
     COUNTIFS($AW$2:$AW$200,$G7)&gt;0,
     COUNTIFS($AX$2:$AX$200,$G7)&gt;0
   )),
  ),
  2
 ),
"")</f>
        <v/>
      </c>
      <c r="E7" s="3" t="str" cm="1">
        <f t="array" aca="1" ref="E7" ca="1">IFERROR(
 INDEX(
  _xlfn._xlws.FILTER($U$1:$AX$1,
   TRANSPOSE(
    CHOOSE({1;2;3;4;5;6;7;8;9;10;11;12;13;14;15;16;17;18;19;20;21;22;23;24;25;26;27;28;29;30},
     COUNTIFS($U$2:$U$200,$G7)&gt;0,
     COUNTIFS($V$2:$V$200,$G7)&gt;0,
     COUNTIFS($W$2:$W$200,$G7)&gt;0,
     COUNTIFS($X$2:$X$200,$G7)&gt;0,
     COUNTIFS($Y$2:$Y$200,$G7)&gt;0,
     COUNTIFS($Z$2:$Z$200,$G7)&gt;0,
     COUNTIFS($AA$2:$AA$200,$G7)&gt;0,
     COUNTIFS($AB$2:$AB$200,$G7)&gt;0,
     COUNTIFS($AC$2:$AC$200,$G7)&gt;0,
     COUNTIFS($AD$2:$AD$200,$G7)&gt;0,
     COUNTIFS($AE$2:$AE$200,$G7)&gt;0,
     COUNTIFS($AF$2:$AF$200,$G7)&gt;0,
     COUNTIFS($AG$2:$AG$200,$G7)&gt;0,
     COUNTIFS($AH$2:$AH$200,$G7)&gt;0,
     COUNTIFS($AI$2:$AI$200,$G7)&gt;0,
     COUNTIFS($AJ$2:$AJ$200,$G7)&gt;0,
     COUNTIFS($AK$2:$AK$200,$G7)&gt;0,
     COUNTIFS($AL$2:$AL$200,$G7)&gt;0,
     COUNTIFS($AM$2:$AM$200,$G7)&gt;0,
     COUNTIFS($AN$2:$AN$200,$G7)&gt;0,
     COUNTIFS($AO$2:$AO$200,$G7)&gt;0,
     COUNTIFS($AP$2:$AP$200,$G7)&gt;0,
     COUNTIFS($AQ$2:$AQ$200,$G7)&gt;0,
     COUNTIFS($AR$2:$AR$200,$G7)&gt;0,
     COUNTIFS($AS$2:$AS$200,$G7)&gt;0,
     COUNTIFS($AT$2:$AT$200,$G7)&gt;0,
     COUNTIFS($AU$2:$AU$200,$G7)&gt;0,
     COUNTIFS($AV$2:$AV$200,$G7)&gt;0,
     COUNTIFS($AW$2:$AW$200,$G7)&gt;0,
     COUNTIFS($AX$2:$AX$200,$G7)&gt;0
   )),
  ),
  3
 ),
"")</f>
        <v/>
      </c>
      <c r="F7" s="3" t="str" cm="1">
        <f t="array" aca="1" ref="F7" ca="1">IFERROR(
 INDEX(
  _xlfn._xlws.FILTER($U$1:$AX$1,
   TRANSPOSE(
    CHOOSE({1;2;3;4;5;6;7;8;9;10;11;12;13;14;15;16;17;18;19;20;21;22;23;24;25;26;27;28;29;30},
     COUNTIFS($U$2:$U$200,$G7)&gt;0,
     COUNTIFS($V$2:$V$200,$G7)&gt;0,
     COUNTIFS($W$2:$W$200,$G7)&gt;0,
     COUNTIFS($X$2:$X$200,$G7)&gt;0,
     COUNTIFS($Y$2:$Y$200,$G7)&gt;0,
     COUNTIFS($Z$2:$Z$200,$G7)&gt;0,
     COUNTIFS($AA$2:$AA$200,$G7)&gt;0,
     COUNTIFS($AB$2:$AB$200,$G7)&gt;0,
     COUNTIFS($AC$2:$AC$200,$G7)&gt;0,
     COUNTIFS($AD$2:$AD$200,$G7)&gt;0,
     COUNTIFS($AE$2:$AE$200,$G7)&gt;0,
     COUNTIFS($AF$2:$AF$200,$G7)&gt;0,
     COUNTIFS($AG$2:$AG$200,$G7)&gt;0,
     COUNTIFS($AH$2:$AH$200,$G7)&gt;0,
     COUNTIFS($AI$2:$AI$200,$G7)&gt;0,
     COUNTIFS($AJ$2:$AJ$200,$G7)&gt;0,
     COUNTIFS($AK$2:$AK$200,$G7)&gt;0,
     COUNTIFS($AL$2:$AL$200,$G7)&gt;0,
     COUNTIFS($AM$2:$AM$200,$G7)&gt;0,
     COUNTIFS($AN$2:$AN$200,$G7)&gt;0,
     COUNTIFS($AO$2:$AO$200,$G7)&gt;0,
     COUNTIFS($AP$2:$AP$200,$G7)&gt;0,
     COUNTIFS($AQ$2:$AQ$200,$G7)&gt;0,
     COUNTIFS($AR$2:$AR$200,$G7)&gt;0,
     COUNTIFS($AS$2:$AS$200,$G7)&gt;0,
     COUNTIFS($AT$2:$AT$200,$G7)&gt;0,
     COUNTIFS($AU$2:$AU$200,$G7)&gt;0,
     COUNTIFS($AV$2:$AV$200,$G7)&gt;0,
     COUNTIFS($AW$2:$AW$200,$G7)&gt;0,
     COUNTIFS($AX$2:$AX$200,$G7)&gt;0
   )),
  ),
  4
 ),
"")</f>
        <v/>
      </c>
      <c r="G7" t="str">
        <f ca="1"/>
        <v>Afundar em Estupor</v>
      </c>
      <c r="I7" t="s">
        <v>26</v>
      </c>
      <c r="J7" s="3">
        <f>Carlos!G2</f>
        <v>15</v>
      </c>
      <c r="K7" s="3" t="s">
        <v>2087</v>
      </c>
      <c r="L7" s="3" t="s">
        <v>2088</v>
      </c>
      <c r="M7" s="3" t="s">
        <v>2088</v>
      </c>
      <c r="N7" s="3" t="s">
        <v>2087</v>
      </c>
      <c r="O7" s="3" t="s">
        <v>2088</v>
      </c>
      <c r="P7" s="3" t="s">
        <v>2139</v>
      </c>
      <c r="Q7" s="3" t="s">
        <v>2143</v>
      </c>
      <c r="R7" s="3" t="s">
        <v>2148</v>
      </c>
      <c r="S7" s="3" t="str">
        <f t="shared" si="2"/>
        <v>3</v>
      </c>
      <c r="U7" t="str">
        <v>Deadeye Tracker</v>
      </c>
      <c r="V7" t="str">
        <v>Castle Ardenvale</v>
      </c>
      <c r="W7" t="str">
        <v>Ghostly Prison</v>
      </c>
      <c r="X7" t="str">
        <v>Canopy Vista</v>
      </c>
      <c r="Y7" t="str">
        <v>Giver of Runes</v>
      </c>
      <c r="Z7" t="str">
        <v>Dúplice Debochada</v>
      </c>
      <c r="AA7" t="str">
        <v>Kodama's Reach</v>
      </c>
      <c r="AB7" t="str">
        <v>Jadar, Ghoulcaller of Nephalia</v>
      </c>
      <c r="AC7" t="str">
        <v>Rotating Fireplace</v>
      </c>
      <c r="AD7" t="str">
        <v>Hedge Shredder</v>
      </c>
      <c r="AE7" t="str">
        <v>Inventors' Fair</v>
      </c>
      <c r="AF7" t="str">
        <v>Mandate of Peace</v>
      </c>
      <c r="AG7" t="str">
        <v>Satoru, the Infiltrator</v>
      </c>
      <c r="AH7" t="str">
        <v>Glasspool Mimic</v>
      </c>
      <c r="AI7" t="str">
        <v>Espada de Luz e Sombra</v>
      </c>
      <c r="AJ7" t="str">
        <v>Lolth, Rainha Aranha</v>
      </c>
      <c r="AL7" t="str">
        <v>Zagoth Triome</v>
      </c>
      <c r="AN7" t="str">
        <v>Trioma de Indatha</v>
      </c>
      <c r="AO7" t="str">
        <v>Serenata das Estriges</v>
      </c>
      <c r="AP7" t="str">
        <v>Três Passos à Frente</v>
      </c>
      <c r="AQ7" t="str">
        <v>Pain for All</v>
      </c>
      <c r="AS7" t="str">
        <v>Warren Soultrader</v>
      </c>
      <c r="AX7" t="str">
        <v>Arcbound Fiend</v>
      </c>
      <c r="AZ7" t="str">
        <f ca="1"/>
        <v>Dionus, Elvish Archdruid</v>
      </c>
      <c r="BA7" t="str">
        <f ca="1"/>
        <v>Extinguisher Battleship</v>
      </c>
      <c r="BB7" t="str">
        <f ca="1"/>
        <v>Collector's Vault</v>
      </c>
      <c r="BC7" t="str">
        <f ca="1"/>
        <v>Creeping Tar Pit</v>
      </c>
      <c r="BD7" t="str">
        <f ca="1"/>
        <v>Burnt Offering</v>
      </c>
      <c r="BE7" t="str">
        <f ca="1"/>
        <v>Daretti, Ingenious Iconoclast</v>
      </c>
      <c r="BF7" t="str">
        <f ca="1"/>
        <v>Dollmaker's Shop // Porcelain Gallery</v>
      </c>
      <c r="BG7" t="str">
        <f ca="1"/>
        <v>Call to the Kindred</v>
      </c>
      <c r="BH7" t="str">
        <f ca="1"/>
        <v>Branching Evolution</v>
      </c>
      <c r="BI7" t="str">
        <f ca="1"/>
        <v>Arcbound Fiend</v>
      </c>
      <c r="BK7" t="str">
        <f ca="1"/>
        <v>Caverna das Almas</v>
      </c>
      <c r="BL7" t="str">
        <f ca="1"/>
        <v>Arid Mesa</v>
      </c>
      <c r="BM7" t="str">
        <f ca="1"/>
        <v>Bugenhagen, Wise Elder</v>
      </c>
      <c r="BN7" t="str">
        <f ca="1"/>
        <v>Bloodstained Mire</v>
      </c>
      <c r="BO7" t="str">
        <f ca="1"/>
        <v>Arcbound Fiend</v>
      </c>
      <c r="BQ7" t="str">
        <f ca="1"/>
        <v>Amphibian Downpour</v>
      </c>
      <c r="BR7" t="str">
        <f ca="1"/>
        <v>Arcane Lighthouse</v>
      </c>
      <c r="BT7" t="str">
        <f ca="1"/>
        <v>Afundar em Estupor</v>
      </c>
    </row>
    <row r="8" spans="1:72" x14ac:dyDescent="0.25">
      <c r="A8" s="3" t="str">
        <f t="shared" ca="1" si="0"/>
        <v>4</v>
      </c>
      <c r="B8" s="3">
        <f t="shared" ca="1" si="1"/>
        <v>2</v>
      </c>
      <c r="C8" s="3" t="str">
        <f ca="1">IFERROR(
 INDEX($U$1:$AX$1,
  MATCH(TRUE,
   CHOOSE({1;2;3;4;5;6;7;8;9;10;11;12;13;14;15;16;17;18;19;20;21;22;23;24;25;26;27;28;29;30;31;32},
    COUNTIFS($U$2:$U$200,$G8)&gt;0,
    COUNTIFS($V$2:$V$200,$G8)&gt;0,
    COUNTIFS($W$2:$W$200,$G8)&gt;0,
    COUNTIFS($X$2:$X$200,$G8)&gt;0,
    COUNTIFS($Y$2:$Y$200,$G8)&gt;0,
    COUNTIFS($Z$2:$Z$200,$G8)&gt;0,
    COUNTIFS($AA$2:$AA$200,$G8)&gt;0,
    COUNTIFS($AB$2:$AB$200,$G8)&gt;0,
    COUNTIFS($AC$2:$AC$200,$G8)&gt;0,
    COUNTIFS($AD$2:$AD$200,$G8)&gt;0,
    COUNTIFS($AE$2:$AE$200,$G8)&gt;0,
    COUNTIFS($AF$2:$AF$200,$G8)&gt;0,
    COUNTIFS($AG$2:$AG$200,$G8)&gt;0,
    COUNTIFS($AH$2:$AH$200,$G8)&gt;0,
    COUNTIFS($AI$2:$AI$200,$G8)&gt;0,
    COUNTIFS($AJ$2:$AJ$200,$G8)&gt;0,
    COUNTIFS($AK$2:$AK$200,$G8)&gt;0,
    COUNTIFS($AL$2:$AL$200,$G8)&gt;0,
    COUNTIFS($AM$2:$AM$200,$G8)&gt;0,
    COUNTIFS($AN$2:$AN$200,$G8)&gt;0,
    COUNTIFS($AO$2:$AO$200,$G8)&gt;0,
    COUNTIFS($AP$2:$AP$200,$G8)&gt;0,
    COUNTIFS($AQ$2:$AQ$200,$G8)&gt;0,
    COUNTIFS($AR$2:$AR$200,$G8)&gt;0,
    COUNTIFS($AS$2:$AS$200,$G8)&gt;0,
    COUNTIFS($AT$2:$AT$200,$G8)&gt;0,
    COUNTIFS($AU$2:$AU$200,$G8)&gt;0,
    COUNTIFS($AV$2:$AV$200,$G8)&gt;0,
    COUNTIFS($AW$2:$AW$200,$G8)&gt;0,
    COUNTIFS($AX$2:$AX$200,$G8)&gt;0
   ),
  0)
 ),
"")</f>
        <v>Elfos</v>
      </c>
      <c r="D8" s="3" t="str" cm="1">
        <f t="array" aca="1" ref="D8" ca="1">IFERROR(
 INDEX(
  _xlfn._xlws.FILTER($U$1:$AX$1,
   TRANSPOSE(
    CHOOSE({1;2;3;4;5;6;7;8;9;10;11;12;13;14;15;16;17;18;19;20;21;22;23;24;25;26;27;28;29;30},
     COUNTIFS($U$2:$U$200,$G8)&gt;0,
     COUNTIFS($V$2:$V$200,$G8)&gt;0,
     COUNTIFS($W$2:$W$200,$G8)&gt;0,
     COUNTIFS($X$2:$X$200,$G8)&gt;0,
     COUNTIFS($Y$2:$Y$200,$G8)&gt;0,
     COUNTIFS($Z$2:$Z$200,$G8)&gt;0,
     COUNTIFS($AA$2:$AA$200,$G8)&gt;0,
     COUNTIFS($AB$2:$AB$200,$G8)&gt;0,
     COUNTIFS($AC$2:$AC$200,$G8)&gt;0,
     COUNTIFS($AD$2:$AD$200,$G8)&gt;0,
     COUNTIFS($AE$2:$AE$200,$G8)&gt;0,
     COUNTIFS($AF$2:$AF$200,$G8)&gt;0,
     COUNTIFS($AG$2:$AG$200,$G8)&gt;0,
     COUNTIFS($AH$2:$AH$200,$G8)&gt;0,
     COUNTIFS($AI$2:$AI$200,$G8)&gt;0,
     COUNTIFS($AJ$2:$AJ$200,$G8)&gt;0,
     COUNTIFS($AK$2:$AK$200,$G8)&gt;0,
     COUNTIFS($AL$2:$AL$200,$G8)&gt;0,
     COUNTIFS($AM$2:$AM$200,$G8)&gt;0,
     COUNTIFS($AN$2:$AN$200,$G8)&gt;0,
     COUNTIFS($AO$2:$AO$200,$G8)&gt;0,
     COUNTIFS($AP$2:$AP$200,$G8)&gt;0,
     COUNTIFS($AQ$2:$AQ$200,$G8)&gt;0,
     COUNTIFS($AR$2:$AR$200,$G8)&gt;0,
     COUNTIFS($AS$2:$AS$200,$G8)&gt;0,
     COUNTIFS($AT$2:$AT$200,$G8)&gt;0,
     COUNTIFS($AU$2:$AU$200,$G8)&gt;0,
     COUNTIFS($AV$2:$AV$200,$G8)&gt;0,
     COUNTIFS($AW$2:$AW$200,$G8)&gt;0,
     COUNTIFS($AX$2:$AX$200,$G8)&gt;0
   )),
  ),
  2
 ),
"")</f>
        <v>Arcades</v>
      </c>
      <c r="E8" s="3" t="str" cm="1">
        <f t="array" aca="1" ref="E8" ca="1">IFERROR(
 INDEX(
  _xlfn._xlws.FILTER($U$1:$AX$1,
   TRANSPOSE(
    CHOOSE({1;2;3;4;5;6;7;8;9;10;11;12;13;14;15;16;17;18;19;20;21;22;23;24;25;26;27;28;29;30},
     COUNTIFS($U$2:$U$200,$G8)&gt;0,
     COUNTIFS($V$2:$V$200,$G8)&gt;0,
     COUNTIFS($W$2:$W$200,$G8)&gt;0,
     COUNTIFS($X$2:$X$200,$G8)&gt;0,
     COUNTIFS($Y$2:$Y$200,$G8)&gt;0,
     COUNTIFS($Z$2:$Z$200,$G8)&gt;0,
     COUNTIFS($AA$2:$AA$200,$G8)&gt;0,
     COUNTIFS($AB$2:$AB$200,$G8)&gt;0,
     COUNTIFS($AC$2:$AC$200,$G8)&gt;0,
     COUNTIFS($AD$2:$AD$200,$G8)&gt;0,
     COUNTIFS($AE$2:$AE$200,$G8)&gt;0,
     COUNTIFS($AF$2:$AF$200,$G8)&gt;0,
     COUNTIFS($AG$2:$AG$200,$G8)&gt;0,
     COUNTIFS($AH$2:$AH$200,$G8)&gt;0,
     COUNTIFS($AI$2:$AI$200,$G8)&gt;0,
     COUNTIFS($AJ$2:$AJ$200,$G8)&gt;0,
     COUNTIFS($AK$2:$AK$200,$G8)&gt;0,
     COUNTIFS($AL$2:$AL$200,$G8)&gt;0,
     COUNTIFS($AM$2:$AM$200,$G8)&gt;0,
     COUNTIFS($AN$2:$AN$200,$G8)&gt;0,
     COUNTIFS($AO$2:$AO$200,$G8)&gt;0,
     COUNTIFS($AP$2:$AP$200,$G8)&gt;0,
     COUNTIFS($AQ$2:$AQ$200,$G8)&gt;0,
     COUNTIFS($AR$2:$AR$200,$G8)&gt;0,
     COUNTIFS($AS$2:$AS$200,$G8)&gt;0,
     COUNTIFS($AT$2:$AT$200,$G8)&gt;0,
     COUNTIFS($AU$2:$AU$200,$G8)&gt;0,
     COUNTIFS($AV$2:$AV$200,$G8)&gt;0,
     COUNTIFS($AW$2:$AW$200,$G8)&gt;0,
     COUNTIFS($AX$2:$AX$200,$G8)&gt;0
   )),
  ),
  3
 ),
"")</f>
        <v/>
      </c>
      <c r="F8" s="3" t="str" cm="1">
        <f t="array" aca="1" ref="F8" ca="1">IFERROR(
 INDEX(
  _xlfn._xlws.FILTER($U$1:$AX$1,
   TRANSPOSE(
    CHOOSE({1;2;3;4;5;6;7;8;9;10;11;12;13;14;15;16;17;18;19;20;21;22;23;24;25;26;27;28;29;30},
     COUNTIFS($U$2:$U$200,$G8)&gt;0,
     COUNTIFS($V$2:$V$200,$G8)&gt;0,
     COUNTIFS($W$2:$W$200,$G8)&gt;0,
     COUNTIFS($X$2:$X$200,$G8)&gt;0,
     COUNTIFS($Y$2:$Y$200,$G8)&gt;0,
     COUNTIFS($Z$2:$Z$200,$G8)&gt;0,
     COUNTIFS($AA$2:$AA$200,$G8)&gt;0,
     COUNTIFS($AB$2:$AB$200,$G8)&gt;0,
     COUNTIFS($AC$2:$AC$200,$G8)&gt;0,
     COUNTIFS($AD$2:$AD$200,$G8)&gt;0,
     COUNTIFS($AE$2:$AE$200,$G8)&gt;0,
     COUNTIFS($AF$2:$AF$200,$G8)&gt;0,
     COUNTIFS($AG$2:$AG$200,$G8)&gt;0,
     COUNTIFS($AH$2:$AH$200,$G8)&gt;0,
     COUNTIFS($AI$2:$AI$200,$G8)&gt;0,
     COUNTIFS($AJ$2:$AJ$200,$G8)&gt;0,
     COUNTIFS($AK$2:$AK$200,$G8)&gt;0,
     COUNTIFS($AL$2:$AL$200,$G8)&gt;0,
     COUNTIFS($AM$2:$AM$200,$G8)&gt;0,
     COUNTIFS($AN$2:$AN$200,$G8)&gt;0,
     COUNTIFS($AO$2:$AO$200,$G8)&gt;0,
     COUNTIFS($AP$2:$AP$200,$G8)&gt;0,
     COUNTIFS($AQ$2:$AQ$200,$G8)&gt;0,
     COUNTIFS($AR$2:$AR$200,$G8)&gt;0,
     COUNTIFS($AS$2:$AS$200,$G8)&gt;0,
     COUNTIFS($AT$2:$AT$200,$G8)&gt;0,
     COUNTIFS($AU$2:$AU$200,$G8)&gt;0,
     COUNTIFS($AV$2:$AV$200,$G8)&gt;0,
     COUNTIFS($AW$2:$AW$200,$G8)&gt;0,
     COUNTIFS($AX$2:$AX$200,$G8)&gt;0
   )),
  ),
  4
 ),
"")</f>
        <v/>
      </c>
      <c r="G8" t="str">
        <f ca="1"/>
        <v>Alchemist's Refuge</v>
      </c>
      <c r="I8" t="s">
        <v>1837</v>
      </c>
      <c r="J8" s="3">
        <f>Rani!G2</f>
        <v>19</v>
      </c>
      <c r="K8" s="3" t="s">
        <v>2088</v>
      </c>
      <c r="L8" s="3" t="s">
        <v>2087</v>
      </c>
      <c r="M8" s="3" t="s">
        <v>2087</v>
      </c>
      <c r="N8" s="3" t="s">
        <v>2087</v>
      </c>
      <c r="O8" s="3" t="s">
        <v>2088</v>
      </c>
      <c r="P8" s="3" t="s">
        <v>753</v>
      </c>
      <c r="Q8" s="3" t="s">
        <v>2139</v>
      </c>
      <c r="R8" s="3" t="s">
        <v>2150</v>
      </c>
      <c r="S8" s="3" t="str">
        <f t="shared" si="2"/>
        <v>2</v>
      </c>
      <c r="U8" t="str">
        <v>Emberwilde Captain</v>
      </c>
      <c r="V8" t="str">
        <v>Champions from Beyond</v>
      </c>
      <c r="W8" t="str">
        <v>Incendiary Command</v>
      </c>
      <c r="X8" t="str">
        <v>Champion of Lambholt</v>
      </c>
      <c r="Y8" t="str">
        <v>Guia das Almas</v>
      </c>
      <c r="Z8" t="str">
        <v>Equilíbrio de Poderes</v>
      </c>
      <c r="AA8" t="str">
        <v>Lord of Atlantis</v>
      </c>
      <c r="AB8" t="str">
        <v>Misty Rainforest</v>
      </c>
      <c r="AC8" t="str">
        <v>The Tenth Doctor</v>
      </c>
      <c r="AD8" t="str">
        <v>Petrified Field</v>
      </c>
      <c r="AE8" t="str">
        <v>Mirrex</v>
      </c>
      <c r="AF8" t="str">
        <v>Polluted Delta</v>
      </c>
      <c r="AG8" t="str">
        <v>Sea Gate Restoration</v>
      </c>
      <c r="AH8" t="str">
        <v>Merchant of Secrets</v>
      </c>
      <c r="AI8" t="str">
        <v>Espada de Verdade e Justiça</v>
      </c>
      <c r="AJ8" t="str">
        <v>Nicol Bolas, God-Pharaoh</v>
      </c>
      <c r="AN8" t="str">
        <v>Trioma de Raugrin</v>
      </c>
      <c r="AO8" t="str">
        <v>Sokenzan, Crisol da Afronta</v>
      </c>
      <c r="AP8" t="str">
        <v>Unstoppable Plan</v>
      </c>
      <c r="AQ8" t="str">
        <v>Red XIII, Proud Warrior</v>
      </c>
      <c r="AX8" t="str">
        <v>Arcbound Javelineer</v>
      </c>
      <c r="AZ8" t="str">
        <f ca="1"/>
        <v>Entomb</v>
      </c>
      <c r="BA8" t="str">
        <f ca="1"/>
        <v>Gerrard's Hourglass Pendant</v>
      </c>
      <c r="BB8" t="str">
        <f ca="1"/>
        <v>Lagoa Espelhada</v>
      </c>
      <c r="BC8" t="str">
        <f ca="1"/>
        <v>Drowned Catacomb</v>
      </c>
      <c r="BD8" t="str">
        <f ca="1"/>
        <v>Diário de Tarrian</v>
      </c>
      <c r="BE8" t="str">
        <f ca="1"/>
        <v>Espada da Riqueza e do Poder</v>
      </c>
      <c r="BF8" t="str">
        <f ca="1"/>
        <v>Drowned Catacomb</v>
      </c>
      <c r="BG8" t="str">
        <f ca="1"/>
        <v>Clifftop Retreat</v>
      </c>
      <c r="BH8" t="str">
        <f ca="1"/>
        <v>Brushland</v>
      </c>
      <c r="BI8" t="str">
        <f ca="1"/>
        <v>Arcbound Javelineer</v>
      </c>
      <c r="BK8" t="str">
        <f ca="1"/>
        <v>Chimil, o Sol Interior</v>
      </c>
      <c r="BL8" t="str">
        <f ca="1"/>
        <v>Baral, Chief of Compliance</v>
      </c>
      <c r="BM8" t="str">
        <f ca="1"/>
        <v>Burnt Offering</v>
      </c>
      <c r="BN8" t="str">
        <f ca="1"/>
        <v>Bojuka Bog</v>
      </c>
      <c r="BO8" t="str">
        <f ca="1"/>
        <v>Arcbound Javelineer</v>
      </c>
      <c r="BQ8" t="str">
        <f ca="1"/>
        <v>Ancient Tomb</v>
      </c>
      <c r="BR8" t="str">
        <f ca="1"/>
        <v>Ascensão do Avernus</v>
      </c>
      <c r="BT8" t="str">
        <f ca="1"/>
        <v>Alchemist's Refuge</v>
      </c>
    </row>
    <row r="9" spans="1:72" x14ac:dyDescent="0.25">
      <c r="A9" s="3" t="str">
        <f t="shared" ca="1" si="0"/>
        <v>2</v>
      </c>
      <c r="B9" s="3">
        <f t="shared" ca="1" si="1"/>
        <v>1</v>
      </c>
      <c r="C9" s="3" t="str">
        <f ca="1">IFERROR(
 INDEX($U$1:$AX$1,
  MATCH(TRUE,
   CHOOSE({1;2;3;4;5;6;7;8;9;10;11;12;13;14;15;16;17;18;19;20;21;22;23;24;25;26;27;28;29;30;31;32},
    COUNTIFS($U$2:$U$200,$G9)&gt;0,
    COUNTIFS($V$2:$V$200,$G9)&gt;0,
    COUNTIFS($W$2:$W$200,$G9)&gt;0,
    COUNTIFS($X$2:$X$200,$G9)&gt;0,
    COUNTIFS($Y$2:$Y$200,$G9)&gt;0,
    COUNTIFS($Z$2:$Z$200,$G9)&gt;0,
    COUNTIFS($AA$2:$AA$200,$G9)&gt;0,
    COUNTIFS($AB$2:$AB$200,$G9)&gt;0,
    COUNTIFS($AC$2:$AC$200,$G9)&gt;0,
    COUNTIFS($AD$2:$AD$200,$G9)&gt;0,
    COUNTIFS($AE$2:$AE$200,$G9)&gt;0,
    COUNTIFS($AF$2:$AF$200,$G9)&gt;0,
    COUNTIFS($AG$2:$AG$200,$G9)&gt;0,
    COUNTIFS($AH$2:$AH$200,$G9)&gt;0,
    COUNTIFS($AI$2:$AI$200,$G9)&gt;0,
    COUNTIFS($AJ$2:$AJ$200,$G9)&gt;0,
    COUNTIFS($AK$2:$AK$200,$G9)&gt;0,
    COUNTIFS($AL$2:$AL$200,$G9)&gt;0,
    COUNTIFS($AM$2:$AM$200,$G9)&gt;0,
    COUNTIFS($AN$2:$AN$200,$G9)&gt;0,
    COUNTIFS($AO$2:$AO$200,$G9)&gt;0,
    COUNTIFS($AP$2:$AP$200,$G9)&gt;0,
    COUNTIFS($AQ$2:$AQ$200,$G9)&gt;0,
    COUNTIFS($AR$2:$AR$200,$G9)&gt;0,
    COUNTIFS($AS$2:$AS$200,$G9)&gt;0,
    COUNTIFS($AT$2:$AT$200,$G9)&gt;0,
    COUNTIFS($AU$2:$AU$200,$G9)&gt;0,
    COUNTIFS($AV$2:$AV$200,$G9)&gt;0,
    COUNTIFS($AW$2:$AW$200,$G9)&gt;0,
    COUNTIFS($AX$2:$AX$200,$G9)&gt;0
   ),
  0)
 ),
"")</f>
        <v>Narset</v>
      </c>
      <c r="D9" s="3" t="str" cm="1">
        <f t="array" aca="1" ref="D9" ca="1">IFERROR(
 INDEX(
  _xlfn._xlws.FILTER($U$1:$AX$1,
   TRANSPOSE(
    CHOOSE({1;2;3;4;5;6;7;8;9;10;11;12;13;14;15;16;17;18;19;20;21;22;23;24;25;26;27;28;29;30},
     COUNTIFS($U$2:$U$200,$G9)&gt;0,
     COUNTIFS($V$2:$V$200,$G9)&gt;0,
     COUNTIFS($W$2:$W$200,$G9)&gt;0,
     COUNTIFS($X$2:$X$200,$G9)&gt;0,
     COUNTIFS($Y$2:$Y$200,$G9)&gt;0,
     COUNTIFS($Z$2:$Z$200,$G9)&gt;0,
     COUNTIFS($AA$2:$AA$200,$G9)&gt;0,
     COUNTIFS($AB$2:$AB$200,$G9)&gt;0,
     COUNTIFS($AC$2:$AC$200,$G9)&gt;0,
     COUNTIFS($AD$2:$AD$200,$G9)&gt;0,
     COUNTIFS($AE$2:$AE$200,$G9)&gt;0,
     COUNTIFS($AF$2:$AF$200,$G9)&gt;0,
     COUNTIFS($AG$2:$AG$200,$G9)&gt;0,
     COUNTIFS($AH$2:$AH$200,$G9)&gt;0,
     COUNTIFS($AI$2:$AI$200,$G9)&gt;0,
     COUNTIFS($AJ$2:$AJ$200,$G9)&gt;0,
     COUNTIFS($AK$2:$AK$200,$G9)&gt;0,
     COUNTIFS($AL$2:$AL$200,$G9)&gt;0,
     COUNTIFS($AM$2:$AM$200,$G9)&gt;0,
     COUNTIFS($AN$2:$AN$200,$G9)&gt;0,
     COUNTIFS($AO$2:$AO$200,$G9)&gt;0,
     COUNTIFS($AP$2:$AP$200,$G9)&gt;0,
     COUNTIFS($AQ$2:$AQ$200,$G9)&gt;0,
     COUNTIFS($AR$2:$AR$200,$G9)&gt;0,
     COUNTIFS($AS$2:$AS$200,$G9)&gt;0,
     COUNTIFS($AT$2:$AT$200,$G9)&gt;0,
     COUNTIFS($AU$2:$AU$200,$G9)&gt;0,
     COUNTIFS($AV$2:$AV$200,$G9)&gt;0,
     COUNTIFS($AW$2:$AW$200,$G9)&gt;0,
     COUNTIFS($AX$2:$AX$200,$G9)&gt;0
   )),
  ),
  2
 ),
"")</f>
        <v/>
      </c>
      <c r="E9" s="3" t="str" cm="1">
        <f t="array" aca="1" ref="E9" ca="1">IFERROR(
 INDEX(
  _xlfn._xlws.FILTER($U$1:$AX$1,
   TRANSPOSE(
    CHOOSE({1;2;3;4;5;6;7;8;9;10;11;12;13;14;15;16;17;18;19;20;21;22;23;24;25;26;27;28;29;30},
     COUNTIFS($U$2:$U$200,$G9)&gt;0,
     COUNTIFS($V$2:$V$200,$G9)&gt;0,
     COUNTIFS($W$2:$W$200,$G9)&gt;0,
     COUNTIFS($X$2:$X$200,$G9)&gt;0,
     COUNTIFS($Y$2:$Y$200,$G9)&gt;0,
     COUNTIFS($Z$2:$Z$200,$G9)&gt;0,
     COUNTIFS($AA$2:$AA$200,$G9)&gt;0,
     COUNTIFS($AB$2:$AB$200,$G9)&gt;0,
     COUNTIFS($AC$2:$AC$200,$G9)&gt;0,
     COUNTIFS($AD$2:$AD$200,$G9)&gt;0,
     COUNTIFS($AE$2:$AE$200,$G9)&gt;0,
     COUNTIFS($AF$2:$AF$200,$G9)&gt;0,
     COUNTIFS($AG$2:$AG$200,$G9)&gt;0,
     COUNTIFS($AH$2:$AH$200,$G9)&gt;0,
     COUNTIFS($AI$2:$AI$200,$G9)&gt;0,
     COUNTIFS($AJ$2:$AJ$200,$G9)&gt;0,
     COUNTIFS($AK$2:$AK$200,$G9)&gt;0,
     COUNTIFS($AL$2:$AL$200,$G9)&gt;0,
     COUNTIFS($AM$2:$AM$200,$G9)&gt;0,
     COUNTIFS($AN$2:$AN$200,$G9)&gt;0,
     COUNTIFS($AO$2:$AO$200,$G9)&gt;0,
     COUNTIFS($AP$2:$AP$200,$G9)&gt;0,
     COUNTIFS($AQ$2:$AQ$200,$G9)&gt;0,
     COUNTIFS($AR$2:$AR$200,$G9)&gt;0,
     COUNTIFS($AS$2:$AS$200,$G9)&gt;0,
     COUNTIFS($AT$2:$AT$200,$G9)&gt;0,
     COUNTIFS($AU$2:$AU$200,$G9)&gt;0,
     COUNTIFS($AV$2:$AV$200,$G9)&gt;0,
     COUNTIFS($AW$2:$AW$200,$G9)&gt;0,
     COUNTIFS($AX$2:$AX$200,$G9)&gt;0
   )),
  ),
  3
 ),
"")</f>
        <v/>
      </c>
      <c r="F9" s="3" t="str" cm="1">
        <f t="array" aca="1" ref="F9" ca="1">IFERROR(
 INDEX(
  _xlfn._xlws.FILTER($U$1:$AX$1,
   TRANSPOSE(
    CHOOSE({1;2;3;4;5;6;7;8;9;10;11;12;13;14;15;16;17;18;19;20;21;22;23;24;25;26;27;28;29;30},
     COUNTIFS($U$2:$U$200,$G9)&gt;0,
     COUNTIFS($V$2:$V$200,$G9)&gt;0,
     COUNTIFS($W$2:$W$200,$G9)&gt;0,
     COUNTIFS($X$2:$X$200,$G9)&gt;0,
     COUNTIFS($Y$2:$Y$200,$G9)&gt;0,
     COUNTIFS($Z$2:$Z$200,$G9)&gt;0,
     COUNTIFS($AA$2:$AA$200,$G9)&gt;0,
     COUNTIFS($AB$2:$AB$200,$G9)&gt;0,
     COUNTIFS($AC$2:$AC$200,$G9)&gt;0,
     COUNTIFS($AD$2:$AD$200,$G9)&gt;0,
     COUNTIFS($AE$2:$AE$200,$G9)&gt;0,
     COUNTIFS($AF$2:$AF$200,$G9)&gt;0,
     COUNTIFS($AG$2:$AG$200,$G9)&gt;0,
     COUNTIFS($AH$2:$AH$200,$G9)&gt;0,
     COUNTIFS($AI$2:$AI$200,$G9)&gt;0,
     COUNTIFS($AJ$2:$AJ$200,$G9)&gt;0,
     COUNTIFS($AK$2:$AK$200,$G9)&gt;0,
     COUNTIFS($AL$2:$AL$200,$G9)&gt;0,
     COUNTIFS($AM$2:$AM$200,$G9)&gt;0,
     COUNTIFS($AN$2:$AN$200,$G9)&gt;0,
     COUNTIFS($AO$2:$AO$200,$G9)&gt;0,
     COUNTIFS($AP$2:$AP$200,$G9)&gt;0,
     COUNTIFS($AQ$2:$AQ$200,$G9)&gt;0,
     COUNTIFS($AR$2:$AR$200,$G9)&gt;0,
     COUNTIFS($AS$2:$AS$200,$G9)&gt;0,
     COUNTIFS($AT$2:$AT$200,$G9)&gt;0,
     COUNTIFS($AU$2:$AU$200,$G9)&gt;0,
     COUNTIFS($AV$2:$AV$200,$G9)&gt;0,
     COUNTIFS($AW$2:$AW$200,$G9)&gt;0,
     COUNTIFS($AX$2:$AX$200,$G9)&gt;0
   )),
  ),
  4
 ),
"")</f>
        <v/>
      </c>
      <c r="G9" t="str">
        <f ca="1"/>
        <v>Aligned Heart</v>
      </c>
      <c r="I9" t="s">
        <v>55</v>
      </c>
      <c r="J9" s="3">
        <f>Kumena!G2</f>
        <v>21</v>
      </c>
      <c r="K9" s="3" t="s">
        <v>2088</v>
      </c>
      <c r="L9" s="3" t="s">
        <v>2087</v>
      </c>
      <c r="M9" s="3" t="s">
        <v>2088</v>
      </c>
      <c r="N9" s="3" t="s">
        <v>2088</v>
      </c>
      <c r="O9" s="3" t="s">
        <v>2087</v>
      </c>
      <c r="P9" s="3" t="s">
        <v>753</v>
      </c>
      <c r="Q9" s="3" t="s">
        <v>2139</v>
      </c>
      <c r="R9" s="3" t="s">
        <v>2151</v>
      </c>
      <c r="S9" s="3" t="str">
        <f t="shared" si="2"/>
        <v>2</v>
      </c>
      <c r="U9" t="str">
        <v>Fabled Passage</v>
      </c>
      <c r="V9" t="str">
        <v>Cinder Glade</v>
      </c>
      <c r="W9" t="str">
        <v>Irenicus's Vile Duplication</v>
      </c>
      <c r="X9" t="str">
        <v>Conclave Mentor</v>
      </c>
      <c r="Y9" t="str">
        <v>Hierofante de Elenda</v>
      </c>
      <c r="Z9" t="str">
        <v>Fellwar Stone</v>
      </c>
      <c r="AA9" t="str">
        <v>Lullmage Mentor</v>
      </c>
      <c r="AB9" t="str">
        <v>Scalding Tarn</v>
      </c>
      <c r="AC9" t="str">
        <v>Thought Vessel</v>
      </c>
      <c r="AD9" t="str">
        <v>Phyrexian Tower</v>
      </c>
      <c r="AE9" t="str">
        <v>Portal to Phyrexia</v>
      </c>
      <c r="AF9" t="str">
        <v>Prismatic Strands</v>
      </c>
      <c r="AG9" t="str">
        <v>Shizo, Death's Storehouse</v>
      </c>
      <c r="AH9" t="str">
        <v>Mistbind Clique</v>
      </c>
      <c r="AI9" t="str">
        <v>Firion, Wild Rose Warrior</v>
      </c>
      <c r="AJ9" t="str">
        <v>O Dínamo Peregrino</v>
      </c>
      <c r="AN9" t="str">
        <v>Trioma de Zagoth</v>
      </c>
      <c r="AQ9" t="str">
        <v>Saqueador Amaldiçoado</v>
      </c>
      <c r="AX9" t="str">
        <v>Arcbound Mouser</v>
      </c>
      <c r="AZ9" t="str">
        <f ca="1"/>
        <v>Evendo, Waking Haven</v>
      </c>
      <c r="BA9" t="str">
        <f ca="1"/>
        <v>Inventors' Fair</v>
      </c>
      <c r="BB9" t="str">
        <f ca="1"/>
        <v>Ojer Pakpatiq, Era Profunda</v>
      </c>
      <c r="BC9" t="str">
        <f ca="1"/>
        <v>Emergency Eject</v>
      </c>
      <c r="BD9" t="str">
        <f ca="1"/>
        <v>Dour Port-Mage</v>
      </c>
      <c r="BE9" t="str">
        <f ca="1"/>
        <v>Espada de Banquete e Fome</v>
      </c>
      <c r="BF9" t="str">
        <f ca="1"/>
        <v>Dúplice Debochada</v>
      </c>
      <c r="BG9" t="str">
        <f ca="1"/>
        <v>Deeproot Historian</v>
      </c>
      <c r="BH9" t="str">
        <f ca="1"/>
        <v>Bulwark Ox</v>
      </c>
      <c r="BI9" t="str">
        <f ca="1"/>
        <v>Arcbound Mouser</v>
      </c>
      <c r="BK9" t="str">
        <f ca="1"/>
        <v>Crisol dos Mundos</v>
      </c>
      <c r="BL9" t="str">
        <f ca="1"/>
        <v>Batwing Brume</v>
      </c>
      <c r="BM9" t="str">
        <f ca="1"/>
        <v>Chandra's Ignition</v>
      </c>
      <c r="BN9" t="str">
        <f ca="1"/>
        <v>Call to the Kindred</v>
      </c>
      <c r="BO9" t="str">
        <f ca="1"/>
        <v>Arcbound Mouser</v>
      </c>
      <c r="BQ9" t="str">
        <f ca="1"/>
        <v>Árbitro Silencioso</v>
      </c>
      <c r="BR9" t="str">
        <f ca="1"/>
        <v>Autoridade dos Cônsules</v>
      </c>
      <c r="BT9" t="str">
        <f ca="1"/>
        <v>Aligned Heart</v>
      </c>
    </row>
    <row r="10" spans="1:72" x14ac:dyDescent="0.25">
      <c r="A10" s="3" t="str">
        <f t="shared" ca="1" si="0"/>
        <v>3</v>
      </c>
      <c r="B10" s="3">
        <f t="shared" ca="1" si="1"/>
        <v>1</v>
      </c>
      <c r="C10" s="3" t="str">
        <f ca="1">IFERROR(
 INDEX($U$1:$AX$1,
  MATCH(TRUE,
   CHOOSE({1;2;3;4;5;6;7;8;9;10;11;12;13;14;15;16;17;18;19;20;21;22;23;24;25;26;27;28;29;30;31;32},
    COUNTIFS($U$2:$U$200,$G10)&gt;0,
    COUNTIFS($V$2:$V$200,$G10)&gt;0,
    COUNTIFS($W$2:$W$200,$G10)&gt;0,
    COUNTIFS($X$2:$X$200,$G10)&gt;0,
    COUNTIFS($Y$2:$Y$200,$G10)&gt;0,
    COUNTIFS($Z$2:$Z$200,$G10)&gt;0,
    COUNTIFS($AA$2:$AA$200,$G10)&gt;0,
    COUNTIFS($AB$2:$AB$200,$G10)&gt;0,
    COUNTIFS($AC$2:$AC$200,$G10)&gt;0,
    COUNTIFS($AD$2:$AD$200,$G10)&gt;0,
    COUNTIFS($AE$2:$AE$200,$G10)&gt;0,
    COUNTIFS($AF$2:$AF$200,$G10)&gt;0,
    COUNTIFS($AG$2:$AG$200,$G10)&gt;0,
    COUNTIFS($AH$2:$AH$200,$G10)&gt;0,
    COUNTIFS($AI$2:$AI$200,$G10)&gt;0,
    COUNTIFS($AJ$2:$AJ$200,$G10)&gt;0,
    COUNTIFS($AK$2:$AK$200,$G10)&gt;0,
    COUNTIFS($AL$2:$AL$200,$G10)&gt;0,
    COUNTIFS($AM$2:$AM$200,$G10)&gt;0,
    COUNTIFS($AN$2:$AN$200,$G10)&gt;0,
    COUNTIFS($AO$2:$AO$200,$G10)&gt;0,
    COUNTIFS($AP$2:$AP$200,$G10)&gt;0,
    COUNTIFS($AQ$2:$AQ$200,$G10)&gt;0,
    COUNTIFS($AR$2:$AR$200,$G10)&gt;0,
    COUNTIFS($AS$2:$AS$200,$G10)&gt;0,
    COUNTIFS($AT$2:$AT$200,$G10)&gt;0,
    COUNTIFS($AU$2:$AU$200,$G10)&gt;0,
    COUNTIFS($AV$2:$AV$200,$G10)&gt;0,
    COUNTIFS($AW$2:$AW$200,$G10)&gt;0,
    COUNTIFS($AX$2:$AX$200,$G10)&gt;0
   ),
  0)
 ),
"")</f>
        <v>VialIshai</v>
      </c>
      <c r="D10" s="3" t="str" cm="1">
        <f t="array" aca="1" ref="D10" ca="1">IFERROR(
 INDEX(
  _xlfn._xlws.FILTER($U$1:$AX$1,
   TRANSPOSE(
    CHOOSE({1;2;3;4;5;6;7;8;9;10;11;12;13;14;15;16;17;18;19;20;21;22;23;24;25;26;27;28;29;30},
     COUNTIFS($U$2:$U$200,$G10)&gt;0,
     COUNTIFS($V$2:$V$200,$G10)&gt;0,
     COUNTIFS($W$2:$W$200,$G10)&gt;0,
     COUNTIFS($X$2:$X$200,$G10)&gt;0,
     COUNTIFS($Y$2:$Y$200,$G10)&gt;0,
     COUNTIFS($Z$2:$Z$200,$G10)&gt;0,
     COUNTIFS($AA$2:$AA$200,$G10)&gt;0,
     COUNTIFS($AB$2:$AB$200,$G10)&gt;0,
     COUNTIFS($AC$2:$AC$200,$G10)&gt;0,
     COUNTIFS($AD$2:$AD$200,$G10)&gt;0,
     COUNTIFS($AE$2:$AE$200,$G10)&gt;0,
     COUNTIFS($AF$2:$AF$200,$G10)&gt;0,
     COUNTIFS($AG$2:$AG$200,$G10)&gt;0,
     COUNTIFS($AH$2:$AH$200,$G10)&gt;0,
     COUNTIFS($AI$2:$AI$200,$G10)&gt;0,
     COUNTIFS($AJ$2:$AJ$200,$G10)&gt;0,
     COUNTIFS($AK$2:$AK$200,$G10)&gt;0,
     COUNTIFS($AL$2:$AL$200,$G10)&gt;0,
     COUNTIFS($AM$2:$AM$200,$G10)&gt;0,
     COUNTIFS($AN$2:$AN$200,$G10)&gt;0,
     COUNTIFS($AO$2:$AO$200,$G10)&gt;0,
     COUNTIFS($AP$2:$AP$200,$G10)&gt;0,
     COUNTIFS($AQ$2:$AQ$200,$G10)&gt;0,
     COUNTIFS($AR$2:$AR$200,$G10)&gt;0,
     COUNTIFS($AS$2:$AS$200,$G10)&gt;0,
     COUNTIFS($AT$2:$AT$200,$G10)&gt;0,
     COUNTIFS($AU$2:$AU$200,$G10)&gt;0,
     COUNTIFS($AV$2:$AV$200,$G10)&gt;0,
     COUNTIFS($AW$2:$AW$200,$G10)&gt;0,
     COUNTIFS($AX$2:$AX$200,$G10)&gt;0
   )),
  ),
  2
 ),
"")</f>
        <v/>
      </c>
      <c r="E10" s="3" t="str" cm="1">
        <f t="array" aca="1" ref="E10" ca="1">IFERROR(
 INDEX(
  _xlfn._xlws.FILTER($U$1:$AX$1,
   TRANSPOSE(
    CHOOSE({1;2;3;4;5;6;7;8;9;10;11;12;13;14;15;16;17;18;19;20;21;22;23;24;25;26;27;28;29;30},
     COUNTIFS($U$2:$U$200,$G10)&gt;0,
     COUNTIFS($V$2:$V$200,$G10)&gt;0,
     COUNTIFS($W$2:$W$200,$G10)&gt;0,
     COUNTIFS($X$2:$X$200,$G10)&gt;0,
     COUNTIFS($Y$2:$Y$200,$G10)&gt;0,
     COUNTIFS($Z$2:$Z$200,$G10)&gt;0,
     COUNTIFS($AA$2:$AA$200,$G10)&gt;0,
     COUNTIFS($AB$2:$AB$200,$G10)&gt;0,
     COUNTIFS($AC$2:$AC$200,$G10)&gt;0,
     COUNTIFS($AD$2:$AD$200,$G10)&gt;0,
     COUNTIFS($AE$2:$AE$200,$G10)&gt;0,
     COUNTIFS($AF$2:$AF$200,$G10)&gt;0,
     COUNTIFS($AG$2:$AG$200,$G10)&gt;0,
     COUNTIFS($AH$2:$AH$200,$G10)&gt;0,
     COUNTIFS($AI$2:$AI$200,$G10)&gt;0,
     COUNTIFS($AJ$2:$AJ$200,$G10)&gt;0,
     COUNTIFS($AK$2:$AK$200,$G10)&gt;0,
     COUNTIFS($AL$2:$AL$200,$G10)&gt;0,
     COUNTIFS($AM$2:$AM$200,$G10)&gt;0,
     COUNTIFS($AN$2:$AN$200,$G10)&gt;0,
     COUNTIFS($AO$2:$AO$200,$G10)&gt;0,
     COUNTIFS($AP$2:$AP$200,$G10)&gt;0,
     COUNTIFS($AQ$2:$AQ$200,$G10)&gt;0,
     COUNTIFS($AR$2:$AR$200,$G10)&gt;0,
     COUNTIFS($AS$2:$AS$200,$G10)&gt;0,
     COUNTIFS($AT$2:$AT$200,$G10)&gt;0,
     COUNTIFS($AU$2:$AU$200,$G10)&gt;0,
     COUNTIFS($AV$2:$AV$200,$G10)&gt;0,
     COUNTIFS($AW$2:$AW$200,$G10)&gt;0,
     COUNTIFS($AX$2:$AX$200,$G10)&gt;0
   )),
  ),
  3
 ),
"")</f>
        <v/>
      </c>
      <c r="F10" s="3" t="str" cm="1">
        <f t="array" aca="1" ref="F10" ca="1">IFERROR(
 INDEX(
  _xlfn._xlws.FILTER($U$1:$AX$1,
   TRANSPOSE(
    CHOOSE({1;2;3;4;5;6;7;8;9;10;11;12;13;14;15;16;17;18;19;20;21;22;23;24;25;26;27;28;29;30},
     COUNTIFS($U$2:$U$200,$G10)&gt;0,
     COUNTIFS($V$2:$V$200,$G10)&gt;0,
     COUNTIFS($W$2:$W$200,$G10)&gt;0,
     COUNTIFS($X$2:$X$200,$G10)&gt;0,
     COUNTIFS($Y$2:$Y$200,$G10)&gt;0,
     COUNTIFS($Z$2:$Z$200,$G10)&gt;0,
     COUNTIFS($AA$2:$AA$200,$G10)&gt;0,
     COUNTIFS($AB$2:$AB$200,$G10)&gt;0,
     COUNTIFS($AC$2:$AC$200,$G10)&gt;0,
     COUNTIFS($AD$2:$AD$200,$G10)&gt;0,
     COUNTIFS($AE$2:$AE$200,$G10)&gt;0,
     COUNTIFS($AF$2:$AF$200,$G10)&gt;0,
     COUNTIFS($AG$2:$AG$200,$G10)&gt;0,
     COUNTIFS($AH$2:$AH$200,$G10)&gt;0,
     COUNTIFS($AI$2:$AI$200,$G10)&gt;0,
     COUNTIFS($AJ$2:$AJ$200,$G10)&gt;0,
     COUNTIFS($AK$2:$AK$200,$G10)&gt;0,
     COUNTIFS($AL$2:$AL$200,$G10)&gt;0,
     COUNTIFS($AM$2:$AM$200,$G10)&gt;0,
     COUNTIFS($AN$2:$AN$200,$G10)&gt;0,
     COUNTIFS($AO$2:$AO$200,$G10)&gt;0,
     COUNTIFS($AP$2:$AP$200,$G10)&gt;0,
     COUNTIFS($AQ$2:$AQ$200,$G10)&gt;0,
     COUNTIFS($AR$2:$AR$200,$G10)&gt;0,
     COUNTIFS($AS$2:$AS$200,$G10)&gt;0,
     COUNTIFS($AT$2:$AT$200,$G10)&gt;0,
     COUNTIFS($AU$2:$AU$200,$G10)&gt;0,
     COUNTIFS($AV$2:$AV$200,$G10)&gt;0,
     COUNTIFS($AW$2:$AW$200,$G10)&gt;0,
     COUNTIFS($AX$2:$AX$200,$G10)&gt;0
   )),
  ),
  4
 ),
"")</f>
        <v/>
      </c>
      <c r="G10" t="str">
        <f ca="1"/>
        <v>Amphibian Downpour</v>
      </c>
      <c r="I10" s="22" t="s">
        <v>1660</v>
      </c>
      <c r="J10" s="3">
        <f>Zimone!G2</f>
        <v>13</v>
      </c>
      <c r="K10" s="3" t="s">
        <v>2088</v>
      </c>
      <c r="L10" s="3" t="s">
        <v>2087</v>
      </c>
      <c r="M10" s="3" t="s">
        <v>2088</v>
      </c>
      <c r="N10" s="3" t="s">
        <v>2087</v>
      </c>
      <c r="O10" s="3" t="s">
        <v>2087</v>
      </c>
      <c r="P10" s="3" t="s">
        <v>753</v>
      </c>
      <c r="Q10" s="3" t="s">
        <v>2143</v>
      </c>
      <c r="R10" s="3" t="s">
        <v>2152</v>
      </c>
      <c r="S10" s="3" t="str">
        <f t="shared" si="2"/>
        <v>3</v>
      </c>
      <c r="U10" t="str">
        <v>Forerunner of the Coalition</v>
      </c>
      <c r="V10" t="str">
        <v>Exalted Sunborn</v>
      </c>
      <c r="W10" t="str">
        <v>Jidoor, Aristocratic Capital // Overture</v>
      </c>
      <c r="X10" t="str">
        <v>Deceptive Landscape</v>
      </c>
      <c r="Y10" t="str">
        <v>Keen Duelist</v>
      </c>
      <c r="Z10" t="str">
        <v>Frenzied Gorespawn</v>
      </c>
      <c r="AA10" t="str">
        <v>Merrow Commerce</v>
      </c>
      <c r="AB10" t="str">
        <v>Sothera, the Supervoid</v>
      </c>
      <c r="AC10" t="str">
        <v>Thran Dynamo</v>
      </c>
      <c r="AD10" t="str">
        <v>Ripples of Undeath</v>
      </c>
      <c r="AE10" t="str">
        <v>Rings of Brighthearth</v>
      </c>
      <c r="AF10" t="str">
        <v>Spectator Seating</v>
      </c>
      <c r="AG10" t="str">
        <v>Temporal Manipulation</v>
      </c>
      <c r="AH10" t="str">
        <v>Molten Echoes</v>
      </c>
      <c r="AI10" t="str">
        <v>Jitte Perdida</v>
      </c>
      <c r="AJ10" t="str">
        <v>Oko, Thief of Crowns</v>
      </c>
      <c r="AQ10" t="str">
        <v>The Masamune</v>
      </c>
      <c r="AX10" t="str">
        <v>Arcbound Overseer</v>
      </c>
      <c r="AZ10" t="str">
        <f ca="1"/>
        <v>Hedge Shredder</v>
      </c>
      <c r="BA10" t="str">
        <f ca="1"/>
        <v>Jetmir's Garden</v>
      </c>
      <c r="BB10" t="str">
        <f ca="1"/>
        <v>Olho de Ojer Taq</v>
      </c>
      <c r="BC10" t="str">
        <f ca="1"/>
        <v>Faerie Slumber Party</v>
      </c>
      <c r="BD10" t="str">
        <f ca="1"/>
        <v>Enduring Innocence</v>
      </c>
      <c r="BE10" t="str">
        <f ca="1"/>
        <v>Espada de Fogo e Gelo</v>
      </c>
      <c r="BF10" t="str">
        <f ca="1"/>
        <v>Elspeth, Sun's Champion</v>
      </c>
      <c r="BG10" t="str">
        <f ca="1"/>
        <v>Fabled Passage</v>
      </c>
      <c r="BH10" t="str">
        <f ca="1"/>
        <v>Cankerbloom</v>
      </c>
      <c r="BI10" t="str">
        <f ca="1"/>
        <v>Arcbound Overseer</v>
      </c>
      <c r="BK10" t="str">
        <f ca="1"/>
        <v>Delighted Halfling</v>
      </c>
      <c r="BL10" t="str">
        <f ca="1"/>
        <v>Careful Study</v>
      </c>
      <c r="BM10" t="str">
        <f ca="1"/>
        <v>Cid, Freeflier Pilot</v>
      </c>
      <c r="BN10" t="str">
        <f ca="1"/>
        <v>Clifftop Retreat</v>
      </c>
      <c r="BO10" t="str">
        <f ca="1"/>
        <v>Arcbound Overseer</v>
      </c>
      <c r="BQ10" t="str">
        <f ca="1"/>
        <v>Arid Mesa</v>
      </c>
      <c r="BR10" t="str">
        <f ca="1"/>
        <v>Beast Within</v>
      </c>
      <c r="BT10" t="str">
        <f ca="1"/>
        <v>Amphibian Downpour</v>
      </c>
    </row>
    <row r="11" spans="1:72" x14ac:dyDescent="0.25">
      <c r="A11" s="3" t="str">
        <f t="shared" ca="1" si="0"/>
        <v>1</v>
      </c>
      <c r="B11" s="3">
        <f t="shared" ca="1" si="1"/>
        <v>1</v>
      </c>
      <c r="C11" s="3" t="str">
        <f ca="1">IFERROR(
 INDEX($U$1:$AX$1,
  MATCH(TRUE,
   CHOOSE({1;2;3;4;5;6;7;8;9;10;11;12;13;14;15;16;17;18;19;20;21;22;23;24;25;26;27;28;29;30;31;32},
    COUNTIFS($U$2:$U$200,$G11)&gt;0,
    COUNTIFS($V$2:$V$200,$G11)&gt;0,
    COUNTIFS($W$2:$W$200,$G11)&gt;0,
    COUNTIFS($X$2:$X$200,$G11)&gt;0,
    COUNTIFS($Y$2:$Y$200,$G11)&gt;0,
    COUNTIFS($Z$2:$Z$200,$G11)&gt;0,
    COUNTIFS($AA$2:$AA$200,$G11)&gt;0,
    COUNTIFS($AB$2:$AB$200,$G11)&gt;0,
    COUNTIFS($AC$2:$AC$200,$G11)&gt;0,
    COUNTIFS($AD$2:$AD$200,$G11)&gt;0,
    COUNTIFS($AE$2:$AE$200,$G11)&gt;0,
    COUNTIFS($AF$2:$AF$200,$G11)&gt;0,
    COUNTIFS($AG$2:$AG$200,$G11)&gt;0,
    COUNTIFS($AH$2:$AH$200,$G11)&gt;0,
    COUNTIFS($AI$2:$AI$200,$G11)&gt;0,
    COUNTIFS($AJ$2:$AJ$200,$G11)&gt;0,
    COUNTIFS($AK$2:$AK$200,$G11)&gt;0,
    COUNTIFS($AL$2:$AL$200,$G11)&gt;0,
    COUNTIFS($AM$2:$AM$200,$G11)&gt;0,
    COUNTIFS($AN$2:$AN$200,$G11)&gt;0,
    COUNTIFS($AO$2:$AO$200,$G11)&gt;0,
    COUNTIFS($AP$2:$AP$200,$G11)&gt;0,
    COUNTIFS($AQ$2:$AQ$200,$G11)&gt;0,
    COUNTIFS($AR$2:$AR$200,$G11)&gt;0,
    COUNTIFS($AS$2:$AS$200,$G11)&gt;0,
    COUNTIFS($AT$2:$AT$200,$G11)&gt;0,
    COUNTIFS($AU$2:$AU$200,$G11)&gt;0,
    COUNTIFS($AV$2:$AV$200,$G11)&gt;0,
    COUNTIFS($AW$2:$AW$200,$G11)&gt;0,
    COUNTIFS($AX$2:$AX$200,$G11)&gt;0
   ),
  0)
 ),
"")</f>
        <v>Modular</v>
      </c>
      <c r="D11" s="3" t="str" cm="1">
        <f t="array" aca="1" ref="D11" ca="1">IFERROR(
 INDEX(
  _xlfn._xlws.FILTER($U$1:$AX$1,
   TRANSPOSE(
    CHOOSE({1;2;3;4;5;6;7;8;9;10;11;12;13;14;15;16;17;18;19;20;21;22;23;24;25;26;27;28;29;30},
     COUNTIFS($U$2:$U$200,$G11)&gt;0,
     COUNTIFS($V$2:$V$200,$G11)&gt;0,
     COUNTIFS($W$2:$W$200,$G11)&gt;0,
     COUNTIFS($X$2:$X$200,$G11)&gt;0,
     COUNTIFS($Y$2:$Y$200,$G11)&gt;0,
     COUNTIFS($Z$2:$Z$200,$G11)&gt;0,
     COUNTIFS($AA$2:$AA$200,$G11)&gt;0,
     COUNTIFS($AB$2:$AB$200,$G11)&gt;0,
     COUNTIFS($AC$2:$AC$200,$G11)&gt;0,
     COUNTIFS($AD$2:$AD$200,$G11)&gt;0,
     COUNTIFS($AE$2:$AE$200,$G11)&gt;0,
     COUNTIFS($AF$2:$AF$200,$G11)&gt;0,
     COUNTIFS($AG$2:$AG$200,$G11)&gt;0,
     COUNTIFS($AH$2:$AH$200,$G11)&gt;0,
     COUNTIFS($AI$2:$AI$200,$G11)&gt;0,
     COUNTIFS($AJ$2:$AJ$200,$G11)&gt;0,
     COUNTIFS($AK$2:$AK$200,$G11)&gt;0,
     COUNTIFS($AL$2:$AL$200,$G11)&gt;0,
     COUNTIFS($AM$2:$AM$200,$G11)&gt;0,
     COUNTIFS($AN$2:$AN$200,$G11)&gt;0,
     COUNTIFS($AO$2:$AO$200,$G11)&gt;0,
     COUNTIFS($AP$2:$AP$200,$G11)&gt;0,
     COUNTIFS($AQ$2:$AQ$200,$G11)&gt;0,
     COUNTIFS($AR$2:$AR$200,$G11)&gt;0,
     COUNTIFS($AS$2:$AS$200,$G11)&gt;0,
     COUNTIFS($AT$2:$AT$200,$G11)&gt;0,
     COUNTIFS($AU$2:$AU$200,$G11)&gt;0,
     COUNTIFS($AV$2:$AV$200,$G11)&gt;0,
     COUNTIFS($AW$2:$AW$200,$G11)&gt;0,
     COUNTIFS($AX$2:$AX$200,$G11)&gt;0
   )),
  ),
  2
 ),
"")</f>
        <v/>
      </c>
      <c r="E11" s="3" t="str" cm="1">
        <f t="array" aca="1" ref="E11" ca="1">IFERROR(
 INDEX(
  _xlfn._xlws.FILTER($U$1:$AX$1,
   TRANSPOSE(
    CHOOSE({1;2;3;4;5;6;7;8;9;10;11;12;13;14;15;16;17;18;19;20;21;22;23;24;25;26;27;28;29;30},
     COUNTIFS($U$2:$U$200,$G11)&gt;0,
     COUNTIFS($V$2:$V$200,$G11)&gt;0,
     COUNTIFS($W$2:$W$200,$G11)&gt;0,
     COUNTIFS($X$2:$X$200,$G11)&gt;0,
     COUNTIFS($Y$2:$Y$200,$G11)&gt;0,
     COUNTIFS($Z$2:$Z$200,$G11)&gt;0,
     COUNTIFS($AA$2:$AA$200,$G11)&gt;0,
     COUNTIFS($AB$2:$AB$200,$G11)&gt;0,
     COUNTIFS($AC$2:$AC$200,$G11)&gt;0,
     COUNTIFS($AD$2:$AD$200,$G11)&gt;0,
     COUNTIFS($AE$2:$AE$200,$G11)&gt;0,
     COUNTIFS($AF$2:$AF$200,$G11)&gt;0,
     COUNTIFS($AG$2:$AG$200,$G11)&gt;0,
     COUNTIFS($AH$2:$AH$200,$G11)&gt;0,
     COUNTIFS($AI$2:$AI$200,$G11)&gt;0,
     COUNTIFS($AJ$2:$AJ$200,$G11)&gt;0,
     COUNTIFS($AK$2:$AK$200,$G11)&gt;0,
     COUNTIFS($AL$2:$AL$200,$G11)&gt;0,
     COUNTIFS($AM$2:$AM$200,$G11)&gt;0,
     COUNTIFS($AN$2:$AN$200,$G11)&gt;0,
     COUNTIFS($AO$2:$AO$200,$G11)&gt;0,
     COUNTIFS($AP$2:$AP$200,$G11)&gt;0,
     COUNTIFS($AQ$2:$AQ$200,$G11)&gt;0,
     COUNTIFS($AR$2:$AR$200,$G11)&gt;0,
     COUNTIFS($AS$2:$AS$200,$G11)&gt;0,
     COUNTIFS($AT$2:$AT$200,$G11)&gt;0,
     COUNTIFS($AU$2:$AU$200,$G11)&gt;0,
     COUNTIFS($AV$2:$AV$200,$G11)&gt;0,
     COUNTIFS($AW$2:$AW$200,$G11)&gt;0,
     COUNTIFS($AX$2:$AX$200,$G11)&gt;0
   )),
  ),
  3
 ),
"")</f>
        <v/>
      </c>
      <c r="F11" s="3" t="str" cm="1">
        <f t="array" aca="1" ref="F11" ca="1">IFERROR(
 INDEX(
  _xlfn._xlws.FILTER($U$1:$AX$1,
   TRANSPOSE(
    CHOOSE({1;2;3;4;5;6;7;8;9;10;11;12;13;14;15;16;17;18;19;20;21;22;23;24;25;26;27;28;29;30},
     COUNTIFS($U$2:$U$200,$G11)&gt;0,
     COUNTIFS($V$2:$V$200,$G11)&gt;0,
     COUNTIFS($W$2:$W$200,$G11)&gt;0,
     COUNTIFS($X$2:$X$200,$G11)&gt;0,
     COUNTIFS($Y$2:$Y$200,$G11)&gt;0,
     COUNTIFS($Z$2:$Z$200,$G11)&gt;0,
     COUNTIFS($AA$2:$AA$200,$G11)&gt;0,
     COUNTIFS($AB$2:$AB$200,$G11)&gt;0,
     COUNTIFS($AC$2:$AC$200,$G11)&gt;0,
     COUNTIFS($AD$2:$AD$200,$G11)&gt;0,
     COUNTIFS($AE$2:$AE$200,$G11)&gt;0,
     COUNTIFS($AF$2:$AF$200,$G11)&gt;0,
     COUNTIFS($AG$2:$AG$200,$G11)&gt;0,
     COUNTIFS($AH$2:$AH$200,$G11)&gt;0,
     COUNTIFS($AI$2:$AI$200,$G11)&gt;0,
     COUNTIFS($AJ$2:$AJ$200,$G11)&gt;0,
     COUNTIFS($AK$2:$AK$200,$G11)&gt;0,
     COUNTIFS($AL$2:$AL$200,$G11)&gt;0,
     COUNTIFS($AM$2:$AM$200,$G11)&gt;0,
     COUNTIFS($AN$2:$AN$200,$G11)&gt;0,
     COUNTIFS($AO$2:$AO$200,$G11)&gt;0,
     COUNTIFS($AP$2:$AP$200,$G11)&gt;0,
     COUNTIFS($AQ$2:$AQ$200,$G11)&gt;0,
     COUNTIFS($AR$2:$AR$200,$G11)&gt;0,
     COUNTIFS($AS$2:$AS$200,$G11)&gt;0,
     COUNTIFS($AT$2:$AT$200,$G11)&gt;0,
     COUNTIFS($AU$2:$AU$200,$G11)&gt;0,
     COUNTIFS($AV$2:$AV$200,$G11)&gt;0,
     COUNTIFS($AW$2:$AW$200,$G11)&gt;0,
     COUNTIFS($AX$2:$AX$200,$G11)&gt;0
   )),
  ),
  4
 ),
"")</f>
        <v/>
      </c>
      <c r="G11" t="str">
        <f ca="1"/>
        <v>Ancient Den</v>
      </c>
      <c r="I11" t="s">
        <v>2062</v>
      </c>
      <c r="J11" s="3">
        <f>JhoiraB!G2</f>
        <v>12</v>
      </c>
      <c r="K11" s="3" t="s">
        <v>2088</v>
      </c>
      <c r="L11" s="3" t="s">
        <v>2087</v>
      </c>
      <c r="M11" s="3" t="s">
        <v>2087</v>
      </c>
      <c r="N11" s="3" t="s">
        <v>2088</v>
      </c>
      <c r="O11" s="3" t="s">
        <v>2088</v>
      </c>
      <c r="P11" s="3" t="s">
        <v>335</v>
      </c>
      <c r="Q11" s="28" t="s">
        <v>753</v>
      </c>
      <c r="R11" s="3" t="s">
        <v>2154</v>
      </c>
      <c r="S11" s="3" t="str">
        <f t="shared" si="2"/>
        <v>3</v>
      </c>
      <c r="U11" t="str">
        <v>Glint-Horn Buccaneer</v>
      </c>
      <c r="V11" t="str">
        <v>Farmer Cotton</v>
      </c>
      <c r="W11" t="str">
        <v>Khorvath's Fury</v>
      </c>
      <c r="X11" t="str">
        <v>Dever Além da Morte</v>
      </c>
      <c r="Y11" t="str">
        <v>Mother of runes</v>
      </c>
      <c r="Z11" t="str">
        <v>Gallifrey Council Chamber</v>
      </c>
      <c r="AA11" t="str">
        <v>Merrow Harbinger</v>
      </c>
      <c r="AB11" t="str">
        <v>Teferi's Ageless Insight</v>
      </c>
      <c r="AC11" t="str">
        <v>Ulamog, o Profanador</v>
      </c>
      <c r="AD11" t="str">
        <v>Takenuma, Charco Abandonado</v>
      </c>
      <c r="AE11" t="str">
        <v>Sonic Screwdriver</v>
      </c>
      <c r="AF11" t="str">
        <v>Vontade Dominadora</v>
      </c>
      <c r="AG11" t="str">
        <v>Temporal Trespass</v>
      </c>
      <c r="AH11" t="str">
        <v>Reliquary Tower</v>
      </c>
      <c r="AI11" t="str">
        <v>Kellan, the Fae-Blooded // Birthright Boon</v>
      </c>
      <c r="AJ11" t="str">
        <v>Ripples of Potential</v>
      </c>
      <c r="AX11" t="str">
        <v>Arcbound Ravager</v>
      </c>
      <c r="AZ11" t="str">
        <f ca="1"/>
        <v>Matoya, Archon Elder</v>
      </c>
      <c r="BA11" t="str">
        <f ca="1"/>
        <v>Mirrex</v>
      </c>
      <c r="BB11" t="str">
        <f ca="1"/>
        <v>Renewed Solidarity</v>
      </c>
      <c r="BC11" t="str">
        <f ca="1"/>
        <v>Homeward Path</v>
      </c>
      <c r="BD11" t="str">
        <f ca="1"/>
        <v>Exemplar of Light</v>
      </c>
      <c r="BE11" t="str">
        <f ca="1"/>
        <v>Espada de Luz e Sombra</v>
      </c>
      <c r="BF11" t="str">
        <f ca="1"/>
        <v>Equilíbrio de Poderes</v>
      </c>
      <c r="BG11" t="str">
        <f ca="1"/>
        <v>Full Throttle</v>
      </c>
      <c r="BH11" t="str">
        <f ca="1"/>
        <v>Canopy Vista</v>
      </c>
      <c r="BI11" t="str">
        <f ca="1"/>
        <v>Arcbound Ravager</v>
      </c>
      <c r="BK11" t="str">
        <f ca="1"/>
        <v>Dionus, Elvish Archdruid</v>
      </c>
      <c r="BL11" t="str">
        <f ca="1"/>
        <v>Chronomantic Escape</v>
      </c>
      <c r="BM11" t="str">
        <f ca="1"/>
        <v>Cloud, Midgar Mercenary</v>
      </c>
      <c r="BN11" t="str">
        <f ca="1"/>
        <v>Commodore Guff</v>
      </c>
      <c r="BO11" t="str">
        <f ca="1"/>
        <v>Arcbound Ravager</v>
      </c>
      <c r="BQ11" t="str">
        <f ca="1"/>
        <v>Baral, Chief of Compliance</v>
      </c>
      <c r="BR11" t="str">
        <f ca="1"/>
        <v>Bloodstained Mire</v>
      </c>
      <c r="BT11" t="str">
        <f ca="1"/>
        <v>Ancient Greenwarden</v>
      </c>
    </row>
    <row r="12" spans="1:72" x14ac:dyDescent="0.25">
      <c r="A12" s="3" t="str">
        <f t="shared" ca="1" si="0"/>
        <v>3</v>
      </c>
      <c r="B12" s="3">
        <f t="shared" ca="1" si="1"/>
        <v>1</v>
      </c>
      <c r="C12" s="3" t="str">
        <f ca="1">IFERROR(
 INDEX($U$1:$AX$1,
  MATCH(TRUE,
   CHOOSE({1;2;3;4;5;6;7;8;9;10;11;12;13;14;15;16;17;18;19;20;21;22;23;24;25;26;27;28;29;30;31;32},
    COUNTIFS($U$2:$U$200,$G12)&gt;0,
    COUNTIFS($V$2:$V$200,$G12)&gt;0,
    COUNTIFS($W$2:$W$200,$G12)&gt;0,
    COUNTIFS($X$2:$X$200,$G12)&gt;0,
    COUNTIFS($Y$2:$Y$200,$G12)&gt;0,
    COUNTIFS($Z$2:$Z$200,$G12)&gt;0,
    COUNTIFS($AA$2:$AA$200,$G12)&gt;0,
    COUNTIFS($AB$2:$AB$200,$G12)&gt;0,
    COUNTIFS($AC$2:$AC$200,$G12)&gt;0,
    COUNTIFS($AD$2:$AD$200,$G12)&gt;0,
    COUNTIFS($AE$2:$AE$200,$G12)&gt;0,
    COUNTIFS($AF$2:$AF$200,$G12)&gt;0,
    COUNTIFS($AG$2:$AG$200,$G12)&gt;0,
    COUNTIFS($AH$2:$AH$200,$G12)&gt;0,
    COUNTIFS($AI$2:$AI$200,$G12)&gt;0,
    COUNTIFS($AJ$2:$AJ$200,$G12)&gt;0,
    COUNTIFS($AK$2:$AK$200,$G12)&gt;0,
    COUNTIFS($AL$2:$AL$200,$G12)&gt;0,
    COUNTIFS($AM$2:$AM$200,$G12)&gt;0,
    COUNTIFS($AN$2:$AN$200,$G12)&gt;0,
    COUNTIFS($AO$2:$AO$200,$G12)&gt;0,
    COUNTIFS($AP$2:$AP$200,$G12)&gt;0,
    COUNTIFS($AQ$2:$AQ$200,$G12)&gt;0,
    COUNTIFS($AR$2:$AR$200,$G12)&gt;0,
    COUNTIFS($AS$2:$AS$200,$G12)&gt;0,
    COUNTIFS($AT$2:$AT$200,$G12)&gt;0,
    COUNTIFS($AU$2:$AU$200,$G12)&gt;0,
    COUNTIFS($AV$2:$AV$200,$G12)&gt;0,
    COUNTIFS($AW$2:$AW$200,$G12)&gt;0,
    COUNTIFS($AX$2:$AX$200,$G12)&gt;0
   ),
  0)
 ),
"")</f>
        <v>Zimone</v>
      </c>
      <c r="D12" s="3" t="str" cm="1">
        <f t="array" aca="1" ref="D12" ca="1">IFERROR(
 INDEX(
  _xlfn._xlws.FILTER($U$1:$AX$1,
   TRANSPOSE(
    CHOOSE({1;2;3;4;5;6;7;8;9;10;11;12;13;14;15;16;17;18;19;20;21;22;23;24;25;26;27;28;29;30},
     COUNTIFS($U$2:$U$200,$G12)&gt;0,
     COUNTIFS($V$2:$V$200,$G12)&gt;0,
     COUNTIFS($W$2:$W$200,$G12)&gt;0,
     COUNTIFS($X$2:$X$200,$G12)&gt;0,
     COUNTIFS($Y$2:$Y$200,$G12)&gt;0,
     COUNTIFS($Z$2:$Z$200,$G12)&gt;0,
     COUNTIFS($AA$2:$AA$200,$G12)&gt;0,
     COUNTIFS($AB$2:$AB$200,$G12)&gt;0,
     COUNTIFS($AC$2:$AC$200,$G12)&gt;0,
     COUNTIFS($AD$2:$AD$200,$G12)&gt;0,
     COUNTIFS($AE$2:$AE$200,$G12)&gt;0,
     COUNTIFS($AF$2:$AF$200,$G12)&gt;0,
     COUNTIFS($AG$2:$AG$200,$G12)&gt;0,
     COUNTIFS($AH$2:$AH$200,$G12)&gt;0,
     COUNTIFS($AI$2:$AI$200,$G12)&gt;0,
     COUNTIFS($AJ$2:$AJ$200,$G12)&gt;0,
     COUNTIFS($AK$2:$AK$200,$G12)&gt;0,
     COUNTIFS($AL$2:$AL$200,$G12)&gt;0,
     COUNTIFS($AM$2:$AM$200,$G12)&gt;0,
     COUNTIFS($AN$2:$AN$200,$G12)&gt;0,
     COUNTIFS($AO$2:$AO$200,$G12)&gt;0,
     COUNTIFS($AP$2:$AP$200,$G12)&gt;0,
     COUNTIFS($AQ$2:$AQ$200,$G12)&gt;0,
     COUNTIFS($AR$2:$AR$200,$G12)&gt;0,
     COUNTIFS($AS$2:$AS$200,$G12)&gt;0,
     COUNTIFS($AT$2:$AT$200,$G12)&gt;0,
     COUNTIFS($AU$2:$AU$200,$G12)&gt;0,
     COUNTIFS($AV$2:$AV$200,$G12)&gt;0,
     COUNTIFS($AW$2:$AW$200,$G12)&gt;0,
     COUNTIFS($AX$2:$AX$200,$G12)&gt;0
   )),
  ),
  2
 ),
"")</f>
        <v/>
      </c>
      <c r="E12" s="3" t="str" cm="1">
        <f t="array" aca="1" ref="E12" ca="1">IFERROR(
 INDEX(
  _xlfn._xlws.FILTER($U$1:$AX$1,
   TRANSPOSE(
    CHOOSE({1;2;3;4;5;6;7;8;9;10;11;12;13;14;15;16;17;18;19;20;21;22;23;24;25;26;27;28;29;30},
     COUNTIFS($U$2:$U$200,$G12)&gt;0,
     COUNTIFS($V$2:$V$200,$G12)&gt;0,
     COUNTIFS($W$2:$W$200,$G12)&gt;0,
     COUNTIFS($X$2:$X$200,$G12)&gt;0,
     COUNTIFS($Y$2:$Y$200,$G12)&gt;0,
     COUNTIFS($Z$2:$Z$200,$G12)&gt;0,
     COUNTIFS($AA$2:$AA$200,$G12)&gt;0,
     COUNTIFS($AB$2:$AB$200,$G12)&gt;0,
     COUNTIFS($AC$2:$AC$200,$G12)&gt;0,
     COUNTIFS($AD$2:$AD$200,$G12)&gt;0,
     COUNTIFS($AE$2:$AE$200,$G12)&gt;0,
     COUNTIFS($AF$2:$AF$200,$G12)&gt;0,
     COUNTIFS($AG$2:$AG$200,$G12)&gt;0,
     COUNTIFS($AH$2:$AH$200,$G12)&gt;0,
     COUNTIFS($AI$2:$AI$200,$G12)&gt;0,
     COUNTIFS($AJ$2:$AJ$200,$G12)&gt;0,
     COUNTIFS($AK$2:$AK$200,$G12)&gt;0,
     COUNTIFS($AL$2:$AL$200,$G12)&gt;0,
     COUNTIFS($AM$2:$AM$200,$G12)&gt;0,
     COUNTIFS($AN$2:$AN$200,$G12)&gt;0,
     COUNTIFS($AO$2:$AO$200,$G12)&gt;0,
     COUNTIFS($AP$2:$AP$200,$G12)&gt;0,
     COUNTIFS($AQ$2:$AQ$200,$G12)&gt;0,
     COUNTIFS($AR$2:$AR$200,$G12)&gt;0,
     COUNTIFS($AS$2:$AS$200,$G12)&gt;0,
     COUNTIFS($AT$2:$AT$200,$G12)&gt;0,
     COUNTIFS($AU$2:$AU$200,$G12)&gt;0,
     COUNTIFS($AV$2:$AV$200,$G12)&gt;0,
     COUNTIFS($AW$2:$AW$200,$G12)&gt;0,
     COUNTIFS($AX$2:$AX$200,$G12)&gt;0
   )),
  ),
  3
 ),
"")</f>
        <v/>
      </c>
      <c r="F12" s="3" t="str" cm="1">
        <f t="array" aca="1" ref="F12" ca="1">IFERROR(
 INDEX(
  _xlfn._xlws.FILTER($U$1:$AX$1,
   TRANSPOSE(
    CHOOSE({1;2;3;4;5;6;7;8;9;10;11;12;13;14;15;16;17;18;19;20;21;22;23;24;25;26;27;28;29;30},
     COUNTIFS($U$2:$U$200,$G12)&gt;0,
     COUNTIFS($V$2:$V$200,$G12)&gt;0,
     COUNTIFS($W$2:$W$200,$G12)&gt;0,
     COUNTIFS($X$2:$X$200,$G12)&gt;0,
     COUNTIFS($Y$2:$Y$200,$G12)&gt;0,
     COUNTIFS($Z$2:$Z$200,$G12)&gt;0,
     COUNTIFS($AA$2:$AA$200,$G12)&gt;0,
     COUNTIFS($AB$2:$AB$200,$G12)&gt;0,
     COUNTIFS($AC$2:$AC$200,$G12)&gt;0,
     COUNTIFS($AD$2:$AD$200,$G12)&gt;0,
     COUNTIFS($AE$2:$AE$200,$G12)&gt;0,
     COUNTIFS($AF$2:$AF$200,$G12)&gt;0,
     COUNTIFS($AG$2:$AG$200,$G12)&gt;0,
     COUNTIFS($AH$2:$AH$200,$G12)&gt;0,
     COUNTIFS($AI$2:$AI$200,$G12)&gt;0,
     COUNTIFS($AJ$2:$AJ$200,$G12)&gt;0,
     COUNTIFS($AK$2:$AK$200,$G12)&gt;0,
     COUNTIFS($AL$2:$AL$200,$G12)&gt;0,
     COUNTIFS($AM$2:$AM$200,$G12)&gt;0,
     COUNTIFS($AN$2:$AN$200,$G12)&gt;0,
     COUNTIFS($AO$2:$AO$200,$G12)&gt;0,
     COUNTIFS($AP$2:$AP$200,$G12)&gt;0,
     COUNTIFS($AQ$2:$AQ$200,$G12)&gt;0,
     COUNTIFS($AR$2:$AR$200,$G12)&gt;0,
     COUNTIFS($AS$2:$AS$200,$G12)&gt;0,
     COUNTIFS($AT$2:$AT$200,$G12)&gt;0,
     COUNTIFS($AU$2:$AU$200,$G12)&gt;0,
     COUNTIFS($AV$2:$AV$200,$G12)&gt;0,
     COUNTIFS($AW$2:$AW$200,$G12)&gt;0,
     COUNTIFS($AX$2:$AX$200,$G12)&gt;0
   )),
  ),
  4
 ),
"")</f>
        <v/>
      </c>
      <c r="G12" t="str">
        <f ca="1"/>
        <v>Ancient Greenwarden</v>
      </c>
      <c r="I12" t="s">
        <v>2053</v>
      </c>
      <c r="J12" s="3">
        <f>Gitrog!G2</f>
        <v>12</v>
      </c>
      <c r="K12" s="3" t="s">
        <v>2088</v>
      </c>
      <c r="L12" s="3" t="s">
        <v>2088</v>
      </c>
      <c r="M12" s="3" t="s">
        <v>2088</v>
      </c>
      <c r="N12" s="3" t="s">
        <v>2087</v>
      </c>
      <c r="O12" s="3" t="s">
        <v>2087</v>
      </c>
      <c r="P12" s="3" t="s">
        <v>335</v>
      </c>
      <c r="Q12" s="28" t="s">
        <v>2142</v>
      </c>
      <c r="R12" s="3" t="s">
        <v>2155</v>
      </c>
      <c r="S12" s="3" t="str">
        <f t="shared" si="2"/>
        <v>3</v>
      </c>
      <c r="U12" t="str">
        <v>Go for the Throat</v>
      </c>
      <c r="V12" t="str">
        <v>Farseek</v>
      </c>
      <c r="W12" t="str">
        <v>Lightning Greaves</v>
      </c>
      <c r="X12" t="str">
        <v>Devoted Druid</v>
      </c>
      <c r="Y12" t="str">
        <v>Sorin da Casa Markov</v>
      </c>
      <c r="Z12" t="str">
        <v>Havengul Laboratory</v>
      </c>
      <c r="AA12" t="str">
        <v>Reliquary Tower</v>
      </c>
      <c r="AB12" t="str">
        <v>Thousand-Year Elixir</v>
      </c>
      <c r="AC12" t="str">
        <v>Ulamog's Dreadsire</v>
      </c>
      <c r="AD12" t="str">
        <v>Titania, Voice of Gaea</v>
      </c>
      <c r="AE12" t="str">
        <v>The Mycosynth Gardens</v>
      </c>
      <c r="AF12" t="str">
        <v>Watery Grave</v>
      </c>
      <c r="AG12" t="str">
        <v>Valfenda</v>
      </c>
      <c r="AH12" t="str">
        <v>Saw in Half</v>
      </c>
      <c r="AI12" t="str">
        <v>Lightning Greaves</v>
      </c>
      <c r="AJ12" t="str">
        <v>Vronos, Masked Inquisitor</v>
      </c>
      <c r="AX12" t="str">
        <v>Arcbound Reclaimer</v>
      </c>
      <c r="AZ12" t="str">
        <f ca="1"/>
        <v>Nissa, Resurgent Animist</v>
      </c>
      <c r="BA12" t="str">
        <f ca="1"/>
        <v>Mistrise Village</v>
      </c>
      <c r="BB12" t="str">
        <f ca="1"/>
        <v>Serenata das Estriges</v>
      </c>
      <c r="BC12" t="str">
        <f ca="1"/>
        <v>Louisoix's Sacrifice</v>
      </c>
      <c r="BD12" t="str">
        <f ca="1"/>
        <v>Giver of Runes</v>
      </c>
      <c r="BE12" t="str">
        <f ca="1"/>
        <v>Espada de Verdade e Justiça</v>
      </c>
      <c r="BF12" t="str">
        <f ca="1"/>
        <v>Fellwar Stone</v>
      </c>
      <c r="BG12" t="str">
        <f ca="1"/>
        <v>Genji Glove</v>
      </c>
      <c r="BH12" t="str">
        <f ca="1"/>
        <v>Canopy Vista</v>
      </c>
      <c r="BI12" t="str">
        <f ca="1"/>
        <v>Arcbound Reclaimer</v>
      </c>
      <c r="BK12" t="str">
        <f ca="1"/>
        <v>Emrakul, um Novo Mundo</v>
      </c>
      <c r="BL12" t="str">
        <f ca="1"/>
        <v>Collector's Vault</v>
      </c>
      <c r="BM12" t="str">
        <f ca="1"/>
        <v>Daretti, Ingenious Iconoclast</v>
      </c>
      <c r="BN12" t="str">
        <f ca="1"/>
        <v>Counterspell</v>
      </c>
      <c r="BO12" t="str">
        <f ca="1"/>
        <v>Arcbound Reclaimer</v>
      </c>
      <c r="BQ12" t="str">
        <f ca="1"/>
        <v>Batwing Brume</v>
      </c>
      <c r="BR12" t="str">
        <f ca="1"/>
        <v>Bojuka Bog</v>
      </c>
      <c r="BT12" t="str">
        <f ca="1"/>
        <v>Ancient Tomb</v>
      </c>
    </row>
    <row r="13" spans="1:72" x14ac:dyDescent="0.25">
      <c r="A13" s="3" t="str">
        <f t="shared" ca="1" si="0"/>
        <v>3</v>
      </c>
      <c r="B13" s="3">
        <f t="shared" ca="1" si="1"/>
        <v>1</v>
      </c>
      <c r="C13" s="3" t="str">
        <f ca="1">IFERROR(
 INDEX($U$1:$AX$1,
  MATCH(TRUE,
   CHOOSE({1;2;3;4;5;6;7;8;9;10;11;12;13;14;15;16;17;18;19;20;21;22;23;24;25;26;27;28;29;30;31;32},
    COUNTIFS($U$2:$U$200,$G13)&gt;0,
    COUNTIFS($V$2:$V$200,$G13)&gt;0,
    COUNTIFS($W$2:$W$200,$G13)&gt;0,
    COUNTIFS($X$2:$X$200,$G13)&gt;0,
    COUNTIFS($Y$2:$Y$200,$G13)&gt;0,
    COUNTIFS($Z$2:$Z$200,$G13)&gt;0,
    COUNTIFS($AA$2:$AA$200,$G13)&gt;0,
    COUNTIFS($AB$2:$AB$200,$G13)&gt;0,
    COUNTIFS($AC$2:$AC$200,$G13)&gt;0,
    COUNTIFS($AD$2:$AD$200,$G13)&gt;0,
    COUNTIFS($AE$2:$AE$200,$G13)&gt;0,
    COUNTIFS($AF$2:$AF$200,$G13)&gt;0,
    COUNTIFS($AG$2:$AG$200,$G13)&gt;0,
    COUNTIFS($AH$2:$AH$200,$G13)&gt;0,
    COUNTIFS($AI$2:$AI$200,$G13)&gt;0,
    COUNTIFS($AJ$2:$AJ$200,$G13)&gt;0,
    COUNTIFS($AK$2:$AK$200,$G13)&gt;0,
    COUNTIFS($AL$2:$AL$200,$G13)&gt;0,
    COUNTIFS($AM$2:$AM$200,$G13)&gt;0,
    COUNTIFS($AN$2:$AN$200,$G13)&gt;0,
    COUNTIFS($AO$2:$AO$200,$G13)&gt;0,
    COUNTIFS($AP$2:$AP$200,$G13)&gt;0,
    COUNTIFS($AQ$2:$AQ$200,$G13)&gt;0,
    COUNTIFS($AR$2:$AR$200,$G13)&gt;0,
    COUNTIFS($AS$2:$AS$200,$G13)&gt;0,
    COUNTIFS($AT$2:$AT$200,$G13)&gt;0,
    COUNTIFS($AU$2:$AU$200,$G13)&gt;0,
    COUNTIFS($AV$2:$AV$200,$G13)&gt;0,
    COUNTIFS($AW$2:$AW$200,$G13)&gt;0,
    COUNTIFS($AX$2:$AX$200,$G13)&gt;0
   ),
  0)
 ),
"")</f>
        <v>Gritrog</v>
      </c>
      <c r="D13" s="3" t="str" cm="1">
        <f t="array" aca="1" ref="D13" ca="1">IFERROR(
 INDEX(
  _xlfn._xlws.FILTER($U$1:$AX$1,
   TRANSPOSE(
    CHOOSE({1;2;3;4;5;6;7;8;9;10;11;12;13;14;15;16;17;18;19;20;21;22;23;24;25;26;27;28;29;30},
     COUNTIFS($U$2:$U$200,$G13)&gt;0,
     COUNTIFS($V$2:$V$200,$G13)&gt;0,
     COUNTIFS($W$2:$W$200,$G13)&gt;0,
     COUNTIFS($X$2:$X$200,$G13)&gt;0,
     COUNTIFS($Y$2:$Y$200,$G13)&gt;0,
     COUNTIFS($Z$2:$Z$200,$G13)&gt;0,
     COUNTIFS($AA$2:$AA$200,$G13)&gt;0,
     COUNTIFS($AB$2:$AB$200,$G13)&gt;0,
     COUNTIFS($AC$2:$AC$200,$G13)&gt;0,
     COUNTIFS($AD$2:$AD$200,$G13)&gt;0,
     COUNTIFS($AE$2:$AE$200,$G13)&gt;0,
     COUNTIFS($AF$2:$AF$200,$G13)&gt;0,
     COUNTIFS($AG$2:$AG$200,$G13)&gt;0,
     COUNTIFS($AH$2:$AH$200,$G13)&gt;0,
     COUNTIFS($AI$2:$AI$200,$G13)&gt;0,
     COUNTIFS($AJ$2:$AJ$200,$G13)&gt;0,
     COUNTIFS($AK$2:$AK$200,$G13)&gt;0,
     COUNTIFS($AL$2:$AL$200,$G13)&gt;0,
     COUNTIFS($AM$2:$AM$200,$G13)&gt;0,
     COUNTIFS($AN$2:$AN$200,$G13)&gt;0,
     COUNTIFS($AO$2:$AO$200,$G13)&gt;0,
     COUNTIFS($AP$2:$AP$200,$G13)&gt;0,
     COUNTIFS($AQ$2:$AQ$200,$G13)&gt;0,
     COUNTIFS($AR$2:$AR$200,$G13)&gt;0,
     COUNTIFS($AS$2:$AS$200,$G13)&gt;0,
     COUNTIFS($AT$2:$AT$200,$G13)&gt;0,
     COUNTIFS($AU$2:$AU$200,$G13)&gt;0,
     COUNTIFS($AV$2:$AV$200,$G13)&gt;0,
     COUNTIFS($AW$2:$AW$200,$G13)&gt;0,
     COUNTIFS($AX$2:$AX$200,$G13)&gt;0
   )),
  ),
  2
 ),
"")</f>
        <v/>
      </c>
      <c r="E13" s="3" t="str" cm="1">
        <f t="array" aca="1" ref="E13" ca="1">IFERROR(
 INDEX(
  _xlfn._xlws.FILTER($U$1:$AX$1,
   TRANSPOSE(
    CHOOSE({1;2;3;4;5;6;7;8;9;10;11;12;13;14;15;16;17;18;19;20;21;22;23;24;25;26;27;28;29;30},
     COUNTIFS($U$2:$U$200,$G13)&gt;0,
     COUNTIFS($V$2:$V$200,$G13)&gt;0,
     COUNTIFS($W$2:$W$200,$G13)&gt;0,
     COUNTIFS($X$2:$X$200,$G13)&gt;0,
     COUNTIFS($Y$2:$Y$200,$G13)&gt;0,
     COUNTIFS($Z$2:$Z$200,$G13)&gt;0,
     COUNTIFS($AA$2:$AA$200,$G13)&gt;0,
     COUNTIFS($AB$2:$AB$200,$G13)&gt;0,
     COUNTIFS($AC$2:$AC$200,$G13)&gt;0,
     COUNTIFS($AD$2:$AD$200,$G13)&gt;0,
     COUNTIFS($AE$2:$AE$200,$G13)&gt;0,
     COUNTIFS($AF$2:$AF$200,$G13)&gt;0,
     COUNTIFS($AG$2:$AG$200,$G13)&gt;0,
     COUNTIFS($AH$2:$AH$200,$G13)&gt;0,
     COUNTIFS($AI$2:$AI$200,$G13)&gt;0,
     COUNTIFS($AJ$2:$AJ$200,$G13)&gt;0,
     COUNTIFS($AK$2:$AK$200,$G13)&gt;0,
     COUNTIFS($AL$2:$AL$200,$G13)&gt;0,
     COUNTIFS($AM$2:$AM$200,$G13)&gt;0,
     COUNTIFS($AN$2:$AN$200,$G13)&gt;0,
     COUNTIFS($AO$2:$AO$200,$G13)&gt;0,
     COUNTIFS($AP$2:$AP$200,$G13)&gt;0,
     COUNTIFS($AQ$2:$AQ$200,$G13)&gt;0,
     COUNTIFS($AR$2:$AR$200,$G13)&gt;0,
     COUNTIFS($AS$2:$AS$200,$G13)&gt;0,
     COUNTIFS($AT$2:$AT$200,$G13)&gt;0,
     COUNTIFS($AU$2:$AU$200,$G13)&gt;0,
     COUNTIFS($AV$2:$AV$200,$G13)&gt;0,
     COUNTIFS($AW$2:$AW$200,$G13)&gt;0,
     COUNTIFS($AX$2:$AX$200,$G13)&gt;0
   )),
  ),
  3
 ),
"")</f>
        <v/>
      </c>
      <c r="F13" s="3" t="str" cm="1">
        <f t="array" aca="1" ref="F13" ca="1">IFERROR(
 INDEX(
  _xlfn._xlws.FILTER($U$1:$AX$1,
   TRANSPOSE(
    CHOOSE({1;2;3;4;5;6;7;8;9;10;11;12;13;14;15;16;17;18;19;20;21;22;23;24;25;26;27;28;29;30},
     COUNTIFS($U$2:$U$200,$G13)&gt;0,
     COUNTIFS($V$2:$V$200,$G13)&gt;0,
     COUNTIFS($W$2:$W$200,$G13)&gt;0,
     COUNTIFS($X$2:$X$200,$G13)&gt;0,
     COUNTIFS($Y$2:$Y$200,$G13)&gt;0,
     COUNTIFS($Z$2:$Z$200,$G13)&gt;0,
     COUNTIFS($AA$2:$AA$200,$G13)&gt;0,
     COUNTIFS($AB$2:$AB$200,$G13)&gt;0,
     COUNTIFS($AC$2:$AC$200,$G13)&gt;0,
     COUNTIFS($AD$2:$AD$200,$G13)&gt;0,
     COUNTIFS($AE$2:$AE$200,$G13)&gt;0,
     COUNTIFS($AF$2:$AF$200,$G13)&gt;0,
     COUNTIFS($AG$2:$AG$200,$G13)&gt;0,
     COUNTIFS($AH$2:$AH$200,$G13)&gt;0,
     COUNTIFS($AI$2:$AI$200,$G13)&gt;0,
     COUNTIFS($AJ$2:$AJ$200,$G13)&gt;0,
     COUNTIFS($AK$2:$AK$200,$G13)&gt;0,
     COUNTIFS($AL$2:$AL$200,$G13)&gt;0,
     COUNTIFS($AM$2:$AM$200,$G13)&gt;0,
     COUNTIFS($AN$2:$AN$200,$G13)&gt;0,
     COUNTIFS($AO$2:$AO$200,$G13)&gt;0,
     COUNTIFS($AP$2:$AP$200,$G13)&gt;0,
     COUNTIFS($AQ$2:$AQ$200,$G13)&gt;0,
     COUNTIFS($AR$2:$AR$200,$G13)&gt;0,
     COUNTIFS($AS$2:$AS$200,$G13)&gt;0,
     COUNTIFS($AT$2:$AT$200,$G13)&gt;0,
     COUNTIFS($AU$2:$AU$200,$G13)&gt;0,
     COUNTIFS($AV$2:$AV$200,$G13)&gt;0,
     COUNTIFS($AW$2:$AW$200,$G13)&gt;0,
     COUNTIFS($AX$2:$AX$200,$G13)&gt;0
   )),
  ),
  4
 ),
"")</f>
        <v/>
      </c>
      <c r="G13" t="str">
        <f ca="1"/>
        <v>Ancient Tomb</v>
      </c>
      <c r="I13" s="22" t="s">
        <v>19</v>
      </c>
      <c r="J13" s="3">
        <f>Muzzio!G2</f>
        <v>12</v>
      </c>
      <c r="K13" s="3" t="s">
        <v>2088</v>
      </c>
      <c r="L13" s="3" t="s">
        <v>2087</v>
      </c>
      <c r="M13" s="3" t="s">
        <v>2088</v>
      </c>
      <c r="N13" s="3" t="s">
        <v>2088</v>
      </c>
      <c r="O13" s="3" t="s">
        <v>2088</v>
      </c>
      <c r="P13" s="3" t="s">
        <v>335</v>
      </c>
      <c r="Q13" s="28" t="s">
        <v>2142</v>
      </c>
      <c r="R13" s="3" t="s">
        <v>2156</v>
      </c>
      <c r="S13" s="3" t="str">
        <f t="shared" si="2"/>
        <v>3</v>
      </c>
      <c r="U13" t="str">
        <v>Hedron Detonator</v>
      </c>
      <c r="V13" t="str">
        <v>Gavony Township</v>
      </c>
      <c r="W13" t="str">
        <v>Maddening Cacophony</v>
      </c>
      <c r="X13" t="str">
        <v>Exotic Orchard</v>
      </c>
      <c r="Y13" t="str">
        <v>Takenuma, Charco Abandonado</v>
      </c>
      <c r="Z13" t="str">
        <v>Life of the Party</v>
      </c>
      <c r="AA13" t="str">
        <v>Seahunter</v>
      </c>
      <c r="AB13" t="str">
        <v>Three Visits</v>
      </c>
      <c r="AC13" t="str">
        <v>Valfenda</v>
      </c>
      <c r="AD13" t="str">
        <v>Ulamog, the Infinite Gyre</v>
      </c>
      <c r="AE13" t="str">
        <v>Vexing Puzzlebox</v>
      </c>
      <c r="AG13" t="str">
        <v>Watery Grave</v>
      </c>
      <c r="AH13" t="str">
        <v>Warren Soultrader</v>
      </c>
      <c r="AI13" t="str">
        <v>Stoneforge Mystic</v>
      </c>
      <c r="AX13" t="str">
        <v>Arcbound Shikari</v>
      </c>
      <c r="AZ13" t="str">
        <f ca="1"/>
        <v>Obelisco de Obsidiana</v>
      </c>
      <c r="BA13" t="str">
        <f ca="1"/>
        <v>Planetary Annihilation</v>
      </c>
      <c r="BB13" t="str">
        <f ca="1"/>
        <v>Sokenzan, Crisol da Afronta</v>
      </c>
      <c r="BC13" t="str">
        <f ca="1"/>
        <v>Luxury Suite</v>
      </c>
      <c r="BD13" t="str">
        <f ca="1"/>
        <v>Glasspool Mimic</v>
      </c>
      <c r="BE13" t="str">
        <f ca="1"/>
        <v>Firion, Wild Rose Warrior</v>
      </c>
      <c r="BF13" t="str">
        <f ca="1"/>
        <v>Frenzied Gorespawn</v>
      </c>
      <c r="BG13" t="str">
        <f ca="1"/>
        <v>Ghostly Prison</v>
      </c>
      <c r="BH13" t="str">
        <f ca="1"/>
        <v>Castle Ardenvale</v>
      </c>
      <c r="BI13" t="str">
        <f ca="1"/>
        <v>Arcbound Shikari</v>
      </c>
      <c r="BK13" t="str">
        <f ca="1"/>
        <v>Entomb</v>
      </c>
      <c r="BL13" t="str">
        <f ca="1"/>
        <v>Creeping Tar Pit</v>
      </c>
      <c r="BM13" t="str">
        <f ca="1"/>
        <v>Diário de Tarrian</v>
      </c>
      <c r="BN13" t="str">
        <f ca="1"/>
        <v>Cyber Conversion</v>
      </c>
      <c r="BO13" t="str">
        <f ca="1"/>
        <v>Arcbound Shikari</v>
      </c>
      <c r="BQ13" t="str">
        <f ca="1"/>
        <v>Broodheart Engine</v>
      </c>
      <c r="BR13" t="str">
        <f ca="1"/>
        <v>Bugenhagen, Wise Elder</v>
      </c>
      <c r="BT13" t="str">
        <f ca="1"/>
        <v>Árbitro Silencioso</v>
      </c>
    </row>
    <row r="14" spans="1:72" x14ac:dyDescent="0.25">
      <c r="A14" s="3" t="str">
        <f t="shared" ca="1" si="0"/>
        <v>1</v>
      </c>
      <c r="B14" s="3">
        <f t="shared" ca="1" si="1"/>
        <v>1</v>
      </c>
      <c r="C14" s="3" t="str">
        <f ca="1">IFERROR(
 INDEX($U$1:$AX$1,
  MATCH(TRUE,
   CHOOSE({1;2;3;4;5;6;7;8;9;10;11;12;13;14;15;16;17;18;19;20;21;22;23;24;25;26;27;28;29;30;31;32},
    COUNTIFS($U$2:$U$200,$G14)&gt;0,
    COUNTIFS($V$2:$V$200,$G14)&gt;0,
    COUNTIFS($W$2:$W$200,$G14)&gt;0,
    COUNTIFS($X$2:$X$200,$G14)&gt;0,
    COUNTIFS($Y$2:$Y$200,$G14)&gt;0,
    COUNTIFS($Z$2:$Z$200,$G14)&gt;0,
    COUNTIFS($AA$2:$AA$200,$G14)&gt;0,
    COUNTIFS($AB$2:$AB$200,$G14)&gt;0,
    COUNTIFS($AC$2:$AC$200,$G14)&gt;0,
    COUNTIFS($AD$2:$AD$200,$G14)&gt;0,
    COUNTIFS($AE$2:$AE$200,$G14)&gt;0,
    COUNTIFS($AF$2:$AF$200,$G14)&gt;0,
    COUNTIFS($AG$2:$AG$200,$G14)&gt;0,
    COUNTIFS($AH$2:$AH$200,$G14)&gt;0,
    COUNTIFS($AI$2:$AI$200,$G14)&gt;0,
    COUNTIFS($AJ$2:$AJ$200,$G14)&gt;0,
    COUNTIFS($AK$2:$AK$200,$G14)&gt;0,
    COUNTIFS($AL$2:$AL$200,$G14)&gt;0,
    COUNTIFS($AM$2:$AM$200,$G14)&gt;0,
    COUNTIFS($AN$2:$AN$200,$G14)&gt;0,
    COUNTIFS($AO$2:$AO$200,$G14)&gt;0,
    COUNTIFS($AP$2:$AP$200,$G14)&gt;0,
    COUNTIFS($AQ$2:$AQ$200,$G14)&gt;0,
    COUNTIFS($AR$2:$AR$200,$G14)&gt;0,
    COUNTIFS($AS$2:$AS$200,$G14)&gt;0,
    COUNTIFS($AT$2:$AT$200,$G14)&gt;0,
    COUNTIFS($AU$2:$AU$200,$G14)&gt;0,
    COUNTIFS($AV$2:$AV$200,$G14)&gt;0,
    COUNTIFS($AW$2:$AW$200,$G14)&gt;0,
    COUNTIFS($AX$2:$AX$200,$G14)&gt;0
   ),
  0)
 ),
"")</f>
        <v>Modular</v>
      </c>
      <c r="D14" s="3" t="str" cm="1">
        <f t="array" aca="1" ref="D14" ca="1">IFERROR(
 INDEX(
  _xlfn._xlws.FILTER($U$1:$AX$1,
   TRANSPOSE(
    CHOOSE({1;2;3;4;5;6;7;8;9;10;11;12;13;14;15;16;17;18;19;20;21;22;23;24;25;26;27;28;29;30},
     COUNTIFS($U$2:$U$200,$G14)&gt;0,
     COUNTIFS($V$2:$V$200,$G14)&gt;0,
     COUNTIFS($W$2:$W$200,$G14)&gt;0,
     COUNTIFS($X$2:$X$200,$G14)&gt;0,
     COUNTIFS($Y$2:$Y$200,$G14)&gt;0,
     COUNTIFS($Z$2:$Z$200,$G14)&gt;0,
     COUNTIFS($AA$2:$AA$200,$G14)&gt;0,
     COUNTIFS($AB$2:$AB$200,$G14)&gt;0,
     COUNTIFS($AC$2:$AC$200,$G14)&gt;0,
     COUNTIFS($AD$2:$AD$200,$G14)&gt;0,
     COUNTIFS($AE$2:$AE$200,$G14)&gt;0,
     COUNTIFS($AF$2:$AF$200,$G14)&gt;0,
     COUNTIFS($AG$2:$AG$200,$G14)&gt;0,
     COUNTIFS($AH$2:$AH$200,$G14)&gt;0,
     COUNTIFS($AI$2:$AI$200,$G14)&gt;0,
     COUNTIFS($AJ$2:$AJ$200,$G14)&gt;0,
     COUNTIFS($AK$2:$AK$200,$G14)&gt;0,
     COUNTIFS($AL$2:$AL$200,$G14)&gt;0,
     COUNTIFS($AM$2:$AM$200,$G14)&gt;0,
     COUNTIFS($AN$2:$AN$200,$G14)&gt;0,
     COUNTIFS($AO$2:$AO$200,$G14)&gt;0,
     COUNTIFS($AP$2:$AP$200,$G14)&gt;0,
     COUNTIFS($AQ$2:$AQ$200,$G14)&gt;0,
     COUNTIFS($AR$2:$AR$200,$G14)&gt;0,
     COUNTIFS($AS$2:$AS$200,$G14)&gt;0,
     COUNTIFS($AT$2:$AT$200,$G14)&gt;0,
     COUNTIFS($AU$2:$AU$200,$G14)&gt;0,
     COUNTIFS($AV$2:$AV$200,$G14)&gt;0,
     COUNTIFS($AW$2:$AW$200,$G14)&gt;0,
     COUNTIFS($AX$2:$AX$200,$G14)&gt;0
   )),
  ),
  2
 ),
"")</f>
        <v/>
      </c>
      <c r="E14" s="3" t="str" cm="1">
        <f t="array" aca="1" ref="E14" ca="1">IFERROR(
 INDEX(
  _xlfn._xlws.FILTER($U$1:$AX$1,
   TRANSPOSE(
    CHOOSE({1;2;3;4;5;6;7;8;9;10;11;12;13;14;15;16;17;18;19;20;21;22;23;24;25;26;27;28;29;30},
     COUNTIFS($U$2:$U$200,$G14)&gt;0,
     COUNTIFS($V$2:$V$200,$G14)&gt;0,
     COUNTIFS($W$2:$W$200,$G14)&gt;0,
     COUNTIFS($X$2:$X$200,$G14)&gt;0,
     COUNTIFS($Y$2:$Y$200,$G14)&gt;0,
     COUNTIFS($Z$2:$Z$200,$G14)&gt;0,
     COUNTIFS($AA$2:$AA$200,$G14)&gt;0,
     COUNTIFS($AB$2:$AB$200,$G14)&gt;0,
     COUNTIFS($AC$2:$AC$200,$G14)&gt;0,
     COUNTIFS($AD$2:$AD$200,$G14)&gt;0,
     COUNTIFS($AE$2:$AE$200,$G14)&gt;0,
     COUNTIFS($AF$2:$AF$200,$G14)&gt;0,
     COUNTIFS($AG$2:$AG$200,$G14)&gt;0,
     COUNTIFS($AH$2:$AH$200,$G14)&gt;0,
     COUNTIFS($AI$2:$AI$200,$G14)&gt;0,
     COUNTIFS($AJ$2:$AJ$200,$G14)&gt;0,
     COUNTIFS($AK$2:$AK$200,$G14)&gt;0,
     COUNTIFS($AL$2:$AL$200,$G14)&gt;0,
     COUNTIFS($AM$2:$AM$200,$G14)&gt;0,
     COUNTIFS($AN$2:$AN$200,$G14)&gt;0,
     COUNTIFS($AO$2:$AO$200,$G14)&gt;0,
     COUNTIFS($AP$2:$AP$200,$G14)&gt;0,
     COUNTIFS($AQ$2:$AQ$200,$G14)&gt;0,
     COUNTIFS($AR$2:$AR$200,$G14)&gt;0,
     COUNTIFS($AS$2:$AS$200,$G14)&gt;0,
     COUNTIFS($AT$2:$AT$200,$G14)&gt;0,
     COUNTIFS($AU$2:$AU$200,$G14)&gt;0,
     COUNTIFS($AV$2:$AV$200,$G14)&gt;0,
     COUNTIFS($AW$2:$AW$200,$G14)&gt;0,
     COUNTIFS($AX$2:$AX$200,$G14)&gt;0
   )),
  ),
  3
 ),
"")</f>
        <v/>
      </c>
      <c r="F14" s="3" t="str" cm="1">
        <f t="array" aca="1" ref="F14" ca="1">IFERROR(
 INDEX(
  _xlfn._xlws.FILTER($U$1:$AX$1,
   TRANSPOSE(
    CHOOSE({1;2;3;4;5;6;7;8;9;10;11;12;13;14;15;16;17;18;19;20;21;22;23;24;25;26;27;28;29;30},
     COUNTIFS($U$2:$U$200,$G14)&gt;0,
     COUNTIFS($V$2:$V$200,$G14)&gt;0,
     COUNTIFS($W$2:$W$200,$G14)&gt;0,
     COUNTIFS($X$2:$X$200,$G14)&gt;0,
     COUNTIFS($Y$2:$Y$200,$G14)&gt;0,
     COUNTIFS($Z$2:$Z$200,$G14)&gt;0,
     COUNTIFS($AA$2:$AA$200,$G14)&gt;0,
     COUNTIFS($AB$2:$AB$200,$G14)&gt;0,
     COUNTIFS($AC$2:$AC$200,$G14)&gt;0,
     COUNTIFS($AD$2:$AD$200,$G14)&gt;0,
     COUNTIFS($AE$2:$AE$200,$G14)&gt;0,
     COUNTIFS($AF$2:$AF$200,$G14)&gt;0,
     COUNTIFS($AG$2:$AG$200,$G14)&gt;0,
     COUNTIFS($AH$2:$AH$200,$G14)&gt;0,
     COUNTIFS($AI$2:$AI$200,$G14)&gt;0,
     COUNTIFS($AJ$2:$AJ$200,$G14)&gt;0,
     COUNTIFS($AK$2:$AK$200,$G14)&gt;0,
     COUNTIFS($AL$2:$AL$200,$G14)&gt;0,
     COUNTIFS($AM$2:$AM$200,$G14)&gt;0,
     COUNTIFS($AN$2:$AN$200,$G14)&gt;0,
     COUNTIFS($AO$2:$AO$200,$G14)&gt;0,
     COUNTIFS($AP$2:$AP$200,$G14)&gt;0,
     COUNTIFS($AQ$2:$AQ$200,$G14)&gt;0,
     COUNTIFS($AR$2:$AR$200,$G14)&gt;0,
     COUNTIFS($AS$2:$AS$200,$G14)&gt;0,
     COUNTIFS($AT$2:$AT$200,$G14)&gt;0,
     COUNTIFS($AU$2:$AU$200,$G14)&gt;0,
     COUNTIFS($AV$2:$AV$200,$G14)&gt;0,
     COUNTIFS($AW$2:$AW$200,$G14)&gt;0,
     COUNTIFS($AX$2:$AX$200,$G14)&gt;0
   )),
  ),
  4
 ),
"")</f>
        <v/>
      </c>
      <c r="G14" t="str">
        <f ca="1"/>
        <v>Annie Joins Up</v>
      </c>
      <c r="I14" t="s">
        <v>2054</v>
      </c>
      <c r="J14" s="3">
        <f>VialIshai!G2</f>
        <v>11</v>
      </c>
      <c r="K14" s="3" t="s">
        <v>2087</v>
      </c>
      <c r="L14" s="3" t="s">
        <v>2087</v>
      </c>
      <c r="M14" s="3" t="s">
        <v>2087</v>
      </c>
      <c r="N14" s="3" t="s">
        <v>2087</v>
      </c>
      <c r="O14" s="3" t="s">
        <v>2088</v>
      </c>
      <c r="P14" s="3" t="s">
        <v>2141</v>
      </c>
      <c r="Q14" s="3" t="s">
        <v>2139</v>
      </c>
      <c r="R14" s="3" t="s">
        <v>2157</v>
      </c>
      <c r="S14" s="3" t="str">
        <f t="shared" si="2"/>
        <v>3</v>
      </c>
      <c r="U14" t="str">
        <v>Malcolm, Alluring Scoundrel</v>
      </c>
      <c r="V14" t="str">
        <v>Generous Gift</v>
      </c>
      <c r="W14" t="str">
        <v>Memory Erosion</v>
      </c>
      <c r="X14" t="str">
        <v>Gavony Township</v>
      </c>
      <c r="Y14" t="str">
        <v>Terramorphic Expanse</v>
      </c>
      <c r="Z14" t="str">
        <v>Reliquary Tower</v>
      </c>
      <c r="AA14" t="str">
        <v>Simic Charm</v>
      </c>
      <c r="AB14" t="str">
        <v>Zagoth Triome</v>
      </c>
      <c r="AX14" t="str">
        <v>Arcbound Slith</v>
      </c>
      <c r="AZ14" t="str">
        <f ca="1"/>
        <v>Petrified Field</v>
      </c>
      <c r="BA14" t="str">
        <f ca="1"/>
        <v>Portal to Phyrexia</v>
      </c>
      <c r="BB14" t="str">
        <f ca="1"/>
        <v>Teyo, Geometric Tactician</v>
      </c>
      <c r="BC14" t="str">
        <f ca="1"/>
        <v>Mandate of Peace</v>
      </c>
      <c r="BD14" t="str">
        <f ca="1"/>
        <v>Guia das Almas</v>
      </c>
      <c r="BE14" t="str">
        <f ca="1"/>
        <v>High-Society Hunter</v>
      </c>
      <c r="BF14" t="str">
        <f ca="1"/>
        <v>Freyalise, Llanowar's Fury</v>
      </c>
      <c r="BG14" t="str">
        <f ca="1"/>
        <v>Grave Pact</v>
      </c>
      <c r="BH14" t="str">
        <f ca="1"/>
        <v>Champion of Lambholt</v>
      </c>
      <c r="BI14" t="str">
        <f ca="1"/>
        <v>Arcbound Slith</v>
      </c>
      <c r="BK14" t="str">
        <f ca="1"/>
        <v>Evendo, Waking Haven</v>
      </c>
      <c r="BL14" t="str">
        <f ca="1"/>
        <v>Drowned Catacomb</v>
      </c>
      <c r="BM14" t="str">
        <f ca="1"/>
        <v>Dour Port-Mage</v>
      </c>
      <c r="BN14" t="str">
        <f ca="1"/>
        <v>Deeproot Historian</v>
      </c>
      <c r="BO14" t="str">
        <f ca="1"/>
        <v>Arcbound Slith</v>
      </c>
      <c r="BQ14" t="str">
        <f ca="1"/>
        <v>Careful Study</v>
      </c>
      <c r="BR14" t="str">
        <f ca="1"/>
        <v>Burnt Offering</v>
      </c>
      <c r="BT14" t="str">
        <f ca="1"/>
        <v>Arcane Lighthouse</v>
      </c>
    </row>
    <row r="15" spans="1:72" x14ac:dyDescent="0.25">
      <c r="A15" s="3" t="str">
        <f t="shared" ca="1" si="0"/>
        <v>5</v>
      </c>
      <c r="B15" s="3">
        <f t="shared" ca="1" si="1"/>
        <v>1</v>
      </c>
      <c r="C15" s="3" t="str">
        <f ca="1">IFERROR(
 INDEX($U$1:$AX$1,
  MATCH(TRUE,
   CHOOSE({1;2;3;4;5;6;7;8;9;10;11;12;13;14;15;16;17;18;19;20;21;22;23;24;25;26;27;28;29;30;31;32},
    COUNTIFS($U$2:$U$200,$G15)&gt;0,
    COUNTIFS($V$2:$V$200,$G15)&gt;0,
    COUNTIFS($W$2:$W$200,$G15)&gt;0,
    COUNTIFS($X$2:$X$200,$G15)&gt;0,
    COUNTIFS($Y$2:$Y$200,$G15)&gt;0,
    COUNTIFS($Z$2:$Z$200,$G15)&gt;0,
    COUNTIFS($AA$2:$AA$200,$G15)&gt;0,
    COUNTIFS($AB$2:$AB$200,$G15)&gt;0,
    COUNTIFS($AC$2:$AC$200,$G15)&gt;0,
    COUNTIFS($AD$2:$AD$200,$G15)&gt;0,
    COUNTIFS($AE$2:$AE$200,$G15)&gt;0,
    COUNTIFS($AF$2:$AF$200,$G15)&gt;0,
    COUNTIFS($AG$2:$AG$200,$G15)&gt;0,
    COUNTIFS($AH$2:$AH$200,$G15)&gt;0,
    COUNTIFS($AI$2:$AI$200,$G15)&gt;0,
    COUNTIFS($AJ$2:$AJ$200,$G15)&gt;0,
    COUNTIFS($AK$2:$AK$200,$G15)&gt;0,
    COUNTIFS($AL$2:$AL$200,$G15)&gt;0,
    COUNTIFS($AM$2:$AM$200,$G15)&gt;0,
    COUNTIFS($AN$2:$AN$200,$G15)&gt;0,
    COUNTIFS($AO$2:$AO$200,$G15)&gt;0,
    COUNTIFS($AP$2:$AP$200,$G15)&gt;0,
    COUNTIFS($AQ$2:$AQ$200,$G15)&gt;0,
    COUNTIFS($AR$2:$AR$200,$G15)&gt;0,
    COUNTIFS($AS$2:$AS$200,$G15)&gt;0,
    COUNTIFS($AT$2:$AT$200,$G15)&gt;0,
    COUNTIFS($AU$2:$AU$200,$G15)&gt;0,
    COUNTIFS($AV$2:$AV$200,$G15)&gt;0,
    COUNTIFS($AW$2:$AW$200,$G15)&gt;0,
    COUNTIFS($AX$2:$AX$200,$G15)&gt;0
   ),
  0)
 ),
"")</f>
        <v>Zedruu</v>
      </c>
      <c r="D15" s="3" t="str" cm="1">
        <f t="array" aca="1" ref="D15" ca="1">IFERROR(
 INDEX(
  _xlfn._xlws.FILTER($U$1:$AX$1,
   TRANSPOSE(
    CHOOSE({1;2;3;4;5;6;7;8;9;10;11;12;13;14;15;16;17;18;19;20;21;22;23;24;25;26;27;28;29;30},
     COUNTIFS($U$2:$U$200,$G15)&gt;0,
     COUNTIFS($V$2:$V$200,$G15)&gt;0,
     COUNTIFS($W$2:$W$200,$G15)&gt;0,
     COUNTIFS($X$2:$X$200,$G15)&gt;0,
     COUNTIFS($Y$2:$Y$200,$G15)&gt;0,
     COUNTIFS($Z$2:$Z$200,$G15)&gt;0,
     COUNTIFS($AA$2:$AA$200,$G15)&gt;0,
     COUNTIFS($AB$2:$AB$200,$G15)&gt;0,
     COUNTIFS($AC$2:$AC$200,$G15)&gt;0,
     COUNTIFS($AD$2:$AD$200,$G15)&gt;0,
     COUNTIFS($AE$2:$AE$200,$G15)&gt;0,
     COUNTIFS($AF$2:$AF$200,$G15)&gt;0,
     COUNTIFS($AG$2:$AG$200,$G15)&gt;0,
     COUNTIFS($AH$2:$AH$200,$G15)&gt;0,
     COUNTIFS($AI$2:$AI$200,$G15)&gt;0,
     COUNTIFS($AJ$2:$AJ$200,$G15)&gt;0,
     COUNTIFS($AK$2:$AK$200,$G15)&gt;0,
     COUNTIFS($AL$2:$AL$200,$G15)&gt;0,
     COUNTIFS($AM$2:$AM$200,$G15)&gt;0,
     COUNTIFS($AN$2:$AN$200,$G15)&gt;0,
     COUNTIFS($AO$2:$AO$200,$G15)&gt;0,
     COUNTIFS($AP$2:$AP$200,$G15)&gt;0,
     COUNTIFS($AQ$2:$AQ$200,$G15)&gt;0,
     COUNTIFS($AR$2:$AR$200,$G15)&gt;0,
     COUNTIFS($AS$2:$AS$200,$G15)&gt;0,
     COUNTIFS($AT$2:$AT$200,$G15)&gt;0,
     COUNTIFS($AU$2:$AU$200,$G15)&gt;0,
     COUNTIFS($AV$2:$AV$200,$G15)&gt;0,
     COUNTIFS($AW$2:$AW$200,$G15)&gt;0,
     COUNTIFS($AX$2:$AX$200,$G15)&gt;0
   )),
  ),
  2
 ),
"")</f>
        <v/>
      </c>
      <c r="E15" s="3" t="str" cm="1">
        <f t="array" aca="1" ref="E15" ca="1">IFERROR(
 INDEX(
  _xlfn._xlws.FILTER($U$1:$AX$1,
   TRANSPOSE(
    CHOOSE({1;2;3;4;5;6;7;8;9;10;11;12;13;14;15;16;17;18;19;20;21;22;23;24;25;26;27;28;29;30},
     COUNTIFS($U$2:$U$200,$G15)&gt;0,
     COUNTIFS($V$2:$V$200,$G15)&gt;0,
     COUNTIFS($W$2:$W$200,$G15)&gt;0,
     COUNTIFS($X$2:$X$200,$G15)&gt;0,
     COUNTIFS($Y$2:$Y$200,$G15)&gt;0,
     COUNTIFS($Z$2:$Z$200,$G15)&gt;0,
     COUNTIFS($AA$2:$AA$200,$G15)&gt;0,
     COUNTIFS($AB$2:$AB$200,$G15)&gt;0,
     COUNTIFS($AC$2:$AC$200,$G15)&gt;0,
     COUNTIFS($AD$2:$AD$200,$G15)&gt;0,
     COUNTIFS($AE$2:$AE$200,$G15)&gt;0,
     COUNTIFS($AF$2:$AF$200,$G15)&gt;0,
     COUNTIFS($AG$2:$AG$200,$G15)&gt;0,
     COUNTIFS($AH$2:$AH$200,$G15)&gt;0,
     COUNTIFS($AI$2:$AI$200,$G15)&gt;0,
     COUNTIFS($AJ$2:$AJ$200,$G15)&gt;0,
     COUNTIFS($AK$2:$AK$200,$G15)&gt;0,
     COUNTIFS($AL$2:$AL$200,$G15)&gt;0,
     COUNTIFS($AM$2:$AM$200,$G15)&gt;0,
     COUNTIFS($AN$2:$AN$200,$G15)&gt;0,
     COUNTIFS($AO$2:$AO$200,$G15)&gt;0,
     COUNTIFS($AP$2:$AP$200,$G15)&gt;0,
     COUNTIFS($AQ$2:$AQ$200,$G15)&gt;0,
     COUNTIFS($AR$2:$AR$200,$G15)&gt;0,
     COUNTIFS($AS$2:$AS$200,$G15)&gt;0,
     COUNTIFS($AT$2:$AT$200,$G15)&gt;0,
     COUNTIFS($AU$2:$AU$200,$G15)&gt;0,
     COUNTIFS($AV$2:$AV$200,$G15)&gt;0,
     COUNTIFS($AW$2:$AW$200,$G15)&gt;0,
     COUNTIFS($AX$2:$AX$200,$G15)&gt;0
   )),
  ),
  3
 ),
"")</f>
        <v/>
      </c>
      <c r="F15" s="3" t="str" cm="1">
        <f t="array" aca="1" ref="F15" ca="1">IFERROR(
 INDEX(
  _xlfn._xlws.FILTER($U$1:$AX$1,
   TRANSPOSE(
    CHOOSE({1;2;3;4;5;6;7;8;9;10;11;12;13;14;15;16;17;18;19;20;21;22;23;24;25;26;27;28;29;30},
     COUNTIFS($U$2:$U$200,$G15)&gt;0,
     COUNTIFS($V$2:$V$200,$G15)&gt;0,
     COUNTIFS($W$2:$W$200,$G15)&gt;0,
     COUNTIFS($X$2:$X$200,$G15)&gt;0,
     COUNTIFS($Y$2:$Y$200,$G15)&gt;0,
     COUNTIFS($Z$2:$Z$200,$G15)&gt;0,
     COUNTIFS($AA$2:$AA$200,$G15)&gt;0,
     COUNTIFS($AB$2:$AB$200,$G15)&gt;0,
     COUNTIFS($AC$2:$AC$200,$G15)&gt;0,
     COUNTIFS($AD$2:$AD$200,$G15)&gt;0,
     COUNTIFS($AE$2:$AE$200,$G15)&gt;0,
     COUNTIFS($AF$2:$AF$200,$G15)&gt;0,
     COUNTIFS($AG$2:$AG$200,$G15)&gt;0,
     COUNTIFS($AH$2:$AH$200,$G15)&gt;0,
     COUNTIFS($AI$2:$AI$200,$G15)&gt;0,
     COUNTIFS($AJ$2:$AJ$200,$G15)&gt;0,
     COUNTIFS($AK$2:$AK$200,$G15)&gt;0,
     COUNTIFS($AL$2:$AL$200,$G15)&gt;0,
     COUNTIFS($AM$2:$AM$200,$G15)&gt;0,
     COUNTIFS($AN$2:$AN$200,$G15)&gt;0,
     COUNTIFS($AO$2:$AO$200,$G15)&gt;0,
     COUNTIFS($AP$2:$AP$200,$G15)&gt;0,
     COUNTIFS($AQ$2:$AQ$200,$G15)&gt;0,
     COUNTIFS($AR$2:$AR$200,$G15)&gt;0,
     COUNTIFS($AS$2:$AS$200,$G15)&gt;0,
     COUNTIFS($AT$2:$AT$200,$G15)&gt;0,
     COUNTIFS($AU$2:$AU$200,$G15)&gt;0,
     COUNTIFS($AV$2:$AV$200,$G15)&gt;0,
     COUNTIFS($AW$2:$AW$200,$G15)&gt;0,
     COUNTIFS($AX$2:$AX$200,$G15)&gt;0
   )),
  ),
  4
 ),
"")</f>
        <v/>
      </c>
      <c r="G15" t="str">
        <f ca="1"/>
        <v>Árbitro Silencioso</v>
      </c>
      <c r="I15" t="s">
        <v>23</v>
      </c>
      <c r="J15" s="3">
        <f>Yuriko!G2</f>
        <v>12</v>
      </c>
      <c r="K15" s="3" t="s">
        <v>2088</v>
      </c>
      <c r="L15" s="3" t="s">
        <v>2087</v>
      </c>
      <c r="M15" s="3" t="s">
        <v>2088</v>
      </c>
      <c r="N15" s="3" t="s">
        <v>2087</v>
      </c>
      <c r="O15" s="3" t="s">
        <v>2088</v>
      </c>
      <c r="P15" s="3" t="s">
        <v>2141</v>
      </c>
      <c r="Q15" s="28" t="s">
        <v>2142</v>
      </c>
      <c r="R15" s="3" t="s">
        <v>2158</v>
      </c>
      <c r="S15" s="3" t="str">
        <f t="shared" si="2"/>
        <v>3</v>
      </c>
      <c r="U15" t="str">
        <v>Mines of Moria</v>
      </c>
      <c r="V15" t="str">
        <v>Jacked Rabbit</v>
      </c>
      <c r="W15" t="str">
        <v>Monastery Siege</v>
      </c>
      <c r="X15" t="str">
        <v>Gyre Sage</v>
      </c>
      <c r="Y15" t="str">
        <v>Unholy Annex // Ritual Chamber</v>
      </c>
      <c r="Z15" t="str">
        <v>Rogue's Passage</v>
      </c>
      <c r="AA15" t="str">
        <v>Singer of Swift Rivers</v>
      </c>
      <c r="AX15" t="str">
        <v>Arcbound Stinger</v>
      </c>
      <c r="AZ15" t="str">
        <f ca="1"/>
        <v>Phyrexian Tower</v>
      </c>
      <c r="BA15" t="str">
        <f ca="1"/>
        <v>Raffine's Tower</v>
      </c>
      <c r="BB15" t="str">
        <f ca="1"/>
        <v>Westvale Abbey</v>
      </c>
      <c r="BC15" t="str">
        <f ca="1"/>
        <v>Morphic Pool</v>
      </c>
      <c r="BD15" t="str">
        <f ca="1"/>
        <v>Hierofante de Elenda</v>
      </c>
      <c r="BE15" t="str">
        <f ca="1"/>
        <v>Jenova, Ancient Calamity</v>
      </c>
      <c r="BF15" t="str">
        <f ca="1"/>
        <v>Gallifrey Council Chamber</v>
      </c>
      <c r="BG15" t="str">
        <f ca="1"/>
        <v>Harvest Season</v>
      </c>
      <c r="BH15" t="str">
        <f ca="1"/>
        <v>Champions from Beyond</v>
      </c>
      <c r="BI15" t="str">
        <f ca="1"/>
        <v>Arcbound Stinger</v>
      </c>
      <c r="BK15" t="str">
        <f ca="1"/>
        <v>Extinguisher Battleship</v>
      </c>
      <c r="BL15" t="str">
        <f ca="1"/>
        <v>Emergency Eject</v>
      </c>
      <c r="BM15" t="str">
        <f ca="1"/>
        <v>Enduring Innocence</v>
      </c>
      <c r="BN15" t="str">
        <f ca="1"/>
        <v>Dollmaker's Shop // Porcelain Gallery</v>
      </c>
      <c r="BO15" t="str">
        <f ca="1"/>
        <v>Arcbound Stinger</v>
      </c>
      <c r="BQ15" t="str">
        <f ca="1"/>
        <v>Caverna das Almas</v>
      </c>
      <c r="BR15" t="str">
        <f ca="1"/>
        <v>Call to the Kindred</v>
      </c>
      <c r="BT15" t="str">
        <f ca="1"/>
        <v>Arid Mesa</v>
      </c>
    </row>
    <row r="16" spans="1:72" x14ac:dyDescent="0.25">
      <c r="A16" s="3" t="str">
        <f t="shared" ca="1" si="0"/>
        <v>3</v>
      </c>
      <c r="B16" s="3">
        <f t="shared" ca="1" si="1"/>
        <v>1</v>
      </c>
      <c r="C16" s="3" t="str">
        <f ca="1">IFERROR(
 INDEX($U$1:$AX$1,
  MATCH(TRUE,
   CHOOSE({1;2;3;4;5;6;7;8;9;10;11;12;13;14;15;16;17;18;19;20;21;22;23;24;25;26;27;28;29;30;31;32},
    COUNTIFS($U$2:$U$200,$G16)&gt;0,
    COUNTIFS($V$2:$V$200,$G16)&gt;0,
    COUNTIFS($W$2:$W$200,$G16)&gt;0,
    COUNTIFS($X$2:$X$200,$G16)&gt;0,
    COUNTIFS($Y$2:$Y$200,$G16)&gt;0,
    COUNTIFS($Z$2:$Z$200,$G16)&gt;0,
    COUNTIFS($AA$2:$AA$200,$G16)&gt;0,
    COUNTIFS($AB$2:$AB$200,$G16)&gt;0,
    COUNTIFS($AC$2:$AC$200,$G16)&gt;0,
    COUNTIFS($AD$2:$AD$200,$G16)&gt;0,
    COUNTIFS($AE$2:$AE$200,$G16)&gt;0,
    COUNTIFS($AF$2:$AF$200,$G16)&gt;0,
    COUNTIFS($AG$2:$AG$200,$G16)&gt;0,
    COUNTIFS($AH$2:$AH$200,$G16)&gt;0,
    COUNTIFS($AI$2:$AI$200,$G16)&gt;0,
    COUNTIFS($AJ$2:$AJ$200,$G16)&gt;0,
    COUNTIFS($AK$2:$AK$200,$G16)&gt;0,
    COUNTIFS($AL$2:$AL$200,$G16)&gt;0,
    COUNTIFS($AM$2:$AM$200,$G16)&gt;0,
    COUNTIFS($AN$2:$AN$200,$G16)&gt;0,
    COUNTIFS($AO$2:$AO$200,$G16)&gt;0,
    COUNTIFS($AP$2:$AP$200,$G16)&gt;0,
    COUNTIFS($AQ$2:$AQ$200,$G16)&gt;0,
    COUNTIFS($AR$2:$AR$200,$G16)&gt;0,
    COUNTIFS($AS$2:$AS$200,$G16)&gt;0,
    COUNTIFS($AT$2:$AT$200,$G16)&gt;0,
    COUNTIFS($AU$2:$AU$200,$G16)&gt;0,
    COUNTIFS($AV$2:$AV$200,$G16)&gt;0,
    COUNTIFS($AW$2:$AW$200,$G16)&gt;0,
    COUNTIFS($AX$2:$AX$200,$G16)&gt;0
   ),
  0)
 ),
"")</f>
        <v>Inalla</v>
      </c>
      <c r="D16" s="3" t="str" cm="1">
        <f t="array" aca="1" ref="D16" ca="1">IFERROR(
 INDEX(
  _xlfn._xlws.FILTER($U$1:$AX$1,
   TRANSPOSE(
    CHOOSE({1;2;3;4;5;6;7;8;9;10;11;12;13;14;15;16;17;18;19;20;21;22;23;24;25;26;27;28;29;30},
     COUNTIFS($U$2:$U$200,$G16)&gt;0,
     COUNTIFS($V$2:$V$200,$G16)&gt;0,
     COUNTIFS($W$2:$W$200,$G16)&gt;0,
     COUNTIFS($X$2:$X$200,$G16)&gt;0,
     COUNTIFS($Y$2:$Y$200,$G16)&gt;0,
     COUNTIFS($Z$2:$Z$200,$G16)&gt;0,
     COUNTIFS($AA$2:$AA$200,$G16)&gt;0,
     COUNTIFS($AB$2:$AB$200,$G16)&gt;0,
     COUNTIFS($AC$2:$AC$200,$G16)&gt;0,
     COUNTIFS($AD$2:$AD$200,$G16)&gt;0,
     COUNTIFS($AE$2:$AE$200,$G16)&gt;0,
     COUNTIFS($AF$2:$AF$200,$G16)&gt;0,
     COUNTIFS($AG$2:$AG$200,$G16)&gt;0,
     COUNTIFS($AH$2:$AH$200,$G16)&gt;0,
     COUNTIFS($AI$2:$AI$200,$G16)&gt;0,
     COUNTIFS($AJ$2:$AJ$200,$G16)&gt;0,
     COUNTIFS($AK$2:$AK$200,$G16)&gt;0,
     COUNTIFS($AL$2:$AL$200,$G16)&gt;0,
     COUNTIFS($AM$2:$AM$200,$G16)&gt;0,
     COUNTIFS($AN$2:$AN$200,$G16)&gt;0,
     COUNTIFS($AO$2:$AO$200,$G16)&gt;0,
     COUNTIFS($AP$2:$AP$200,$G16)&gt;0,
     COUNTIFS($AQ$2:$AQ$200,$G16)&gt;0,
     COUNTIFS($AR$2:$AR$200,$G16)&gt;0,
     COUNTIFS($AS$2:$AS$200,$G16)&gt;0,
     COUNTIFS($AT$2:$AT$200,$G16)&gt;0,
     COUNTIFS($AU$2:$AU$200,$G16)&gt;0,
     COUNTIFS($AV$2:$AV$200,$G16)&gt;0,
     COUNTIFS($AW$2:$AW$200,$G16)&gt;0,
     COUNTIFS($AX$2:$AX$200,$G16)&gt;0
   )),
  ),
  2
 ),
"")</f>
        <v/>
      </c>
      <c r="E16" s="3" t="str" cm="1">
        <f t="array" aca="1" ref="E16" ca="1">IFERROR(
 INDEX(
  _xlfn._xlws.FILTER($U$1:$AX$1,
   TRANSPOSE(
    CHOOSE({1;2;3;4;5;6;7;8;9;10;11;12;13;14;15;16;17;18;19;20;21;22;23;24;25;26;27;28;29;30},
     COUNTIFS($U$2:$U$200,$G16)&gt;0,
     COUNTIFS($V$2:$V$200,$G16)&gt;0,
     COUNTIFS($W$2:$W$200,$G16)&gt;0,
     COUNTIFS($X$2:$X$200,$G16)&gt;0,
     COUNTIFS($Y$2:$Y$200,$G16)&gt;0,
     COUNTIFS($Z$2:$Z$200,$G16)&gt;0,
     COUNTIFS($AA$2:$AA$200,$G16)&gt;0,
     COUNTIFS($AB$2:$AB$200,$G16)&gt;0,
     COUNTIFS($AC$2:$AC$200,$G16)&gt;0,
     COUNTIFS($AD$2:$AD$200,$G16)&gt;0,
     COUNTIFS($AE$2:$AE$200,$G16)&gt;0,
     COUNTIFS($AF$2:$AF$200,$G16)&gt;0,
     COUNTIFS($AG$2:$AG$200,$G16)&gt;0,
     COUNTIFS($AH$2:$AH$200,$G16)&gt;0,
     COUNTIFS($AI$2:$AI$200,$G16)&gt;0,
     COUNTIFS($AJ$2:$AJ$200,$G16)&gt;0,
     COUNTIFS($AK$2:$AK$200,$G16)&gt;0,
     COUNTIFS($AL$2:$AL$200,$G16)&gt;0,
     COUNTIFS($AM$2:$AM$200,$G16)&gt;0,
     COUNTIFS($AN$2:$AN$200,$G16)&gt;0,
     COUNTIFS($AO$2:$AO$200,$G16)&gt;0,
     COUNTIFS($AP$2:$AP$200,$G16)&gt;0,
     COUNTIFS($AQ$2:$AQ$200,$G16)&gt;0,
     COUNTIFS($AR$2:$AR$200,$G16)&gt;0,
     COUNTIFS($AS$2:$AS$200,$G16)&gt;0,
     COUNTIFS($AT$2:$AT$200,$G16)&gt;0,
     COUNTIFS($AU$2:$AU$200,$G16)&gt;0,
     COUNTIFS($AV$2:$AV$200,$G16)&gt;0,
     COUNTIFS($AW$2:$AW$200,$G16)&gt;0,
     COUNTIFS($AX$2:$AX$200,$G16)&gt;0
   )),
  ),
  3
 ),
"")</f>
        <v/>
      </c>
      <c r="F16" s="3" t="str" cm="1">
        <f t="array" aca="1" ref="F16" ca="1">IFERROR(
 INDEX(
  _xlfn._xlws.FILTER($U$1:$AX$1,
   TRANSPOSE(
    CHOOSE({1;2;3;4;5;6;7;8;9;10;11;12;13;14;15;16;17;18;19;20;21;22;23;24;25;26;27;28;29;30},
     COUNTIFS($U$2:$U$200,$G16)&gt;0,
     COUNTIFS($V$2:$V$200,$G16)&gt;0,
     COUNTIFS($W$2:$W$200,$G16)&gt;0,
     COUNTIFS($X$2:$X$200,$G16)&gt;0,
     COUNTIFS($Y$2:$Y$200,$G16)&gt;0,
     COUNTIFS($Z$2:$Z$200,$G16)&gt;0,
     COUNTIFS($AA$2:$AA$200,$G16)&gt;0,
     COUNTIFS($AB$2:$AB$200,$G16)&gt;0,
     COUNTIFS($AC$2:$AC$200,$G16)&gt;0,
     COUNTIFS($AD$2:$AD$200,$G16)&gt;0,
     COUNTIFS($AE$2:$AE$200,$G16)&gt;0,
     COUNTIFS($AF$2:$AF$200,$G16)&gt;0,
     COUNTIFS($AG$2:$AG$200,$G16)&gt;0,
     COUNTIFS($AH$2:$AH$200,$G16)&gt;0,
     COUNTIFS($AI$2:$AI$200,$G16)&gt;0,
     COUNTIFS($AJ$2:$AJ$200,$G16)&gt;0,
     COUNTIFS($AK$2:$AK$200,$G16)&gt;0,
     COUNTIFS($AL$2:$AL$200,$G16)&gt;0,
     COUNTIFS($AM$2:$AM$200,$G16)&gt;0,
     COUNTIFS($AN$2:$AN$200,$G16)&gt;0,
     COUNTIFS($AO$2:$AO$200,$G16)&gt;0,
     COUNTIFS($AP$2:$AP$200,$G16)&gt;0,
     COUNTIFS($AQ$2:$AQ$200,$G16)&gt;0,
     COUNTIFS($AR$2:$AR$200,$G16)&gt;0,
     COUNTIFS($AS$2:$AS$200,$G16)&gt;0,
     COUNTIFS($AT$2:$AT$200,$G16)&gt;0,
     COUNTIFS($AU$2:$AU$200,$G16)&gt;0,
     COUNTIFS($AV$2:$AV$200,$G16)&gt;0,
     COUNTIFS($AW$2:$AW$200,$G16)&gt;0,
     COUNTIFS($AX$2:$AX$200,$G16)&gt;0
   )),
  ),
  4
 ),
"")</f>
        <v/>
      </c>
      <c r="G16" t="str">
        <f ca="1"/>
        <v>Arcane Lighthouse</v>
      </c>
      <c r="I16" t="s">
        <v>25</v>
      </c>
      <c r="J16" s="3">
        <f>Inalla!G2</f>
        <v>12</v>
      </c>
      <c r="K16" s="3" t="s">
        <v>2088</v>
      </c>
      <c r="L16" s="3" t="s">
        <v>2087</v>
      </c>
      <c r="M16" s="3" t="s">
        <v>2087</v>
      </c>
      <c r="N16" s="3" t="s">
        <v>2087</v>
      </c>
      <c r="O16" s="3" t="s">
        <v>2088</v>
      </c>
      <c r="P16" s="3" t="s">
        <v>335</v>
      </c>
      <c r="Q16" s="3" t="s">
        <v>2143</v>
      </c>
      <c r="R16" s="3" t="s">
        <v>2159</v>
      </c>
      <c r="S16" s="3" t="str">
        <f t="shared" si="2"/>
        <v>3</v>
      </c>
      <c r="U16" t="str">
        <v>Reckless Fireweaver</v>
      </c>
      <c r="V16" t="str">
        <v>Jetmir, Nexus of Revels</v>
      </c>
      <c r="W16" t="str">
        <v>Psychic Corrosion</v>
      </c>
      <c r="X16" t="str">
        <v>Hydraw's Growth</v>
      </c>
      <c r="Y16" t="str">
        <v>Vault of the Archangel</v>
      </c>
      <c r="Z16" t="str">
        <v>Sol Ring</v>
      </c>
      <c r="AA16" t="str">
        <v>Sol Ring</v>
      </c>
      <c r="AX16" t="str">
        <v>Arcbound Tracker</v>
      </c>
      <c r="AZ16" t="str">
        <f ca="1"/>
        <v>Ripples of Undeath</v>
      </c>
      <c r="BA16" t="str">
        <f ca="1"/>
        <v>Rings of Brighthearth</v>
      </c>
      <c r="BC16" t="str">
        <f ca="1"/>
        <v>Polluted Delta</v>
      </c>
      <c r="BD16" t="str">
        <f ca="1"/>
        <v>Invasion of Segovia</v>
      </c>
      <c r="BE16" t="str">
        <f ca="1"/>
        <v>Jitte Perdida</v>
      </c>
      <c r="BF16" t="str">
        <f ca="1"/>
        <v>Havengul Laboratory</v>
      </c>
      <c r="BG16" t="str">
        <f ca="1"/>
        <v>Herald of Secret Streams</v>
      </c>
      <c r="BH16" t="str">
        <f ca="1"/>
        <v>Cinder Glade</v>
      </c>
      <c r="BI16" t="str">
        <f ca="1"/>
        <v>Arcbound Tracker</v>
      </c>
      <c r="BK16" t="str">
        <f ca="1"/>
        <v>Gerrard's Hourglass Pendant</v>
      </c>
      <c r="BL16" t="str">
        <f ca="1"/>
        <v>Faerie Slumber Party</v>
      </c>
      <c r="BM16" t="str">
        <f ca="1"/>
        <v>Espada da Riqueza e do Poder</v>
      </c>
      <c r="BN16" t="str">
        <f ca="1"/>
        <v>Drowned Catacomb</v>
      </c>
      <c r="BO16" t="str">
        <f ca="1"/>
        <v>Arcbound Tracker</v>
      </c>
      <c r="BQ16" t="str">
        <f ca="1"/>
        <v>Chimil, o Sol Interior</v>
      </c>
      <c r="BR16" t="str">
        <f ca="1"/>
        <v>Chandra's Ignition</v>
      </c>
      <c r="BT16" t="str">
        <f ca="1"/>
        <v>Ascensão do Avernus</v>
      </c>
    </row>
    <row r="17" spans="1:72" x14ac:dyDescent="0.25">
      <c r="A17" s="3" t="str">
        <f t="shared" ca="1" si="0"/>
        <v>1</v>
      </c>
      <c r="B17" s="3">
        <f t="shared" ca="1" si="1"/>
        <v>1</v>
      </c>
      <c r="C17" s="3" t="str">
        <f ca="1">IFERROR(
 INDEX($U$1:$AX$1,
  MATCH(TRUE,
   CHOOSE({1;2;3;4;5;6;7;8;9;10;11;12;13;14;15;16;17;18;19;20;21;22;23;24;25;26;27;28;29;30;31;32},
    COUNTIFS($U$2:$U$200,$G17)&gt;0,
    COUNTIFS($V$2:$V$200,$G17)&gt;0,
    COUNTIFS($W$2:$W$200,$G17)&gt;0,
    COUNTIFS($X$2:$X$200,$G17)&gt;0,
    COUNTIFS($Y$2:$Y$200,$G17)&gt;0,
    COUNTIFS($Z$2:$Z$200,$G17)&gt;0,
    COUNTIFS($AA$2:$AA$200,$G17)&gt;0,
    COUNTIFS($AB$2:$AB$200,$G17)&gt;0,
    COUNTIFS($AC$2:$AC$200,$G17)&gt;0,
    COUNTIFS($AD$2:$AD$200,$G17)&gt;0,
    COUNTIFS($AE$2:$AE$200,$G17)&gt;0,
    COUNTIFS($AF$2:$AF$200,$G17)&gt;0,
    COUNTIFS($AG$2:$AG$200,$G17)&gt;0,
    COUNTIFS($AH$2:$AH$200,$G17)&gt;0,
    COUNTIFS($AI$2:$AI$200,$G17)&gt;0,
    COUNTIFS($AJ$2:$AJ$200,$G17)&gt;0,
    COUNTIFS($AK$2:$AK$200,$G17)&gt;0,
    COUNTIFS($AL$2:$AL$200,$G17)&gt;0,
    COUNTIFS($AM$2:$AM$200,$G17)&gt;0,
    COUNTIFS($AN$2:$AN$200,$G17)&gt;0,
    COUNTIFS($AO$2:$AO$200,$G17)&gt;0,
    COUNTIFS($AP$2:$AP$200,$G17)&gt;0,
    COUNTIFS($AQ$2:$AQ$200,$G17)&gt;0,
    COUNTIFS($AR$2:$AR$200,$G17)&gt;0,
    COUNTIFS($AS$2:$AS$200,$G17)&gt;0,
    COUNTIFS($AT$2:$AT$200,$G17)&gt;0,
    COUNTIFS($AU$2:$AU$200,$G17)&gt;0,
    COUNTIFS($AV$2:$AV$200,$G17)&gt;0,
    COUNTIFS($AW$2:$AW$200,$G17)&gt;0,
    COUNTIFS($AX$2:$AX$200,$G17)&gt;0
   ),
  0)
 ),
"")</f>
        <v>Modular</v>
      </c>
      <c r="D17" s="3" t="str" cm="1">
        <f t="array" aca="1" ref="D17" ca="1">IFERROR(
 INDEX(
  _xlfn._xlws.FILTER($U$1:$AX$1,
   TRANSPOSE(
    CHOOSE({1;2;3;4;5;6;7;8;9;10;11;12;13;14;15;16;17;18;19;20;21;22;23;24;25;26;27;28;29;30},
     COUNTIFS($U$2:$U$200,$G17)&gt;0,
     COUNTIFS($V$2:$V$200,$G17)&gt;0,
     COUNTIFS($W$2:$W$200,$G17)&gt;0,
     COUNTIFS($X$2:$X$200,$G17)&gt;0,
     COUNTIFS($Y$2:$Y$200,$G17)&gt;0,
     COUNTIFS($Z$2:$Z$200,$G17)&gt;0,
     COUNTIFS($AA$2:$AA$200,$G17)&gt;0,
     COUNTIFS($AB$2:$AB$200,$G17)&gt;0,
     COUNTIFS($AC$2:$AC$200,$G17)&gt;0,
     COUNTIFS($AD$2:$AD$200,$G17)&gt;0,
     COUNTIFS($AE$2:$AE$200,$G17)&gt;0,
     COUNTIFS($AF$2:$AF$200,$G17)&gt;0,
     COUNTIFS($AG$2:$AG$200,$G17)&gt;0,
     COUNTIFS($AH$2:$AH$200,$G17)&gt;0,
     COUNTIFS($AI$2:$AI$200,$G17)&gt;0,
     COUNTIFS($AJ$2:$AJ$200,$G17)&gt;0,
     COUNTIFS($AK$2:$AK$200,$G17)&gt;0,
     COUNTIFS($AL$2:$AL$200,$G17)&gt;0,
     COUNTIFS($AM$2:$AM$200,$G17)&gt;0,
     COUNTIFS($AN$2:$AN$200,$G17)&gt;0,
     COUNTIFS($AO$2:$AO$200,$G17)&gt;0,
     COUNTIFS($AP$2:$AP$200,$G17)&gt;0,
     COUNTIFS($AQ$2:$AQ$200,$G17)&gt;0,
     COUNTIFS($AR$2:$AR$200,$G17)&gt;0,
     COUNTIFS($AS$2:$AS$200,$G17)&gt;0,
     COUNTIFS($AT$2:$AT$200,$G17)&gt;0,
     COUNTIFS($AU$2:$AU$200,$G17)&gt;0,
     COUNTIFS($AV$2:$AV$200,$G17)&gt;0,
     COUNTIFS($AW$2:$AW$200,$G17)&gt;0,
     COUNTIFS($AX$2:$AX$200,$G17)&gt;0
   )),
  ),
  2
 ),
"")</f>
        <v/>
      </c>
      <c r="E17" s="3" t="str" cm="1">
        <f t="array" aca="1" ref="E17" ca="1">IFERROR(
 INDEX(
  _xlfn._xlws.FILTER($U$1:$AX$1,
   TRANSPOSE(
    CHOOSE({1;2;3;4;5;6;7;8;9;10;11;12;13;14;15;16;17;18;19;20;21;22;23;24;25;26;27;28;29;30},
     COUNTIFS($U$2:$U$200,$G17)&gt;0,
     COUNTIFS($V$2:$V$200,$G17)&gt;0,
     COUNTIFS($W$2:$W$200,$G17)&gt;0,
     COUNTIFS($X$2:$X$200,$G17)&gt;0,
     COUNTIFS($Y$2:$Y$200,$G17)&gt;0,
     COUNTIFS($Z$2:$Z$200,$G17)&gt;0,
     COUNTIFS($AA$2:$AA$200,$G17)&gt;0,
     COUNTIFS($AB$2:$AB$200,$G17)&gt;0,
     COUNTIFS($AC$2:$AC$200,$G17)&gt;0,
     COUNTIFS($AD$2:$AD$200,$G17)&gt;0,
     COUNTIFS($AE$2:$AE$200,$G17)&gt;0,
     COUNTIFS($AF$2:$AF$200,$G17)&gt;0,
     COUNTIFS($AG$2:$AG$200,$G17)&gt;0,
     COUNTIFS($AH$2:$AH$200,$G17)&gt;0,
     COUNTIFS($AI$2:$AI$200,$G17)&gt;0,
     COUNTIFS($AJ$2:$AJ$200,$G17)&gt;0,
     COUNTIFS($AK$2:$AK$200,$G17)&gt;0,
     COUNTIFS($AL$2:$AL$200,$G17)&gt;0,
     COUNTIFS($AM$2:$AM$200,$G17)&gt;0,
     COUNTIFS($AN$2:$AN$200,$G17)&gt;0,
     COUNTIFS($AO$2:$AO$200,$G17)&gt;0,
     COUNTIFS($AP$2:$AP$200,$G17)&gt;0,
     COUNTIFS($AQ$2:$AQ$200,$G17)&gt;0,
     COUNTIFS($AR$2:$AR$200,$G17)&gt;0,
     COUNTIFS($AS$2:$AS$200,$G17)&gt;0,
     COUNTIFS($AT$2:$AT$200,$G17)&gt;0,
     COUNTIFS($AU$2:$AU$200,$G17)&gt;0,
     COUNTIFS($AV$2:$AV$200,$G17)&gt;0,
     COUNTIFS($AW$2:$AW$200,$G17)&gt;0,
     COUNTIFS($AX$2:$AX$200,$G17)&gt;0
   )),
  ),
  3
 ),
"")</f>
        <v/>
      </c>
      <c r="F17" s="3" t="str" cm="1">
        <f t="array" aca="1" ref="F17" ca="1">IFERROR(
 INDEX(
  _xlfn._xlws.FILTER($U$1:$AX$1,
   TRANSPOSE(
    CHOOSE({1;2;3;4;5;6;7;8;9;10;11;12;13;14;15;16;17;18;19;20;21;22;23;24;25;26;27;28;29;30},
     COUNTIFS($U$2:$U$200,$G17)&gt;0,
     COUNTIFS($V$2:$V$200,$G17)&gt;0,
     COUNTIFS($W$2:$W$200,$G17)&gt;0,
     COUNTIFS($X$2:$X$200,$G17)&gt;0,
     COUNTIFS($Y$2:$Y$200,$G17)&gt;0,
     COUNTIFS($Z$2:$Z$200,$G17)&gt;0,
     COUNTIFS($AA$2:$AA$200,$G17)&gt;0,
     COUNTIFS($AB$2:$AB$200,$G17)&gt;0,
     COUNTIFS($AC$2:$AC$200,$G17)&gt;0,
     COUNTIFS($AD$2:$AD$200,$G17)&gt;0,
     COUNTIFS($AE$2:$AE$200,$G17)&gt;0,
     COUNTIFS($AF$2:$AF$200,$G17)&gt;0,
     COUNTIFS($AG$2:$AG$200,$G17)&gt;0,
     COUNTIFS($AH$2:$AH$200,$G17)&gt;0,
     COUNTIFS($AI$2:$AI$200,$G17)&gt;0,
     COUNTIFS($AJ$2:$AJ$200,$G17)&gt;0,
     COUNTIFS($AK$2:$AK$200,$G17)&gt;0,
     COUNTIFS($AL$2:$AL$200,$G17)&gt;0,
     COUNTIFS($AM$2:$AM$200,$G17)&gt;0,
     COUNTIFS($AN$2:$AN$200,$G17)&gt;0,
     COUNTIFS($AO$2:$AO$200,$G17)&gt;0,
     COUNTIFS($AP$2:$AP$200,$G17)&gt;0,
     COUNTIFS($AQ$2:$AQ$200,$G17)&gt;0,
     COUNTIFS($AR$2:$AR$200,$G17)&gt;0,
     COUNTIFS($AS$2:$AS$200,$G17)&gt;0,
     COUNTIFS($AT$2:$AT$200,$G17)&gt;0,
     COUNTIFS($AU$2:$AU$200,$G17)&gt;0,
     COUNTIFS($AV$2:$AV$200,$G17)&gt;0,
     COUNTIFS($AW$2:$AW$200,$G17)&gt;0,
     COUNTIFS($AX$2:$AX$200,$G17)&gt;0
   )),
  ),
  4
 ),
"")</f>
        <v/>
      </c>
      <c r="G17" t="str">
        <f ca="1"/>
        <v>Arcane Signet</v>
      </c>
      <c r="I17" t="s">
        <v>29</v>
      </c>
      <c r="J17" s="3">
        <f>Akiri!G2</f>
        <v>12</v>
      </c>
      <c r="K17" s="3" t="s">
        <v>2087</v>
      </c>
      <c r="L17" s="3" t="s">
        <v>2088</v>
      </c>
      <c r="M17" s="3" t="s">
        <v>2087</v>
      </c>
      <c r="N17" s="3" t="s">
        <v>2088</v>
      </c>
      <c r="O17" s="3" t="s">
        <v>2088</v>
      </c>
      <c r="P17" s="3" t="s">
        <v>753</v>
      </c>
      <c r="Q17" s="3" t="s">
        <v>2139</v>
      </c>
      <c r="R17" s="3" t="s">
        <v>2160</v>
      </c>
      <c r="S17" s="3" t="str">
        <f t="shared" si="2"/>
        <v>3</v>
      </c>
      <c r="U17" t="str">
        <v>Reliquary Tower</v>
      </c>
      <c r="V17" t="str">
        <v>Karplusan Forest</v>
      </c>
      <c r="W17" t="str">
        <v>Reforge the Soul</v>
      </c>
      <c r="X17" t="str">
        <v>Incubation Druid</v>
      </c>
      <c r="Z17" t="str">
        <v>Sulfur Falls</v>
      </c>
      <c r="AA17" t="str">
        <v>Stonybrook Banneret</v>
      </c>
      <c r="AX17" t="str">
        <v>Arcbound Whelp</v>
      </c>
      <c r="AZ17" t="str">
        <f ca="1"/>
        <v>Shaku da Honra Desgastada</v>
      </c>
      <c r="BA17" t="str">
        <f ca="1"/>
        <v>Sliver Gravemother</v>
      </c>
      <c r="BC17" t="str">
        <f ca="1"/>
        <v>Prismatic Strands</v>
      </c>
      <c r="BD17" t="str">
        <f ca="1"/>
        <v>Jidoor, Aristocratic Capital // Overture</v>
      </c>
      <c r="BE17" t="str">
        <f ca="1"/>
        <v>Kellan, the Fae-Blooded // Birthright Boon</v>
      </c>
      <c r="BF17" t="str">
        <f ca="1"/>
        <v>Illustrious Wanderglyph</v>
      </c>
      <c r="BG17" t="str">
        <f ca="1"/>
        <v>Horizon Explorer</v>
      </c>
      <c r="BH17" t="str">
        <f ca="1"/>
        <v>Conclave Mentor</v>
      </c>
      <c r="BI17" t="str">
        <f ca="1"/>
        <v>Arcbound Whelp</v>
      </c>
      <c r="BK17" t="str">
        <f ca="1"/>
        <v>Hedge Shredder</v>
      </c>
      <c r="BL17" t="str">
        <f ca="1"/>
        <v>Homeward Path</v>
      </c>
      <c r="BM17" t="str">
        <f ca="1"/>
        <v>Espada de Banquete e Fome</v>
      </c>
      <c r="BN17" t="str">
        <f ca="1"/>
        <v>Dúplice Debochada</v>
      </c>
      <c r="BO17" t="str">
        <f ca="1"/>
        <v>Arcbound Whelp</v>
      </c>
      <c r="BQ17" t="str">
        <f ca="1"/>
        <v>Chronomantic Escape</v>
      </c>
      <c r="BR17" t="str">
        <f ca="1"/>
        <v>Cid, Freeflier Pilot</v>
      </c>
      <c r="BT17" t="str">
        <f ca="1"/>
        <v>Autoridade dos Cônsules</v>
      </c>
    </row>
    <row r="18" spans="1:72" x14ac:dyDescent="0.25">
      <c r="A18" s="3" t="str">
        <f t="shared" ca="1" si="0"/>
        <v>1</v>
      </c>
      <c r="B18" s="3">
        <f t="shared" ca="1" si="1"/>
        <v>1</v>
      </c>
      <c r="C18" s="3" t="str">
        <f ca="1">IFERROR(
 INDEX($U$1:$AX$1,
  MATCH(TRUE,
   CHOOSE({1;2;3;4;5;6;7;8;9;10;11;12;13;14;15;16;17;18;19;20;21;22;23;24;25;26;27;28;29;30;31;32},
    COUNTIFS($U$2:$U$200,$G18)&gt;0,
    COUNTIFS($V$2:$V$200,$G18)&gt;0,
    COUNTIFS($W$2:$W$200,$G18)&gt;0,
    COUNTIFS($X$2:$X$200,$G18)&gt;0,
    COUNTIFS($Y$2:$Y$200,$G18)&gt;0,
    COUNTIFS($Z$2:$Z$200,$G18)&gt;0,
    COUNTIFS($AA$2:$AA$200,$G18)&gt;0,
    COUNTIFS($AB$2:$AB$200,$G18)&gt;0,
    COUNTIFS($AC$2:$AC$200,$G18)&gt;0,
    COUNTIFS($AD$2:$AD$200,$G18)&gt;0,
    COUNTIFS($AE$2:$AE$200,$G18)&gt;0,
    COUNTIFS($AF$2:$AF$200,$G18)&gt;0,
    COUNTIFS($AG$2:$AG$200,$G18)&gt;0,
    COUNTIFS($AH$2:$AH$200,$G18)&gt;0,
    COUNTIFS($AI$2:$AI$200,$G18)&gt;0,
    COUNTIFS($AJ$2:$AJ$200,$G18)&gt;0,
    COUNTIFS($AK$2:$AK$200,$G18)&gt;0,
    COUNTIFS($AL$2:$AL$200,$G18)&gt;0,
    COUNTIFS($AM$2:$AM$200,$G18)&gt;0,
    COUNTIFS($AN$2:$AN$200,$G18)&gt;0,
    COUNTIFS($AO$2:$AO$200,$G18)&gt;0,
    COUNTIFS($AP$2:$AP$200,$G18)&gt;0,
    COUNTIFS($AQ$2:$AQ$200,$G18)&gt;0,
    COUNTIFS($AR$2:$AR$200,$G18)&gt;0,
    COUNTIFS($AS$2:$AS$200,$G18)&gt;0,
    COUNTIFS($AT$2:$AT$200,$G18)&gt;0,
    COUNTIFS($AU$2:$AU$200,$G18)&gt;0,
    COUNTIFS($AV$2:$AV$200,$G18)&gt;0,
    COUNTIFS($AW$2:$AW$200,$G18)&gt;0,
    COUNTIFS($AX$2:$AX$200,$G18)&gt;0
   ),
  0)
 ),
"")</f>
        <v>Modular</v>
      </c>
      <c r="D18" s="3" t="str" cm="1">
        <f t="array" aca="1" ref="D18" ca="1">IFERROR(
 INDEX(
  _xlfn._xlws.FILTER($U$1:$AX$1,
   TRANSPOSE(
    CHOOSE({1;2;3;4;5;6;7;8;9;10;11;12;13;14;15;16;17;18;19;20;21;22;23;24;25;26;27;28;29;30},
     COUNTIFS($U$2:$U$200,$G18)&gt;0,
     COUNTIFS($V$2:$V$200,$G18)&gt;0,
     COUNTIFS($W$2:$W$200,$G18)&gt;0,
     COUNTIFS($X$2:$X$200,$G18)&gt;0,
     COUNTIFS($Y$2:$Y$200,$G18)&gt;0,
     COUNTIFS($Z$2:$Z$200,$G18)&gt;0,
     COUNTIFS($AA$2:$AA$200,$G18)&gt;0,
     COUNTIFS($AB$2:$AB$200,$G18)&gt;0,
     COUNTIFS($AC$2:$AC$200,$G18)&gt;0,
     COUNTIFS($AD$2:$AD$200,$G18)&gt;0,
     COUNTIFS($AE$2:$AE$200,$G18)&gt;0,
     COUNTIFS($AF$2:$AF$200,$G18)&gt;0,
     COUNTIFS($AG$2:$AG$200,$G18)&gt;0,
     COUNTIFS($AH$2:$AH$200,$G18)&gt;0,
     COUNTIFS($AI$2:$AI$200,$G18)&gt;0,
     COUNTIFS($AJ$2:$AJ$200,$G18)&gt;0,
     COUNTIFS($AK$2:$AK$200,$G18)&gt;0,
     COUNTIFS($AL$2:$AL$200,$G18)&gt;0,
     COUNTIFS($AM$2:$AM$200,$G18)&gt;0,
     COUNTIFS($AN$2:$AN$200,$G18)&gt;0,
     COUNTIFS($AO$2:$AO$200,$G18)&gt;0,
     COUNTIFS($AP$2:$AP$200,$G18)&gt;0,
     COUNTIFS($AQ$2:$AQ$200,$G18)&gt;0,
     COUNTIFS($AR$2:$AR$200,$G18)&gt;0,
     COUNTIFS($AS$2:$AS$200,$G18)&gt;0,
     COUNTIFS($AT$2:$AT$200,$G18)&gt;0,
     COUNTIFS($AU$2:$AU$200,$G18)&gt;0,
     COUNTIFS($AV$2:$AV$200,$G18)&gt;0,
     COUNTIFS($AW$2:$AW$200,$G18)&gt;0,
     COUNTIFS($AX$2:$AX$200,$G18)&gt;0
   )),
  ),
  2
 ),
"")</f>
        <v/>
      </c>
      <c r="E18" s="3" t="str" cm="1">
        <f t="array" aca="1" ref="E18" ca="1">IFERROR(
 INDEX(
  _xlfn._xlws.FILTER($U$1:$AX$1,
   TRANSPOSE(
    CHOOSE({1;2;3;4;5;6;7;8;9;10;11;12;13;14;15;16;17;18;19;20;21;22;23;24;25;26;27;28;29;30},
     COUNTIFS($U$2:$U$200,$G18)&gt;0,
     COUNTIFS($V$2:$V$200,$G18)&gt;0,
     COUNTIFS($W$2:$W$200,$G18)&gt;0,
     COUNTIFS($X$2:$X$200,$G18)&gt;0,
     COUNTIFS($Y$2:$Y$200,$G18)&gt;0,
     COUNTIFS($Z$2:$Z$200,$G18)&gt;0,
     COUNTIFS($AA$2:$AA$200,$G18)&gt;0,
     COUNTIFS($AB$2:$AB$200,$G18)&gt;0,
     COUNTIFS($AC$2:$AC$200,$G18)&gt;0,
     COUNTIFS($AD$2:$AD$200,$G18)&gt;0,
     COUNTIFS($AE$2:$AE$200,$G18)&gt;0,
     COUNTIFS($AF$2:$AF$200,$G18)&gt;0,
     COUNTIFS($AG$2:$AG$200,$G18)&gt;0,
     COUNTIFS($AH$2:$AH$200,$G18)&gt;0,
     COUNTIFS($AI$2:$AI$200,$G18)&gt;0,
     COUNTIFS($AJ$2:$AJ$200,$G18)&gt;0,
     COUNTIFS($AK$2:$AK$200,$G18)&gt;0,
     COUNTIFS($AL$2:$AL$200,$G18)&gt;0,
     COUNTIFS($AM$2:$AM$200,$G18)&gt;0,
     COUNTIFS($AN$2:$AN$200,$G18)&gt;0,
     COUNTIFS($AO$2:$AO$200,$G18)&gt;0,
     COUNTIFS($AP$2:$AP$200,$G18)&gt;0,
     COUNTIFS($AQ$2:$AQ$200,$G18)&gt;0,
     COUNTIFS($AR$2:$AR$200,$G18)&gt;0,
     COUNTIFS($AS$2:$AS$200,$G18)&gt;0,
     COUNTIFS($AT$2:$AT$200,$G18)&gt;0,
     COUNTIFS($AU$2:$AU$200,$G18)&gt;0,
     COUNTIFS($AV$2:$AV$200,$G18)&gt;0,
     COUNTIFS($AW$2:$AW$200,$G18)&gt;0,
     COUNTIFS($AX$2:$AX$200,$G18)&gt;0
   )),
  ),
  3
 ),
"")</f>
        <v/>
      </c>
      <c r="F18" s="3" t="str" cm="1">
        <f t="array" aca="1" ref="F18" ca="1">IFERROR(
 INDEX(
  _xlfn._xlws.FILTER($U$1:$AX$1,
   TRANSPOSE(
    CHOOSE({1;2;3;4;5;6;7;8;9;10;11;12;13;14;15;16;17;18;19;20;21;22;23;24;25;26;27;28;29;30},
     COUNTIFS($U$2:$U$200,$G18)&gt;0,
     COUNTIFS($V$2:$V$200,$G18)&gt;0,
     COUNTIFS($W$2:$W$200,$G18)&gt;0,
     COUNTIFS($X$2:$X$200,$G18)&gt;0,
     COUNTIFS($Y$2:$Y$200,$G18)&gt;0,
     COUNTIFS($Z$2:$Z$200,$G18)&gt;0,
     COUNTIFS($AA$2:$AA$200,$G18)&gt;0,
     COUNTIFS($AB$2:$AB$200,$G18)&gt;0,
     COUNTIFS($AC$2:$AC$200,$G18)&gt;0,
     COUNTIFS($AD$2:$AD$200,$G18)&gt;0,
     COUNTIFS($AE$2:$AE$200,$G18)&gt;0,
     COUNTIFS($AF$2:$AF$200,$G18)&gt;0,
     COUNTIFS($AG$2:$AG$200,$G18)&gt;0,
     COUNTIFS($AH$2:$AH$200,$G18)&gt;0,
     COUNTIFS($AI$2:$AI$200,$G18)&gt;0,
     COUNTIFS($AJ$2:$AJ$200,$G18)&gt;0,
     COUNTIFS($AK$2:$AK$200,$G18)&gt;0,
     COUNTIFS($AL$2:$AL$200,$G18)&gt;0,
     COUNTIFS($AM$2:$AM$200,$G18)&gt;0,
     COUNTIFS($AN$2:$AN$200,$G18)&gt;0,
     COUNTIFS($AO$2:$AO$200,$G18)&gt;0,
     COUNTIFS($AP$2:$AP$200,$G18)&gt;0,
     COUNTIFS($AQ$2:$AQ$200,$G18)&gt;0,
     COUNTIFS($AR$2:$AR$200,$G18)&gt;0,
     COUNTIFS($AS$2:$AS$200,$G18)&gt;0,
     COUNTIFS($AT$2:$AT$200,$G18)&gt;0,
     COUNTIFS($AU$2:$AU$200,$G18)&gt;0,
     COUNTIFS($AV$2:$AV$200,$G18)&gt;0,
     COUNTIFS($AW$2:$AW$200,$G18)&gt;0,
     COUNTIFS($AX$2:$AX$200,$G18)&gt;0
   )),
  ),
  4
 ),
"")</f>
        <v/>
      </c>
      <c r="G18" t="str">
        <f ca="1"/>
        <v>Arcbound Crusher</v>
      </c>
      <c r="I18" t="s">
        <v>53</v>
      </c>
      <c r="J18" s="3">
        <f>Sisay!G2</f>
        <v>11</v>
      </c>
      <c r="K18" s="3" t="s">
        <v>2087</v>
      </c>
      <c r="L18" s="3" t="s">
        <v>2087</v>
      </c>
      <c r="M18" s="3" t="s">
        <v>2087</v>
      </c>
      <c r="N18" s="3" t="s">
        <v>2087</v>
      </c>
      <c r="O18" s="3" t="s">
        <v>2087</v>
      </c>
      <c r="P18" s="3" t="s">
        <v>753</v>
      </c>
      <c r="Q18" s="3" t="s">
        <v>2143</v>
      </c>
      <c r="R18" s="3" t="s">
        <v>2161</v>
      </c>
      <c r="S18" s="3" t="str">
        <f t="shared" si="2"/>
        <v>3</v>
      </c>
      <c r="U18" t="str">
        <v>Secluded Courtyard</v>
      </c>
      <c r="V18" t="str">
        <v>Lightning Greaves</v>
      </c>
      <c r="W18" t="str">
        <v>Relentless Assault</v>
      </c>
      <c r="X18" t="str">
        <v>Kutzil, Malamet Exemplar</v>
      </c>
      <c r="Z18" t="str">
        <v>Thought Vessel</v>
      </c>
      <c r="AA18" t="str">
        <v>Summon: Leviathan</v>
      </c>
      <c r="AX18" t="str">
        <v>Badgermole</v>
      </c>
      <c r="AZ18" t="str">
        <f ca="1"/>
        <v>Takenuma, Charco Abandonado</v>
      </c>
      <c r="BA18" t="str">
        <f ca="1"/>
        <v>Sonic Screwdriver</v>
      </c>
      <c r="BC18" t="str">
        <f ca="1"/>
        <v>Satoru, the Infiltrator</v>
      </c>
      <c r="BD18" t="str">
        <f ca="1"/>
        <v>Keen Duelist</v>
      </c>
      <c r="BE18" t="str">
        <f ca="1"/>
        <v>Lightning Greaves</v>
      </c>
      <c r="BF18" t="str">
        <f ca="1"/>
        <v>Karn Liberated</v>
      </c>
      <c r="BG18" t="str">
        <f ca="1"/>
        <v>Incendiary Command</v>
      </c>
      <c r="BH18" t="str">
        <f ca="1"/>
        <v>Deceptive Landscape</v>
      </c>
      <c r="BI18" t="str">
        <f ca="1"/>
        <v>Back in Town</v>
      </c>
      <c r="BK18" t="str">
        <f ca="1"/>
        <v>Inventors' Fair</v>
      </c>
      <c r="BL18" t="str">
        <f ca="1"/>
        <v>Lagoa Espelhada</v>
      </c>
      <c r="BM18" t="str">
        <f ca="1"/>
        <v>Espada de Fogo e Gelo</v>
      </c>
      <c r="BN18" t="str">
        <f ca="1"/>
        <v>Elspeth, Sun's Champion</v>
      </c>
      <c r="BO18" t="str">
        <f ca="1"/>
        <v>Ardbert, Warrior of Darkness</v>
      </c>
      <c r="BQ18" t="str">
        <f ca="1"/>
        <v>Collector's Vault</v>
      </c>
      <c r="BR18" t="str">
        <f ca="1"/>
        <v>Clifftop Retreat</v>
      </c>
      <c r="BT18" t="str">
        <f ca="1"/>
        <v>Baral, Chief of Compliance</v>
      </c>
    </row>
    <row r="19" spans="1:72" x14ac:dyDescent="0.25">
      <c r="A19" s="3" t="str">
        <f t="shared" ca="1" si="0"/>
        <v>1</v>
      </c>
      <c r="B19" s="3">
        <f t="shared" ca="1" si="1"/>
        <v>1</v>
      </c>
      <c r="C19" s="3" t="str">
        <f ca="1">IFERROR(
 INDEX($U$1:$AX$1,
  MATCH(TRUE,
   CHOOSE({1;2;3;4;5;6;7;8;9;10;11;12;13;14;15;16;17;18;19;20;21;22;23;24;25;26;27;28;29;30;31;32},
    COUNTIFS($U$2:$U$200,$G19)&gt;0,
    COUNTIFS($V$2:$V$200,$G19)&gt;0,
    COUNTIFS($W$2:$W$200,$G19)&gt;0,
    COUNTIFS($X$2:$X$200,$G19)&gt;0,
    COUNTIFS($Y$2:$Y$200,$G19)&gt;0,
    COUNTIFS($Z$2:$Z$200,$G19)&gt;0,
    COUNTIFS($AA$2:$AA$200,$G19)&gt;0,
    COUNTIFS($AB$2:$AB$200,$G19)&gt;0,
    COUNTIFS($AC$2:$AC$200,$G19)&gt;0,
    COUNTIFS($AD$2:$AD$200,$G19)&gt;0,
    COUNTIFS($AE$2:$AE$200,$G19)&gt;0,
    COUNTIFS($AF$2:$AF$200,$G19)&gt;0,
    COUNTIFS($AG$2:$AG$200,$G19)&gt;0,
    COUNTIFS($AH$2:$AH$200,$G19)&gt;0,
    COUNTIFS($AI$2:$AI$200,$G19)&gt;0,
    COUNTIFS($AJ$2:$AJ$200,$G19)&gt;0,
    COUNTIFS($AK$2:$AK$200,$G19)&gt;0,
    COUNTIFS($AL$2:$AL$200,$G19)&gt;0,
    COUNTIFS($AM$2:$AM$200,$G19)&gt;0,
    COUNTIFS($AN$2:$AN$200,$G19)&gt;0,
    COUNTIFS($AO$2:$AO$200,$G19)&gt;0,
    COUNTIFS($AP$2:$AP$200,$G19)&gt;0,
    COUNTIFS($AQ$2:$AQ$200,$G19)&gt;0,
    COUNTIFS($AR$2:$AR$200,$G19)&gt;0,
    COUNTIFS($AS$2:$AS$200,$G19)&gt;0,
    COUNTIFS($AT$2:$AT$200,$G19)&gt;0,
    COUNTIFS($AU$2:$AU$200,$G19)&gt;0,
    COUNTIFS($AV$2:$AV$200,$G19)&gt;0,
    COUNTIFS($AW$2:$AW$200,$G19)&gt;0,
    COUNTIFS($AX$2:$AX$200,$G19)&gt;0
   ),
  0)
 ),
"")</f>
        <v>Modular</v>
      </c>
      <c r="D19" s="3" t="str" cm="1">
        <f t="array" aca="1" ref="D19" ca="1">IFERROR(
 INDEX(
  _xlfn._xlws.FILTER($U$1:$AX$1,
   TRANSPOSE(
    CHOOSE({1;2;3;4;5;6;7;8;9;10;11;12;13;14;15;16;17;18;19;20;21;22;23;24;25;26;27;28;29;30},
     COUNTIFS($U$2:$U$200,$G19)&gt;0,
     COUNTIFS($V$2:$V$200,$G19)&gt;0,
     COUNTIFS($W$2:$W$200,$G19)&gt;0,
     COUNTIFS($X$2:$X$200,$G19)&gt;0,
     COUNTIFS($Y$2:$Y$200,$G19)&gt;0,
     COUNTIFS($Z$2:$Z$200,$G19)&gt;0,
     COUNTIFS($AA$2:$AA$200,$G19)&gt;0,
     COUNTIFS($AB$2:$AB$200,$G19)&gt;0,
     COUNTIFS($AC$2:$AC$200,$G19)&gt;0,
     COUNTIFS($AD$2:$AD$200,$G19)&gt;0,
     COUNTIFS($AE$2:$AE$200,$G19)&gt;0,
     COUNTIFS($AF$2:$AF$200,$G19)&gt;0,
     COUNTIFS($AG$2:$AG$200,$G19)&gt;0,
     COUNTIFS($AH$2:$AH$200,$G19)&gt;0,
     COUNTIFS($AI$2:$AI$200,$G19)&gt;0,
     COUNTIFS($AJ$2:$AJ$200,$G19)&gt;0,
     COUNTIFS($AK$2:$AK$200,$G19)&gt;0,
     COUNTIFS($AL$2:$AL$200,$G19)&gt;0,
     COUNTIFS($AM$2:$AM$200,$G19)&gt;0,
     COUNTIFS($AN$2:$AN$200,$G19)&gt;0,
     COUNTIFS($AO$2:$AO$200,$G19)&gt;0,
     COUNTIFS($AP$2:$AP$200,$G19)&gt;0,
     COUNTIFS($AQ$2:$AQ$200,$G19)&gt;0,
     COUNTIFS($AR$2:$AR$200,$G19)&gt;0,
     COUNTIFS($AS$2:$AS$200,$G19)&gt;0,
     COUNTIFS($AT$2:$AT$200,$G19)&gt;0,
     COUNTIFS($AU$2:$AU$200,$G19)&gt;0,
     COUNTIFS($AV$2:$AV$200,$G19)&gt;0,
     COUNTIFS($AW$2:$AW$200,$G19)&gt;0,
     COUNTIFS($AX$2:$AX$200,$G19)&gt;0
   )),
  ),
  2
 ),
"")</f>
        <v/>
      </c>
      <c r="E19" s="3" t="str" cm="1">
        <f t="array" aca="1" ref="E19" ca="1">IFERROR(
 INDEX(
  _xlfn._xlws.FILTER($U$1:$AX$1,
   TRANSPOSE(
    CHOOSE({1;2;3;4;5;6;7;8;9;10;11;12;13;14;15;16;17;18;19;20;21;22;23;24;25;26;27;28;29;30},
     COUNTIFS($U$2:$U$200,$G19)&gt;0,
     COUNTIFS($V$2:$V$200,$G19)&gt;0,
     COUNTIFS($W$2:$W$200,$G19)&gt;0,
     COUNTIFS($X$2:$X$200,$G19)&gt;0,
     COUNTIFS($Y$2:$Y$200,$G19)&gt;0,
     COUNTIFS($Z$2:$Z$200,$G19)&gt;0,
     COUNTIFS($AA$2:$AA$200,$G19)&gt;0,
     COUNTIFS($AB$2:$AB$200,$G19)&gt;0,
     COUNTIFS($AC$2:$AC$200,$G19)&gt;0,
     COUNTIFS($AD$2:$AD$200,$G19)&gt;0,
     COUNTIFS($AE$2:$AE$200,$G19)&gt;0,
     COUNTIFS($AF$2:$AF$200,$G19)&gt;0,
     COUNTIFS($AG$2:$AG$200,$G19)&gt;0,
     COUNTIFS($AH$2:$AH$200,$G19)&gt;0,
     COUNTIFS($AI$2:$AI$200,$G19)&gt;0,
     COUNTIFS($AJ$2:$AJ$200,$G19)&gt;0,
     COUNTIFS($AK$2:$AK$200,$G19)&gt;0,
     COUNTIFS($AL$2:$AL$200,$G19)&gt;0,
     COUNTIFS($AM$2:$AM$200,$G19)&gt;0,
     COUNTIFS($AN$2:$AN$200,$G19)&gt;0,
     COUNTIFS($AO$2:$AO$200,$G19)&gt;0,
     COUNTIFS($AP$2:$AP$200,$G19)&gt;0,
     COUNTIFS($AQ$2:$AQ$200,$G19)&gt;0,
     COUNTIFS($AR$2:$AR$200,$G19)&gt;0,
     COUNTIFS($AS$2:$AS$200,$G19)&gt;0,
     COUNTIFS($AT$2:$AT$200,$G19)&gt;0,
     COUNTIFS($AU$2:$AU$200,$G19)&gt;0,
     COUNTIFS($AV$2:$AV$200,$G19)&gt;0,
     COUNTIFS($AW$2:$AW$200,$G19)&gt;0,
     COUNTIFS($AX$2:$AX$200,$G19)&gt;0
   )),
  ),
  3
 ),
"")</f>
        <v/>
      </c>
      <c r="F19" s="3" t="str" cm="1">
        <f t="array" aca="1" ref="F19" ca="1">IFERROR(
 INDEX(
  _xlfn._xlws.FILTER($U$1:$AX$1,
   TRANSPOSE(
    CHOOSE({1;2;3;4;5;6;7;8;9;10;11;12;13;14;15;16;17;18;19;20;21;22;23;24;25;26;27;28;29;30},
     COUNTIFS($U$2:$U$200,$G19)&gt;0,
     COUNTIFS($V$2:$V$200,$G19)&gt;0,
     COUNTIFS($W$2:$W$200,$G19)&gt;0,
     COUNTIFS($X$2:$X$200,$G19)&gt;0,
     COUNTIFS($Y$2:$Y$200,$G19)&gt;0,
     COUNTIFS($Z$2:$Z$200,$G19)&gt;0,
     COUNTIFS($AA$2:$AA$200,$G19)&gt;0,
     COUNTIFS($AB$2:$AB$200,$G19)&gt;0,
     COUNTIFS($AC$2:$AC$200,$G19)&gt;0,
     COUNTIFS($AD$2:$AD$200,$G19)&gt;0,
     COUNTIFS($AE$2:$AE$200,$G19)&gt;0,
     COUNTIFS($AF$2:$AF$200,$G19)&gt;0,
     COUNTIFS($AG$2:$AG$200,$G19)&gt;0,
     COUNTIFS($AH$2:$AH$200,$G19)&gt;0,
     COUNTIFS($AI$2:$AI$200,$G19)&gt;0,
     COUNTIFS($AJ$2:$AJ$200,$G19)&gt;0,
     COUNTIFS($AK$2:$AK$200,$G19)&gt;0,
     COUNTIFS($AL$2:$AL$200,$G19)&gt;0,
     COUNTIFS($AM$2:$AM$200,$G19)&gt;0,
     COUNTIFS($AN$2:$AN$200,$G19)&gt;0,
     COUNTIFS($AO$2:$AO$200,$G19)&gt;0,
     COUNTIFS($AP$2:$AP$200,$G19)&gt;0,
     COUNTIFS($AQ$2:$AQ$200,$G19)&gt;0,
     COUNTIFS($AR$2:$AR$200,$G19)&gt;0,
     COUNTIFS($AS$2:$AS$200,$G19)&gt;0,
     COUNTIFS($AT$2:$AT$200,$G19)&gt;0,
     COUNTIFS($AU$2:$AU$200,$G19)&gt;0,
     COUNTIFS($AV$2:$AV$200,$G19)&gt;0,
     COUNTIFS($AW$2:$AW$200,$G19)&gt;0,
     COUNTIFS($AX$2:$AX$200,$G19)&gt;0
   )),
  ),
  4
 ),
"")</f>
        <v/>
      </c>
      <c r="G19" t="str">
        <f ca="1"/>
        <v>Arcbound Fiend</v>
      </c>
      <c r="I19" t="s">
        <v>15</v>
      </c>
      <c r="J19" s="3">
        <f>Thrakiri!G2</f>
        <v>4</v>
      </c>
      <c r="K19" s="3" t="s">
        <v>2087</v>
      </c>
      <c r="L19" s="3" t="s">
        <v>2087</v>
      </c>
      <c r="M19" s="3" t="s">
        <v>2087</v>
      </c>
      <c r="N19" s="3" t="s">
        <v>2088</v>
      </c>
      <c r="O19" s="3" t="s">
        <v>2087</v>
      </c>
      <c r="P19" s="3" t="s">
        <v>335</v>
      </c>
      <c r="Q19" s="3" t="s">
        <v>2139</v>
      </c>
      <c r="R19" s="3" t="s">
        <v>2156</v>
      </c>
      <c r="S19" s="3" t="str">
        <f t="shared" si="2"/>
        <v>5</v>
      </c>
      <c r="U19" t="str">
        <v>Seething Landscape</v>
      </c>
      <c r="V19" t="str">
        <v>Marcha dos Canonizados</v>
      </c>
      <c r="W19" t="str">
        <v>Sea of Clouds</v>
      </c>
      <c r="X19" t="str">
        <v>Lae'zel, Vlaakith's Champion</v>
      </c>
      <c r="Z19" t="str">
        <v>Trenzalore Clocktower</v>
      </c>
      <c r="AA19" t="str">
        <v>Surgespanner</v>
      </c>
      <c r="AX19" t="str">
        <v>Beast Within</v>
      </c>
      <c r="AZ19" t="str">
        <f ca="1"/>
        <v>Three Tree City</v>
      </c>
      <c r="BA19" t="str">
        <f ca="1"/>
        <v>The Mycosynth Gardens</v>
      </c>
      <c r="BC19" t="str">
        <f ca="1"/>
        <v>Sea Gate Restoration</v>
      </c>
      <c r="BD19" t="str">
        <f ca="1"/>
        <v>Merchant of Secrets</v>
      </c>
      <c r="BE19" t="str">
        <f ca="1"/>
        <v>Nibelheim Aflame</v>
      </c>
      <c r="BF19" t="str">
        <f ca="1"/>
        <v>Kaya the Inexorable</v>
      </c>
      <c r="BG19" t="str">
        <f ca="1"/>
        <v>Irenicus's Vile Duplication</v>
      </c>
      <c r="BH19" t="str">
        <f ca="1"/>
        <v>Dever Além da Morte</v>
      </c>
      <c r="BI19" t="str">
        <f ca="1"/>
        <v>Badgermole</v>
      </c>
      <c r="BK19" t="str">
        <f ca="1"/>
        <v>Jetmir's Garden</v>
      </c>
      <c r="BL19" t="str">
        <f ca="1"/>
        <v>Louisoix's Sacrifice</v>
      </c>
      <c r="BM19" t="str">
        <f ca="1"/>
        <v>Espada de Luz e Sombra</v>
      </c>
      <c r="BN19" t="str">
        <f ca="1"/>
        <v>Equilíbrio de Poderes</v>
      </c>
      <c r="BO19" t="str">
        <f ca="1"/>
        <v>Artifact Mutation</v>
      </c>
      <c r="BQ19" t="str">
        <f ca="1"/>
        <v>Creeping Tar Pit</v>
      </c>
      <c r="BR19" t="str">
        <f ca="1"/>
        <v>Cloud, Midgar Mercenary</v>
      </c>
      <c r="BT19" t="str">
        <f ca="1"/>
        <v>Batwing Brume</v>
      </c>
    </row>
    <row r="20" spans="1:72" x14ac:dyDescent="0.25">
      <c r="A20" s="3" t="str">
        <f t="shared" ca="1" si="0"/>
        <v>1</v>
      </c>
      <c r="B20" s="3">
        <f t="shared" ca="1" si="1"/>
        <v>1</v>
      </c>
      <c r="C20" s="3" t="str">
        <f ca="1">IFERROR(
 INDEX($U$1:$AX$1,
  MATCH(TRUE,
   CHOOSE({1;2;3;4;5;6;7;8;9;10;11;12;13;14;15;16;17;18;19;20;21;22;23;24;25;26;27;28;29;30;31;32},
    COUNTIFS($U$2:$U$200,$G20)&gt;0,
    COUNTIFS($V$2:$V$200,$G20)&gt;0,
    COUNTIFS($W$2:$W$200,$G20)&gt;0,
    COUNTIFS($X$2:$X$200,$G20)&gt;0,
    COUNTIFS($Y$2:$Y$200,$G20)&gt;0,
    COUNTIFS($Z$2:$Z$200,$G20)&gt;0,
    COUNTIFS($AA$2:$AA$200,$G20)&gt;0,
    COUNTIFS($AB$2:$AB$200,$G20)&gt;0,
    COUNTIFS($AC$2:$AC$200,$G20)&gt;0,
    COUNTIFS($AD$2:$AD$200,$G20)&gt;0,
    COUNTIFS($AE$2:$AE$200,$G20)&gt;0,
    COUNTIFS($AF$2:$AF$200,$G20)&gt;0,
    COUNTIFS($AG$2:$AG$200,$G20)&gt;0,
    COUNTIFS($AH$2:$AH$200,$G20)&gt;0,
    COUNTIFS($AI$2:$AI$200,$G20)&gt;0,
    COUNTIFS($AJ$2:$AJ$200,$G20)&gt;0,
    COUNTIFS($AK$2:$AK$200,$G20)&gt;0,
    COUNTIFS($AL$2:$AL$200,$G20)&gt;0,
    COUNTIFS($AM$2:$AM$200,$G20)&gt;0,
    COUNTIFS($AN$2:$AN$200,$G20)&gt;0,
    COUNTIFS($AO$2:$AO$200,$G20)&gt;0,
    COUNTIFS($AP$2:$AP$200,$G20)&gt;0,
    COUNTIFS($AQ$2:$AQ$200,$G20)&gt;0,
    COUNTIFS($AR$2:$AR$200,$G20)&gt;0,
    COUNTIFS($AS$2:$AS$200,$G20)&gt;0,
    COUNTIFS($AT$2:$AT$200,$G20)&gt;0,
    COUNTIFS($AU$2:$AU$200,$G20)&gt;0,
    COUNTIFS($AV$2:$AV$200,$G20)&gt;0,
    COUNTIFS($AW$2:$AW$200,$G20)&gt;0,
    COUNTIFS($AX$2:$AX$200,$G20)&gt;0
   ),
  0)
 ),
"")</f>
        <v>Modular</v>
      </c>
      <c r="D20" s="3" t="str" cm="1">
        <f t="array" aca="1" ref="D20" ca="1">IFERROR(
 INDEX(
  _xlfn._xlws.FILTER($U$1:$AX$1,
   TRANSPOSE(
    CHOOSE({1;2;3;4;5;6;7;8;9;10;11;12;13;14;15;16;17;18;19;20;21;22;23;24;25;26;27;28;29;30},
     COUNTIFS($U$2:$U$200,$G20)&gt;0,
     COUNTIFS($V$2:$V$200,$G20)&gt;0,
     COUNTIFS($W$2:$W$200,$G20)&gt;0,
     COUNTIFS($X$2:$X$200,$G20)&gt;0,
     COUNTIFS($Y$2:$Y$200,$G20)&gt;0,
     COUNTIFS($Z$2:$Z$200,$G20)&gt;0,
     COUNTIFS($AA$2:$AA$200,$G20)&gt;0,
     COUNTIFS($AB$2:$AB$200,$G20)&gt;0,
     COUNTIFS($AC$2:$AC$200,$G20)&gt;0,
     COUNTIFS($AD$2:$AD$200,$G20)&gt;0,
     COUNTIFS($AE$2:$AE$200,$G20)&gt;0,
     COUNTIFS($AF$2:$AF$200,$G20)&gt;0,
     COUNTIFS($AG$2:$AG$200,$G20)&gt;0,
     COUNTIFS($AH$2:$AH$200,$G20)&gt;0,
     COUNTIFS($AI$2:$AI$200,$G20)&gt;0,
     COUNTIFS($AJ$2:$AJ$200,$G20)&gt;0,
     COUNTIFS($AK$2:$AK$200,$G20)&gt;0,
     COUNTIFS($AL$2:$AL$200,$G20)&gt;0,
     COUNTIFS($AM$2:$AM$200,$G20)&gt;0,
     COUNTIFS($AN$2:$AN$200,$G20)&gt;0,
     COUNTIFS($AO$2:$AO$200,$G20)&gt;0,
     COUNTIFS($AP$2:$AP$200,$G20)&gt;0,
     COUNTIFS($AQ$2:$AQ$200,$G20)&gt;0,
     COUNTIFS($AR$2:$AR$200,$G20)&gt;0,
     COUNTIFS($AS$2:$AS$200,$G20)&gt;0,
     COUNTIFS($AT$2:$AT$200,$G20)&gt;0,
     COUNTIFS($AU$2:$AU$200,$G20)&gt;0,
     COUNTIFS($AV$2:$AV$200,$G20)&gt;0,
     COUNTIFS($AW$2:$AW$200,$G20)&gt;0,
     COUNTIFS($AX$2:$AX$200,$G20)&gt;0
   )),
  ),
  2
 ),
"")</f>
        <v/>
      </c>
      <c r="E20" s="3" t="str" cm="1">
        <f t="array" aca="1" ref="E20" ca="1">IFERROR(
 INDEX(
  _xlfn._xlws.FILTER($U$1:$AX$1,
   TRANSPOSE(
    CHOOSE({1;2;3;4;5;6;7;8;9;10;11;12;13;14;15;16;17;18;19;20;21;22;23;24;25;26;27;28;29;30},
     COUNTIFS($U$2:$U$200,$G20)&gt;0,
     COUNTIFS($V$2:$V$200,$G20)&gt;0,
     COUNTIFS($W$2:$W$200,$G20)&gt;0,
     COUNTIFS($X$2:$X$200,$G20)&gt;0,
     COUNTIFS($Y$2:$Y$200,$G20)&gt;0,
     COUNTIFS($Z$2:$Z$200,$G20)&gt;0,
     COUNTIFS($AA$2:$AA$200,$G20)&gt;0,
     COUNTIFS($AB$2:$AB$200,$G20)&gt;0,
     COUNTIFS($AC$2:$AC$200,$G20)&gt;0,
     COUNTIFS($AD$2:$AD$200,$G20)&gt;0,
     COUNTIFS($AE$2:$AE$200,$G20)&gt;0,
     COUNTIFS($AF$2:$AF$200,$G20)&gt;0,
     COUNTIFS($AG$2:$AG$200,$G20)&gt;0,
     COUNTIFS($AH$2:$AH$200,$G20)&gt;0,
     COUNTIFS($AI$2:$AI$200,$G20)&gt;0,
     COUNTIFS($AJ$2:$AJ$200,$G20)&gt;0,
     COUNTIFS($AK$2:$AK$200,$G20)&gt;0,
     COUNTIFS($AL$2:$AL$200,$G20)&gt;0,
     COUNTIFS($AM$2:$AM$200,$G20)&gt;0,
     COUNTIFS($AN$2:$AN$200,$G20)&gt;0,
     COUNTIFS($AO$2:$AO$200,$G20)&gt;0,
     COUNTIFS($AP$2:$AP$200,$G20)&gt;0,
     COUNTIFS($AQ$2:$AQ$200,$G20)&gt;0,
     COUNTIFS($AR$2:$AR$200,$G20)&gt;0,
     COUNTIFS($AS$2:$AS$200,$G20)&gt;0,
     COUNTIFS($AT$2:$AT$200,$G20)&gt;0,
     COUNTIFS($AU$2:$AU$200,$G20)&gt;0,
     COUNTIFS($AV$2:$AV$200,$G20)&gt;0,
     COUNTIFS($AW$2:$AW$200,$G20)&gt;0,
     COUNTIFS($AX$2:$AX$200,$G20)&gt;0
   )),
  ),
  3
 ),
"")</f>
        <v/>
      </c>
      <c r="F20" s="3" t="str" cm="1">
        <f t="array" aca="1" ref="F20" ca="1">IFERROR(
 INDEX(
  _xlfn._xlws.FILTER($U$1:$AX$1,
   TRANSPOSE(
    CHOOSE({1;2;3;4;5;6;7;8;9;10;11;12;13;14;15;16;17;18;19;20;21;22;23;24;25;26;27;28;29;30},
     COUNTIFS($U$2:$U$200,$G20)&gt;0,
     COUNTIFS($V$2:$V$200,$G20)&gt;0,
     COUNTIFS($W$2:$W$200,$G20)&gt;0,
     COUNTIFS($X$2:$X$200,$G20)&gt;0,
     COUNTIFS($Y$2:$Y$200,$G20)&gt;0,
     COUNTIFS($Z$2:$Z$200,$G20)&gt;0,
     COUNTIFS($AA$2:$AA$200,$G20)&gt;0,
     COUNTIFS($AB$2:$AB$200,$G20)&gt;0,
     COUNTIFS($AC$2:$AC$200,$G20)&gt;0,
     COUNTIFS($AD$2:$AD$200,$G20)&gt;0,
     COUNTIFS($AE$2:$AE$200,$G20)&gt;0,
     COUNTIFS($AF$2:$AF$200,$G20)&gt;0,
     COUNTIFS($AG$2:$AG$200,$G20)&gt;0,
     COUNTIFS($AH$2:$AH$200,$G20)&gt;0,
     COUNTIFS($AI$2:$AI$200,$G20)&gt;0,
     COUNTIFS($AJ$2:$AJ$200,$G20)&gt;0,
     COUNTIFS($AK$2:$AK$200,$G20)&gt;0,
     COUNTIFS($AL$2:$AL$200,$G20)&gt;0,
     COUNTIFS($AM$2:$AM$200,$G20)&gt;0,
     COUNTIFS($AN$2:$AN$200,$G20)&gt;0,
     COUNTIFS($AO$2:$AO$200,$G20)&gt;0,
     COUNTIFS($AP$2:$AP$200,$G20)&gt;0,
     COUNTIFS($AQ$2:$AQ$200,$G20)&gt;0,
     COUNTIFS($AR$2:$AR$200,$G20)&gt;0,
     COUNTIFS($AS$2:$AS$200,$G20)&gt;0,
     COUNTIFS($AT$2:$AT$200,$G20)&gt;0,
     COUNTIFS($AU$2:$AU$200,$G20)&gt;0,
     COUNTIFS($AV$2:$AV$200,$G20)&gt;0,
     COUNTIFS($AW$2:$AW$200,$G20)&gt;0,
     COUNTIFS($AX$2:$AX$200,$G20)&gt;0
   )),
  ),
  4
 ),
"")</f>
        <v/>
      </c>
      <c r="G20" t="str">
        <f ca="1"/>
        <v>Arcbound Javelineer</v>
      </c>
      <c r="I20" t="s">
        <v>16</v>
      </c>
      <c r="J20" s="3">
        <f>Elfos!G2</f>
        <v>6</v>
      </c>
      <c r="K20" s="3" t="s">
        <v>2088</v>
      </c>
      <c r="L20" s="3" t="s">
        <v>2087</v>
      </c>
      <c r="M20" s="3" t="s">
        <v>2088</v>
      </c>
      <c r="N20" s="3" t="s">
        <v>2087</v>
      </c>
      <c r="O20" s="3" t="s">
        <v>2087</v>
      </c>
      <c r="P20" s="3" t="s">
        <v>335</v>
      </c>
      <c r="Q20" s="3" t="s">
        <v>753</v>
      </c>
      <c r="R20" s="3" t="s">
        <v>2162</v>
      </c>
      <c r="S20" s="3" t="str">
        <f t="shared" si="2"/>
        <v>4</v>
      </c>
      <c r="U20" t="str">
        <v>Shoot the Sheriff</v>
      </c>
      <c r="V20" t="str">
        <v>Mossfire Valley</v>
      </c>
      <c r="W20" t="str">
        <v>Slash the Ranks</v>
      </c>
      <c r="X20" t="str">
        <v>Maester Seymour</v>
      </c>
      <c r="Z20" t="str">
        <v>Xantcha, Agente Adormecida</v>
      </c>
      <c r="AA20" t="str">
        <v>Throne of the God-Pharaoh</v>
      </c>
      <c r="AX20" t="str">
        <v>Boros Signet</v>
      </c>
      <c r="AZ20" t="str">
        <f ca="1"/>
        <v>Titania, Voice of Gaea</v>
      </c>
      <c r="BA20" t="str">
        <f ca="1"/>
        <v>Thrumming Hivepool</v>
      </c>
      <c r="BC20" t="str">
        <f ca="1"/>
        <v>Shizo, Death's Storehouse</v>
      </c>
      <c r="BD20" t="str">
        <f ca="1"/>
        <v>Mistbind Clique</v>
      </c>
      <c r="BE20" t="str">
        <f ca="1"/>
        <v>Pain for All</v>
      </c>
      <c r="BF20" t="str">
        <f ca="1"/>
        <v>Life of the Party</v>
      </c>
      <c r="BG20" t="str">
        <f ca="1"/>
        <v>Jadar, Ghoulcaller of Nephalia</v>
      </c>
      <c r="BH20" t="str">
        <f ca="1"/>
        <v>Devoted Druid</v>
      </c>
      <c r="BI20" t="str">
        <f ca="1"/>
        <v>Beast Within</v>
      </c>
      <c r="BK20" t="str">
        <f ca="1"/>
        <v>Matoya, Archon Elder</v>
      </c>
      <c r="BL20" t="str">
        <f ca="1"/>
        <v>Luxury Suite</v>
      </c>
      <c r="BM20" t="str">
        <f ca="1"/>
        <v>Espada de Verdade e Justiça</v>
      </c>
      <c r="BN20" t="str">
        <f ca="1"/>
        <v>Fabled Passage</v>
      </c>
      <c r="BO20" t="str">
        <f ca="1"/>
        <v>Arwen, Weaver of Hope</v>
      </c>
      <c r="BQ20" t="str">
        <f ca="1"/>
        <v>Crisol dos Mundos</v>
      </c>
      <c r="BR20" t="str">
        <f ca="1"/>
        <v>Commodore Guff</v>
      </c>
      <c r="BT20" t="str">
        <f ca="1"/>
        <v>Beast Within</v>
      </c>
    </row>
    <row r="21" spans="1:72" x14ac:dyDescent="0.25">
      <c r="A21" s="3" t="str">
        <f t="shared" ca="1" si="0"/>
        <v>1</v>
      </c>
      <c r="B21" s="3">
        <f t="shared" ca="1" si="1"/>
        <v>1</v>
      </c>
      <c r="C21" s="3" t="str">
        <f ca="1">IFERROR(
 INDEX($U$1:$AX$1,
  MATCH(TRUE,
   CHOOSE({1;2;3;4;5;6;7;8;9;10;11;12;13;14;15;16;17;18;19;20;21;22;23;24;25;26;27;28;29;30;31;32},
    COUNTIFS($U$2:$U$200,$G21)&gt;0,
    COUNTIFS($V$2:$V$200,$G21)&gt;0,
    COUNTIFS($W$2:$W$200,$G21)&gt;0,
    COUNTIFS($X$2:$X$200,$G21)&gt;0,
    COUNTIFS($Y$2:$Y$200,$G21)&gt;0,
    COUNTIFS($Z$2:$Z$200,$G21)&gt;0,
    COUNTIFS($AA$2:$AA$200,$G21)&gt;0,
    COUNTIFS($AB$2:$AB$200,$G21)&gt;0,
    COUNTIFS($AC$2:$AC$200,$G21)&gt;0,
    COUNTIFS($AD$2:$AD$200,$G21)&gt;0,
    COUNTIFS($AE$2:$AE$200,$G21)&gt;0,
    COUNTIFS($AF$2:$AF$200,$G21)&gt;0,
    COUNTIFS($AG$2:$AG$200,$G21)&gt;0,
    COUNTIFS($AH$2:$AH$200,$G21)&gt;0,
    COUNTIFS($AI$2:$AI$200,$G21)&gt;0,
    COUNTIFS($AJ$2:$AJ$200,$G21)&gt;0,
    COUNTIFS($AK$2:$AK$200,$G21)&gt;0,
    COUNTIFS($AL$2:$AL$200,$G21)&gt;0,
    COUNTIFS($AM$2:$AM$200,$G21)&gt;0,
    COUNTIFS($AN$2:$AN$200,$G21)&gt;0,
    COUNTIFS($AO$2:$AO$200,$G21)&gt;0,
    COUNTIFS($AP$2:$AP$200,$G21)&gt;0,
    COUNTIFS($AQ$2:$AQ$200,$G21)&gt;0,
    COUNTIFS($AR$2:$AR$200,$G21)&gt;0,
    COUNTIFS($AS$2:$AS$200,$G21)&gt;0,
    COUNTIFS($AT$2:$AT$200,$G21)&gt;0,
    COUNTIFS($AU$2:$AU$200,$G21)&gt;0,
    COUNTIFS($AV$2:$AV$200,$G21)&gt;0,
    COUNTIFS($AW$2:$AW$200,$G21)&gt;0,
    COUNTIFS($AX$2:$AX$200,$G21)&gt;0
   ),
  0)
 ),
"")</f>
        <v>Modular</v>
      </c>
      <c r="D21" s="3" t="str" cm="1">
        <f t="array" aca="1" ref="D21" ca="1">IFERROR(
 INDEX(
  _xlfn._xlws.FILTER($U$1:$AX$1,
   TRANSPOSE(
    CHOOSE({1;2;3;4;5;6;7;8;9;10;11;12;13;14;15;16;17;18;19;20;21;22;23;24;25;26;27;28;29;30},
     COUNTIFS($U$2:$U$200,$G21)&gt;0,
     COUNTIFS($V$2:$V$200,$G21)&gt;0,
     COUNTIFS($W$2:$W$200,$G21)&gt;0,
     COUNTIFS($X$2:$X$200,$G21)&gt;0,
     COUNTIFS($Y$2:$Y$200,$G21)&gt;0,
     COUNTIFS($Z$2:$Z$200,$G21)&gt;0,
     COUNTIFS($AA$2:$AA$200,$G21)&gt;0,
     COUNTIFS($AB$2:$AB$200,$G21)&gt;0,
     COUNTIFS($AC$2:$AC$200,$G21)&gt;0,
     COUNTIFS($AD$2:$AD$200,$G21)&gt;0,
     COUNTIFS($AE$2:$AE$200,$G21)&gt;0,
     COUNTIFS($AF$2:$AF$200,$G21)&gt;0,
     COUNTIFS($AG$2:$AG$200,$G21)&gt;0,
     COUNTIFS($AH$2:$AH$200,$G21)&gt;0,
     COUNTIFS($AI$2:$AI$200,$G21)&gt;0,
     COUNTIFS($AJ$2:$AJ$200,$G21)&gt;0,
     COUNTIFS($AK$2:$AK$200,$G21)&gt;0,
     COUNTIFS($AL$2:$AL$200,$G21)&gt;0,
     COUNTIFS($AM$2:$AM$200,$G21)&gt;0,
     COUNTIFS($AN$2:$AN$200,$G21)&gt;0,
     COUNTIFS($AO$2:$AO$200,$G21)&gt;0,
     COUNTIFS($AP$2:$AP$200,$G21)&gt;0,
     COUNTIFS($AQ$2:$AQ$200,$G21)&gt;0,
     COUNTIFS($AR$2:$AR$200,$G21)&gt;0,
     COUNTIFS($AS$2:$AS$200,$G21)&gt;0,
     COUNTIFS($AT$2:$AT$200,$G21)&gt;0,
     COUNTIFS($AU$2:$AU$200,$G21)&gt;0,
     COUNTIFS($AV$2:$AV$200,$G21)&gt;0,
     COUNTIFS($AW$2:$AW$200,$G21)&gt;0,
     COUNTIFS($AX$2:$AX$200,$G21)&gt;0
   )),
  ),
  2
 ),
"")</f>
        <v/>
      </c>
      <c r="E21" s="3" t="str" cm="1">
        <f t="array" aca="1" ref="E21" ca="1">IFERROR(
 INDEX(
  _xlfn._xlws.FILTER($U$1:$AX$1,
   TRANSPOSE(
    CHOOSE({1;2;3;4;5;6;7;8;9;10;11;12;13;14;15;16;17;18;19;20;21;22;23;24;25;26;27;28;29;30},
     COUNTIFS($U$2:$U$200,$G21)&gt;0,
     COUNTIFS($V$2:$V$200,$G21)&gt;0,
     COUNTIFS($W$2:$W$200,$G21)&gt;0,
     COUNTIFS($X$2:$X$200,$G21)&gt;0,
     COUNTIFS($Y$2:$Y$200,$G21)&gt;0,
     COUNTIFS($Z$2:$Z$200,$G21)&gt;0,
     COUNTIFS($AA$2:$AA$200,$G21)&gt;0,
     COUNTIFS($AB$2:$AB$200,$G21)&gt;0,
     COUNTIFS($AC$2:$AC$200,$G21)&gt;0,
     COUNTIFS($AD$2:$AD$200,$G21)&gt;0,
     COUNTIFS($AE$2:$AE$200,$G21)&gt;0,
     COUNTIFS($AF$2:$AF$200,$G21)&gt;0,
     COUNTIFS($AG$2:$AG$200,$G21)&gt;0,
     COUNTIFS($AH$2:$AH$200,$G21)&gt;0,
     COUNTIFS($AI$2:$AI$200,$G21)&gt;0,
     COUNTIFS($AJ$2:$AJ$200,$G21)&gt;0,
     COUNTIFS($AK$2:$AK$200,$G21)&gt;0,
     COUNTIFS($AL$2:$AL$200,$G21)&gt;0,
     COUNTIFS($AM$2:$AM$200,$G21)&gt;0,
     COUNTIFS($AN$2:$AN$200,$G21)&gt;0,
     COUNTIFS($AO$2:$AO$200,$G21)&gt;0,
     COUNTIFS($AP$2:$AP$200,$G21)&gt;0,
     COUNTIFS($AQ$2:$AQ$200,$G21)&gt;0,
     COUNTIFS($AR$2:$AR$200,$G21)&gt;0,
     COUNTIFS($AS$2:$AS$200,$G21)&gt;0,
     COUNTIFS($AT$2:$AT$200,$G21)&gt;0,
     COUNTIFS($AU$2:$AU$200,$G21)&gt;0,
     COUNTIFS($AV$2:$AV$200,$G21)&gt;0,
     COUNTIFS($AW$2:$AW$200,$G21)&gt;0,
     COUNTIFS($AX$2:$AX$200,$G21)&gt;0
   )),
  ),
  3
 ),
"")</f>
        <v/>
      </c>
      <c r="F21" s="3" t="str" cm="1">
        <f t="array" aca="1" ref="F21" ca="1">IFERROR(
 INDEX(
  _xlfn._xlws.FILTER($U$1:$AX$1,
   TRANSPOSE(
    CHOOSE({1;2;3;4;5;6;7;8;9;10;11;12;13;14;15;16;17;18;19;20;21;22;23;24;25;26;27;28;29;30},
     COUNTIFS($U$2:$U$200,$G21)&gt;0,
     COUNTIFS($V$2:$V$200,$G21)&gt;0,
     COUNTIFS($W$2:$W$200,$G21)&gt;0,
     COUNTIFS($X$2:$X$200,$G21)&gt;0,
     COUNTIFS($Y$2:$Y$200,$G21)&gt;0,
     COUNTIFS($Z$2:$Z$200,$G21)&gt;0,
     COUNTIFS($AA$2:$AA$200,$G21)&gt;0,
     COUNTIFS($AB$2:$AB$200,$G21)&gt;0,
     COUNTIFS($AC$2:$AC$200,$G21)&gt;0,
     COUNTIFS($AD$2:$AD$200,$G21)&gt;0,
     COUNTIFS($AE$2:$AE$200,$G21)&gt;0,
     COUNTIFS($AF$2:$AF$200,$G21)&gt;0,
     COUNTIFS($AG$2:$AG$200,$G21)&gt;0,
     COUNTIFS($AH$2:$AH$200,$G21)&gt;0,
     COUNTIFS($AI$2:$AI$200,$G21)&gt;0,
     COUNTIFS($AJ$2:$AJ$200,$G21)&gt;0,
     COUNTIFS($AK$2:$AK$200,$G21)&gt;0,
     COUNTIFS($AL$2:$AL$200,$G21)&gt;0,
     COUNTIFS($AM$2:$AM$200,$G21)&gt;0,
     COUNTIFS($AN$2:$AN$200,$G21)&gt;0,
     COUNTIFS($AO$2:$AO$200,$G21)&gt;0,
     COUNTIFS($AP$2:$AP$200,$G21)&gt;0,
     COUNTIFS($AQ$2:$AQ$200,$G21)&gt;0,
     COUNTIFS($AR$2:$AR$200,$G21)&gt;0,
     COUNTIFS($AS$2:$AS$200,$G21)&gt;0,
     COUNTIFS($AT$2:$AT$200,$G21)&gt;0,
     COUNTIFS($AU$2:$AU$200,$G21)&gt;0,
     COUNTIFS($AV$2:$AV$200,$G21)&gt;0,
     COUNTIFS($AW$2:$AW$200,$G21)&gt;0,
     COUNTIFS($AX$2:$AX$200,$G21)&gt;0
   )),
  ),
  4
 ),
"")</f>
        <v/>
      </c>
      <c r="G21" t="str">
        <f ca="1"/>
        <v>Arcbound Mouser</v>
      </c>
      <c r="I21" t="s">
        <v>17</v>
      </c>
      <c r="J21" s="3">
        <f>Jhoira!G2</f>
        <v>5</v>
      </c>
      <c r="K21" s="3" t="s">
        <v>2088</v>
      </c>
      <c r="L21" s="3" t="s">
        <v>2087</v>
      </c>
      <c r="M21" s="3" t="s">
        <v>2087</v>
      </c>
      <c r="N21" s="3" t="s">
        <v>2088</v>
      </c>
      <c r="O21" s="3" t="s">
        <v>2088</v>
      </c>
      <c r="P21" s="3" t="s">
        <v>335</v>
      </c>
      <c r="Q21" s="3" t="s">
        <v>753</v>
      </c>
      <c r="R21" s="3" t="s">
        <v>2153</v>
      </c>
      <c r="S21" s="3" t="str">
        <f t="shared" si="2"/>
        <v>5</v>
      </c>
      <c r="U21" t="str">
        <v>Siren Stormtamer</v>
      </c>
      <c r="V21" t="str">
        <v>Nature's Lore</v>
      </c>
      <c r="W21" t="str">
        <v>Slayers' Stronghold</v>
      </c>
      <c r="X21" t="str">
        <v>Managorger Hydra</v>
      </c>
      <c r="AA21" t="str">
        <v>Tishana, Voice of Thunder</v>
      </c>
      <c r="AX21" t="str">
        <v>Buried Ruin</v>
      </c>
      <c r="AZ21" t="str">
        <f ca="1"/>
        <v>Ulamog, the Infinite Gyre</v>
      </c>
      <c r="BA21" t="str">
        <f ca="1"/>
        <v>Trioma de Indatha</v>
      </c>
      <c r="BC21" t="str">
        <f ca="1"/>
        <v>Spectator Seating</v>
      </c>
      <c r="BD21" t="str">
        <f ca="1"/>
        <v>Molten Echoes</v>
      </c>
      <c r="BE21" t="str">
        <f ca="1"/>
        <v>Red XIII, Proud Warrior</v>
      </c>
      <c r="BF21" t="str">
        <f ca="1"/>
        <v>Lolth, Rainha Aranha</v>
      </c>
      <c r="BG21" t="str">
        <f ca="1"/>
        <v>Jidoor, Aristocratic Capital // Overture</v>
      </c>
      <c r="BH21" t="str">
        <f ca="1"/>
        <v>Emrakul, um Novo Mundo</v>
      </c>
      <c r="BI21" t="str">
        <f ca="1"/>
        <v>Bident of Thassa</v>
      </c>
      <c r="BK21" t="str">
        <f ca="1"/>
        <v>Mirrex</v>
      </c>
      <c r="BL21" t="str">
        <f ca="1"/>
        <v>Mandate of Peace</v>
      </c>
      <c r="BM21" t="str">
        <f ca="1"/>
        <v>Exemplar of Light</v>
      </c>
      <c r="BN21" t="str">
        <f ca="1"/>
        <v>Fellwar Stone</v>
      </c>
      <c r="BO21" t="str">
        <f ca="1"/>
        <v>Aura Mutation</v>
      </c>
      <c r="BQ21" t="str">
        <f ca="1"/>
        <v>Delighted Halfling</v>
      </c>
      <c r="BR21" t="str">
        <f ca="1"/>
        <v>Counterspell</v>
      </c>
      <c r="BT21" t="str">
        <f ca="1"/>
        <v>Bloodstained Mire</v>
      </c>
    </row>
    <row r="22" spans="1:72" x14ac:dyDescent="0.25">
      <c r="A22" s="3" t="str">
        <f t="shared" ca="1" si="0"/>
        <v>1</v>
      </c>
      <c r="B22" s="3">
        <f t="shared" ca="1" si="1"/>
        <v>1</v>
      </c>
      <c r="C22" s="3" t="str">
        <f ca="1">IFERROR(
 INDEX($U$1:$AX$1,
  MATCH(TRUE,
   CHOOSE({1;2;3;4;5;6;7;8;9;10;11;12;13;14;15;16;17;18;19;20;21;22;23;24;25;26;27;28;29;30;31;32},
    COUNTIFS($U$2:$U$200,$G22)&gt;0,
    COUNTIFS($V$2:$V$200,$G22)&gt;0,
    COUNTIFS($W$2:$W$200,$G22)&gt;0,
    COUNTIFS($X$2:$X$200,$G22)&gt;0,
    COUNTIFS($Y$2:$Y$200,$G22)&gt;0,
    COUNTIFS($Z$2:$Z$200,$G22)&gt;0,
    COUNTIFS($AA$2:$AA$200,$G22)&gt;0,
    COUNTIFS($AB$2:$AB$200,$G22)&gt;0,
    COUNTIFS($AC$2:$AC$200,$G22)&gt;0,
    COUNTIFS($AD$2:$AD$200,$G22)&gt;0,
    COUNTIFS($AE$2:$AE$200,$G22)&gt;0,
    COUNTIFS($AF$2:$AF$200,$G22)&gt;0,
    COUNTIFS($AG$2:$AG$200,$G22)&gt;0,
    COUNTIFS($AH$2:$AH$200,$G22)&gt;0,
    COUNTIFS($AI$2:$AI$200,$G22)&gt;0,
    COUNTIFS($AJ$2:$AJ$200,$G22)&gt;0,
    COUNTIFS($AK$2:$AK$200,$G22)&gt;0,
    COUNTIFS($AL$2:$AL$200,$G22)&gt;0,
    COUNTIFS($AM$2:$AM$200,$G22)&gt;0,
    COUNTIFS($AN$2:$AN$200,$G22)&gt;0,
    COUNTIFS($AO$2:$AO$200,$G22)&gt;0,
    COUNTIFS($AP$2:$AP$200,$G22)&gt;0,
    COUNTIFS($AQ$2:$AQ$200,$G22)&gt;0,
    COUNTIFS($AR$2:$AR$200,$G22)&gt;0,
    COUNTIFS($AS$2:$AS$200,$G22)&gt;0,
    COUNTIFS($AT$2:$AT$200,$G22)&gt;0,
    COUNTIFS($AU$2:$AU$200,$G22)&gt;0,
    COUNTIFS($AV$2:$AV$200,$G22)&gt;0,
    COUNTIFS($AW$2:$AW$200,$G22)&gt;0,
    COUNTIFS($AX$2:$AX$200,$G22)&gt;0
   ),
  0)
 ),
"")</f>
        <v>Modular</v>
      </c>
      <c r="D22" s="3" t="str" cm="1">
        <f t="array" aca="1" ref="D22" ca="1">IFERROR(
 INDEX(
  _xlfn._xlws.FILTER($U$1:$AX$1,
   TRANSPOSE(
    CHOOSE({1;2;3;4;5;6;7;8;9;10;11;12;13;14;15;16;17;18;19;20;21;22;23;24;25;26;27;28;29;30},
     COUNTIFS($U$2:$U$200,$G22)&gt;0,
     COUNTIFS($V$2:$V$200,$G22)&gt;0,
     COUNTIFS($W$2:$W$200,$G22)&gt;0,
     COUNTIFS($X$2:$X$200,$G22)&gt;0,
     COUNTIFS($Y$2:$Y$200,$G22)&gt;0,
     COUNTIFS($Z$2:$Z$200,$G22)&gt;0,
     COUNTIFS($AA$2:$AA$200,$G22)&gt;0,
     COUNTIFS($AB$2:$AB$200,$G22)&gt;0,
     COUNTIFS($AC$2:$AC$200,$G22)&gt;0,
     COUNTIFS($AD$2:$AD$200,$G22)&gt;0,
     COUNTIFS($AE$2:$AE$200,$G22)&gt;0,
     COUNTIFS($AF$2:$AF$200,$G22)&gt;0,
     COUNTIFS($AG$2:$AG$200,$G22)&gt;0,
     COUNTIFS($AH$2:$AH$200,$G22)&gt;0,
     COUNTIFS($AI$2:$AI$200,$G22)&gt;0,
     COUNTIFS($AJ$2:$AJ$200,$G22)&gt;0,
     COUNTIFS($AK$2:$AK$200,$G22)&gt;0,
     COUNTIFS($AL$2:$AL$200,$G22)&gt;0,
     COUNTIFS($AM$2:$AM$200,$G22)&gt;0,
     COUNTIFS($AN$2:$AN$200,$G22)&gt;0,
     COUNTIFS($AO$2:$AO$200,$G22)&gt;0,
     COUNTIFS($AP$2:$AP$200,$G22)&gt;0,
     COUNTIFS($AQ$2:$AQ$200,$G22)&gt;0,
     COUNTIFS($AR$2:$AR$200,$G22)&gt;0,
     COUNTIFS($AS$2:$AS$200,$G22)&gt;0,
     COUNTIFS($AT$2:$AT$200,$G22)&gt;0,
     COUNTIFS($AU$2:$AU$200,$G22)&gt;0,
     COUNTIFS($AV$2:$AV$200,$G22)&gt;0,
     COUNTIFS($AW$2:$AW$200,$G22)&gt;0,
     COUNTIFS($AX$2:$AX$200,$G22)&gt;0
   )),
  ),
  2
 ),
"")</f>
        <v/>
      </c>
      <c r="E22" s="3" t="str" cm="1">
        <f t="array" aca="1" ref="E22" ca="1">IFERROR(
 INDEX(
  _xlfn._xlws.FILTER($U$1:$AX$1,
   TRANSPOSE(
    CHOOSE({1;2;3;4;5;6;7;8;9;10;11;12;13;14;15;16;17;18;19;20;21;22;23;24;25;26;27;28;29;30},
     COUNTIFS($U$2:$U$200,$G22)&gt;0,
     COUNTIFS($V$2:$V$200,$G22)&gt;0,
     COUNTIFS($W$2:$W$200,$G22)&gt;0,
     COUNTIFS($X$2:$X$200,$G22)&gt;0,
     COUNTIFS($Y$2:$Y$200,$G22)&gt;0,
     COUNTIFS($Z$2:$Z$200,$G22)&gt;0,
     COUNTIFS($AA$2:$AA$200,$G22)&gt;0,
     COUNTIFS($AB$2:$AB$200,$G22)&gt;0,
     COUNTIFS($AC$2:$AC$200,$G22)&gt;0,
     COUNTIFS($AD$2:$AD$200,$G22)&gt;0,
     COUNTIFS($AE$2:$AE$200,$G22)&gt;0,
     COUNTIFS($AF$2:$AF$200,$G22)&gt;0,
     COUNTIFS($AG$2:$AG$200,$G22)&gt;0,
     COUNTIFS($AH$2:$AH$200,$G22)&gt;0,
     COUNTIFS($AI$2:$AI$200,$G22)&gt;0,
     COUNTIFS($AJ$2:$AJ$200,$G22)&gt;0,
     COUNTIFS($AK$2:$AK$200,$G22)&gt;0,
     COUNTIFS($AL$2:$AL$200,$G22)&gt;0,
     COUNTIFS($AM$2:$AM$200,$G22)&gt;0,
     COUNTIFS($AN$2:$AN$200,$G22)&gt;0,
     COUNTIFS($AO$2:$AO$200,$G22)&gt;0,
     COUNTIFS($AP$2:$AP$200,$G22)&gt;0,
     COUNTIFS($AQ$2:$AQ$200,$G22)&gt;0,
     COUNTIFS($AR$2:$AR$200,$G22)&gt;0,
     COUNTIFS($AS$2:$AS$200,$G22)&gt;0,
     COUNTIFS($AT$2:$AT$200,$G22)&gt;0,
     COUNTIFS($AU$2:$AU$200,$G22)&gt;0,
     COUNTIFS($AV$2:$AV$200,$G22)&gt;0,
     COUNTIFS($AW$2:$AW$200,$G22)&gt;0,
     COUNTIFS($AX$2:$AX$200,$G22)&gt;0
   )),
  ),
  3
 ),
"")</f>
        <v/>
      </c>
      <c r="F22" s="3" t="str" cm="1">
        <f t="array" aca="1" ref="F22" ca="1">IFERROR(
 INDEX(
  _xlfn._xlws.FILTER($U$1:$AX$1,
   TRANSPOSE(
    CHOOSE({1;2;3;4;5;6;7;8;9;10;11;12;13;14;15;16;17;18;19;20;21;22;23;24;25;26;27;28;29;30},
     COUNTIFS($U$2:$U$200,$G22)&gt;0,
     COUNTIFS($V$2:$V$200,$G22)&gt;0,
     COUNTIFS($W$2:$W$200,$G22)&gt;0,
     COUNTIFS($X$2:$X$200,$G22)&gt;0,
     COUNTIFS($Y$2:$Y$200,$G22)&gt;0,
     COUNTIFS($Z$2:$Z$200,$G22)&gt;0,
     COUNTIFS($AA$2:$AA$200,$G22)&gt;0,
     COUNTIFS($AB$2:$AB$200,$G22)&gt;0,
     COUNTIFS($AC$2:$AC$200,$G22)&gt;0,
     COUNTIFS($AD$2:$AD$200,$G22)&gt;0,
     COUNTIFS($AE$2:$AE$200,$G22)&gt;0,
     COUNTIFS($AF$2:$AF$200,$G22)&gt;0,
     COUNTIFS($AG$2:$AG$200,$G22)&gt;0,
     COUNTIFS($AH$2:$AH$200,$G22)&gt;0,
     COUNTIFS($AI$2:$AI$200,$G22)&gt;0,
     COUNTIFS($AJ$2:$AJ$200,$G22)&gt;0,
     COUNTIFS($AK$2:$AK$200,$G22)&gt;0,
     COUNTIFS($AL$2:$AL$200,$G22)&gt;0,
     COUNTIFS($AM$2:$AM$200,$G22)&gt;0,
     COUNTIFS($AN$2:$AN$200,$G22)&gt;0,
     COUNTIFS($AO$2:$AO$200,$G22)&gt;0,
     COUNTIFS($AP$2:$AP$200,$G22)&gt;0,
     COUNTIFS($AQ$2:$AQ$200,$G22)&gt;0,
     COUNTIFS($AR$2:$AR$200,$G22)&gt;0,
     COUNTIFS($AS$2:$AS$200,$G22)&gt;0,
     COUNTIFS($AT$2:$AT$200,$G22)&gt;0,
     COUNTIFS($AU$2:$AU$200,$G22)&gt;0,
     COUNTIFS($AV$2:$AV$200,$G22)&gt;0,
     COUNTIFS($AW$2:$AW$200,$G22)&gt;0,
     COUNTIFS($AX$2:$AX$200,$G22)&gt;0
   )),
  ),
  4
 ),
"")</f>
        <v/>
      </c>
      <c r="G22" t="str">
        <f ca="1"/>
        <v>Arcbound Overseer</v>
      </c>
      <c r="I22" t="s">
        <v>18</v>
      </c>
      <c r="J22" s="3">
        <f>Fractius!G2</f>
        <v>8</v>
      </c>
      <c r="K22" s="3" t="s">
        <v>2087</v>
      </c>
      <c r="L22" s="3" t="s">
        <v>2087</v>
      </c>
      <c r="M22" s="3" t="s">
        <v>2087</v>
      </c>
      <c r="N22" s="3" t="s">
        <v>2087</v>
      </c>
      <c r="O22" s="3" t="s">
        <v>2087</v>
      </c>
      <c r="P22" s="3" t="s">
        <v>753</v>
      </c>
      <c r="Q22" s="3" t="s">
        <v>2139</v>
      </c>
      <c r="R22" s="3" t="s">
        <v>2163</v>
      </c>
      <c r="S22" s="3" t="str">
        <f t="shared" si="2"/>
        <v>4</v>
      </c>
      <c r="U22" t="str">
        <v>Spyglass Siren</v>
      </c>
      <c r="V22" t="str">
        <v>Prosperous Partnership</v>
      </c>
      <c r="W22" t="str">
        <v>Smuggler's Share</v>
      </c>
      <c r="X22" t="str">
        <v>Ozolith, the Shattered Spire</v>
      </c>
      <c r="AA22" t="str">
        <v>Vanquisher's Banner</v>
      </c>
      <c r="AX22" t="str">
        <v>Darksteel Citadel</v>
      </c>
      <c r="AZ22" t="str">
        <f ca="1"/>
        <v>Uthros, Titanic Godcore</v>
      </c>
      <c r="BA22" t="str">
        <f ca="1"/>
        <v>Trioma de Raugrin</v>
      </c>
      <c r="BC22" t="str">
        <f ca="1"/>
        <v>Temporal Manipulation</v>
      </c>
      <c r="BD22" t="str">
        <f ca="1"/>
        <v>Mother of runes</v>
      </c>
      <c r="BE22" t="str">
        <f ca="1"/>
        <v>Reflecting Pool</v>
      </c>
      <c r="BF22" t="str">
        <f ca="1"/>
        <v>Nicol Bolas, God-Pharaoh</v>
      </c>
      <c r="BG22" t="str">
        <f ca="1"/>
        <v>Khorvath's Fury</v>
      </c>
      <c r="BH22" t="str">
        <f ca="1"/>
        <v>Exalted Sunborn</v>
      </c>
      <c r="BI22" t="str">
        <f ca="1"/>
        <v>Bojuka Bog</v>
      </c>
      <c r="BK22" t="str">
        <f ca="1"/>
        <v>Mistrise Village</v>
      </c>
      <c r="BL22" t="str">
        <f ca="1"/>
        <v>Morphic Pool</v>
      </c>
      <c r="BM22" t="str">
        <f ca="1"/>
        <v>Firion, Wild Rose Warrior</v>
      </c>
      <c r="BN22" t="str">
        <f ca="1"/>
        <v>Frenzied Gorespawn</v>
      </c>
      <c r="BO22" t="str">
        <f ca="1"/>
        <v>Back in Town</v>
      </c>
      <c r="BQ22" t="str">
        <f ca="1"/>
        <v>Dionus, Elvish Archdruid</v>
      </c>
      <c r="BR22" t="str">
        <f ca="1"/>
        <v>Cyber Conversion</v>
      </c>
      <c r="BT22" t="str">
        <f ca="1"/>
        <v>Bojuka Bog</v>
      </c>
    </row>
    <row r="23" spans="1:72" x14ac:dyDescent="0.25">
      <c r="A23" s="3" t="str">
        <f t="shared" ca="1" si="0"/>
        <v>1</v>
      </c>
      <c r="B23" s="3">
        <f t="shared" ca="1" si="1"/>
        <v>1</v>
      </c>
      <c r="C23" s="3" t="str">
        <f ca="1">IFERROR(
 INDEX($U$1:$AX$1,
  MATCH(TRUE,
   CHOOSE({1;2;3;4;5;6;7;8;9;10;11;12;13;14;15;16;17;18;19;20;21;22;23;24;25;26;27;28;29;30;31;32},
    COUNTIFS($U$2:$U$200,$G23)&gt;0,
    COUNTIFS($V$2:$V$200,$G23)&gt;0,
    COUNTIFS($W$2:$W$200,$G23)&gt;0,
    COUNTIFS($X$2:$X$200,$G23)&gt;0,
    COUNTIFS($Y$2:$Y$200,$G23)&gt;0,
    COUNTIFS($Z$2:$Z$200,$G23)&gt;0,
    COUNTIFS($AA$2:$AA$200,$G23)&gt;0,
    COUNTIFS($AB$2:$AB$200,$G23)&gt;0,
    COUNTIFS($AC$2:$AC$200,$G23)&gt;0,
    COUNTIFS($AD$2:$AD$200,$G23)&gt;0,
    COUNTIFS($AE$2:$AE$200,$G23)&gt;0,
    COUNTIFS($AF$2:$AF$200,$G23)&gt;0,
    COUNTIFS($AG$2:$AG$200,$G23)&gt;0,
    COUNTIFS($AH$2:$AH$200,$G23)&gt;0,
    COUNTIFS($AI$2:$AI$200,$G23)&gt;0,
    COUNTIFS($AJ$2:$AJ$200,$G23)&gt;0,
    COUNTIFS($AK$2:$AK$200,$G23)&gt;0,
    COUNTIFS($AL$2:$AL$200,$G23)&gt;0,
    COUNTIFS($AM$2:$AM$200,$G23)&gt;0,
    COUNTIFS($AN$2:$AN$200,$G23)&gt;0,
    COUNTIFS($AO$2:$AO$200,$G23)&gt;0,
    COUNTIFS($AP$2:$AP$200,$G23)&gt;0,
    COUNTIFS($AQ$2:$AQ$200,$G23)&gt;0,
    COUNTIFS($AR$2:$AR$200,$G23)&gt;0,
    COUNTIFS($AS$2:$AS$200,$G23)&gt;0,
    COUNTIFS($AT$2:$AT$200,$G23)&gt;0,
    COUNTIFS($AU$2:$AU$200,$G23)&gt;0,
    COUNTIFS($AV$2:$AV$200,$G23)&gt;0,
    COUNTIFS($AW$2:$AW$200,$G23)&gt;0,
    COUNTIFS($AX$2:$AX$200,$G23)&gt;0
   ),
  0)
 ),
"")</f>
        <v>Modular</v>
      </c>
      <c r="D23" s="3" t="str" cm="1">
        <f t="array" aca="1" ref="D23" ca="1">IFERROR(
 INDEX(
  _xlfn._xlws.FILTER($U$1:$AX$1,
   TRANSPOSE(
    CHOOSE({1;2;3;4;5;6;7;8;9;10;11;12;13;14;15;16;17;18;19;20;21;22;23;24;25;26;27;28;29;30},
     COUNTIFS($U$2:$U$200,$G23)&gt;0,
     COUNTIFS($V$2:$V$200,$G23)&gt;0,
     COUNTIFS($W$2:$W$200,$G23)&gt;0,
     COUNTIFS($X$2:$X$200,$G23)&gt;0,
     COUNTIFS($Y$2:$Y$200,$G23)&gt;0,
     COUNTIFS($Z$2:$Z$200,$G23)&gt;0,
     COUNTIFS($AA$2:$AA$200,$G23)&gt;0,
     COUNTIFS($AB$2:$AB$200,$G23)&gt;0,
     COUNTIFS($AC$2:$AC$200,$G23)&gt;0,
     COUNTIFS($AD$2:$AD$200,$G23)&gt;0,
     COUNTIFS($AE$2:$AE$200,$G23)&gt;0,
     COUNTIFS($AF$2:$AF$200,$G23)&gt;0,
     COUNTIFS($AG$2:$AG$200,$G23)&gt;0,
     COUNTIFS($AH$2:$AH$200,$G23)&gt;0,
     COUNTIFS($AI$2:$AI$200,$G23)&gt;0,
     COUNTIFS($AJ$2:$AJ$200,$G23)&gt;0,
     COUNTIFS($AK$2:$AK$200,$G23)&gt;0,
     COUNTIFS($AL$2:$AL$200,$G23)&gt;0,
     COUNTIFS($AM$2:$AM$200,$G23)&gt;0,
     COUNTIFS($AN$2:$AN$200,$G23)&gt;0,
     COUNTIFS($AO$2:$AO$200,$G23)&gt;0,
     COUNTIFS($AP$2:$AP$200,$G23)&gt;0,
     COUNTIFS($AQ$2:$AQ$200,$G23)&gt;0,
     COUNTIFS($AR$2:$AR$200,$G23)&gt;0,
     COUNTIFS($AS$2:$AS$200,$G23)&gt;0,
     COUNTIFS($AT$2:$AT$200,$G23)&gt;0,
     COUNTIFS($AU$2:$AU$200,$G23)&gt;0,
     COUNTIFS($AV$2:$AV$200,$G23)&gt;0,
     COUNTIFS($AW$2:$AW$200,$G23)&gt;0,
     COUNTIFS($AX$2:$AX$200,$G23)&gt;0
   )),
  ),
  2
 ),
"")</f>
        <v/>
      </c>
      <c r="E23" s="3" t="str" cm="1">
        <f t="array" aca="1" ref="E23" ca="1">IFERROR(
 INDEX(
  _xlfn._xlws.FILTER($U$1:$AX$1,
   TRANSPOSE(
    CHOOSE({1;2;3;4;5;6;7;8;9;10;11;12;13;14;15;16;17;18;19;20;21;22;23;24;25;26;27;28;29;30},
     COUNTIFS($U$2:$U$200,$G23)&gt;0,
     COUNTIFS($V$2:$V$200,$G23)&gt;0,
     COUNTIFS($W$2:$W$200,$G23)&gt;0,
     COUNTIFS($X$2:$X$200,$G23)&gt;0,
     COUNTIFS($Y$2:$Y$200,$G23)&gt;0,
     COUNTIFS($Z$2:$Z$200,$G23)&gt;0,
     COUNTIFS($AA$2:$AA$200,$G23)&gt;0,
     COUNTIFS($AB$2:$AB$200,$G23)&gt;0,
     COUNTIFS($AC$2:$AC$200,$G23)&gt;0,
     COUNTIFS($AD$2:$AD$200,$G23)&gt;0,
     COUNTIFS($AE$2:$AE$200,$G23)&gt;0,
     COUNTIFS($AF$2:$AF$200,$G23)&gt;0,
     COUNTIFS($AG$2:$AG$200,$G23)&gt;0,
     COUNTIFS($AH$2:$AH$200,$G23)&gt;0,
     COUNTIFS($AI$2:$AI$200,$G23)&gt;0,
     COUNTIFS($AJ$2:$AJ$200,$G23)&gt;0,
     COUNTIFS($AK$2:$AK$200,$G23)&gt;0,
     COUNTIFS($AL$2:$AL$200,$G23)&gt;0,
     COUNTIFS($AM$2:$AM$200,$G23)&gt;0,
     COUNTIFS($AN$2:$AN$200,$G23)&gt;0,
     COUNTIFS($AO$2:$AO$200,$G23)&gt;0,
     COUNTIFS($AP$2:$AP$200,$G23)&gt;0,
     COUNTIFS($AQ$2:$AQ$200,$G23)&gt;0,
     COUNTIFS($AR$2:$AR$200,$G23)&gt;0,
     COUNTIFS($AS$2:$AS$200,$G23)&gt;0,
     COUNTIFS($AT$2:$AT$200,$G23)&gt;0,
     COUNTIFS($AU$2:$AU$200,$G23)&gt;0,
     COUNTIFS($AV$2:$AV$200,$G23)&gt;0,
     COUNTIFS($AW$2:$AW$200,$G23)&gt;0,
     COUNTIFS($AX$2:$AX$200,$G23)&gt;0
   )),
  ),
  3
 ),
"")</f>
        <v/>
      </c>
      <c r="F23" s="3" t="str" cm="1">
        <f t="array" aca="1" ref="F23" ca="1">IFERROR(
 INDEX(
  _xlfn._xlws.FILTER($U$1:$AX$1,
   TRANSPOSE(
    CHOOSE({1;2;3;4;5;6;7;8;9;10;11;12;13;14;15;16;17;18;19;20;21;22;23;24;25;26;27;28;29;30},
     COUNTIFS($U$2:$U$200,$G23)&gt;0,
     COUNTIFS($V$2:$V$200,$G23)&gt;0,
     COUNTIFS($W$2:$W$200,$G23)&gt;0,
     COUNTIFS($X$2:$X$200,$G23)&gt;0,
     COUNTIFS($Y$2:$Y$200,$G23)&gt;0,
     COUNTIFS($Z$2:$Z$200,$G23)&gt;0,
     COUNTIFS($AA$2:$AA$200,$G23)&gt;0,
     COUNTIFS($AB$2:$AB$200,$G23)&gt;0,
     COUNTIFS($AC$2:$AC$200,$G23)&gt;0,
     COUNTIFS($AD$2:$AD$200,$G23)&gt;0,
     COUNTIFS($AE$2:$AE$200,$G23)&gt;0,
     COUNTIFS($AF$2:$AF$200,$G23)&gt;0,
     COUNTIFS($AG$2:$AG$200,$G23)&gt;0,
     COUNTIFS($AH$2:$AH$200,$G23)&gt;0,
     COUNTIFS($AI$2:$AI$200,$G23)&gt;0,
     COUNTIFS($AJ$2:$AJ$200,$G23)&gt;0,
     COUNTIFS($AK$2:$AK$200,$G23)&gt;0,
     COUNTIFS($AL$2:$AL$200,$G23)&gt;0,
     COUNTIFS($AM$2:$AM$200,$G23)&gt;0,
     COUNTIFS($AN$2:$AN$200,$G23)&gt;0,
     COUNTIFS($AO$2:$AO$200,$G23)&gt;0,
     COUNTIFS($AP$2:$AP$200,$G23)&gt;0,
     COUNTIFS($AQ$2:$AQ$200,$G23)&gt;0,
     COUNTIFS($AR$2:$AR$200,$G23)&gt;0,
     COUNTIFS($AS$2:$AS$200,$G23)&gt;0,
     COUNTIFS($AT$2:$AT$200,$G23)&gt;0,
     COUNTIFS($AU$2:$AU$200,$G23)&gt;0,
     COUNTIFS($AV$2:$AV$200,$G23)&gt;0,
     COUNTIFS($AW$2:$AW$200,$G23)&gt;0,
     COUNTIFS($AX$2:$AX$200,$G23)&gt;0
   )),
  ),
  4
 ),
"")</f>
        <v/>
      </c>
      <c r="G23" t="str">
        <f ca="1"/>
        <v>Arcbound Ravager</v>
      </c>
      <c r="I23" t="s">
        <v>20</v>
      </c>
      <c r="J23" s="3">
        <f>Rielle!G2</f>
        <v>7</v>
      </c>
      <c r="K23" s="3" t="s">
        <v>2088</v>
      </c>
      <c r="L23" s="3" t="s">
        <v>2087</v>
      </c>
      <c r="M23" s="3" t="s">
        <v>2087</v>
      </c>
      <c r="N23" s="3" t="s">
        <v>2088</v>
      </c>
      <c r="O23" s="3" t="s">
        <v>2088</v>
      </c>
      <c r="P23" s="3" t="s">
        <v>2139</v>
      </c>
      <c r="Q23" s="3" t="s">
        <v>2143</v>
      </c>
      <c r="R23" s="3" t="s">
        <v>2164</v>
      </c>
      <c r="S23" s="3" t="str">
        <f t="shared" si="2"/>
        <v>4</v>
      </c>
      <c r="U23" t="str">
        <v>Storm the Vault</v>
      </c>
      <c r="V23" t="str">
        <v>Purphoros, God of the Forge</v>
      </c>
      <c r="W23" t="str">
        <v>Sokenzan, Crucible of Defiance</v>
      </c>
      <c r="X23" t="str">
        <v>Patrolling Peacemaker</v>
      </c>
      <c r="AX23" t="str">
        <v>Dispatch</v>
      </c>
      <c r="AZ23" t="str">
        <f ca="1"/>
        <v>Zagoth Triome</v>
      </c>
      <c r="BA23" t="str">
        <f ca="1"/>
        <v>Trioma de Zagoth</v>
      </c>
      <c r="BC23" t="str">
        <f ca="1"/>
        <v>Temporal Trespass</v>
      </c>
      <c r="BD23" t="str">
        <f ca="1"/>
        <v>Reliquary Tower</v>
      </c>
      <c r="BE23" t="str">
        <f ca="1"/>
        <v>Saqueador Amaldiçoado</v>
      </c>
      <c r="BF23" t="str">
        <f ca="1"/>
        <v>O Dínamo Peregrino</v>
      </c>
      <c r="BG23" t="str">
        <f ca="1"/>
        <v>Kodama's Reach</v>
      </c>
      <c r="BH23" t="str">
        <f ca="1"/>
        <v>Exotic Orchard</v>
      </c>
      <c r="BI23" t="str">
        <f ca="1"/>
        <v>Boros Signet</v>
      </c>
      <c r="BK23" t="str">
        <f ca="1"/>
        <v>Nissa, Resurgent Animist</v>
      </c>
      <c r="BL23" t="str">
        <f ca="1"/>
        <v>Ojer Pakpatiq, Era Profunda</v>
      </c>
      <c r="BM23" t="str">
        <f ca="1"/>
        <v>Giver of Runes</v>
      </c>
      <c r="BN23" t="str">
        <f ca="1"/>
        <v>Freyalise, Llanowar's Fury</v>
      </c>
      <c r="BO23" t="str">
        <f ca="1"/>
        <v>Badgermole</v>
      </c>
      <c r="BQ23" t="str">
        <f ca="1"/>
        <v>Drowned Catacomb</v>
      </c>
      <c r="BR23" t="str">
        <f ca="1"/>
        <v>Daretti, Ingenious Iconoclast</v>
      </c>
      <c r="BT23" t="str">
        <f ca="1"/>
        <v>Broodheart Engine</v>
      </c>
    </row>
    <row r="24" spans="1:72" x14ac:dyDescent="0.25">
      <c r="A24" s="3" t="str">
        <f t="shared" ca="1" si="0"/>
        <v>1</v>
      </c>
      <c r="B24" s="3">
        <f t="shared" ca="1" si="1"/>
        <v>1</v>
      </c>
      <c r="C24" s="3" t="str">
        <f ca="1">IFERROR(
 INDEX($U$1:$AX$1,
  MATCH(TRUE,
   CHOOSE({1;2;3;4;5;6;7;8;9;10;11;12;13;14;15;16;17;18;19;20;21;22;23;24;25;26;27;28;29;30;31;32},
    COUNTIFS($U$2:$U$200,$G24)&gt;0,
    COUNTIFS($V$2:$V$200,$G24)&gt;0,
    COUNTIFS($W$2:$W$200,$G24)&gt;0,
    COUNTIFS($X$2:$X$200,$G24)&gt;0,
    COUNTIFS($Y$2:$Y$200,$G24)&gt;0,
    COUNTIFS($Z$2:$Z$200,$G24)&gt;0,
    COUNTIFS($AA$2:$AA$200,$G24)&gt;0,
    COUNTIFS($AB$2:$AB$200,$G24)&gt;0,
    COUNTIFS($AC$2:$AC$200,$G24)&gt;0,
    COUNTIFS($AD$2:$AD$200,$G24)&gt;0,
    COUNTIFS($AE$2:$AE$200,$G24)&gt;0,
    COUNTIFS($AF$2:$AF$200,$G24)&gt;0,
    COUNTIFS($AG$2:$AG$200,$G24)&gt;0,
    COUNTIFS($AH$2:$AH$200,$G24)&gt;0,
    COUNTIFS($AI$2:$AI$200,$G24)&gt;0,
    COUNTIFS($AJ$2:$AJ$200,$G24)&gt;0,
    COUNTIFS($AK$2:$AK$200,$G24)&gt;0,
    COUNTIFS($AL$2:$AL$200,$G24)&gt;0,
    COUNTIFS($AM$2:$AM$200,$G24)&gt;0,
    COUNTIFS($AN$2:$AN$200,$G24)&gt;0,
    COUNTIFS($AO$2:$AO$200,$G24)&gt;0,
    COUNTIFS($AP$2:$AP$200,$G24)&gt;0,
    COUNTIFS($AQ$2:$AQ$200,$G24)&gt;0,
    COUNTIFS($AR$2:$AR$200,$G24)&gt;0,
    COUNTIFS($AS$2:$AS$200,$G24)&gt;0,
    COUNTIFS($AT$2:$AT$200,$G24)&gt;0,
    COUNTIFS($AU$2:$AU$200,$G24)&gt;0,
    COUNTIFS($AV$2:$AV$200,$G24)&gt;0,
    COUNTIFS($AW$2:$AW$200,$G24)&gt;0,
    COUNTIFS($AX$2:$AX$200,$G24)&gt;0
   ),
  0)
 ),
"")</f>
        <v>Modular</v>
      </c>
      <c r="D24" s="3" t="str" cm="1">
        <f t="array" aca="1" ref="D24" ca="1">IFERROR(
 INDEX(
  _xlfn._xlws.FILTER($U$1:$AX$1,
   TRANSPOSE(
    CHOOSE({1;2;3;4;5;6;7;8;9;10;11;12;13;14;15;16;17;18;19;20;21;22;23;24;25;26;27;28;29;30},
     COUNTIFS($U$2:$U$200,$G24)&gt;0,
     COUNTIFS($V$2:$V$200,$G24)&gt;0,
     COUNTIFS($W$2:$W$200,$G24)&gt;0,
     COUNTIFS($X$2:$X$200,$G24)&gt;0,
     COUNTIFS($Y$2:$Y$200,$G24)&gt;0,
     COUNTIFS($Z$2:$Z$200,$G24)&gt;0,
     COUNTIFS($AA$2:$AA$200,$G24)&gt;0,
     COUNTIFS($AB$2:$AB$200,$G24)&gt;0,
     COUNTIFS($AC$2:$AC$200,$G24)&gt;0,
     COUNTIFS($AD$2:$AD$200,$G24)&gt;0,
     COUNTIFS($AE$2:$AE$200,$G24)&gt;0,
     COUNTIFS($AF$2:$AF$200,$G24)&gt;0,
     COUNTIFS($AG$2:$AG$200,$G24)&gt;0,
     COUNTIFS($AH$2:$AH$200,$G24)&gt;0,
     COUNTIFS($AI$2:$AI$200,$G24)&gt;0,
     COUNTIFS($AJ$2:$AJ$200,$G24)&gt;0,
     COUNTIFS($AK$2:$AK$200,$G24)&gt;0,
     COUNTIFS($AL$2:$AL$200,$G24)&gt;0,
     COUNTIFS($AM$2:$AM$200,$G24)&gt;0,
     COUNTIFS($AN$2:$AN$200,$G24)&gt;0,
     COUNTIFS($AO$2:$AO$200,$G24)&gt;0,
     COUNTIFS($AP$2:$AP$200,$G24)&gt;0,
     COUNTIFS($AQ$2:$AQ$200,$G24)&gt;0,
     COUNTIFS($AR$2:$AR$200,$G24)&gt;0,
     COUNTIFS($AS$2:$AS$200,$G24)&gt;0,
     COUNTIFS($AT$2:$AT$200,$G24)&gt;0,
     COUNTIFS($AU$2:$AU$200,$G24)&gt;0,
     COUNTIFS($AV$2:$AV$200,$G24)&gt;0,
     COUNTIFS($AW$2:$AW$200,$G24)&gt;0,
     COUNTIFS($AX$2:$AX$200,$G24)&gt;0
   )),
  ),
  2
 ),
"")</f>
        <v/>
      </c>
      <c r="E24" s="3" t="str" cm="1">
        <f t="array" aca="1" ref="E24" ca="1">IFERROR(
 INDEX(
  _xlfn._xlws.FILTER($U$1:$AX$1,
   TRANSPOSE(
    CHOOSE({1;2;3;4;5;6;7;8;9;10;11;12;13;14;15;16;17;18;19;20;21;22;23;24;25;26;27;28;29;30},
     COUNTIFS($U$2:$U$200,$G24)&gt;0,
     COUNTIFS($V$2:$V$200,$G24)&gt;0,
     COUNTIFS($W$2:$W$200,$G24)&gt;0,
     COUNTIFS($X$2:$X$200,$G24)&gt;0,
     COUNTIFS($Y$2:$Y$200,$G24)&gt;0,
     COUNTIFS($Z$2:$Z$200,$G24)&gt;0,
     COUNTIFS($AA$2:$AA$200,$G24)&gt;0,
     COUNTIFS($AB$2:$AB$200,$G24)&gt;0,
     COUNTIFS($AC$2:$AC$200,$G24)&gt;0,
     COUNTIFS($AD$2:$AD$200,$G24)&gt;0,
     COUNTIFS($AE$2:$AE$200,$G24)&gt;0,
     COUNTIFS($AF$2:$AF$200,$G24)&gt;0,
     COUNTIFS($AG$2:$AG$200,$G24)&gt;0,
     COUNTIFS($AH$2:$AH$200,$G24)&gt;0,
     COUNTIFS($AI$2:$AI$200,$G24)&gt;0,
     COUNTIFS($AJ$2:$AJ$200,$G24)&gt;0,
     COUNTIFS($AK$2:$AK$200,$G24)&gt;0,
     COUNTIFS($AL$2:$AL$200,$G24)&gt;0,
     COUNTIFS($AM$2:$AM$200,$G24)&gt;0,
     COUNTIFS($AN$2:$AN$200,$G24)&gt;0,
     COUNTIFS($AO$2:$AO$200,$G24)&gt;0,
     COUNTIFS($AP$2:$AP$200,$G24)&gt;0,
     COUNTIFS($AQ$2:$AQ$200,$G24)&gt;0,
     COUNTIFS($AR$2:$AR$200,$G24)&gt;0,
     COUNTIFS($AS$2:$AS$200,$G24)&gt;0,
     COUNTIFS($AT$2:$AT$200,$G24)&gt;0,
     COUNTIFS($AU$2:$AU$200,$G24)&gt;0,
     COUNTIFS($AV$2:$AV$200,$G24)&gt;0,
     COUNTIFS($AW$2:$AW$200,$G24)&gt;0,
     COUNTIFS($AX$2:$AX$200,$G24)&gt;0
   )),
  ),
  3
 ),
"")</f>
        <v/>
      </c>
      <c r="F24" s="3" t="str" cm="1">
        <f t="array" aca="1" ref="F24" ca="1">IFERROR(
 INDEX(
  _xlfn._xlws.FILTER($U$1:$AX$1,
   TRANSPOSE(
    CHOOSE({1;2;3;4;5;6;7;8;9;10;11;12;13;14;15;16;17;18;19;20;21;22;23;24;25;26;27;28;29;30},
     COUNTIFS($U$2:$U$200,$G24)&gt;0,
     COUNTIFS($V$2:$V$200,$G24)&gt;0,
     COUNTIFS($W$2:$W$200,$G24)&gt;0,
     COUNTIFS($X$2:$X$200,$G24)&gt;0,
     COUNTIFS($Y$2:$Y$200,$G24)&gt;0,
     COUNTIFS($Z$2:$Z$200,$G24)&gt;0,
     COUNTIFS($AA$2:$AA$200,$G24)&gt;0,
     COUNTIFS($AB$2:$AB$200,$G24)&gt;0,
     COUNTIFS($AC$2:$AC$200,$G24)&gt;0,
     COUNTIFS($AD$2:$AD$200,$G24)&gt;0,
     COUNTIFS($AE$2:$AE$200,$G24)&gt;0,
     COUNTIFS($AF$2:$AF$200,$G24)&gt;0,
     COUNTIFS($AG$2:$AG$200,$G24)&gt;0,
     COUNTIFS($AH$2:$AH$200,$G24)&gt;0,
     COUNTIFS($AI$2:$AI$200,$G24)&gt;0,
     COUNTIFS($AJ$2:$AJ$200,$G24)&gt;0,
     COUNTIFS($AK$2:$AK$200,$G24)&gt;0,
     COUNTIFS($AL$2:$AL$200,$G24)&gt;0,
     COUNTIFS($AM$2:$AM$200,$G24)&gt;0,
     COUNTIFS($AN$2:$AN$200,$G24)&gt;0,
     COUNTIFS($AO$2:$AO$200,$G24)&gt;0,
     COUNTIFS($AP$2:$AP$200,$G24)&gt;0,
     COUNTIFS($AQ$2:$AQ$200,$G24)&gt;0,
     COUNTIFS($AR$2:$AR$200,$G24)&gt;0,
     COUNTIFS($AS$2:$AS$200,$G24)&gt;0,
     COUNTIFS($AT$2:$AT$200,$G24)&gt;0,
     COUNTIFS($AU$2:$AU$200,$G24)&gt;0,
     COUNTIFS($AV$2:$AV$200,$G24)&gt;0,
     COUNTIFS($AW$2:$AW$200,$G24)&gt;0,
     COUNTIFS($AX$2:$AX$200,$G24)&gt;0
   )),
  ),
  4
 ),
"")</f>
        <v/>
      </c>
      <c r="G24" t="str">
        <f ca="1"/>
        <v>Arcbound Reclaimer</v>
      </c>
      <c r="I24" t="s">
        <v>27</v>
      </c>
      <c r="J24" s="3">
        <f>Oona!G2</f>
        <v>7</v>
      </c>
      <c r="K24" s="3" t="s">
        <v>2088</v>
      </c>
      <c r="L24" s="3" t="s">
        <v>2087</v>
      </c>
      <c r="M24" s="3" t="s">
        <v>2088</v>
      </c>
      <c r="N24" s="3" t="s">
        <v>2087</v>
      </c>
      <c r="O24" s="3" t="s">
        <v>2088</v>
      </c>
      <c r="P24" s="3" t="s">
        <v>191</v>
      </c>
      <c r="Q24" s="3" t="s">
        <v>753</v>
      </c>
      <c r="R24" s="3" t="s">
        <v>2145</v>
      </c>
      <c r="S24" s="3" t="str">
        <f t="shared" si="2"/>
        <v>4</v>
      </c>
      <c r="U24" t="str">
        <v>Temple of Malice</v>
      </c>
      <c r="V24" t="str">
        <v>Rogue's Passage</v>
      </c>
      <c r="W24" t="str">
        <v>Sol Ring</v>
      </c>
      <c r="X24" t="str">
        <v>Protection Magic</v>
      </c>
      <c r="AX24" t="str">
        <v>Duty Beyond Death</v>
      </c>
      <c r="BA24" t="str">
        <f ca="1"/>
        <v>Ulamog, o Profanador</v>
      </c>
      <c r="BC24" t="str">
        <f ca="1"/>
        <v>Valfenda</v>
      </c>
      <c r="BD24" t="str">
        <f ca="1"/>
        <v>Saw in Half</v>
      </c>
      <c r="BE24" t="str">
        <f ca="1"/>
        <v>Stoneforge Mystic</v>
      </c>
      <c r="BF24" t="str">
        <f ca="1"/>
        <v>Oko, Thief of Crowns</v>
      </c>
      <c r="BG24" t="str">
        <f ca="1"/>
        <v>Lightning Greaves</v>
      </c>
      <c r="BH24" t="str">
        <f ca="1"/>
        <v>Farmer Cotton</v>
      </c>
      <c r="BI24" t="str">
        <f ca="1"/>
        <v>Broadside Bombardiers</v>
      </c>
      <c r="BK24" t="str">
        <f ca="1"/>
        <v>Obelisco de Obsidiana</v>
      </c>
      <c r="BL24" t="str">
        <f ca="1"/>
        <v>Olho de Ojer Taq</v>
      </c>
      <c r="BM24" t="str">
        <f ca="1"/>
        <v>Glasspool Mimic</v>
      </c>
      <c r="BN24" t="str">
        <f ca="1"/>
        <v>Full Throttle</v>
      </c>
      <c r="BO24" t="str">
        <f ca="1"/>
        <v>Beast Within</v>
      </c>
      <c r="BQ24" t="str">
        <f ca="1"/>
        <v>Emergency Eject</v>
      </c>
      <c r="BR24" t="str">
        <f ca="1"/>
        <v>Deeproot Historian</v>
      </c>
      <c r="BT24" t="str">
        <f ca="1"/>
        <v>Bugenhagen, Wise Elder</v>
      </c>
    </row>
    <row r="25" spans="1:72" x14ac:dyDescent="0.25">
      <c r="A25" s="3" t="str">
        <f t="shared" ca="1" si="0"/>
        <v>1</v>
      </c>
      <c r="B25" s="3">
        <f t="shared" ca="1" si="1"/>
        <v>1</v>
      </c>
      <c r="C25" s="3" t="str">
        <f ca="1">IFERROR(
 INDEX($U$1:$AX$1,
  MATCH(TRUE,
   CHOOSE({1;2;3;4;5;6;7;8;9;10;11;12;13;14;15;16;17;18;19;20;21;22;23;24;25;26;27;28;29;30;31;32},
    COUNTIFS($U$2:$U$200,$G25)&gt;0,
    COUNTIFS($V$2:$V$200,$G25)&gt;0,
    COUNTIFS($W$2:$W$200,$G25)&gt;0,
    COUNTIFS($X$2:$X$200,$G25)&gt;0,
    COUNTIFS($Y$2:$Y$200,$G25)&gt;0,
    COUNTIFS($Z$2:$Z$200,$G25)&gt;0,
    COUNTIFS($AA$2:$AA$200,$G25)&gt;0,
    COUNTIFS($AB$2:$AB$200,$G25)&gt;0,
    COUNTIFS($AC$2:$AC$200,$G25)&gt;0,
    COUNTIFS($AD$2:$AD$200,$G25)&gt;0,
    COUNTIFS($AE$2:$AE$200,$G25)&gt;0,
    COUNTIFS($AF$2:$AF$200,$G25)&gt;0,
    COUNTIFS($AG$2:$AG$200,$G25)&gt;0,
    COUNTIFS($AH$2:$AH$200,$G25)&gt;0,
    COUNTIFS($AI$2:$AI$200,$G25)&gt;0,
    COUNTIFS($AJ$2:$AJ$200,$G25)&gt;0,
    COUNTIFS($AK$2:$AK$200,$G25)&gt;0,
    COUNTIFS($AL$2:$AL$200,$G25)&gt;0,
    COUNTIFS($AM$2:$AM$200,$G25)&gt;0,
    COUNTIFS($AN$2:$AN$200,$G25)&gt;0,
    COUNTIFS($AO$2:$AO$200,$G25)&gt;0,
    COUNTIFS($AP$2:$AP$200,$G25)&gt;0,
    COUNTIFS($AQ$2:$AQ$200,$G25)&gt;0,
    COUNTIFS($AR$2:$AR$200,$G25)&gt;0,
    COUNTIFS($AS$2:$AS$200,$G25)&gt;0,
    COUNTIFS($AT$2:$AT$200,$G25)&gt;0,
    COUNTIFS($AU$2:$AU$200,$G25)&gt;0,
    COUNTIFS($AV$2:$AV$200,$G25)&gt;0,
    COUNTIFS($AW$2:$AW$200,$G25)&gt;0,
    COUNTIFS($AX$2:$AX$200,$G25)&gt;0
   ),
  0)
 ),
"")</f>
        <v>Modular</v>
      </c>
      <c r="D25" s="3" t="str" cm="1">
        <f t="array" aca="1" ref="D25" ca="1">IFERROR(
 INDEX(
  _xlfn._xlws.FILTER($U$1:$AX$1,
   TRANSPOSE(
    CHOOSE({1;2;3;4;5;6;7;8;9;10;11;12;13;14;15;16;17;18;19;20;21;22;23;24;25;26;27;28;29;30},
     COUNTIFS($U$2:$U$200,$G25)&gt;0,
     COUNTIFS($V$2:$V$200,$G25)&gt;0,
     COUNTIFS($W$2:$W$200,$G25)&gt;0,
     COUNTIFS($X$2:$X$200,$G25)&gt;0,
     COUNTIFS($Y$2:$Y$200,$G25)&gt;0,
     COUNTIFS($Z$2:$Z$200,$G25)&gt;0,
     COUNTIFS($AA$2:$AA$200,$G25)&gt;0,
     COUNTIFS($AB$2:$AB$200,$G25)&gt;0,
     COUNTIFS($AC$2:$AC$200,$G25)&gt;0,
     COUNTIFS($AD$2:$AD$200,$G25)&gt;0,
     COUNTIFS($AE$2:$AE$200,$G25)&gt;0,
     COUNTIFS($AF$2:$AF$200,$G25)&gt;0,
     COUNTIFS($AG$2:$AG$200,$G25)&gt;0,
     COUNTIFS($AH$2:$AH$200,$G25)&gt;0,
     COUNTIFS($AI$2:$AI$200,$G25)&gt;0,
     COUNTIFS($AJ$2:$AJ$200,$G25)&gt;0,
     COUNTIFS($AK$2:$AK$200,$G25)&gt;0,
     COUNTIFS($AL$2:$AL$200,$G25)&gt;0,
     COUNTIFS($AM$2:$AM$200,$G25)&gt;0,
     COUNTIFS($AN$2:$AN$200,$G25)&gt;0,
     COUNTIFS($AO$2:$AO$200,$G25)&gt;0,
     COUNTIFS($AP$2:$AP$200,$G25)&gt;0,
     COUNTIFS($AQ$2:$AQ$200,$G25)&gt;0,
     COUNTIFS($AR$2:$AR$200,$G25)&gt;0,
     COUNTIFS($AS$2:$AS$200,$G25)&gt;0,
     COUNTIFS($AT$2:$AT$200,$G25)&gt;0,
     COUNTIFS($AU$2:$AU$200,$G25)&gt;0,
     COUNTIFS($AV$2:$AV$200,$G25)&gt;0,
     COUNTIFS($AW$2:$AW$200,$G25)&gt;0,
     COUNTIFS($AX$2:$AX$200,$G25)&gt;0
   )),
  ),
  2
 ),
"")</f>
        <v/>
      </c>
      <c r="E25" s="3" t="str" cm="1">
        <f t="array" aca="1" ref="E25" ca="1">IFERROR(
 INDEX(
  _xlfn._xlws.FILTER($U$1:$AX$1,
   TRANSPOSE(
    CHOOSE({1;2;3;4;5;6;7;8;9;10;11;12;13;14;15;16;17;18;19;20;21;22;23;24;25;26;27;28;29;30},
     COUNTIFS($U$2:$U$200,$G25)&gt;0,
     COUNTIFS($V$2:$V$200,$G25)&gt;0,
     COUNTIFS($W$2:$W$200,$G25)&gt;0,
     COUNTIFS($X$2:$X$200,$G25)&gt;0,
     COUNTIFS($Y$2:$Y$200,$G25)&gt;0,
     COUNTIFS($Z$2:$Z$200,$G25)&gt;0,
     COUNTIFS($AA$2:$AA$200,$G25)&gt;0,
     COUNTIFS($AB$2:$AB$200,$G25)&gt;0,
     COUNTIFS($AC$2:$AC$200,$G25)&gt;0,
     COUNTIFS($AD$2:$AD$200,$G25)&gt;0,
     COUNTIFS($AE$2:$AE$200,$G25)&gt;0,
     COUNTIFS($AF$2:$AF$200,$G25)&gt;0,
     COUNTIFS($AG$2:$AG$200,$G25)&gt;0,
     COUNTIFS($AH$2:$AH$200,$G25)&gt;0,
     COUNTIFS($AI$2:$AI$200,$G25)&gt;0,
     COUNTIFS($AJ$2:$AJ$200,$G25)&gt;0,
     COUNTIFS($AK$2:$AK$200,$G25)&gt;0,
     COUNTIFS($AL$2:$AL$200,$G25)&gt;0,
     COUNTIFS($AM$2:$AM$200,$G25)&gt;0,
     COUNTIFS($AN$2:$AN$200,$G25)&gt;0,
     COUNTIFS($AO$2:$AO$200,$G25)&gt;0,
     COUNTIFS($AP$2:$AP$200,$G25)&gt;0,
     COUNTIFS($AQ$2:$AQ$200,$G25)&gt;0,
     COUNTIFS($AR$2:$AR$200,$G25)&gt;0,
     COUNTIFS($AS$2:$AS$200,$G25)&gt;0,
     COUNTIFS($AT$2:$AT$200,$G25)&gt;0,
     COUNTIFS($AU$2:$AU$200,$G25)&gt;0,
     COUNTIFS($AV$2:$AV$200,$G25)&gt;0,
     COUNTIFS($AW$2:$AW$200,$G25)&gt;0,
     COUNTIFS($AX$2:$AX$200,$G25)&gt;0
   )),
  ),
  3
 ),
"")</f>
        <v/>
      </c>
      <c r="F25" s="3" t="str" cm="1">
        <f t="array" aca="1" ref="F25" ca="1">IFERROR(
 INDEX(
  _xlfn._xlws.FILTER($U$1:$AX$1,
   TRANSPOSE(
    CHOOSE({1;2;3;4;5;6;7;8;9;10;11;12;13;14;15;16;17;18;19;20;21;22;23;24;25;26;27;28;29;30},
     COUNTIFS($U$2:$U$200,$G25)&gt;0,
     COUNTIFS($V$2:$V$200,$G25)&gt;0,
     COUNTIFS($W$2:$W$200,$G25)&gt;0,
     COUNTIFS($X$2:$X$200,$G25)&gt;0,
     COUNTIFS($Y$2:$Y$200,$G25)&gt;0,
     COUNTIFS($Z$2:$Z$200,$G25)&gt;0,
     COUNTIFS($AA$2:$AA$200,$G25)&gt;0,
     COUNTIFS($AB$2:$AB$200,$G25)&gt;0,
     COUNTIFS($AC$2:$AC$200,$G25)&gt;0,
     COUNTIFS($AD$2:$AD$200,$G25)&gt;0,
     COUNTIFS($AE$2:$AE$200,$G25)&gt;0,
     COUNTIFS($AF$2:$AF$200,$G25)&gt;0,
     COUNTIFS($AG$2:$AG$200,$G25)&gt;0,
     COUNTIFS($AH$2:$AH$200,$G25)&gt;0,
     COUNTIFS($AI$2:$AI$200,$G25)&gt;0,
     COUNTIFS($AJ$2:$AJ$200,$G25)&gt;0,
     COUNTIFS($AK$2:$AK$200,$G25)&gt;0,
     COUNTIFS($AL$2:$AL$200,$G25)&gt;0,
     COUNTIFS($AM$2:$AM$200,$G25)&gt;0,
     COUNTIFS($AN$2:$AN$200,$G25)&gt;0,
     COUNTIFS($AO$2:$AO$200,$G25)&gt;0,
     COUNTIFS($AP$2:$AP$200,$G25)&gt;0,
     COUNTIFS($AQ$2:$AQ$200,$G25)&gt;0,
     COUNTIFS($AR$2:$AR$200,$G25)&gt;0,
     COUNTIFS($AS$2:$AS$200,$G25)&gt;0,
     COUNTIFS($AT$2:$AT$200,$G25)&gt;0,
     COUNTIFS($AU$2:$AU$200,$G25)&gt;0,
     COUNTIFS($AV$2:$AV$200,$G25)&gt;0,
     COUNTIFS($AW$2:$AW$200,$G25)&gt;0,
     COUNTIFS($AX$2:$AX$200,$G25)&gt;0
   )),
  ),
  4
 ),
"")</f>
        <v/>
      </c>
      <c r="G25" t="str">
        <f ca="1"/>
        <v>Arcbound Shikari</v>
      </c>
      <c r="I25" t="s">
        <v>28</v>
      </c>
      <c r="J25" s="3">
        <f>Kresh!G2</f>
        <v>9</v>
      </c>
      <c r="K25" s="3" t="s">
        <v>2088</v>
      </c>
      <c r="L25" s="3" t="s">
        <v>2088</v>
      </c>
      <c r="M25" s="3" t="s">
        <v>2087</v>
      </c>
      <c r="N25" s="3" t="s">
        <v>2087</v>
      </c>
      <c r="O25" s="3" t="s">
        <v>2087</v>
      </c>
      <c r="P25" s="3" t="s">
        <v>2139</v>
      </c>
      <c r="Q25" s="3" t="s">
        <v>2143</v>
      </c>
      <c r="R25" s="3" t="s">
        <v>2164</v>
      </c>
      <c r="S25" s="3" t="str">
        <f t="shared" si="2"/>
        <v>4</v>
      </c>
      <c r="U25" t="str">
        <v>The Indomitable</v>
      </c>
      <c r="V25" t="str">
        <v>Second Harvest</v>
      </c>
      <c r="W25" t="str">
        <v>Spark Double</v>
      </c>
      <c r="X25" t="str">
        <v>Resourceful Defense</v>
      </c>
      <c r="AX25" t="str">
        <v>Earth Rumble</v>
      </c>
      <c r="BA25" t="str">
        <f ca="1"/>
        <v>Valfenda</v>
      </c>
      <c r="BC25" t="str">
        <f ca="1"/>
        <v>Vontade Dominadora</v>
      </c>
      <c r="BD25" t="str">
        <f ca="1"/>
        <v>Scour for Scrap</v>
      </c>
      <c r="BE25" t="str">
        <f ca="1"/>
        <v>The Masamune</v>
      </c>
      <c r="BF25" t="str">
        <f ca="1"/>
        <v>Reliquary Tower</v>
      </c>
      <c r="BG25" t="str">
        <f ca="1"/>
        <v>Lord of Atlantis</v>
      </c>
      <c r="BH25" t="str">
        <f ca="1"/>
        <v>Farseek</v>
      </c>
      <c r="BI25" t="str">
        <f ca="1"/>
        <v>Buried Ruin</v>
      </c>
      <c r="BK25" t="str">
        <f ca="1"/>
        <v>Petrified Field</v>
      </c>
      <c r="BL25" t="str">
        <f ca="1"/>
        <v>Polluted Delta</v>
      </c>
      <c r="BM25" t="str">
        <f ca="1"/>
        <v>Guia das Almas</v>
      </c>
      <c r="BN25" t="str">
        <f ca="1"/>
        <v>Gallifrey Council Chamber</v>
      </c>
      <c r="BO25" t="str">
        <f ca="1"/>
        <v>Bident of Thassa</v>
      </c>
      <c r="BQ25" t="str">
        <f ca="1"/>
        <v>Emrakul, um Novo Mundo</v>
      </c>
      <c r="BR25" t="str">
        <f ca="1"/>
        <v>Diário de Tarrian</v>
      </c>
      <c r="BT25" t="str">
        <f ca="1"/>
        <v>Burnt Offering</v>
      </c>
    </row>
    <row r="26" spans="1:72" x14ac:dyDescent="0.25">
      <c r="A26" s="3" t="str">
        <f t="shared" ca="1" si="0"/>
        <v>1</v>
      </c>
      <c r="B26" s="3">
        <f t="shared" ca="1" si="1"/>
        <v>1</v>
      </c>
      <c r="C26" s="3" t="str">
        <f ca="1">IFERROR(
 INDEX($U$1:$AX$1,
  MATCH(TRUE,
   CHOOSE({1;2;3;4;5;6;7;8;9;10;11;12;13;14;15;16;17;18;19;20;21;22;23;24;25;26;27;28;29;30;31;32},
    COUNTIFS($U$2:$U$200,$G26)&gt;0,
    COUNTIFS($V$2:$V$200,$G26)&gt;0,
    COUNTIFS($W$2:$W$200,$G26)&gt;0,
    COUNTIFS($X$2:$X$200,$G26)&gt;0,
    COUNTIFS($Y$2:$Y$200,$G26)&gt;0,
    COUNTIFS($Z$2:$Z$200,$G26)&gt;0,
    COUNTIFS($AA$2:$AA$200,$G26)&gt;0,
    COUNTIFS($AB$2:$AB$200,$G26)&gt;0,
    COUNTIFS($AC$2:$AC$200,$G26)&gt;0,
    COUNTIFS($AD$2:$AD$200,$G26)&gt;0,
    COUNTIFS($AE$2:$AE$200,$G26)&gt;0,
    COUNTIFS($AF$2:$AF$200,$G26)&gt;0,
    COUNTIFS($AG$2:$AG$200,$G26)&gt;0,
    COUNTIFS($AH$2:$AH$200,$G26)&gt;0,
    COUNTIFS($AI$2:$AI$200,$G26)&gt;0,
    COUNTIFS($AJ$2:$AJ$200,$G26)&gt;0,
    COUNTIFS($AK$2:$AK$200,$G26)&gt;0,
    COUNTIFS($AL$2:$AL$200,$G26)&gt;0,
    COUNTIFS($AM$2:$AM$200,$G26)&gt;0,
    COUNTIFS($AN$2:$AN$200,$G26)&gt;0,
    COUNTIFS($AO$2:$AO$200,$G26)&gt;0,
    COUNTIFS($AP$2:$AP$200,$G26)&gt;0,
    COUNTIFS($AQ$2:$AQ$200,$G26)&gt;0,
    COUNTIFS($AR$2:$AR$200,$G26)&gt;0,
    COUNTIFS($AS$2:$AS$200,$G26)&gt;0,
    COUNTIFS($AT$2:$AT$200,$G26)&gt;0,
    COUNTIFS($AU$2:$AU$200,$G26)&gt;0,
    COUNTIFS($AV$2:$AV$200,$G26)&gt;0,
    COUNTIFS($AW$2:$AW$200,$G26)&gt;0,
    COUNTIFS($AX$2:$AX$200,$G26)&gt;0
   ),
  0)
 ),
"")</f>
        <v>Modular</v>
      </c>
      <c r="D26" s="3" t="str" cm="1">
        <f t="array" aca="1" ref="D26" ca="1">IFERROR(
 INDEX(
  _xlfn._xlws.FILTER($U$1:$AX$1,
   TRANSPOSE(
    CHOOSE({1;2;3;4;5;6;7;8;9;10;11;12;13;14;15;16;17;18;19;20;21;22;23;24;25;26;27;28;29;30},
     COUNTIFS($U$2:$U$200,$G26)&gt;0,
     COUNTIFS($V$2:$V$200,$G26)&gt;0,
     COUNTIFS($W$2:$W$200,$G26)&gt;0,
     COUNTIFS($X$2:$X$200,$G26)&gt;0,
     COUNTIFS($Y$2:$Y$200,$G26)&gt;0,
     COUNTIFS($Z$2:$Z$200,$G26)&gt;0,
     COUNTIFS($AA$2:$AA$200,$G26)&gt;0,
     COUNTIFS($AB$2:$AB$200,$G26)&gt;0,
     COUNTIFS($AC$2:$AC$200,$G26)&gt;0,
     COUNTIFS($AD$2:$AD$200,$G26)&gt;0,
     COUNTIFS($AE$2:$AE$200,$G26)&gt;0,
     COUNTIFS($AF$2:$AF$200,$G26)&gt;0,
     COUNTIFS($AG$2:$AG$200,$G26)&gt;0,
     COUNTIFS($AH$2:$AH$200,$G26)&gt;0,
     COUNTIFS($AI$2:$AI$200,$G26)&gt;0,
     COUNTIFS($AJ$2:$AJ$200,$G26)&gt;0,
     COUNTIFS($AK$2:$AK$200,$G26)&gt;0,
     COUNTIFS($AL$2:$AL$200,$G26)&gt;0,
     COUNTIFS($AM$2:$AM$200,$G26)&gt;0,
     COUNTIFS($AN$2:$AN$200,$G26)&gt;0,
     COUNTIFS($AO$2:$AO$200,$G26)&gt;0,
     COUNTIFS($AP$2:$AP$200,$G26)&gt;0,
     COUNTIFS($AQ$2:$AQ$200,$G26)&gt;0,
     COUNTIFS($AR$2:$AR$200,$G26)&gt;0,
     COUNTIFS($AS$2:$AS$200,$G26)&gt;0,
     COUNTIFS($AT$2:$AT$200,$G26)&gt;0,
     COUNTIFS($AU$2:$AU$200,$G26)&gt;0,
     COUNTIFS($AV$2:$AV$200,$G26)&gt;0,
     COUNTIFS($AW$2:$AW$200,$G26)&gt;0,
     COUNTIFS($AX$2:$AX$200,$G26)&gt;0
   )),
  ),
  2
 ),
"")</f>
        <v/>
      </c>
      <c r="E26" s="3" t="str" cm="1">
        <f t="array" aca="1" ref="E26" ca="1">IFERROR(
 INDEX(
  _xlfn._xlws.FILTER($U$1:$AX$1,
   TRANSPOSE(
    CHOOSE({1;2;3;4;5;6;7;8;9;10;11;12;13;14;15;16;17;18;19;20;21;22;23;24;25;26;27;28;29;30},
     COUNTIFS($U$2:$U$200,$G26)&gt;0,
     COUNTIFS($V$2:$V$200,$G26)&gt;0,
     COUNTIFS($W$2:$W$200,$G26)&gt;0,
     COUNTIFS($X$2:$X$200,$G26)&gt;0,
     COUNTIFS($Y$2:$Y$200,$G26)&gt;0,
     COUNTIFS($Z$2:$Z$200,$G26)&gt;0,
     COUNTIFS($AA$2:$AA$200,$G26)&gt;0,
     COUNTIFS($AB$2:$AB$200,$G26)&gt;0,
     COUNTIFS($AC$2:$AC$200,$G26)&gt;0,
     COUNTIFS($AD$2:$AD$200,$G26)&gt;0,
     COUNTIFS($AE$2:$AE$200,$G26)&gt;0,
     COUNTIFS($AF$2:$AF$200,$G26)&gt;0,
     COUNTIFS($AG$2:$AG$200,$G26)&gt;0,
     COUNTIFS($AH$2:$AH$200,$G26)&gt;0,
     COUNTIFS($AI$2:$AI$200,$G26)&gt;0,
     COUNTIFS($AJ$2:$AJ$200,$G26)&gt;0,
     COUNTIFS($AK$2:$AK$200,$G26)&gt;0,
     COUNTIFS($AL$2:$AL$200,$G26)&gt;0,
     COUNTIFS($AM$2:$AM$200,$G26)&gt;0,
     COUNTIFS($AN$2:$AN$200,$G26)&gt;0,
     COUNTIFS($AO$2:$AO$200,$G26)&gt;0,
     COUNTIFS($AP$2:$AP$200,$G26)&gt;0,
     COUNTIFS($AQ$2:$AQ$200,$G26)&gt;0,
     COUNTIFS($AR$2:$AR$200,$G26)&gt;0,
     COUNTIFS($AS$2:$AS$200,$G26)&gt;0,
     COUNTIFS($AT$2:$AT$200,$G26)&gt;0,
     COUNTIFS($AU$2:$AU$200,$G26)&gt;0,
     COUNTIFS($AV$2:$AV$200,$G26)&gt;0,
     COUNTIFS($AW$2:$AW$200,$G26)&gt;0,
     COUNTIFS($AX$2:$AX$200,$G26)&gt;0
   )),
  ),
  3
 ),
"")</f>
        <v/>
      </c>
      <c r="F26" s="3" t="str" cm="1">
        <f t="array" aca="1" ref="F26" ca="1">IFERROR(
 INDEX(
  _xlfn._xlws.FILTER($U$1:$AX$1,
   TRANSPOSE(
    CHOOSE({1;2;3;4;5;6;7;8;9;10;11;12;13;14;15;16;17;18;19;20;21;22;23;24;25;26;27;28;29;30},
     COUNTIFS($U$2:$U$200,$G26)&gt;0,
     COUNTIFS($V$2:$V$200,$G26)&gt;0,
     COUNTIFS($W$2:$W$200,$G26)&gt;0,
     COUNTIFS($X$2:$X$200,$G26)&gt;0,
     COUNTIFS($Y$2:$Y$200,$G26)&gt;0,
     COUNTIFS($Z$2:$Z$200,$G26)&gt;0,
     COUNTIFS($AA$2:$AA$200,$G26)&gt;0,
     COUNTIFS($AB$2:$AB$200,$G26)&gt;0,
     COUNTIFS($AC$2:$AC$200,$G26)&gt;0,
     COUNTIFS($AD$2:$AD$200,$G26)&gt;0,
     COUNTIFS($AE$2:$AE$200,$G26)&gt;0,
     COUNTIFS($AF$2:$AF$200,$G26)&gt;0,
     COUNTIFS($AG$2:$AG$200,$G26)&gt;0,
     COUNTIFS($AH$2:$AH$200,$G26)&gt;0,
     COUNTIFS($AI$2:$AI$200,$G26)&gt;0,
     COUNTIFS($AJ$2:$AJ$200,$G26)&gt;0,
     COUNTIFS($AK$2:$AK$200,$G26)&gt;0,
     COUNTIFS($AL$2:$AL$200,$G26)&gt;0,
     COUNTIFS($AM$2:$AM$200,$G26)&gt;0,
     COUNTIFS($AN$2:$AN$200,$G26)&gt;0,
     COUNTIFS($AO$2:$AO$200,$G26)&gt;0,
     COUNTIFS($AP$2:$AP$200,$G26)&gt;0,
     COUNTIFS($AQ$2:$AQ$200,$G26)&gt;0,
     COUNTIFS($AR$2:$AR$200,$G26)&gt;0,
     COUNTIFS($AS$2:$AS$200,$G26)&gt;0,
     COUNTIFS($AT$2:$AT$200,$G26)&gt;0,
     COUNTIFS($AU$2:$AU$200,$G26)&gt;0,
     COUNTIFS($AV$2:$AV$200,$G26)&gt;0,
     COUNTIFS($AW$2:$AW$200,$G26)&gt;0,
     COUNTIFS($AX$2:$AX$200,$G26)&gt;0
   )),
  ),
  4
 ),
"")</f>
        <v/>
      </c>
      <c r="G26" t="str">
        <f ca="1"/>
        <v>Arcbound Slith</v>
      </c>
      <c r="I26" t="s">
        <v>30</v>
      </c>
      <c r="J26" s="3">
        <f>Breya!G2</f>
        <v>3</v>
      </c>
      <c r="K26" s="3" t="s">
        <v>2087</v>
      </c>
      <c r="L26" s="3" t="s">
        <v>2087</v>
      </c>
      <c r="M26" s="3" t="s">
        <v>2087</v>
      </c>
      <c r="N26" s="3" t="s">
        <v>2087</v>
      </c>
      <c r="O26" s="3" t="s">
        <v>2088</v>
      </c>
      <c r="P26" s="3" t="s">
        <v>753</v>
      </c>
      <c r="Q26" s="3" t="s">
        <v>2143</v>
      </c>
      <c r="R26" s="3" t="s">
        <v>2165</v>
      </c>
      <c r="S26" s="3" t="str">
        <f t="shared" si="2"/>
        <v>5</v>
      </c>
      <c r="U26" t="str">
        <v>Time Sieve</v>
      </c>
      <c r="V26" t="str">
        <v>Seedborn Muse</v>
      </c>
      <c r="W26" t="str">
        <v>Spectator Seating</v>
      </c>
      <c r="X26" t="str">
        <v>Retribution of the Ancients</v>
      </c>
      <c r="AX26" t="str">
        <v>Earthbending Student</v>
      </c>
      <c r="BA26" t="str">
        <f ca="1"/>
        <v>Vexing Puzzlebox</v>
      </c>
      <c r="BC26" t="str">
        <f ca="1"/>
        <v>Watery Grave</v>
      </c>
      <c r="BD26" t="str">
        <f ca="1"/>
        <v>Season of Weaving</v>
      </c>
      <c r="BF26" t="str">
        <f ca="1"/>
        <v>Ripples of Potential</v>
      </c>
      <c r="BG26" t="str">
        <f ca="1"/>
        <v>Lullmage Mentor</v>
      </c>
      <c r="BH26" t="str">
        <f ca="1"/>
        <v>Gavony Township</v>
      </c>
      <c r="BI26" t="str">
        <f ca="1"/>
        <v>Coastline Marauders</v>
      </c>
      <c r="BK26" t="str">
        <f ca="1"/>
        <v>Phyrexian Tower</v>
      </c>
      <c r="BL26" t="str">
        <f ca="1"/>
        <v>Prismatic Strands</v>
      </c>
      <c r="BM26" t="str">
        <f ca="1"/>
        <v>Hierofante de Elenda</v>
      </c>
      <c r="BN26" t="str">
        <f ca="1"/>
        <v>Genji Glove</v>
      </c>
      <c r="BO26" t="str">
        <f ca="1"/>
        <v>Bojuka Bog</v>
      </c>
      <c r="BQ26" t="str">
        <f ca="1"/>
        <v>Entomb</v>
      </c>
      <c r="BR26" t="str">
        <f ca="1"/>
        <v>Dollmaker's Shop // Porcelain Gallery</v>
      </c>
      <c r="BT26" t="str">
        <f ca="1"/>
        <v>Call to the Kindred</v>
      </c>
    </row>
    <row r="27" spans="1:72" x14ac:dyDescent="0.25">
      <c r="A27" s="3" t="str">
        <f t="shared" ca="1" si="0"/>
        <v>1</v>
      </c>
      <c r="B27" s="3">
        <f t="shared" ca="1" si="1"/>
        <v>1</v>
      </c>
      <c r="C27" s="3" t="str">
        <f ca="1">IFERROR(
 INDEX($U$1:$AX$1,
  MATCH(TRUE,
   CHOOSE({1;2;3;4;5;6;7;8;9;10;11;12;13;14;15;16;17;18;19;20;21;22;23;24;25;26;27;28;29;30;31;32},
    COUNTIFS($U$2:$U$200,$G27)&gt;0,
    COUNTIFS($V$2:$V$200,$G27)&gt;0,
    COUNTIFS($W$2:$W$200,$G27)&gt;0,
    COUNTIFS($X$2:$X$200,$G27)&gt;0,
    COUNTIFS($Y$2:$Y$200,$G27)&gt;0,
    COUNTIFS($Z$2:$Z$200,$G27)&gt;0,
    COUNTIFS($AA$2:$AA$200,$G27)&gt;0,
    COUNTIFS($AB$2:$AB$200,$G27)&gt;0,
    COUNTIFS($AC$2:$AC$200,$G27)&gt;0,
    COUNTIFS($AD$2:$AD$200,$G27)&gt;0,
    COUNTIFS($AE$2:$AE$200,$G27)&gt;0,
    COUNTIFS($AF$2:$AF$200,$G27)&gt;0,
    COUNTIFS($AG$2:$AG$200,$G27)&gt;0,
    COUNTIFS($AH$2:$AH$200,$G27)&gt;0,
    COUNTIFS($AI$2:$AI$200,$G27)&gt;0,
    COUNTIFS($AJ$2:$AJ$200,$G27)&gt;0,
    COUNTIFS($AK$2:$AK$200,$G27)&gt;0,
    COUNTIFS($AL$2:$AL$200,$G27)&gt;0,
    COUNTIFS($AM$2:$AM$200,$G27)&gt;0,
    COUNTIFS($AN$2:$AN$200,$G27)&gt;0,
    COUNTIFS($AO$2:$AO$200,$G27)&gt;0,
    COUNTIFS($AP$2:$AP$200,$G27)&gt;0,
    COUNTIFS($AQ$2:$AQ$200,$G27)&gt;0,
    COUNTIFS($AR$2:$AR$200,$G27)&gt;0,
    COUNTIFS($AS$2:$AS$200,$G27)&gt;0,
    COUNTIFS($AT$2:$AT$200,$G27)&gt;0,
    COUNTIFS($AU$2:$AU$200,$G27)&gt;0,
    COUNTIFS($AV$2:$AV$200,$G27)&gt;0,
    COUNTIFS($AW$2:$AW$200,$G27)&gt;0,
    COUNTIFS($AX$2:$AX$200,$G27)&gt;0
   ),
  0)
 ),
"")</f>
        <v>Modular</v>
      </c>
      <c r="D27" s="3" t="str" cm="1">
        <f t="array" aca="1" ref="D27" ca="1">IFERROR(
 INDEX(
  _xlfn._xlws.FILTER($U$1:$AX$1,
   TRANSPOSE(
    CHOOSE({1;2;3;4;5;6;7;8;9;10;11;12;13;14;15;16;17;18;19;20;21;22;23;24;25;26;27;28;29;30},
     COUNTIFS($U$2:$U$200,$G27)&gt;0,
     COUNTIFS($V$2:$V$200,$G27)&gt;0,
     COUNTIFS($W$2:$W$200,$G27)&gt;0,
     COUNTIFS($X$2:$X$200,$G27)&gt;0,
     COUNTIFS($Y$2:$Y$200,$G27)&gt;0,
     COUNTIFS($Z$2:$Z$200,$G27)&gt;0,
     COUNTIFS($AA$2:$AA$200,$G27)&gt;0,
     COUNTIFS($AB$2:$AB$200,$G27)&gt;0,
     COUNTIFS($AC$2:$AC$200,$G27)&gt;0,
     COUNTIFS($AD$2:$AD$200,$G27)&gt;0,
     COUNTIFS($AE$2:$AE$200,$G27)&gt;0,
     COUNTIFS($AF$2:$AF$200,$G27)&gt;0,
     COUNTIFS($AG$2:$AG$200,$G27)&gt;0,
     COUNTIFS($AH$2:$AH$200,$G27)&gt;0,
     COUNTIFS($AI$2:$AI$200,$G27)&gt;0,
     COUNTIFS($AJ$2:$AJ$200,$G27)&gt;0,
     COUNTIFS($AK$2:$AK$200,$G27)&gt;0,
     COUNTIFS($AL$2:$AL$200,$G27)&gt;0,
     COUNTIFS($AM$2:$AM$200,$G27)&gt;0,
     COUNTIFS($AN$2:$AN$200,$G27)&gt;0,
     COUNTIFS($AO$2:$AO$200,$G27)&gt;0,
     COUNTIFS($AP$2:$AP$200,$G27)&gt;0,
     COUNTIFS($AQ$2:$AQ$200,$G27)&gt;0,
     COUNTIFS($AR$2:$AR$200,$G27)&gt;0,
     COUNTIFS($AS$2:$AS$200,$G27)&gt;0,
     COUNTIFS($AT$2:$AT$200,$G27)&gt;0,
     COUNTIFS($AU$2:$AU$200,$G27)&gt;0,
     COUNTIFS($AV$2:$AV$200,$G27)&gt;0,
     COUNTIFS($AW$2:$AW$200,$G27)&gt;0,
     COUNTIFS($AX$2:$AX$200,$G27)&gt;0
   )),
  ),
  2
 ),
"")</f>
        <v/>
      </c>
      <c r="E27" s="3" t="str" cm="1">
        <f t="array" aca="1" ref="E27" ca="1">IFERROR(
 INDEX(
  _xlfn._xlws.FILTER($U$1:$AX$1,
   TRANSPOSE(
    CHOOSE({1;2;3;4;5;6;7;8;9;10;11;12;13;14;15;16;17;18;19;20;21;22;23;24;25;26;27;28;29;30},
     COUNTIFS($U$2:$U$200,$G27)&gt;0,
     COUNTIFS($V$2:$V$200,$G27)&gt;0,
     COUNTIFS($W$2:$W$200,$G27)&gt;0,
     COUNTIFS($X$2:$X$200,$G27)&gt;0,
     COUNTIFS($Y$2:$Y$200,$G27)&gt;0,
     COUNTIFS($Z$2:$Z$200,$G27)&gt;0,
     COUNTIFS($AA$2:$AA$200,$G27)&gt;0,
     COUNTIFS($AB$2:$AB$200,$G27)&gt;0,
     COUNTIFS($AC$2:$AC$200,$G27)&gt;0,
     COUNTIFS($AD$2:$AD$200,$G27)&gt;0,
     COUNTIFS($AE$2:$AE$200,$G27)&gt;0,
     COUNTIFS($AF$2:$AF$200,$G27)&gt;0,
     COUNTIFS($AG$2:$AG$200,$G27)&gt;0,
     COUNTIFS($AH$2:$AH$200,$G27)&gt;0,
     COUNTIFS($AI$2:$AI$200,$G27)&gt;0,
     COUNTIFS($AJ$2:$AJ$200,$G27)&gt;0,
     COUNTIFS($AK$2:$AK$200,$G27)&gt;0,
     COUNTIFS($AL$2:$AL$200,$G27)&gt;0,
     COUNTIFS($AM$2:$AM$200,$G27)&gt;0,
     COUNTIFS($AN$2:$AN$200,$G27)&gt;0,
     COUNTIFS($AO$2:$AO$200,$G27)&gt;0,
     COUNTIFS($AP$2:$AP$200,$G27)&gt;0,
     COUNTIFS($AQ$2:$AQ$200,$G27)&gt;0,
     COUNTIFS($AR$2:$AR$200,$G27)&gt;0,
     COUNTIFS($AS$2:$AS$200,$G27)&gt;0,
     COUNTIFS($AT$2:$AT$200,$G27)&gt;0,
     COUNTIFS($AU$2:$AU$200,$G27)&gt;0,
     COUNTIFS($AV$2:$AV$200,$G27)&gt;0,
     COUNTIFS($AW$2:$AW$200,$G27)&gt;0,
     COUNTIFS($AX$2:$AX$200,$G27)&gt;0
   )),
  ),
  3
 ),
"")</f>
        <v/>
      </c>
      <c r="F27" s="3" t="str" cm="1">
        <f t="array" aca="1" ref="F27" ca="1">IFERROR(
 INDEX(
  _xlfn._xlws.FILTER($U$1:$AX$1,
   TRANSPOSE(
    CHOOSE({1;2;3;4;5;6;7;8;9;10;11;12;13;14;15;16;17;18;19;20;21;22;23;24;25;26;27;28;29;30},
     COUNTIFS($U$2:$U$200,$G27)&gt;0,
     COUNTIFS($V$2:$V$200,$G27)&gt;0,
     COUNTIFS($W$2:$W$200,$G27)&gt;0,
     COUNTIFS($X$2:$X$200,$G27)&gt;0,
     COUNTIFS($Y$2:$Y$200,$G27)&gt;0,
     COUNTIFS($Z$2:$Z$200,$G27)&gt;0,
     COUNTIFS($AA$2:$AA$200,$G27)&gt;0,
     COUNTIFS($AB$2:$AB$200,$G27)&gt;0,
     COUNTIFS($AC$2:$AC$200,$G27)&gt;0,
     COUNTIFS($AD$2:$AD$200,$G27)&gt;0,
     COUNTIFS($AE$2:$AE$200,$G27)&gt;0,
     COUNTIFS($AF$2:$AF$200,$G27)&gt;0,
     COUNTIFS($AG$2:$AG$200,$G27)&gt;0,
     COUNTIFS($AH$2:$AH$200,$G27)&gt;0,
     COUNTIFS($AI$2:$AI$200,$G27)&gt;0,
     COUNTIFS($AJ$2:$AJ$200,$G27)&gt;0,
     COUNTIFS($AK$2:$AK$200,$G27)&gt;0,
     COUNTIFS($AL$2:$AL$200,$G27)&gt;0,
     COUNTIFS($AM$2:$AM$200,$G27)&gt;0,
     COUNTIFS($AN$2:$AN$200,$G27)&gt;0,
     COUNTIFS($AO$2:$AO$200,$G27)&gt;0,
     COUNTIFS($AP$2:$AP$200,$G27)&gt;0,
     COUNTIFS($AQ$2:$AQ$200,$G27)&gt;0,
     COUNTIFS($AR$2:$AR$200,$G27)&gt;0,
     COUNTIFS($AS$2:$AS$200,$G27)&gt;0,
     COUNTIFS($AT$2:$AT$200,$G27)&gt;0,
     COUNTIFS($AU$2:$AU$200,$G27)&gt;0,
     COUNTIFS($AV$2:$AV$200,$G27)&gt;0,
     COUNTIFS($AW$2:$AW$200,$G27)&gt;0,
     COUNTIFS($AX$2:$AX$200,$G27)&gt;0
   )),
  ),
  4
 ),
"")</f>
        <v/>
      </c>
      <c r="G27" t="str">
        <f ca="1"/>
        <v>Arcbound Stinger</v>
      </c>
      <c r="I27" t="s">
        <v>2061</v>
      </c>
      <c r="J27" s="3">
        <f>OWA!G2</f>
        <v>6</v>
      </c>
      <c r="K27" s="3" t="s">
        <v>2087</v>
      </c>
      <c r="L27" s="3" t="s">
        <v>2088</v>
      </c>
      <c r="M27" s="3" t="s">
        <v>2088</v>
      </c>
      <c r="N27" s="3" t="s">
        <v>2087</v>
      </c>
      <c r="O27" s="3" t="s">
        <v>2087</v>
      </c>
      <c r="P27" s="3" t="s">
        <v>753</v>
      </c>
      <c r="Q27" s="3" t="s">
        <v>2143</v>
      </c>
      <c r="R27" s="3" t="s">
        <v>2166</v>
      </c>
      <c r="S27" s="3" t="str">
        <f t="shared" si="2"/>
        <v>4</v>
      </c>
      <c r="U27" t="str">
        <v>Timestream Navigator</v>
      </c>
      <c r="V27" t="str">
        <v>Sunscorched Divide</v>
      </c>
      <c r="W27" t="str">
        <v>The Water Crystal</v>
      </c>
      <c r="X27" t="str">
        <v>Reyhan, Last of the Abzan</v>
      </c>
      <c r="AX27" t="str">
        <v>Elvish Reclaimer</v>
      </c>
      <c r="BC27" t="str">
        <f ca="1"/>
        <v>Watery Grave</v>
      </c>
      <c r="BD27" t="str">
        <f ca="1"/>
        <v>Sonic Screwdriver</v>
      </c>
      <c r="BF27" t="str">
        <f ca="1"/>
        <v>Rogue's Passage</v>
      </c>
      <c r="BG27" t="str">
        <f ca="1"/>
        <v>Maddening Cacophony</v>
      </c>
      <c r="BH27" t="str">
        <f ca="1"/>
        <v>Gavony Township</v>
      </c>
      <c r="BI27" t="str">
        <f ca="1"/>
        <v>Darksteel Citadel</v>
      </c>
      <c r="BK27" t="str">
        <f ca="1"/>
        <v>Planetary Annihilation</v>
      </c>
      <c r="BL27" t="str">
        <f ca="1"/>
        <v>Renewed Solidarity</v>
      </c>
      <c r="BM27" t="str">
        <f ca="1"/>
        <v>High-Society Hunter</v>
      </c>
      <c r="BN27" t="str">
        <f ca="1"/>
        <v>Ghostly Prison</v>
      </c>
      <c r="BO27" t="str">
        <f ca="1"/>
        <v>Boros Charm</v>
      </c>
      <c r="BQ27" t="str">
        <f ca="1"/>
        <v>Evendo, Waking Haven</v>
      </c>
      <c r="BR27" t="str">
        <f ca="1"/>
        <v>Dour Port-Mage</v>
      </c>
      <c r="BT27" t="str">
        <f ca="1"/>
        <v>Careful Study</v>
      </c>
    </row>
    <row r="28" spans="1:72" x14ac:dyDescent="0.25">
      <c r="A28" s="3" t="str">
        <f t="shared" ca="1" si="0"/>
        <v>1</v>
      </c>
      <c r="B28" s="3">
        <f t="shared" ca="1" si="1"/>
        <v>1</v>
      </c>
      <c r="C28" s="3" t="str">
        <f ca="1">IFERROR(
 INDEX($U$1:$AX$1,
  MATCH(TRUE,
   CHOOSE({1;2;3;4;5;6;7;8;9;10;11;12;13;14;15;16;17;18;19;20;21;22;23;24;25;26;27;28;29;30;31;32},
    COUNTIFS($U$2:$U$200,$G28)&gt;0,
    COUNTIFS($V$2:$V$200,$G28)&gt;0,
    COUNTIFS($W$2:$W$200,$G28)&gt;0,
    COUNTIFS($X$2:$X$200,$G28)&gt;0,
    COUNTIFS($Y$2:$Y$200,$G28)&gt;0,
    COUNTIFS($Z$2:$Z$200,$G28)&gt;0,
    COUNTIFS($AA$2:$AA$200,$G28)&gt;0,
    COUNTIFS($AB$2:$AB$200,$G28)&gt;0,
    COUNTIFS($AC$2:$AC$200,$G28)&gt;0,
    COUNTIFS($AD$2:$AD$200,$G28)&gt;0,
    COUNTIFS($AE$2:$AE$200,$G28)&gt;0,
    COUNTIFS($AF$2:$AF$200,$G28)&gt;0,
    COUNTIFS($AG$2:$AG$200,$G28)&gt;0,
    COUNTIFS($AH$2:$AH$200,$G28)&gt;0,
    COUNTIFS($AI$2:$AI$200,$G28)&gt;0,
    COUNTIFS($AJ$2:$AJ$200,$G28)&gt;0,
    COUNTIFS($AK$2:$AK$200,$G28)&gt;0,
    COUNTIFS($AL$2:$AL$200,$G28)&gt;0,
    COUNTIFS($AM$2:$AM$200,$G28)&gt;0,
    COUNTIFS($AN$2:$AN$200,$G28)&gt;0,
    COUNTIFS($AO$2:$AO$200,$G28)&gt;0,
    COUNTIFS($AP$2:$AP$200,$G28)&gt;0,
    COUNTIFS($AQ$2:$AQ$200,$G28)&gt;0,
    COUNTIFS($AR$2:$AR$200,$G28)&gt;0,
    COUNTIFS($AS$2:$AS$200,$G28)&gt;0,
    COUNTIFS($AT$2:$AT$200,$G28)&gt;0,
    COUNTIFS($AU$2:$AU$200,$G28)&gt;0,
    COUNTIFS($AV$2:$AV$200,$G28)&gt;0,
    COUNTIFS($AW$2:$AW$200,$G28)&gt;0,
    COUNTIFS($AX$2:$AX$200,$G28)&gt;0
   ),
  0)
 ),
"")</f>
        <v>Modular</v>
      </c>
      <c r="D28" s="3" t="str" cm="1">
        <f t="array" aca="1" ref="D28" ca="1">IFERROR(
 INDEX(
  _xlfn._xlws.FILTER($U$1:$AX$1,
   TRANSPOSE(
    CHOOSE({1;2;3;4;5;6;7;8;9;10;11;12;13;14;15;16;17;18;19;20;21;22;23;24;25;26;27;28;29;30},
     COUNTIFS($U$2:$U$200,$G28)&gt;0,
     COUNTIFS($V$2:$V$200,$G28)&gt;0,
     COUNTIFS($W$2:$W$200,$G28)&gt;0,
     COUNTIFS($X$2:$X$200,$G28)&gt;0,
     COUNTIFS($Y$2:$Y$200,$G28)&gt;0,
     COUNTIFS($Z$2:$Z$200,$G28)&gt;0,
     COUNTIFS($AA$2:$AA$200,$G28)&gt;0,
     COUNTIFS($AB$2:$AB$200,$G28)&gt;0,
     COUNTIFS($AC$2:$AC$200,$G28)&gt;0,
     COUNTIFS($AD$2:$AD$200,$G28)&gt;0,
     COUNTIFS($AE$2:$AE$200,$G28)&gt;0,
     COUNTIFS($AF$2:$AF$200,$G28)&gt;0,
     COUNTIFS($AG$2:$AG$200,$G28)&gt;0,
     COUNTIFS($AH$2:$AH$200,$G28)&gt;0,
     COUNTIFS($AI$2:$AI$200,$G28)&gt;0,
     COUNTIFS($AJ$2:$AJ$200,$G28)&gt;0,
     COUNTIFS($AK$2:$AK$200,$G28)&gt;0,
     COUNTIFS($AL$2:$AL$200,$G28)&gt;0,
     COUNTIFS($AM$2:$AM$200,$G28)&gt;0,
     COUNTIFS($AN$2:$AN$200,$G28)&gt;0,
     COUNTIFS($AO$2:$AO$200,$G28)&gt;0,
     COUNTIFS($AP$2:$AP$200,$G28)&gt;0,
     COUNTIFS($AQ$2:$AQ$200,$G28)&gt;0,
     COUNTIFS($AR$2:$AR$200,$G28)&gt;0,
     COUNTIFS($AS$2:$AS$200,$G28)&gt;0,
     COUNTIFS($AT$2:$AT$200,$G28)&gt;0,
     COUNTIFS($AU$2:$AU$200,$G28)&gt;0,
     COUNTIFS($AV$2:$AV$200,$G28)&gt;0,
     COUNTIFS($AW$2:$AW$200,$G28)&gt;0,
     COUNTIFS($AX$2:$AX$200,$G28)&gt;0
   )),
  ),
  2
 ),
"")</f>
        <v/>
      </c>
      <c r="E28" s="3" t="str" cm="1">
        <f t="array" aca="1" ref="E28" ca="1">IFERROR(
 INDEX(
  _xlfn._xlws.FILTER($U$1:$AX$1,
   TRANSPOSE(
    CHOOSE({1;2;3;4;5;6;7;8;9;10;11;12;13;14;15;16;17;18;19;20;21;22;23;24;25;26;27;28;29;30},
     COUNTIFS($U$2:$U$200,$G28)&gt;0,
     COUNTIFS($V$2:$V$200,$G28)&gt;0,
     COUNTIFS($W$2:$W$200,$G28)&gt;0,
     COUNTIFS($X$2:$X$200,$G28)&gt;0,
     COUNTIFS($Y$2:$Y$200,$G28)&gt;0,
     COUNTIFS($Z$2:$Z$200,$G28)&gt;0,
     COUNTIFS($AA$2:$AA$200,$G28)&gt;0,
     COUNTIFS($AB$2:$AB$200,$G28)&gt;0,
     COUNTIFS($AC$2:$AC$200,$G28)&gt;0,
     COUNTIFS($AD$2:$AD$200,$G28)&gt;0,
     COUNTIFS($AE$2:$AE$200,$G28)&gt;0,
     COUNTIFS($AF$2:$AF$200,$G28)&gt;0,
     COUNTIFS($AG$2:$AG$200,$G28)&gt;0,
     COUNTIFS($AH$2:$AH$200,$G28)&gt;0,
     COUNTIFS($AI$2:$AI$200,$G28)&gt;0,
     COUNTIFS($AJ$2:$AJ$200,$G28)&gt;0,
     COUNTIFS($AK$2:$AK$200,$G28)&gt;0,
     COUNTIFS($AL$2:$AL$200,$G28)&gt;0,
     COUNTIFS($AM$2:$AM$200,$G28)&gt;0,
     COUNTIFS($AN$2:$AN$200,$G28)&gt;0,
     COUNTIFS($AO$2:$AO$200,$G28)&gt;0,
     COUNTIFS($AP$2:$AP$200,$G28)&gt;0,
     COUNTIFS($AQ$2:$AQ$200,$G28)&gt;0,
     COUNTIFS($AR$2:$AR$200,$G28)&gt;0,
     COUNTIFS($AS$2:$AS$200,$G28)&gt;0,
     COUNTIFS($AT$2:$AT$200,$G28)&gt;0,
     COUNTIFS($AU$2:$AU$200,$G28)&gt;0,
     COUNTIFS($AV$2:$AV$200,$G28)&gt;0,
     COUNTIFS($AW$2:$AW$200,$G28)&gt;0,
     COUNTIFS($AX$2:$AX$200,$G28)&gt;0
   )),
  ),
  3
 ),
"")</f>
        <v/>
      </c>
      <c r="F28" s="3" t="str" cm="1">
        <f t="array" aca="1" ref="F28" ca="1">IFERROR(
 INDEX(
  _xlfn._xlws.FILTER($U$1:$AX$1,
   TRANSPOSE(
    CHOOSE({1;2;3;4;5;6;7;8;9;10;11;12;13;14;15;16;17;18;19;20;21;22;23;24;25;26;27;28;29;30},
     COUNTIFS($U$2:$U$200,$G28)&gt;0,
     COUNTIFS($V$2:$V$200,$G28)&gt;0,
     COUNTIFS($W$2:$W$200,$G28)&gt;0,
     COUNTIFS($X$2:$X$200,$G28)&gt;0,
     COUNTIFS($Y$2:$Y$200,$G28)&gt;0,
     COUNTIFS($Z$2:$Z$200,$G28)&gt;0,
     COUNTIFS($AA$2:$AA$200,$G28)&gt;0,
     COUNTIFS($AB$2:$AB$200,$G28)&gt;0,
     COUNTIFS($AC$2:$AC$200,$G28)&gt;0,
     COUNTIFS($AD$2:$AD$200,$G28)&gt;0,
     COUNTIFS($AE$2:$AE$200,$G28)&gt;0,
     COUNTIFS($AF$2:$AF$200,$G28)&gt;0,
     COUNTIFS($AG$2:$AG$200,$G28)&gt;0,
     COUNTIFS($AH$2:$AH$200,$G28)&gt;0,
     COUNTIFS($AI$2:$AI$200,$G28)&gt;0,
     COUNTIFS($AJ$2:$AJ$200,$G28)&gt;0,
     COUNTIFS($AK$2:$AK$200,$G28)&gt;0,
     COUNTIFS($AL$2:$AL$200,$G28)&gt;0,
     COUNTIFS($AM$2:$AM$200,$G28)&gt;0,
     COUNTIFS($AN$2:$AN$200,$G28)&gt;0,
     COUNTIFS($AO$2:$AO$200,$G28)&gt;0,
     COUNTIFS($AP$2:$AP$200,$G28)&gt;0,
     COUNTIFS($AQ$2:$AQ$200,$G28)&gt;0,
     COUNTIFS($AR$2:$AR$200,$G28)&gt;0,
     COUNTIFS($AS$2:$AS$200,$G28)&gt;0,
     COUNTIFS($AT$2:$AT$200,$G28)&gt;0,
     COUNTIFS($AU$2:$AU$200,$G28)&gt;0,
     COUNTIFS($AV$2:$AV$200,$G28)&gt;0,
     COUNTIFS($AW$2:$AW$200,$G28)&gt;0,
     COUNTIFS($AX$2:$AX$200,$G28)&gt;0
   )),
  ),
  4
 ),
"")</f>
        <v/>
      </c>
      <c r="G28" t="str">
        <f ca="1"/>
        <v>Arcbound Tracker</v>
      </c>
      <c r="I28" t="s">
        <v>21</v>
      </c>
      <c r="J28" s="3">
        <f>Alela!G2</f>
        <v>5</v>
      </c>
      <c r="K28" s="3" t="s">
        <v>2087</v>
      </c>
      <c r="L28" s="3" t="s">
        <v>2087</v>
      </c>
      <c r="M28" s="3" t="s">
        <v>2088</v>
      </c>
      <c r="N28" s="3" t="s">
        <v>2087</v>
      </c>
      <c r="O28" s="3" t="s">
        <v>2088</v>
      </c>
      <c r="P28" s="3" t="s">
        <v>753</v>
      </c>
      <c r="Q28" s="3" t="s">
        <v>2139</v>
      </c>
      <c r="R28" s="3" t="s">
        <v>2167</v>
      </c>
      <c r="S28" s="3" t="str">
        <f t="shared" si="2"/>
        <v>5</v>
      </c>
      <c r="U28" t="str">
        <v>Treasure Vault</v>
      </c>
      <c r="V28" t="str">
        <v>Teferi's Protection</v>
      </c>
      <c r="W28" t="str">
        <v>Training Center</v>
      </c>
      <c r="X28" t="str">
        <v>Rishkar, Peema Renegade</v>
      </c>
      <c r="AX28" t="str">
        <v>Esper Sentinel</v>
      </c>
      <c r="BD28" t="str">
        <f ca="1"/>
        <v>Sorin da Casa Markov</v>
      </c>
      <c r="BF28" t="str">
        <f ca="1"/>
        <v>Scattered Groves</v>
      </c>
      <c r="BG28" t="str">
        <f ca="1"/>
        <v>Memory Erosion</v>
      </c>
      <c r="BH28" t="str">
        <f ca="1"/>
        <v>Generous Gift</v>
      </c>
      <c r="BI28" t="str">
        <f ca="1"/>
        <v>Deadeye Tracker</v>
      </c>
      <c r="BK28" t="str">
        <f ca="1"/>
        <v>Portal to Phyrexia</v>
      </c>
      <c r="BL28" t="str">
        <f ca="1"/>
        <v>Satoru, the Infiltrator</v>
      </c>
      <c r="BM28" t="str">
        <f ca="1"/>
        <v>Invasion of Segovia</v>
      </c>
      <c r="BN28" t="str">
        <f ca="1"/>
        <v>Grave Pact</v>
      </c>
      <c r="BO28" t="str">
        <f ca="1"/>
        <v>Boros Signet</v>
      </c>
      <c r="BQ28" t="str">
        <f ca="1"/>
        <v>Extinguisher Battleship</v>
      </c>
      <c r="BR28" t="str">
        <f ca="1"/>
        <v>Drowned Catacomb</v>
      </c>
      <c r="BT28" t="str">
        <f ca="1"/>
        <v>Caverna das Almas</v>
      </c>
    </row>
    <row r="29" spans="1:72" x14ac:dyDescent="0.25">
      <c r="A29" s="3" t="str">
        <f t="shared" ca="1" si="0"/>
        <v>1</v>
      </c>
      <c r="B29" s="3">
        <f t="shared" ca="1" si="1"/>
        <v>1</v>
      </c>
      <c r="C29" s="3" t="str">
        <f ca="1">IFERROR(
 INDEX($U$1:$AX$1,
  MATCH(TRUE,
   CHOOSE({1;2;3;4;5;6;7;8;9;10;11;12;13;14;15;16;17;18;19;20;21;22;23;24;25;26;27;28;29;30;31;32},
    COUNTIFS($U$2:$U$200,$G29)&gt;0,
    COUNTIFS($V$2:$V$200,$G29)&gt;0,
    COUNTIFS($W$2:$W$200,$G29)&gt;0,
    COUNTIFS($X$2:$X$200,$G29)&gt;0,
    COUNTIFS($Y$2:$Y$200,$G29)&gt;0,
    COUNTIFS($Z$2:$Z$200,$G29)&gt;0,
    COUNTIFS($AA$2:$AA$200,$G29)&gt;0,
    COUNTIFS($AB$2:$AB$200,$G29)&gt;0,
    COUNTIFS($AC$2:$AC$200,$G29)&gt;0,
    COUNTIFS($AD$2:$AD$200,$G29)&gt;0,
    COUNTIFS($AE$2:$AE$200,$G29)&gt;0,
    COUNTIFS($AF$2:$AF$200,$G29)&gt;0,
    COUNTIFS($AG$2:$AG$200,$G29)&gt;0,
    COUNTIFS($AH$2:$AH$200,$G29)&gt;0,
    COUNTIFS($AI$2:$AI$200,$G29)&gt;0,
    COUNTIFS($AJ$2:$AJ$200,$G29)&gt;0,
    COUNTIFS($AK$2:$AK$200,$G29)&gt;0,
    COUNTIFS($AL$2:$AL$200,$G29)&gt;0,
    COUNTIFS($AM$2:$AM$200,$G29)&gt;0,
    COUNTIFS($AN$2:$AN$200,$G29)&gt;0,
    COUNTIFS($AO$2:$AO$200,$G29)&gt;0,
    COUNTIFS($AP$2:$AP$200,$G29)&gt;0,
    COUNTIFS($AQ$2:$AQ$200,$G29)&gt;0,
    COUNTIFS($AR$2:$AR$200,$G29)&gt;0,
    COUNTIFS($AS$2:$AS$200,$G29)&gt;0,
    COUNTIFS($AT$2:$AT$200,$G29)&gt;0,
    COUNTIFS($AU$2:$AU$200,$G29)&gt;0,
    COUNTIFS($AV$2:$AV$200,$G29)&gt;0,
    COUNTIFS($AW$2:$AW$200,$G29)&gt;0,
    COUNTIFS($AX$2:$AX$200,$G29)&gt;0
   ),
  0)
 ),
"")</f>
        <v>Modular</v>
      </c>
      <c r="D29" s="3" t="str" cm="1">
        <f t="array" aca="1" ref="D29" ca="1">IFERROR(
 INDEX(
  _xlfn._xlws.FILTER($U$1:$AX$1,
   TRANSPOSE(
    CHOOSE({1;2;3;4;5;6;7;8;9;10;11;12;13;14;15;16;17;18;19;20;21;22;23;24;25;26;27;28;29;30},
     COUNTIFS($U$2:$U$200,$G29)&gt;0,
     COUNTIFS($V$2:$V$200,$G29)&gt;0,
     COUNTIFS($W$2:$W$200,$G29)&gt;0,
     COUNTIFS($X$2:$X$200,$G29)&gt;0,
     COUNTIFS($Y$2:$Y$200,$G29)&gt;0,
     COUNTIFS($Z$2:$Z$200,$G29)&gt;0,
     COUNTIFS($AA$2:$AA$200,$G29)&gt;0,
     COUNTIFS($AB$2:$AB$200,$G29)&gt;0,
     COUNTIFS($AC$2:$AC$200,$G29)&gt;0,
     COUNTIFS($AD$2:$AD$200,$G29)&gt;0,
     COUNTIFS($AE$2:$AE$200,$G29)&gt;0,
     COUNTIFS($AF$2:$AF$200,$G29)&gt;0,
     COUNTIFS($AG$2:$AG$200,$G29)&gt;0,
     COUNTIFS($AH$2:$AH$200,$G29)&gt;0,
     COUNTIFS($AI$2:$AI$200,$G29)&gt;0,
     COUNTIFS($AJ$2:$AJ$200,$G29)&gt;0,
     COUNTIFS($AK$2:$AK$200,$G29)&gt;0,
     COUNTIFS($AL$2:$AL$200,$G29)&gt;0,
     COUNTIFS($AM$2:$AM$200,$G29)&gt;0,
     COUNTIFS($AN$2:$AN$200,$G29)&gt;0,
     COUNTIFS($AO$2:$AO$200,$G29)&gt;0,
     COUNTIFS($AP$2:$AP$200,$G29)&gt;0,
     COUNTIFS($AQ$2:$AQ$200,$G29)&gt;0,
     COUNTIFS($AR$2:$AR$200,$G29)&gt;0,
     COUNTIFS($AS$2:$AS$200,$G29)&gt;0,
     COUNTIFS($AT$2:$AT$200,$G29)&gt;0,
     COUNTIFS($AU$2:$AU$200,$G29)&gt;0,
     COUNTIFS($AV$2:$AV$200,$G29)&gt;0,
     COUNTIFS($AW$2:$AW$200,$G29)&gt;0,
     COUNTIFS($AX$2:$AX$200,$G29)&gt;0
   )),
  ),
  2
 ),
"")</f>
        <v/>
      </c>
      <c r="E29" s="3" t="str" cm="1">
        <f t="array" aca="1" ref="E29" ca="1">IFERROR(
 INDEX(
  _xlfn._xlws.FILTER($U$1:$AX$1,
   TRANSPOSE(
    CHOOSE({1;2;3;4;5;6;7;8;9;10;11;12;13;14;15;16;17;18;19;20;21;22;23;24;25;26;27;28;29;30},
     COUNTIFS($U$2:$U$200,$G29)&gt;0,
     COUNTIFS($V$2:$V$200,$G29)&gt;0,
     COUNTIFS($W$2:$W$200,$G29)&gt;0,
     COUNTIFS($X$2:$X$200,$G29)&gt;0,
     COUNTIFS($Y$2:$Y$200,$G29)&gt;0,
     COUNTIFS($Z$2:$Z$200,$G29)&gt;0,
     COUNTIFS($AA$2:$AA$200,$G29)&gt;0,
     COUNTIFS($AB$2:$AB$200,$G29)&gt;0,
     COUNTIFS($AC$2:$AC$200,$G29)&gt;0,
     COUNTIFS($AD$2:$AD$200,$G29)&gt;0,
     COUNTIFS($AE$2:$AE$200,$G29)&gt;0,
     COUNTIFS($AF$2:$AF$200,$G29)&gt;0,
     COUNTIFS($AG$2:$AG$200,$G29)&gt;0,
     COUNTIFS($AH$2:$AH$200,$G29)&gt;0,
     COUNTIFS($AI$2:$AI$200,$G29)&gt;0,
     COUNTIFS($AJ$2:$AJ$200,$G29)&gt;0,
     COUNTIFS($AK$2:$AK$200,$G29)&gt;0,
     COUNTIFS($AL$2:$AL$200,$G29)&gt;0,
     COUNTIFS($AM$2:$AM$200,$G29)&gt;0,
     COUNTIFS($AN$2:$AN$200,$G29)&gt;0,
     COUNTIFS($AO$2:$AO$200,$G29)&gt;0,
     COUNTIFS($AP$2:$AP$200,$G29)&gt;0,
     COUNTIFS($AQ$2:$AQ$200,$G29)&gt;0,
     COUNTIFS($AR$2:$AR$200,$G29)&gt;0,
     COUNTIFS($AS$2:$AS$200,$G29)&gt;0,
     COUNTIFS($AT$2:$AT$200,$G29)&gt;0,
     COUNTIFS($AU$2:$AU$200,$G29)&gt;0,
     COUNTIFS($AV$2:$AV$200,$G29)&gt;0,
     COUNTIFS($AW$2:$AW$200,$G29)&gt;0,
     COUNTIFS($AX$2:$AX$200,$G29)&gt;0
   )),
  ),
  3
 ),
"")</f>
        <v/>
      </c>
      <c r="F29" s="3" t="str" cm="1">
        <f t="array" aca="1" ref="F29" ca="1">IFERROR(
 INDEX(
  _xlfn._xlws.FILTER($U$1:$AX$1,
   TRANSPOSE(
    CHOOSE({1;2;3;4;5;6;7;8;9;10;11;12;13;14;15;16;17;18;19;20;21;22;23;24;25;26;27;28;29;30},
     COUNTIFS($U$2:$U$200,$G29)&gt;0,
     COUNTIFS($V$2:$V$200,$G29)&gt;0,
     COUNTIFS($W$2:$W$200,$G29)&gt;0,
     COUNTIFS($X$2:$X$200,$G29)&gt;0,
     COUNTIFS($Y$2:$Y$200,$G29)&gt;0,
     COUNTIFS($Z$2:$Z$200,$G29)&gt;0,
     COUNTIFS($AA$2:$AA$200,$G29)&gt;0,
     COUNTIFS($AB$2:$AB$200,$G29)&gt;0,
     COUNTIFS($AC$2:$AC$200,$G29)&gt;0,
     COUNTIFS($AD$2:$AD$200,$G29)&gt;0,
     COUNTIFS($AE$2:$AE$200,$G29)&gt;0,
     COUNTIFS($AF$2:$AF$200,$G29)&gt;0,
     COUNTIFS($AG$2:$AG$200,$G29)&gt;0,
     COUNTIFS($AH$2:$AH$200,$G29)&gt;0,
     COUNTIFS($AI$2:$AI$200,$G29)&gt;0,
     COUNTIFS($AJ$2:$AJ$200,$G29)&gt;0,
     COUNTIFS($AK$2:$AK$200,$G29)&gt;0,
     COUNTIFS($AL$2:$AL$200,$G29)&gt;0,
     COUNTIFS($AM$2:$AM$200,$G29)&gt;0,
     COUNTIFS($AN$2:$AN$200,$G29)&gt;0,
     COUNTIFS($AO$2:$AO$200,$G29)&gt;0,
     COUNTIFS($AP$2:$AP$200,$G29)&gt;0,
     COUNTIFS($AQ$2:$AQ$200,$G29)&gt;0,
     COUNTIFS($AR$2:$AR$200,$G29)&gt;0,
     COUNTIFS($AS$2:$AS$200,$G29)&gt;0,
     COUNTIFS($AT$2:$AT$200,$G29)&gt;0,
     COUNTIFS($AU$2:$AU$200,$G29)&gt;0,
     COUNTIFS($AV$2:$AV$200,$G29)&gt;0,
     COUNTIFS($AW$2:$AW$200,$G29)&gt;0,
     COUNTIFS($AX$2:$AX$200,$G29)&gt;0
   )),
  ),
  4
 ),
"")</f>
        <v/>
      </c>
      <c r="G29" t="str">
        <f ca="1"/>
        <v>Arcbound Whelp</v>
      </c>
      <c r="I29" t="s">
        <v>22</v>
      </c>
      <c r="J29" s="3">
        <f>Arcades!G2</f>
        <v>2</v>
      </c>
      <c r="K29" s="3" t="s">
        <v>2087</v>
      </c>
      <c r="L29" s="3" t="s">
        <v>2087</v>
      </c>
      <c r="M29" s="3" t="s">
        <v>2088</v>
      </c>
      <c r="N29" s="3" t="s">
        <v>2088</v>
      </c>
      <c r="O29" s="3" t="s">
        <v>2087</v>
      </c>
      <c r="P29" s="3" t="s">
        <v>753</v>
      </c>
      <c r="Q29" s="3" t="s">
        <v>2139</v>
      </c>
      <c r="R29" s="3" t="s">
        <v>2168</v>
      </c>
      <c r="S29" s="3" t="str">
        <f t="shared" si="2"/>
        <v>5</v>
      </c>
      <c r="U29" t="str">
        <v>Xorn</v>
      </c>
      <c r="V29" t="str">
        <v>The Shire</v>
      </c>
      <c r="W29" t="str">
        <v>Windcrag Siege</v>
      </c>
      <c r="X29" t="str">
        <v>Sakura-Tribe Elder</v>
      </c>
      <c r="AX29" t="str">
        <v>Evendo Brushrazer</v>
      </c>
      <c r="BD29" t="str">
        <f ca="1"/>
        <v>Takenuma, Charco Abandonado</v>
      </c>
      <c r="BF29" t="str">
        <f ca="1"/>
        <v>Sol Ring</v>
      </c>
      <c r="BG29" t="str">
        <f ca="1"/>
        <v>Merrow Commerce</v>
      </c>
      <c r="BH29" t="str">
        <f ca="1"/>
        <v>Gyre Sage</v>
      </c>
      <c r="BI29" t="str">
        <f ca="1"/>
        <v>Dispatch</v>
      </c>
      <c r="BK29" t="str">
        <f ca="1"/>
        <v>Raffine's Tower</v>
      </c>
      <c r="BL29" t="str">
        <f ca="1"/>
        <v>Sea Gate Restoration</v>
      </c>
      <c r="BM29" t="str">
        <f ca="1"/>
        <v>Jenova, Ancient Calamity</v>
      </c>
      <c r="BN29" t="str">
        <f ca="1"/>
        <v>Harvest Season</v>
      </c>
      <c r="BO29" t="str">
        <f ca="1"/>
        <v>Branching Evolution</v>
      </c>
      <c r="BQ29" t="str">
        <f ca="1"/>
        <v>Faerie Slumber Party</v>
      </c>
      <c r="BR29" t="str">
        <f ca="1"/>
        <v>Dúplice Debochada</v>
      </c>
      <c r="BT29" t="str">
        <f ca="1"/>
        <v>Chandra's Ignition</v>
      </c>
    </row>
    <row r="30" spans="1:72" x14ac:dyDescent="0.25">
      <c r="A30" s="3" t="str">
        <f t="shared" ca="1" si="0"/>
        <v>1</v>
      </c>
      <c r="B30" s="3">
        <f t="shared" ca="1" si="1"/>
        <v>1</v>
      </c>
      <c r="C30" s="3" t="str">
        <f ca="1">IFERROR(
 INDEX($U$1:$AX$1,
  MATCH(TRUE,
   CHOOSE({1;2;3;4;5;6;7;8;9;10;11;12;13;14;15;16;17;18;19;20;21;22;23;24;25;26;27;28;29;30;31;32},
    COUNTIFS($U$2:$U$200,$G30)&gt;0,
    COUNTIFS($V$2:$V$200,$G30)&gt;0,
    COUNTIFS($W$2:$W$200,$G30)&gt;0,
    COUNTIFS($X$2:$X$200,$G30)&gt;0,
    COUNTIFS($Y$2:$Y$200,$G30)&gt;0,
    COUNTIFS($Z$2:$Z$200,$G30)&gt;0,
    COUNTIFS($AA$2:$AA$200,$G30)&gt;0,
    COUNTIFS($AB$2:$AB$200,$G30)&gt;0,
    COUNTIFS($AC$2:$AC$200,$G30)&gt;0,
    COUNTIFS($AD$2:$AD$200,$G30)&gt;0,
    COUNTIFS($AE$2:$AE$200,$G30)&gt;0,
    COUNTIFS($AF$2:$AF$200,$G30)&gt;0,
    COUNTIFS($AG$2:$AG$200,$G30)&gt;0,
    COUNTIFS($AH$2:$AH$200,$G30)&gt;0,
    COUNTIFS($AI$2:$AI$200,$G30)&gt;0,
    COUNTIFS($AJ$2:$AJ$200,$G30)&gt;0,
    COUNTIFS($AK$2:$AK$200,$G30)&gt;0,
    COUNTIFS($AL$2:$AL$200,$G30)&gt;0,
    COUNTIFS($AM$2:$AM$200,$G30)&gt;0,
    COUNTIFS($AN$2:$AN$200,$G30)&gt;0,
    COUNTIFS($AO$2:$AO$200,$G30)&gt;0,
    COUNTIFS($AP$2:$AP$200,$G30)&gt;0,
    COUNTIFS($AQ$2:$AQ$200,$G30)&gt;0,
    COUNTIFS($AR$2:$AR$200,$G30)&gt;0,
    COUNTIFS($AS$2:$AS$200,$G30)&gt;0,
    COUNTIFS($AT$2:$AT$200,$G30)&gt;0,
    COUNTIFS($AU$2:$AU$200,$G30)&gt;0,
    COUNTIFS($AV$2:$AV$200,$G30)&gt;0,
    COUNTIFS($AW$2:$AW$200,$G30)&gt;0,
    COUNTIFS($AX$2:$AX$200,$G30)&gt;0
   ),
  0)
 ),
"")</f>
        <v>Tayam</v>
      </c>
      <c r="D30" s="3" t="str" cm="1">
        <f t="array" aca="1" ref="D30" ca="1">IFERROR(
 INDEX(
  _xlfn._xlws.FILTER($U$1:$AX$1,
   TRANSPOSE(
    CHOOSE({1;2;3;4;5;6;7;8;9;10;11;12;13;14;15;16;17;18;19;20;21;22;23;24;25;26;27;28;29;30},
     COUNTIFS($U$2:$U$200,$G30)&gt;0,
     COUNTIFS($V$2:$V$200,$G30)&gt;0,
     COUNTIFS($W$2:$W$200,$G30)&gt;0,
     COUNTIFS($X$2:$X$200,$G30)&gt;0,
     COUNTIFS($Y$2:$Y$200,$G30)&gt;0,
     COUNTIFS($Z$2:$Z$200,$G30)&gt;0,
     COUNTIFS($AA$2:$AA$200,$G30)&gt;0,
     COUNTIFS($AB$2:$AB$200,$G30)&gt;0,
     COUNTIFS($AC$2:$AC$200,$G30)&gt;0,
     COUNTIFS($AD$2:$AD$200,$G30)&gt;0,
     COUNTIFS($AE$2:$AE$200,$G30)&gt;0,
     COUNTIFS($AF$2:$AF$200,$G30)&gt;0,
     COUNTIFS($AG$2:$AG$200,$G30)&gt;0,
     COUNTIFS($AH$2:$AH$200,$G30)&gt;0,
     COUNTIFS($AI$2:$AI$200,$G30)&gt;0,
     COUNTIFS($AJ$2:$AJ$200,$G30)&gt;0,
     COUNTIFS($AK$2:$AK$200,$G30)&gt;0,
     COUNTIFS($AL$2:$AL$200,$G30)&gt;0,
     COUNTIFS($AM$2:$AM$200,$G30)&gt;0,
     COUNTIFS($AN$2:$AN$200,$G30)&gt;0,
     COUNTIFS($AO$2:$AO$200,$G30)&gt;0,
     COUNTIFS($AP$2:$AP$200,$G30)&gt;0,
     COUNTIFS($AQ$2:$AQ$200,$G30)&gt;0,
     COUNTIFS($AR$2:$AR$200,$G30)&gt;0,
     COUNTIFS($AS$2:$AS$200,$G30)&gt;0,
     COUNTIFS($AT$2:$AT$200,$G30)&gt;0,
     COUNTIFS($AU$2:$AU$200,$G30)&gt;0,
     COUNTIFS($AV$2:$AV$200,$G30)&gt;0,
     COUNTIFS($AW$2:$AW$200,$G30)&gt;0,
     COUNTIFS($AX$2:$AX$200,$G30)&gt;0
   )),
  ),
  2
 ),
"")</f>
        <v/>
      </c>
      <c r="E30" s="3" t="str" cm="1">
        <f t="array" aca="1" ref="E30" ca="1">IFERROR(
 INDEX(
  _xlfn._xlws.FILTER($U$1:$AX$1,
   TRANSPOSE(
    CHOOSE({1;2;3;4;5;6;7;8;9;10;11;12;13;14;15;16;17;18;19;20;21;22;23;24;25;26;27;28;29;30},
     COUNTIFS($U$2:$U$200,$G30)&gt;0,
     COUNTIFS($V$2:$V$200,$G30)&gt;0,
     COUNTIFS($W$2:$W$200,$G30)&gt;0,
     COUNTIFS($X$2:$X$200,$G30)&gt;0,
     COUNTIFS($Y$2:$Y$200,$G30)&gt;0,
     COUNTIFS($Z$2:$Z$200,$G30)&gt;0,
     COUNTIFS($AA$2:$AA$200,$G30)&gt;0,
     COUNTIFS($AB$2:$AB$200,$G30)&gt;0,
     COUNTIFS($AC$2:$AC$200,$G30)&gt;0,
     COUNTIFS($AD$2:$AD$200,$G30)&gt;0,
     COUNTIFS($AE$2:$AE$200,$G30)&gt;0,
     COUNTIFS($AF$2:$AF$200,$G30)&gt;0,
     COUNTIFS($AG$2:$AG$200,$G30)&gt;0,
     COUNTIFS($AH$2:$AH$200,$G30)&gt;0,
     COUNTIFS($AI$2:$AI$200,$G30)&gt;0,
     COUNTIFS($AJ$2:$AJ$200,$G30)&gt;0,
     COUNTIFS($AK$2:$AK$200,$G30)&gt;0,
     COUNTIFS($AL$2:$AL$200,$G30)&gt;0,
     COUNTIFS($AM$2:$AM$200,$G30)&gt;0,
     COUNTIFS($AN$2:$AN$200,$G30)&gt;0,
     COUNTIFS($AO$2:$AO$200,$G30)&gt;0,
     COUNTIFS($AP$2:$AP$200,$G30)&gt;0,
     COUNTIFS($AQ$2:$AQ$200,$G30)&gt;0,
     COUNTIFS($AR$2:$AR$200,$G30)&gt;0,
     COUNTIFS($AS$2:$AS$200,$G30)&gt;0,
     COUNTIFS($AT$2:$AT$200,$G30)&gt;0,
     COUNTIFS($AU$2:$AU$200,$G30)&gt;0,
     COUNTIFS($AV$2:$AV$200,$G30)&gt;0,
     COUNTIFS($AW$2:$AW$200,$G30)&gt;0,
     COUNTIFS($AX$2:$AX$200,$G30)&gt;0
   )),
  ),
  3
 ),
"")</f>
        <v/>
      </c>
      <c r="F30" s="3" t="str" cm="1">
        <f t="array" aca="1" ref="F30" ca="1">IFERROR(
 INDEX(
  _xlfn._xlws.FILTER($U$1:$AX$1,
   TRANSPOSE(
    CHOOSE({1;2;3;4;5;6;7;8;9;10;11;12;13;14;15;16;17;18;19;20;21;22;23;24;25;26;27;28;29;30},
     COUNTIFS($U$2:$U$200,$G30)&gt;0,
     COUNTIFS($V$2:$V$200,$G30)&gt;0,
     COUNTIFS($W$2:$W$200,$G30)&gt;0,
     COUNTIFS($X$2:$X$200,$G30)&gt;0,
     COUNTIFS($Y$2:$Y$200,$G30)&gt;0,
     COUNTIFS($Z$2:$Z$200,$G30)&gt;0,
     COUNTIFS($AA$2:$AA$200,$G30)&gt;0,
     COUNTIFS($AB$2:$AB$200,$G30)&gt;0,
     COUNTIFS($AC$2:$AC$200,$G30)&gt;0,
     COUNTIFS($AD$2:$AD$200,$G30)&gt;0,
     COUNTIFS($AE$2:$AE$200,$G30)&gt;0,
     COUNTIFS($AF$2:$AF$200,$G30)&gt;0,
     COUNTIFS($AG$2:$AG$200,$G30)&gt;0,
     COUNTIFS($AH$2:$AH$200,$G30)&gt;0,
     COUNTIFS($AI$2:$AI$200,$G30)&gt;0,
     COUNTIFS($AJ$2:$AJ$200,$G30)&gt;0,
     COUNTIFS($AK$2:$AK$200,$G30)&gt;0,
     COUNTIFS($AL$2:$AL$200,$G30)&gt;0,
     COUNTIFS($AM$2:$AM$200,$G30)&gt;0,
     COUNTIFS($AN$2:$AN$200,$G30)&gt;0,
     COUNTIFS($AO$2:$AO$200,$G30)&gt;0,
     COUNTIFS($AP$2:$AP$200,$G30)&gt;0,
     COUNTIFS($AQ$2:$AQ$200,$G30)&gt;0,
     COUNTIFS($AR$2:$AR$200,$G30)&gt;0,
     COUNTIFS($AS$2:$AS$200,$G30)&gt;0,
     COUNTIFS($AT$2:$AT$200,$G30)&gt;0,
     COUNTIFS($AU$2:$AU$200,$G30)&gt;0,
     COUNTIFS($AV$2:$AV$200,$G30)&gt;0,
     COUNTIFS($AW$2:$AW$200,$G30)&gt;0,
     COUNTIFS($AX$2:$AX$200,$G30)&gt;0
   )),
  ),
  4
 ),
"")</f>
        <v/>
      </c>
      <c r="G30" t="str">
        <f ca="1"/>
        <v>Ardbert, Warrior of Darkness</v>
      </c>
      <c r="I30" t="s">
        <v>24</v>
      </c>
      <c r="J30" s="3">
        <f>Zedruu!G2</f>
        <v>3</v>
      </c>
      <c r="K30" s="3" t="s">
        <v>2087</v>
      </c>
      <c r="L30" s="3" t="s">
        <v>2087</v>
      </c>
      <c r="M30" s="3" t="s">
        <v>2087</v>
      </c>
      <c r="N30" s="3" t="s">
        <v>2088</v>
      </c>
      <c r="O30" s="3" t="s">
        <v>2088</v>
      </c>
      <c r="P30" s="3" t="s">
        <v>2143</v>
      </c>
      <c r="Q30" s="3" t="s">
        <v>335</v>
      </c>
      <c r="R30" s="3" t="s">
        <v>2169</v>
      </c>
      <c r="S30" s="3" t="str">
        <f t="shared" si="2"/>
        <v>5</v>
      </c>
      <c r="V30" t="str">
        <v>Time of Need</v>
      </c>
      <c r="W30" t="str">
        <v>World at War</v>
      </c>
      <c r="X30" t="str">
        <v>Scholar of New Horizons</v>
      </c>
      <c r="AX30" t="str">
        <v>Filigree Vector</v>
      </c>
      <c r="BD30" t="str">
        <f ca="1"/>
        <v>Terramorphic Expanse</v>
      </c>
      <c r="BF30" t="str">
        <f ca="1"/>
        <v>Stridehangar Automaton</v>
      </c>
      <c r="BG30" t="str">
        <f ca="1"/>
        <v>Merrow Harbinger</v>
      </c>
      <c r="BH30" t="str">
        <f ca="1"/>
        <v>Hydraw's Growth</v>
      </c>
      <c r="BI30" t="str">
        <f ca="1"/>
        <v>Duty Beyond Death</v>
      </c>
      <c r="BK30" t="str">
        <f ca="1"/>
        <v>Rings of Brighthearth</v>
      </c>
      <c r="BL30" t="str">
        <f ca="1"/>
        <v>Serenata das Estriges</v>
      </c>
      <c r="BM30" t="str">
        <f ca="1"/>
        <v>Jidoor, Aristocratic Capital // Overture</v>
      </c>
      <c r="BN30" t="str">
        <f ca="1"/>
        <v>Havengul Laboratory</v>
      </c>
      <c r="BO30" t="str">
        <f ca="1"/>
        <v>Broadside Bombardiers</v>
      </c>
      <c r="BQ30" t="str">
        <f ca="1"/>
        <v>Gerrard's Hourglass Pendant</v>
      </c>
      <c r="BR30" t="str">
        <f ca="1"/>
        <v>Elspeth, Sun's Champion</v>
      </c>
      <c r="BT30" t="str">
        <f ca="1"/>
        <v>Chimil, o Sol Interior</v>
      </c>
    </row>
    <row r="31" spans="1:72" x14ac:dyDescent="0.25">
      <c r="A31" s="3" t="str">
        <f t="shared" ca="1" si="0"/>
        <v>3</v>
      </c>
      <c r="B31" s="3">
        <f t="shared" ca="1" si="1"/>
        <v>1</v>
      </c>
      <c r="C31" s="3" t="str">
        <f ca="1">IFERROR(
 INDEX($U$1:$AX$1,
  MATCH(TRUE,
   CHOOSE({1;2;3;4;5;6;7;8;9;10;11;12;13;14;15;16;17;18;19;20;21;22;23;24;25;26;27;28;29;30;31;32},
    COUNTIFS($U$2:$U$200,$G31)&gt;0,
    COUNTIFS($V$2:$V$200,$G31)&gt;0,
    COUNTIFS($W$2:$W$200,$G31)&gt;0,
    COUNTIFS($X$2:$X$200,$G31)&gt;0,
    COUNTIFS($Y$2:$Y$200,$G31)&gt;0,
    COUNTIFS($Z$2:$Z$200,$G31)&gt;0,
    COUNTIFS($AA$2:$AA$200,$G31)&gt;0,
    COUNTIFS($AB$2:$AB$200,$G31)&gt;0,
    COUNTIFS($AC$2:$AC$200,$G31)&gt;0,
    COUNTIFS($AD$2:$AD$200,$G31)&gt;0,
    COUNTIFS($AE$2:$AE$200,$G31)&gt;0,
    COUNTIFS($AF$2:$AF$200,$G31)&gt;0,
    COUNTIFS($AG$2:$AG$200,$G31)&gt;0,
    COUNTIFS($AH$2:$AH$200,$G31)&gt;0,
    COUNTIFS($AI$2:$AI$200,$G31)&gt;0,
    COUNTIFS($AJ$2:$AJ$200,$G31)&gt;0,
    COUNTIFS($AK$2:$AK$200,$G31)&gt;0,
    COUNTIFS($AL$2:$AL$200,$G31)&gt;0,
    COUNTIFS($AM$2:$AM$200,$G31)&gt;0,
    COUNTIFS($AN$2:$AN$200,$G31)&gt;0,
    COUNTIFS($AO$2:$AO$200,$G31)&gt;0,
    COUNTIFS($AP$2:$AP$200,$G31)&gt;0,
    COUNTIFS($AQ$2:$AQ$200,$G31)&gt;0,
    COUNTIFS($AR$2:$AR$200,$G31)&gt;0,
    COUNTIFS($AS$2:$AS$200,$G31)&gt;0,
    COUNTIFS($AT$2:$AT$200,$G31)&gt;0,
    COUNTIFS($AU$2:$AU$200,$G31)&gt;0,
    COUNTIFS($AV$2:$AV$200,$G31)&gt;0,
    COUNTIFS($AW$2:$AW$200,$G31)&gt;0,
    COUNTIFS($AX$2:$AX$200,$G31)&gt;0
   ),
  0)
 ),
"")</f>
        <v>VialIshai</v>
      </c>
      <c r="D31" s="3" t="str" cm="1">
        <f t="array" aca="1" ref="D31" ca="1">IFERROR(
 INDEX(
  _xlfn._xlws.FILTER($U$1:$AX$1,
   TRANSPOSE(
    CHOOSE({1;2;3;4;5;6;7;8;9;10;11;12;13;14;15;16;17;18;19;20;21;22;23;24;25;26;27;28;29;30},
     COUNTIFS($U$2:$U$200,$G31)&gt;0,
     COUNTIFS($V$2:$V$200,$G31)&gt;0,
     COUNTIFS($W$2:$W$200,$G31)&gt;0,
     COUNTIFS($X$2:$X$200,$G31)&gt;0,
     COUNTIFS($Y$2:$Y$200,$G31)&gt;0,
     COUNTIFS($Z$2:$Z$200,$G31)&gt;0,
     COUNTIFS($AA$2:$AA$200,$G31)&gt;0,
     COUNTIFS($AB$2:$AB$200,$G31)&gt;0,
     COUNTIFS($AC$2:$AC$200,$G31)&gt;0,
     COUNTIFS($AD$2:$AD$200,$G31)&gt;0,
     COUNTIFS($AE$2:$AE$200,$G31)&gt;0,
     COUNTIFS($AF$2:$AF$200,$G31)&gt;0,
     COUNTIFS($AG$2:$AG$200,$G31)&gt;0,
     COUNTIFS($AH$2:$AH$200,$G31)&gt;0,
     COUNTIFS($AI$2:$AI$200,$G31)&gt;0,
     COUNTIFS($AJ$2:$AJ$200,$G31)&gt;0,
     COUNTIFS($AK$2:$AK$200,$G31)&gt;0,
     COUNTIFS($AL$2:$AL$200,$G31)&gt;0,
     COUNTIFS($AM$2:$AM$200,$G31)&gt;0,
     COUNTIFS($AN$2:$AN$200,$G31)&gt;0,
     COUNTIFS($AO$2:$AO$200,$G31)&gt;0,
     COUNTIFS($AP$2:$AP$200,$G31)&gt;0,
     COUNTIFS($AQ$2:$AQ$200,$G31)&gt;0,
     COUNTIFS($AR$2:$AR$200,$G31)&gt;0,
     COUNTIFS($AS$2:$AS$200,$G31)&gt;0,
     COUNTIFS($AT$2:$AT$200,$G31)&gt;0,
     COUNTIFS($AU$2:$AU$200,$G31)&gt;0,
     COUNTIFS($AV$2:$AV$200,$G31)&gt;0,
     COUNTIFS($AW$2:$AW$200,$G31)&gt;0,
     COUNTIFS($AX$2:$AX$200,$G31)&gt;0
   )),
  ),
  2
 ),
"")</f>
        <v/>
      </c>
      <c r="E31" s="3" t="str" cm="1">
        <f t="array" aca="1" ref="E31" ca="1">IFERROR(
 INDEX(
  _xlfn._xlws.FILTER($U$1:$AX$1,
   TRANSPOSE(
    CHOOSE({1;2;3;4;5;6;7;8;9;10;11;12;13;14;15;16;17;18;19;20;21;22;23;24;25;26;27;28;29;30},
     COUNTIFS($U$2:$U$200,$G31)&gt;0,
     COUNTIFS($V$2:$V$200,$G31)&gt;0,
     COUNTIFS($W$2:$W$200,$G31)&gt;0,
     COUNTIFS($X$2:$X$200,$G31)&gt;0,
     COUNTIFS($Y$2:$Y$200,$G31)&gt;0,
     COUNTIFS($Z$2:$Z$200,$G31)&gt;0,
     COUNTIFS($AA$2:$AA$200,$G31)&gt;0,
     COUNTIFS($AB$2:$AB$200,$G31)&gt;0,
     COUNTIFS($AC$2:$AC$200,$G31)&gt;0,
     COUNTIFS($AD$2:$AD$200,$G31)&gt;0,
     COUNTIFS($AE$2:$AE$200,$G31)&gt;0,
     COUNTIFS($AF$2:$AF$200,$G31)&gt;0,
     COUNTIFS($AG$2:$AG$200,$G31)&gt;0,
     COUNTIFS($AH$2:$AH$200,$G31)&gt;0,
     COUNTIFS($AI$2:$AI$200,$G31)&gt;0,
     COUNTIFS($AJ$2:$AJ$200,$G31)&gt;0,
     COUNTIFS($AK$2:$AK$200,$G31)&gt;0,
     COUNTIFS($AL$2:$AL$200,$G31)&gt;0,
     COUNTIFS($AM$2:$AM$200,$G31)&gt;0,
     COUNTIFS($AN$2:$AN$200,$G31)&gt;0,
     COUNTIFS($AO$2:$AO$200,$G31)&gt;0,
     COUNTIFS($AP$2:$AP$200,$G31)&gt;0,
     COUNTIFS($AQ$2:$AQ$200,$G31)&gt;0,
     COUNTIFS($AR$2:$AR$200,$G31)&gt;0,
     COUNTIFS($AS$2:$AS$200,$G31)&gt;0,
     COUNTIFS($AT$2:$AT$200,$G31)&gt;0,
     COUNTIFS($AU$2:$AU$200,$G31)&gt;0,
     COUNTIFS($AV$2:$AV$200,$G31)&gt;0,
     COUNTIFS($AW$2:$AW$200,$G31)&gt;0,
     COUNTIFS($AX$2:$AX$200,$G31)&gt;0
   )),
  ),
  3
 ),
"")</f>
        <v/>
      </c>
      <c r="F31" s="3" t="str" cm="1">
        <f t="array" aca="1" ref="F31" ca="1">IFERROR(
 INDEX(
  _xlfn._xlws.FILTER($U$1:$AX$1,
   TRANSPOSE(
    CHOOSE({1;2;3;4;5;6;7;8;9;10;11;12;13;14;15;16;17;18;19;20;21;22;23;24;25;26;27;28;29;30},
     COUNTIFS($U$2:$U$200,$G31)&gt;0,
     COUNTIFS($V$2:$V$200,$G31)&gt;0,
     COUNTIFS($W$2:$W$200,$G31)&gt;0,
     COUNTIFS($X$2:$X$200,$G31)&gt;0,
     COUNTIFS($Y$2:$Y$200,$G31)&gt;0,
     COUNTIFS($Z$2:$Z$200,$G31)&gt;0,
     COUNTIFS($AA$2:$AA$200,$G31)&gt;0,
     COUNTIFS($AB$2:$AB$200,$G31)&gt;0,
     COUNTIFS($AC$2:$AC$200,$G31)&gt;0,
     COUNTIFS($AD$2:$AD$200,$G31)&gt;0,
     COUNTIFS($AE$2:$AE$200,$G31)&gt;0,
     COUNTIFS($AF$2:$AF$200,$G31)&gt;0,
     COUNTIFS($AG$2:$AG$200,$G31)&gt;0,
     COUNTIFS($AH$2:$AH$200,$G31)&gt;0,
     COUNTIFS($AI$2:$AI$200,$G31)&gt;0,
     COUNTIFS($AJ$2:$AJ$200,$G31)&gt;0,
     COUNTIFS($AK$2:$AK$200,$G31)&gt;0,
     COUNTIFS($AL$2:$AL$200,$G31)&gt;0,
     COUNTIFS($AM$2:$AM$200,$G31)&gt;0,
     COUNTIFS($AN$2:$AN$200,$G31)&gt;0,
     COUNTIFS($AO$2:$AO$200,$G31)&gt;0,
     COUNTIFS($AP$2:$AP$200,$G31)&gt;0,
     COUNTIFS($AQ$2:$AQ$200,$G31)&gt;0,
     COUNTIFS($AR$2:$AR$200,$G31)&gt;0,
     COUNTIFS($AS$2:$AS$200,$G31)&gt;0,
     COUNTIFS($AT$2:$AT$200,$G31)&gt;0,
     COUNTIFS($AU$2:$AU$200,$G31)&gt;0,
     COUNTIFS($AV$2:$AV$200,$G31)&gt;0,
     COUNTIFS($AW$2:$AW$200,$G31)&gt;0,
     COUNTIFS($AX$2:$AX$200,$G31)&gt;0
   )),
  ),
  4
 ),
"")</f>
        <v/>
      </c>
      <c r="G31" t="str">
        <f ca="1"/>
        <v>Arid Mesa</v>
      </c>
      <c r="I31" t="s">
        <v>2187</v>
      </c>
      <c r="J31" s="3">
        <f>Modular!G2</f>
        <v>94</v>
      </c>
      <c r="K31" s="3" t="s">
        <v>2087</v>
      </c>
      <c r="L31" s="3" t="s">
        <v>2088</v>
      </c>
      <c r="M31" s="3" t="s">
        <v>2087</v>
      </c>
      <c r="N31" s="3" t="s">
        <v>2088</v>
      </c>
      <c r="O31" s="3" t="s">
        <v>2087</v>
      </c>
      <c r="P31" s="3" t="s">
        <v>753</v>
      </c>
      <c r="Q31" s="28" t="s">
        <v>2143</v>
      </c>
      <c r="R31" s="3" t="s">
        <v>2186</v>
      </c>
      <c r="S31" s="3" t="str">
        <f t="shared" ref="S31:S32" si="3">IF(J31&lt;6,"5",IF(J31&lt;11,"4",IF(J31&lt;16,"3",IF(J31&lt;31,"2","1"))))</f>
        <v>1</v>
      </c>
      <c r="V31" t="str">
        <v>Virtue of Loyalty // Ardenvale Fealty</v>
      </c>
      <c r="W31" t="str">
        <v>Zellix, Sanity Flayer</v>
      </c>
      <c r="X31" t="str">
        <v>Shelinda, Yevon Acolyte</v>
      </c>
      <c r="AX31" t="str">
        <v>Forest</v>
      </c>
      <c r="BD31" t="str">
        <f ca="1"/>
        <v>Três Passos à Frente</v>
      </c>
      <c r="BF31" t="str">
        <f ca="1"/>
        <v>Sulfur Falls</v>
      </c>
      <c r="BG31" t="str">
        <f ca="1"/>
        <v>Misty Rainforest</v>
      </c>
      <c r="BH31" t="str">
        <f ca="1"/>
        <v>Incubation Druid</v>
      </c>
      <c r="BI31" t="str">
        <f ca="1"/>
        <v>Earth Rumble</v>
      </c>
      <c r="BK31" t="str">
        <f ca="1"/>
        <v>Ripples of Undeath</v>
      </c>
      <c r="BL31" t="str">
        <f ca="1"/>
        <v>Shizo, Death's Storehouse</v>
      </c>
      <c r="BM31" t="str">
        <f ca="1"/>
        <v>Jitte Perdida</v>
      </c>
      <c r="BN31" t="str">
        <f ca="1"/>
        <v>Herald of Secret Streams</v>
      </c>
      <c r="BO31" t="str">
        <f ca="1"/>
        <v>Brushland</v>
      </c>
      <c r="BQ31" t="str">
        <f ca="1"/>
        <v>Hedge Shredder</v>
      </c>
      <c r="BR31" t="str">
        <f ca="1"/>
        <v>Enduring Innocence</v>
      </c>
      <c r="BT31" t="str">
        <f ca="1"/>
        <v>Chronomantic Escape</v>
      </c>
    </row>
    <row r="32" spans="1:72" x14ac:dyDescent="0.25">
      <c r="A32" s="3" t="str">
        <f t="shared" ca="1" si="0"/>
        <v>1</v>
      </c>
      <c r="B32" s="3">
        <f t="shared" ca="1" si="1"/>
        <v>1</v>
      </c>
      <c r="C32" s="3" t="str">
        <f ca="1">IFERROR(
 INDEX($U$1:$AX$1,
  MATCH(TRUE,
   CHOOSE({1;2;3;4;5;6;7;8;9;10;11;12;13;14;15;16;17;18;19;20;21;22;23;24;25;26;27;28;29;30;31;32},
    COUNTIFS($U$2:$U$200,$G32)&gt;0,
    COUNTIFS($V$2:$V$200,$G32)&gt;0,
    COUNTIFS($W$2:$W$200,$G32)&gt;0,
    COUNTIFS($X$2:$X$200,$G32)&gt;0,
    COUNTIFS($Y$2:$Y$200,$G32)&gt;0,
    COUNTIFS($Z$2:$Z$200,$G32)&gt;0,
    COUNTIFS($AA$2:$AA$200,$G32)&gt;0,
    COUNTIFS($AB$2:$AB$200,$G32)&gt;0,
    COUNTIFS($AC$2:$AC$200,$G32)&gt;0,
    COUNTIFS($AD$2:$AD$200,$G32)&gt;0,
    COUNTIFS($AE$2:$AE$200,$G32)&gt;0,
    COUNTIFS($AF$2:$AF$200,$G32)&gt;0,
    COUNTIFS($AG$2:$AG$200,$G32)&gt;0,
    COUNTIFS($AH$2:$AH$200,$G32)&gt;0,
    COUNTIFS($AI$2:$AI$200,$G32)&gt;0,
    COUNTIFS($AJ$2:$AJ$200,$G32)&gt;0,
    COUNTIFS($AK$2:$AK$200,$G32)&gt;0,
    COUNTIFS($AL$2:$AL$200,$G32)&gt;0,
    COUNTIFS($AM$2:$AM$200,$G32)&gt;0,
    COUNTIFS($AN$2:$AN$200,$G32)&gt;0,
    COUNTIFS($AO$2:$AO$200,$G32)&gt;0,
    COUNTIFS($AP$2:$AP$200,$G32)&gt;0,
    COUNTIFS($AQ$2:$AQ$200,$G32)&gt;0,
    COUNTIFS($AR$2:$AR$200,$G32)&gt;0,
    COUNTIFS($AS$2:$AS$200,$G32)&gt;0,
    COUNTIFS($AT$2:$AT$200,$G32)&gt;0,
    COUNTIFS($AU$2:$AU$200,$G32)&gt;0,
    COUNTIFS($AV$2:$AV$200,$G32)&gt;0,
    COUNTIFS($AW$2:$AW$200,$G32)&gt;0,
    COUNTIFS($AX$2:$AX$200,$G32)&gt;0
   ),
  0)
 ),
"")</f>
        <v>Baylen</v>
      </c>
      <c r="D32" s="3" t="str" cm="1">
        <f t="array" aca="1" ref="D32" ca="1">IFERROR(
 INDEX(
  _xlfn._xlws.FILTER($U$1:$AX$1,
   TRANSPOSE(
    CHOOSE({1;2;3;4;5;6;7;8;9;10;11;12;13;14;15;16;17;18;19;20;21;22;23;24;25;26;27;28;29;30},
     COUNTIFS($U$2:$U$200,$G32)&gt;0,
     COUNTIFS($V$2:$V$200,$G32)&gt;0,
     COUNTIFS($W$2:$W$200,$G32)&gt;0,
     COUNTIFS($X$2:$X$200,$G32)&gt;0,
     COUNTIFS($Y$2:$Y$200,$G32)&gt;0,
     COUNTIFS($Z$2:$Z$200,$G32)&gt;0,
     COUNTIFS($AA$2:$AA$200,$G32)&gt;0,
     COUNTIFS($AB$2:$AB$200,$G32)&gt;0,
     COUNTIFS($AC$2:$AC$200,$G32)&gt;0,
     COUNTIFS($AD$2:$AD$200,$G32)&gt;0,
     COUNTIFS($AE$2:$AE$200,$G32)&gt;0,
     COUNTIFS($AF$2:$AF$200,$G32)&gt;0,
     COUNTIFS($AG$2:$AG$200,$G32)&gt;0,
     COUNTIFS($AH$2:$AH$200,$G32)&gt;0,
     COUNTIFS($AI$2:$AI$200,$G32)&gt;0,
     COUNTIFS($AJ$2:$AJ$200,$G32)&gt;0,
     COUNTIFS($AK$2:$AK$200,$G32)&gt;0,
     COUNTIFS($AL$2:$AL$200,$G32)&gt;0,
     COUNTIFS($AM$2:$AM$200,$G32)&gt;0,
     COUNTIFS($AN$2:$AN$200,$G32)&gt;0,
     COUNTIFS($AO$2:$AO$200,$G32)&gt;0,
     COUNTIFS($AP$2:$AP$200,$G32)&gt;0,
     COUNTIFS($AQ$2:$AQ$200,$G32)&gt;0,
     COUNTIFS($AR$2:$AR$200,$G32)&gt;0,
     COUNTIFS($AS$2:$AS$200,$G32)&gt;0,
     COUNTIFS($AT$2:$AT$200,$G32)&gt;0,
     COUNTIFS($AU$2:$AU$200,$G32)&gt;0,
     COUNTIFS($AV$2:$AV$200,$G32)&gt;0,
     COUNTIFS($AW$2:$AW$200,$G32)&gt;0,
     COUNTIFS($AX$2:$AX$200,$G32)&gt;0
   )),
  ),
  2
 ),
"")</f>
        <v/>
      </c>
      <c r="E32" s="3" t="str" cm="1">
        <f t="array" aca="1" ref="E32" ca="1">IFERROR(
 INDEX(
  _xlfn._xlws.FILTER($U$1:$AX$1,
   TRANSPOSE(
    CHOOSE({1;2;3;4;5;6;7;8;9;10;11;12;13;14;15;16;17;18;19;20;21;22;23;24;25;26;27;28;29;30},
     COUNTIFS($U$2:$U$200,$G32)&gt;0,
     COUNTIFS($V$2:$V$200,$G32)&gt;0,
     COUNTIFS($W$2:$W$200,$G32)&gt;0,
     COUNTIFS($X$2:$X$200,$G32)&gt;0,
     COUNTIFS($Y$2:$Y$200,$G32)&gt;0,
     COUNTIFS($Z$2:$Z$200,$G32)&gt;0,
     COUNTIFS($AA$2:$AA$200,$G32)&gt;0,
     COUNTIFS($AB$2:$AB$200,$G32)&gt;0,
     COUNTIFS($AC$2:$AC$200,$G32)&gt;0,
     COUNTIFS($AD$2:$AD$200,$G32)&gt;0,
     COUNTIFS($AE$2:$AE$200,$G32)&gt;0,
     COUNTIFS($AF$2:$AF$200,$G32)&gt;0,
     COUNTIFS($AG$2:$AG$200,$G32)&gt;0,
     COUNTIFS($AH$2:$AH$200,$G32)&gt;0,
     COUNTIFS($AI$2:$AI$200,$G32)&gt;0,
     COUNTIFS($AJ$2:$AJ$200,$G32)&gt;0,
     COUNTIFS($AK$2:$AK$200,$G32)&gt;0,
     COUNTIFS($AL$2:$AL$200,$G32)&gt;0,
     COUNTIFS($AM$2:$AM$200,$G32)&gt;0,
     COUNTIFS($AN$2:$AN$200,$G32)&gt;0,
     COUNTIFS($AO$2:$AO$200,$G32)&gt;0,
     COUNTIFS($AP$2:$AP$200,$G32)&gt;0,
     COUNTIFS($AQ$2:$AQ$200,$G32)&gt;0,
     COUNTIFS($AR$2:$AR$200,$G32)&gt;0,
     COUNTIFS($AS$2:$AS$200,$G32)&gt;0,
     COUNTIFS($AT$2:$AT$200,$G32)&gt;0,
     COUNTIFS($AU$2:$AU$200,$G32)&gt;0,
     COUNTIFS($AV$2:$AV$200,$G32)&gt;0,
     COUNTIFS($AW$2:$AW$200,$G32)&gt;0,
     COUNTIFS($AX$2:$AX$200,$G32)&gt;0
   )),
  ),
  3
 ),
"")</f>
        <v/>
      </c>
      <c r="F32" s="3" t="str" cm="1">
        <f t="array" aca="1" ref="F32" ca="1">IFERROR(
 INDEX(
  _xlfn._xlws.FILTER($U$1:$AX$1,
   TRANSPOSE(
    CHOOSE({1;2;3;4;5;6;7;8;9;10;11;12;13;14;15;16;17;18;19;20;21;22;23;24;25;26;27;28;29;30},
     COUNTIFS($U$2:$U$200,$G32)&gt;0,
     COUNTIFS($V$2:$V$200,$G32)&gt;0,
     COUNTIFS($W$2:$W$200,$G32)&gt;0,
     COUNTIFS($X$2:$X$200,$G32)&gt;0,
     COUNTIFS($Y$2:$Y$200,$G32)&gt;0,
     COUNTIFS($Z$2:$Z$200,$G32)&gt;0,
     COUNTIFS($AA$2:$AA$200,$G32)&gt;0,
     COUNTIFS($AB$2:$AB$200,$G32)&gt;0,
     COUNTIFS($AC$2:$AC$200,$G32)&gt;0,
     COUNTIFS($AD$2:$AD$200,$G32)&gt;0,
     COUNTIFS($AE$2:$AE$200,$G32)&gt;0,
     COUNTIFS($AF$2:$AF$200,$G32)&gt;0,
     COUNTIFS($AG$2:$AG$200,$G32)&gt;0,
     COUNTIFS($AH$2:$AH$200,$G32)&gt;0,
     COUNTIFS($AI$2:$AI$200,$G32)&gt;0,
     COUNTIFS($AJ$2:$AJ$200,$G32)&gt;0,
     COUNTIFS($AK$2:$AK$200,$G32)&gt;0,
     COUNTIFS($AL$2:$AL$200,$G32)&gt;0,
     COUNTIFS($AM$2:$AM$200,$G32)&gt;0,
     COUNTIFS($AN$2:$AN$200,$G32)&gt;0,
     COUNTIFS($AO$2:$AO$200,$G32)&gt;0,
     COUNTIFS($AP$2:$AP$200,$G32)&gt;0,
     COUNTIFS($AQ$2:$AQ$200,$G32)&gt;0,
     COUNTIFS($AR$2:$AR$200,$G32)&gt;0,
     COUNTIFS($AS$2:$AS$200,$G32)&gt;0,
     COUNTIFS($AT$2:$AT$200,$G32)&gt;0,
     COUNTIFS($AU$2:$AU$200,$G32)&gt;0,
     COUNTIFS($AV$2:$AV$200,$G32)&gt;0,
     COUNTIFS($AW$2:$AW$200,$G32)&gt;0,
     COUNTIFS($AX$2:$AX$200,$G32)&gt;0
   )),
  ),
  4
 ),
"")</f>
        <v/>
      </c>
      <c r="G32" t="str">
        <f ca="1"/>
        <v>Artifact Mutation</v>
      </c>
      <c r="I32" t="s">
        <v>2207</v>
      </c>
      <c r="J32" s="3">
        <f>Exaltado!G2</f>
        <v>0</v>
      </c>
      <c r="K32" s="3" t="s">
        <v>2087</v>
      </c>
      <c r="L32" s="3" t="s">
        <v>2087</v>
      </c>
      <c r="M32" s="3" t="s">
        <v>2088</v>
      </c>
      <c r="N32" s="3" t="s">
        <v>2088</v>
      </c>
      <c r="O32" s="3" t="s">
        <v>2087</v>
      </c>
      <c r="P32" s="3" t="s">
        <v>2139</v>
      </c>
      <c r="Q32" s="3" t="s">
        <v>753</v>
      </c>
      <c r="R32" s="3" t="s">
        <v>2139</v>
      </c>
      <c r="S32" s="3" t="str">
        <f t="shared" si="3"/>
        <v>5</v>
      </c>
      <c r="V32" t="str">
        <v>Warleader's Call</v>
      </c>
      <c r="X32" t="str">
        <v>Song of Freyalise</v>
      </c>
      <c r="AX32" t="str">
        <v>Forest</v>
      </c>
      <c r="BD32" t="str">
        <f ca="1"/>
        <v>Unholy Annex // Ritual Chamber</v>
      </c>
      <c r="BF32" t="str">
        <f ca="1"/>
        <v>Susur Secundi, Void Altar</v>
      </c>
      <c r="BG32" t="str">
        <f ca="1"/>
        <v>Monastery Siege</v>
      </c>
      <c r="BH32" t="str">
        <f ca="1"/>
        <v>Jacked Rabbit</v>
      </c>
      <c r="BI32" t="str">
        <f ca="1"/>
        <v>Earthbending Student</v>
      </c>
      <c r="BK32" t="str">
        <f ca="1"/>
        <v>Shaku da Honra Desgastada</v>
      </c>
      <c r="BL32" t="str">
        <f ca="1"/>
        <v>Sokenzan, Crisol da Afronta</v>
      </c>
      <c r="BM32" t="str">
        <f ca="1"/>
        <v>Keen Duelist</v>
      </c>
      <c r="BN32" t="str">
        <f ca="1"/>
        <v>Horizon Explorer</v>
      </c>
      <c r="BO32" t="str">
        <f ca="1"/>
        <v>Bulwark Ox</v>
      </c>
      <c r="BQ32" t="str">
        <f ca="1"/>
        <v>Homeward Path</v>
      </c>
      <c r="BR32" t="str">
        <f ca="1"/>
        <v>Equilíbrio de Poderes</v>
      </c>
      <c r="BT32" t="str">
        <f ca="1"/>
        <v>Cid, Freeflier Pilot</v>
      </c>
    </row>
    <row r="33" spans="1:72" x14ac:dyDescent="0.25">
      <c r="A33" s="3" t="str">
        <f t="shared" ca="1" si="0"/>
        <v>1</v>
      </c>
      <c r="B33" s="3">
        <f t="shared" ca="1" si="1"/>
        <v>1</v>
      </c>
      <c r="C33" s="3" t="str">
        <f ca="1">IFERROR(
 INDEX($U$1:$AX$1,
  MATCH(TRUE,
   CHOOSE({1;2;3;4;5;6;7;8;9;10;11;12;13;14;15;16;17;18;19;20;21;22;23;24;25;26;27;28;29;30;31;32},
    COUNTIFS($U$2:$U$200,$G33)&gt;0,
    COUNTIFS($V$2:$V$200,$G33)&gt;0,
    COUNTIFS($W$2:$W$200,$G33)&gt;0,
    COUNTIFS($X$2:$X$200,$G33)&gt;0,
    COUNTIFS($Y$2:$Y$200,$G33)&gt;0,
    COUNTIFS($Z$2:$Z$200,$G33)&gt;0,
    COUNTIFS($AA$2:$AA$200,$G33)&gt;0,
    COUNTIFS($AB$2:$AB$200,$G33)&gt;0,
    COUNTIFS($AC$2:$AC$200,$G33)&gt;0,
    COUNTIFS($AD$2:$AD$200,$G33)&gt;0,
    COUNTIFS($AE$2:$AE$200,$G33)&gt;0,
    COUNTIFS($AF$2:$AF$200,$G33)&gt;0,
    COUNTIFS($AG$2:$AG$200,$G33)&gt;0,
    COUNTIFS($AH$2:$AH$200,$G33)&gt;0,
    COUNTIFS($AI$2:$AI$200,$G33)&gt;0,
    COUNTIFS($AJ$2:$AJ$200,$G33)&gt;0,
    COUNTIFS($AK$2:$AK$200,$G33)&gt;0,
    COUNTIFS($AL$2:$AL$200,$G33)&gt;0,
    COUNTIFS($AM$2:$AM$200,$G33)&gt;0,
    COUNTIFS($AN$2:$AN$200,$G33)&gt;0,
    COUNTIFS($AO$2:$AO$200,$G33)&gt;0,
    COUNTIFS($AP$2:$AP$200,$G33)&gt;0,
    COUNTIFS($AQ$2:$AQ$200,$G33)&gt;0,
    COUNTIFS($AR$2:$AR$200,$G33)&gt;0,
    COUNTIFS($AS$2:$AS$200,$G33)&gt;0,
    COUNTIFS($AT$2:$AT$200,$G33)&gt;0,
    COUNTIFS($AU$2:$AU$200,$G33)&gt;0,
    COUNTIFS($AV$2:$AV$200,$G33)&gt;0,
    COUNTIFS($AW$2:$AW$200,$G33)&gt;0,
    COUNTIFS($AX$2:$AX$200,$G33)&gt;0
   ),
  0)
 ),
"")</f>
        <v>Tayam</v>
      </c>
      <c r="D33" s="3" t="str" cm="1">
        <f t="array" aca="1" ref="D33" ca="1">IFERROR(
 INDEX(
  _xlfn._xlws.FILTER($U$1:$AX$1,
   TRANSPOSE(
    CHOOSE({1;2;3;4;5;6;7;8;9;10;11;12;13;14;15;16;17;18;19;20;21;22;23;24;25;26;27;28;29;30},
     COUNTIFS($U$2:$U$200,$G33)&gt;0,
     COUNTIFS($V$2:$V$200,$G33)&gt;0,
     COUNTIFS($W$2:$W$200,$G33)&gt;0,
     COUNTIFS($X$2:$X$200,$G33)&gt;0,
     COUNTIFS($Y$2:$Y$200,$G33)&gt;0,
     COUNTIFS($Z$2:$Z$200,$G33)&gt;0,
     COUNTIFS($AA$2:$AA$200,$G33)&gt;0,
     COUNTIFS($AB$2:$AB$200,$G33)&gt;0,
     COUNTIFS($AC$2:$AC$200,$G33)&gt;0,
     COUNTIFS($AD$2:$AD$200,$G33)&gt;0,
     COUNTIFS($AE$2:$AE$200,$G33)&gt;0,
     COUNTIFS($AF$2:$AF$200,$G33)&gt;0,
     COUNTIFS($AG$2:$AG$200,$G33)&gt;0,
     COUNTIFS($AH$2:$AH$200,$G33)&gt;0,
     COUNTIFS($AI$2:$AI$200,$G33)&gt;0,
     COUNTIFS($AJ$2:$AJ$200,$G33)&gt;0,
     COUNTIFS($AK$2:$AK$200,$G33)&gt;0,
     COUNTIFS($AL$2:$AL$200,$G33)&gt;0,
     COUNTIFS($AM$2:$AM$200,$G33)&gt;0,
     COUNTIFS($AN$2:$AN$200,$G33)&gt;0,
     COUNTIFS($AO$2:$AO$200,$G33)&gt;0,
     COUNTIFS($AP$2:$AP$200,$G33)&gt;0,
     COUNTIFS($AQ$2:$AQ$200,$G33)&gt;0,
     COUNTIFS($AR$2:$AR$200,$G33)&gt;0,
     COUNTIFS($AS$2:$AS$200,$G33)&gt;0,
     COUNTIFS($AT$2:$AT$200,$G33)&gt;0,
     COUNTIFS($AU$2:$AU$200,$G33)&gt;0,
     COUNTIFS($AV$2:$AV$200,$G33)&gt;0,
     COUNTIFS($AW$2:$AW$200,$G33)&gt;0,
     COUNTIFS($AX$2:$AX$200,$G33)&gt;0
   )),
  ),
  2
 ),
"")</f>
        <v/>
      </c>
      <c r="E33" s="3" t="str" cm="1">
        <f t="array" aca="1" ref="E33" ca="1">IFERROR(
 INDEX(
  _xlfn._xlws.FILTER($U$1:$AX$1,
   TRANSPOSE(
    CHOOSE({1;2;3;4;5;6;7;8;9;10;11;12;13;14;15;16;17;18;19;20;21;22;23;24;25;26;27;28;29;30},
     COUNTIFS($U$2:$U$200,$G33)&gt;0,
     COUNTIFS($V$2:$V$200,$G33)&gt;0,
     COUNTIFS($W$2:$W$200,$G33)&gt;0,
     COUNTIFS($X$2:$X$200,$G33)&gt;0,
     COUNTIFS($Y$2:$Y$200,$G33)&gt;0,
     COUNTIFS($Z$2:$Z$200,$G33)&gt;0,
     COUNTIFS($AA$2:$AA$200,$G33)&gt;0,
     COUNTIFS($AB$2:$AB$200,$G33)&gt;0,
     COUNTIFS($AC$2:$AC$200,$G33)&gt;0,
     COUNTIFS($AD$2:$AD$200,$G33)&gt;0,
     COUNTIFS($AE$2:$AE$200,$G33)&gt;0,
     COUNTIFS($AF$2:$AF$200,$G33)&gt;0,
     COUNTIFS($AG$2:$AG$200,$G33)&gt;0,
     COUNTIFS($AH$2:$AH$200,$G33)&gt;0,
     COUNTIFS($AI$2:$AI$200,$G33)&gt;0,
     COUNTIFS($AJ$2:$AJ$200,$G33)&gt;0,
     COUNTIFS($AK$2:$AK$200,$G33)&gt;0,
     COUNTIFS($AL$2:$AL$200,$G33)&gt;0,
     COUNTIFS($AM$2:$AM$200,$G33)&gt;0,
     COUNTIFS($AN$2:$AN$200,$G33)&gt;0,
     COUNTIFS($AO$2:$AO$200,$G33)&gt;0,
     COUNTIFS($AP$2:$AP$200,$G33)&gt;0,
     COUNTIFS($AQ$2:$AQ$200,$G33)&gt;0,
     COUNTIFS($AR$2:$AR$200,$G33)&gt;0,
     COUNTIFS($AS$2:$AS$200,$G33)&gt;0,
     COUNTIFS($AT$2:$AT$200,$G33)&gt;0,
     COUNTIFS($AU$2:$AU$200,$G33)&gt;0,
     COUNTIFS($AV$2:$AV$200,$G33)&gt;0,
     COUNTIFS($AW$2:$AW$200,$G33)&gt;0,
     COUNTIFS($AX$2:$AX$200,$G33)&gt;0
   )),
  ),
  3
 ),
"")</f>
        <v/>
      </c>
      <c r="F33" s="3" t="str" cm="1">
        <f t="array" aca="1" ref="F33" ca="1">IFERROR(
 INDEX(
  _xlfn._xlws.FILTER($U$1:$AX$1,
   TRANSPOSE(
    CHOOSE({1;2;3;4;5;6;7;8;9;10;11;12;13;14;15;16;17;18;19;20;21;22;23;24;25;26;27;28;29;30},
     COUNTIFS($U$2:$U$200,$G33)&gt;0,
     COUNTIFS($V$2:$V$200,$G33)&gt;0,
     COUNTIFS($W$2:$W$200,$G33)&gt;0,
     COUNTIFS($X$2:$X$200,$G33)&gt;0,
     COUNTIFS($Y$2:$Y$200,$G33)&gt;0,
     COUNTIFS($Z$2:$Z$200,$G33)&gt;0,
     COUNTIFS($AA$2:$AA$200,$G33)&gt;0,
     COUNTIFS($AB$2:$AB$200,$G33)&gt;0,
     COUNTIFS($AC$2:$AC$200,$G33)&gt;0,
     COUNTIFS($AD$2:$AD$200,$G33)&gt;0,
     COUNTIFS($AE$2:$AE$200,$G33)&gt;0,
     COUNTIFS($AF$2:$AF$200,$G33)&gt;0,
     COUNTIFS($AG$2:$AG$200,$G33)&gt;0,
     COUNTIFS($AH$2:$AH$200,$G33)&gt;0,
     COUNTIFS($AI$2:$AI$200,$G33)&gt;0,
     COUNTIFS($AJ$2:$AJ$200,$G33)&gt;0,
     COUNTIFS($AK$2:$AK$200,$G33)&gt;0,
     COUNTIFS($AL$2:$AL$200,$G33)&gt;0,
     COUNTIFS($AM$2:$AM$200,$G33)&gt;0,
     COUNTIFS($AN$2:$AN$200,$G33)&gt;0,
     COUNTIFS($AO$2:$AO$200,$G33)&gt;0,
     COUNTIFS($AP$2:$AP$200,$G33)&gt;0,
     COUNTIFS($AQ$2:$AQ$200,$G33)&gt;0,
     COUNTIFS($AR$2:$AR$200,$G33)&gt;0,
     COUNTIFS($AS$2:$AS$200,$G33)&gt;0,
     COUNTIFS($AT$2:$AT$200,$G33)&gt;0,
     COUNTIFS($AU$2:$AU$200,$G33)&gt;0,
     COUNTIFS($AV$2:$AV$200,$G33)&gt;0,
     COUNTIFS($AW$2:$AW$200,$G33)&gt;0,
     COUNTIFS($AX$2:$AX$200,$G33)&gt;0
   )),
  ),
  4
 ),
"")</f>
        <v/>
      </c>
      <c r="G33" t="str">
        <f ca="1"/>
        <v>Arwen, Weaver of Hope</v>
      </c>
      <c r="X33" t="str">
        <v>Sphere Grid</v>
      </c>
      <c r="AX33" t="str">
        <v>Forest</v>
      </c>
      <c r="BD33" t="str">
        <f ca="1"/>
        <v>Unstoppable Plan</v>
      </c>
      <c r="BF33" t="str">
        <f ca="1"/>
        <v>Thought Vessel</v>
      </c>
      <c r="BG33" t="str">
        <f ca="1"/>
        <v>Psychic Corrosion</v>
      </c>
      <c r="BH33" t="str">
        <f ca="1"/>
        <v>Jetmir, Nexus of Revels</v>
      </c>
      <c r="BI33" t="str">
        <f ca="1"/>
        <v>Elvish Reclaimer</v>
      </c>
      <c r="BK33" t="str">
        <f ca="1"/>
        <v>Sliver Gravemother</v>
      </c>
      <c r="BL33" t="str">
        <f ca="1"/>
        <v>Spectator Seating</v>
      </c>
      <c r="BM33" t="str">
        <f ca="1"/>
        <v>Kellan, the Fae-Blooded // Birthright Boon</v>
      </c>
      <c r="BN33" t="str">
        <f ca="1"/>
        <v>Illustrious Wanderglyph</v>
      </c>
      <c r="BO33" t="str">
        <f ca="1"/>
        <v>Buried Ruin</v>
      </c>
      <c r="BQ33" t="str">
        <f ca="1"/>
        <v>Inventors' Fair</v>
      </c>
      <c r="BR33" t="str">
        <f ca="1"/>
        <v>Espada da Riqueza e do Poder</v>
      </c>
      <c r="BT33" t="str">
        <f ca="1"/>
        <v>Clifftop Retreat</v>
      </c>
    </row>
    <row r="34" spans="1:72" x14ac:dyDescent="0.25">
      <c r="A34" s="3" t="str">
        <f t="shared" ca="1" si="0"/>
        <v>3</v>
      </c>
      <c r="B34" s="3">
        <f t="shared" ca="1" si="1"/>
        <v>1</v>
      </c>
      <c r="C34" s="3" t="str">
        <f ca="1">IFERROR(
 INDEX($U$1:$AX$1,
  MATCH(TRUE,
   CHOOSE({1;2;3;4;5;6;7;8;9;10;11;12;13;14;15;16;17;18;19;20;21;22;23;24;25;26;27;28;29;30;31;32},
    COUNTIFS($U$2:$U$200,$G34)&gt;0,
    COUNTIFS($V$2:$V$200,$G34)&gt;0,
    COUNTIFS($W$2:$W$200,$G34)&gt;0,
    COUNTIFS($X$2:$X$200,$G34)&gt;0,
    COUNTIFS($Y$2:$Y$200,$G34)&gt;0,
    COUNTIFS($Z$2:$Z$200,$G34)&gt;0,
    COUNTIFS($AA$2:$AA$200,$G34)&gt;0,
    COUNTIFS($AB$2:$AB$200,$G34)&gt;0,
    COUNTIFS($AC$2:$AC$200,$G34)&gt;0,
    COUNTIFS($AD$2:$AD$200,$G34)&gt;0,
    COUNTIFS($AE$2:$AE$200,$G34)&gt;0,
    COUNTIFS($AF$2:$AF$200,$G34)&gt;0,
    COUNTIFS($AG$2:$AG$200,$G34)&gt;0,
    COUNTIFS($AH$2:$AH$200,$G34)&gt;0,
    COUNTIFS($AI$2:$AI$200,$G34)&gt;0,
    COUNTIFS($AJ$2:$AJ$200,$G34)&gt;0,
    COUNTIFS($AK$2:$AK$200,$G34)&gt;0,
    COUNTIFS($AL$2:$AL$200,$G34)&gt;0,
    COUNTIFS($AM$2:$AM$200,$G34)&gt;0,
    COUNTIFS($AN$2:$AN$200,$G34)&gt;0,
    COUNTIFS($AO$2:$AO$200,$G34)&gt;0,
    COUNTIFS($AP$2:$AP$200,$G34)&gt;0,
    COUNTIFS($AQ$2:$AQ$200,$G34)&gt;0,
    COUNTIFS($AR$2:$AR$200,$G34)&gt;0,
    COUNTIFS($AS$2:$AS$200,$G34)&gt;0,
    COUNTIFS($AT$2:$AT$200,$G34)&gt;0,
    COUNTIFS($AU$2:$AU$200,$G34)&gt;0,
    COUNTIFS($AV$2:$AV$200,$G34)&gt;0,
    COUNTIFS($AW$2:$AW$200,$G34)&gt;0,
    COUNTIFS($AX$2:$AX$200,$G34)&gt;0
   ),
  0)
 ),
"")</f>
        <v>Carlos</v>
      </c>
      <c r="D34" s="3" t="str" cm="1">
        <f t="array" aca="1" ref="D34" ca="1">IFERROR(
 INDEX(
  _xlfn._xlws.FILTER($U$1:$AX$1,
   TRANSPOSE(
    CHOOSE({1;2;3;4;5;6;7;8;9;10;11;12;13;14;15;16;17;18;19;20;21;22;23;24;25;26;27;28;29;30},
     COUNTIFS($U$2:$U$200,$G34)&gt;0,
     COUNTIFS($V$2:$V$200,$G34)&gt;0,
     COUNTIFS($W$2:$W$200,$G34)&gt;0,
     COUNTIFS($X$2:$X$200,$G34)&gt;0,
     COUNTIFS($Y$2:$Y$200,$G34)&gt;0,
     COUNTIFS($Z$2:$Z$200,$G34)&gt;0,
     COUNTIFS($AA$2:$AA$200,$G34)&gt;0,
     COUNTIFS($AB$2:$AB$200,$G34)&gt;0,
     COUNTIFS($AC$2:$AC$200,$G34)&gt;0,
     COUNTIFS($AD$2:$AD$200,$G34)&gt;0,
     COUNTIFS($AE$2:$AE$200,$G34)&gt;0,
     COUNTIFS($AF$2:$AF$200,$G34)&gt;0,
     COUNTIFS($AG$2:$AG$200,$G34)&gt;0,
     COUNTIFS($AH$2:$AH$200,$G34)&gt;0,
     COUNTIFS($AI$2:$AI$200,$G34)&gt;0,
     COUNTIFS($AJ$2:$AJ$200,$G34)&gt;0,
     COUNTIFS($AK$2:$AK$200,$G34)&gt;0,
     COUNTIFS($AL$2:$AL$200,$G34)&gt;0,
     COUNTIFS($AM$2:$AM$200,$G34)&gt;0,
     COUNTIFS($AN$2:$AN$200,$G34)&gt;0,
     COUNTIFS($AO$2:$AO$200,$G34)&gt;0,
     COUNTIFS($AP$2:$AP$200,$G34)&gt;0,
     COUNTIFS($AQ$2:$AQ$200,$G34)&gt;0,
     COUNTIFS($AR$2:$AR$200,$G34)&gt;0,
     COUNTIFS($AS$2:$AS$200,$G34)&gt;0,
     COUNTIFS($AT$2:$AT$200,$G34)&gt;0,
     COUNTIFS($AU$2:$AU$200,$G34)&gt;0,
     COUNTIFS($AV$2:$AV$200,$G34)&gt;0,
     COUNTIFS($AW$2:$AW$200,$G34)&gt;0,
     COUNTIFS($AX$2:$AX$200,$G34)&gt;0
   )),
  ),
  2
 ),
"")</f>
        <v/>
      </c>
      <c r="E34" s="3" t="str" cm="1">
        <f t="array" aca="1" ref="E34" ca="1">IFERROR(
 INDEX(
  _xlfn._xlws.FILTER($U$1:$AX$1,
   TRANSPOSE(
    CHOOSE({1;2;3;4;5;6;7;8;9;10;11;12;13;14;15;16;17;18;19;20;21;22;23;24;25;26;27;28;29;30},
     COUNTIFS($U$2:$U$200,$G34)&gt;0,
     COUNTIFS($V$2:$V$200,$G34)&gt;0,
     COUNTIFS($W$2:$W$200,$G34)&gt;0,
     COUNTIFS($X$2:$X$200,$G34)&gt;0,
     COUNTIFS($Y$2:$Y$200,$G34)&gt;0,
     COUNTIFS($Z$2:$Z$200,$G34)&gt;0,
     COUNTIFS($AA$2:$AA$200,$G34)&gt;0,
     COUNTIFS($AB$2:$AB$200,$G34)&gt;0,
     COUNTIFS($AC$2:$AC$200,$G34)&gt;0,
     COUNTIFS($AD$2:$AD$200,$G34)&gt;0,
     COUNTIFS($AE$2:$AE$200,$G34)&gt;0,
     COUNTIFS($AF$2:$AF$200,$G34)&gt;0,
     COUNTIFS($AG$2:$AG$200,$G34)&gt;0,
     COUNTIFS($AH$2:$AH$200,$G34)&gt;0,
     COUNTIFS($AI$2:$AI$200,$G34)&gt;0,
     COUNTIFS($AJ$2:$AJ$200,$G34)&gt;0,
     COUNTIFS($AK$2:$AK$200,$G34)&gt;0,
     COUNTIFS($AL$2:$AL$200,$G34)&gt;0,
     COUNTIFS($AM$2:$AM$200,$G34)&gt;0,
     COUNTIFS($AN$2:$AN$200,$G34)&gt;0,
     COUNTIFS($AO$2:$AO$200,$G34)&gt;0,
     COUNTIFS($AP$2:$AP$200,$G34)&gt;0,
     COUNTIFS($AQ$2:$AQ$200,$G34)&gt;0,
     COUNTIFS($AR$2:$AR$200,$G34)&gt;0,
     COUNTIFS($AS$2:$AS$200,$G34)&gt;0,
     COUNTIFS($AT$2:$AT$200,$G34)&gt;0,
     COUNTIFS($AU$2:$AU$200,$G34)&gt;0,
     COUNTIFS($AV$2:$AV$200,$G34)&gt;0,
     COUNTIFS($AW$2:$AW$200,$G34)&gt;0,
     COUNTIFS($AX$2:$AX$200,$G34)&gt;0
   )),
  ),
  3
 ),
"")</f>
        <v/>
      </c>
      <c r="F34" s="3" t="str" cm="1">
        <f t="array" aca="1" ref="F34" ca="1">IFERROR(
 INDEX(
  _xlfn._xlws.FILTER($U$1:$AX$1,
   TRANSPOSE(
    CHOOSE({1;2;3;4;5;6;7;8;9;10;11;12;13;14;15;16;17;18;19;20;21;22;23;24;25;26;27;28;29;30},
     COUNTIFS($U$2:$U$200,$G34)&gt;0,
     COUNTIFS($V$2:$V$200,$G34)&gt;0,
     COUNTIFS($W$2:$W$200,$G34)&gt;0,
     COUNTIFS($X$2:$X$200,$G34)&gt;0,
     COUNTIFS($Y$2:$Y$200,$G34)&gt;0,
     COUNTIFS($Z$2:$Z$200,$G34)&gt;0,
     COUNTIFS($AA$2:$AA$200,$G34)&gt;0,
     COUNTIFS($AB$2:$AB$200,$G34)&gt;0,
     COUNTIFS($AC$2:$AC$200,$G34)&gt;0,
     COUNTIFS($AD$2:$AD$200,$G34)&gt;0,
     COUNTIFS($AE$2:$AE$200,$G34)&gt;0,
     COUNTIFS($AF$2:$AF$200,$G34)&gt;0,
     COUNTIFS($AG$2:$AG$200,$G34)&gt;0,
     COUNTIFS($AH$2:$AH$200,$G34)&gt;0,
     COUNTIFS($AI$2:$AI$200,$G34)&gt;0,
     COUNTIFS($AJ$2:$AJ$200,$G34)&gt;0,
     COUNTIFS($AK$2:$AK$200,$G34)&gt;0,
     COUNTIFS($AL$2:$AL$200,$G34)&gt;0,
     COUNTIFS($AM$2:$AM$200,$G34)&gt;0,
     COUNTIFS($AN$2:$AN$200,$G34)&gt;0,
     COUNTIFS($AO$2:$AO$200,$G34)&gt;0,
     COUNTIFS($AP$2:$AP$200,$G34)&gt;0,
     COUNTIFS($AQ$2:$AQ$200,$G34)&gt;0,
     COUNTIFS($AR$2:$AR$200,$G34)&gt;0,
     COUNTIFS($AS$2:$AS$200,$G34)&gt;0,
     COUNTIFS($AT$2:$AT$200,$G34)&gt;0,
     COUNTIFS($AU$2:$AU$200,$G34)&gt;0,
     COUNTIFS($AV$2:$AV$200,$G34)&gt;0,
     COUNTIFS($AW$2:$AW$200,$G34)&gt;0,
     COUNTIFS($AX$2:$AX$200,$G34)&gt;0
   )),
  ),
  4
 ),
"")</f>
        <v/>
      </c>
      <c r="G34" t="str">
        <f ca="1"/>
        <v>Ascensão do Avernus</v>
      </c>
      <c r="X34" t="str">
        <v>Stocking the Pantry</v>
      </c>
      <c r="AX34" t="str">
        <v>Forest</v>
      </c>
      <c r="BD34" t="str">
        <f ca="1"/>
        <v>Vault of the Archangel</v>
      </c>
      <c r="BF34" t="str">
        <f ca="1"/>
        <v>Trenzalore Clocktower</v>
      </c>
      <c r="BG34" t="str">
        <f ca="1"/>
        <v>Reforge the Soul</v>
      </c>
      <c r="BH34" t="str">
        <f ca="1"/>
        <v>Karplusan Forest</v>
      </c>
      <c r="BI34" t="str">
        <f ca="1"/>
        <v>Emberwilde Captain</v>
      </c>
      <c r="BK34" t="str">
        <f ca="1"/>
        <v>Sonic Screwdriver</v>
      </c>
      <c r="BL34" t="str">
        <f ca="1"/>
        <v>Temporal Manipulation</v>
      </c>
      <c r="BM34" t="str">
        <f ca="1"/>
        <v>Lightning Greaves</v>
      </c>
      <c r="BN34" t="str">
        <f ca="1"/>
        <v>Incendiary Command</v>
      </c>
      <c r="BO34" t="str">
        <f ca="1"/>
        <v>Cankerbloom</v>
      </c>
      <c r="BQ34" t="str">
        <f ca="1"/>
        <v>Jetmir's Garden</v>
      </c>
      <c r="BR34" t="str">
        <f ca="1"/>
        <v>Espada de Banquete e Fome</v>
      </c>
      <c r="BT34" t="str">
        <f ca="1"/>
        <v>Cloud, Midgar Mercenary</v>
      </c>
    </row>
    <row r="35" spans="1:72" x14ac:dyDescent="0.25">
      <c r="A35" s="3" t="str">
        <f t="shared" ca="1" si="0"/>
        <v>1</v>
      </c>
      <c r="B35" s="3">
        <f t="shared" ca="1" si="1"/>
        <v>1</v>
      </c>
      <c r="C35" s="3" t="str">
        <f ca="1">IFERROR(
 INDEX($U$1:$AX$1,
  MATCH(TRUE,
   CHOOSE({1;2;3;4;5;6;7;8;9;10;11;12;13;14;15;16;17;18;19;20;21;22;23;24;25;26;27;28;29;30;31;32},
    COUNTIFS($U$2:$U$200,$G35)&gt;0,
    COUNTIFS($V$2:$V$200,$G35)&gt;0,
    COUNTIFS($W$2:$W$200,$G35)&gt;0,
    COUNTIFS($X$2:$X$200,$G35)&gt;0,
    COUNTIFS($Y$2:$Y$200,$G35)&gt;0,
    COUNTIFS($Z$2:$Z$200,$G35)&gt;0,
    COUNTIFS($AA$2:$AA$200,$G35)&gt;0,
    COUNTIFS($AB$2:$AB$200,$G35)&gt;0,
    COUNTIFS($AC$2:$AC$200,$G35)&gt;0,
    COUNTIFS($AD$2:$AD$200,$G35)&gt;0,
    COUNTIFS($AE$2:$AE$200,$G35)&gt;0,
    COUNTIFS($AF$2:$AF$200,$G35)&gt;0,
    COUNTIFS($AG$2:$AG$200,$G35)&gt;0,
    COUNTIFS($AH$2:$AH$200,$G35)&gt;0,
    COUNTIFS($AI$2:$AI$200,$G35)&gt;0,
    COUNTIFS($AJ$2:$AJ$200,$G35)&gt;0,
    COUNTIFS($AK$2:$AK$200,$G35)&gt;0,
    COUNTIFS($AL$2:$AL$200,$G35)&gt;0,
    COUNTIFS($AM$2:$AM$200,$G35)&gt;0,
    COUNTIFS($AN$2:$AN$200,$G35)&gt;0,
    COUNTIFS($AO$2:$AO$200,$G35)&gt;0,
    COUNTIFS($AP$2:$AP$200,$G35)&gt;0,
    COUNTIFS($AQ$2:$AQ$200,$G35)&gt;0,
    COUNTIFS($AR$2:$AR$200,$G35)&gt;0,
    COUNTIFS($AS$2:$AS$200,$G35)&gt;0,
    COUNTIFS($AT$2:$AT$200,$G35)&gt;0,
    COUNTIFS($AU$2:$AU$200,$G35)&gt;0,
    COUNTIFS($AV$2:$AV$200,$G35)&gt;0,
    COUNTIFS($AW$2:$AW$200,$G35)&gt;0,
    COUNTIFS($AX$2:$AX$200,$G35)&gt;0
   ),
  0)
 ),
"")</f>
        <v>Baylen</v>
      </c>
      <c r="D35" s="3" t="str" cm="1">
        <f t="array" aca="1" ref="D35" ca="1">IFERROR(
 INDEX(
  _xlfn._xlws.FILTER($U$1:$AX$1,
   TRANSPOSE(
    CHOOSE({1;2;3;4;5;6;7;8;9;10;11;12;13;14;15;16;17;18;19;20;21;22;23;24;25;26;27;28;29;30},
     COUNTIFS($U$2:$U$200,$G35)&gt;0,
     COUNTIFS($V$2:$V$200,$G35)&gt;0,
     COUNTIFS($W$2:$W$200,$G35)&gt;0,
     COUNTIFS($X$2:$X$200,$G35)&gt;0,
     COUNTIFS($Y$2:$Y$200,$G35)&gt;0,
     COUNTIFS($Z$2:$Z$200,$G35)&gt;0,
     COUNTIFS($AA$2:$AA$200,$G35)&gt;0,
     COUNTIFS($AB$2:$AB$200,$G35)&gt;0,
     COUNTIFS($AC$2:$AC$200,$G35)&gt;0,
     COUNTIFS($AD$2:$AD$200,$G35)&gt;0,
     COUNTIFS($AE$2:$AE$200,$G35)&gt;0,
     COUNTIFS($AF$2:$AF$200,$G35)&gt;0,
     COUNTIFS($AG$2:$AG$200,$G35)&gt;0,
     COUNTIFS($AH$2:$AH$200,$G35)&gt;0,
     COUNTIFS($AI$2:$AI$200,$G35)&gt;0,
     COUNTIFS($AJ$2:$AJ$200,$G35)&gt;0,
     COUNTIFS($AK$2:$AK$200,$G35)&gt;0,
     COUNTIFS($AL$2:$AL$200,$G35)&gt;0,
     COUNTIFS($AM$2:$AM$200,$G35)&gt;0,
     COUNTIFS($AN$2:$AN$200,$G35)&gt;0,
     COUNTIFS($AO$2:$AO$200,$G35)&gt;0,
     COUNTIFS($AP$2:$AP$200,$G35)&gt;0,
     COUNTIFS($AQ$2:$AQ$200,$G35)&gt;0,
     COUNTIFS($AR$2:$AR$200,$G35)&gt;0,
     COUNTIFS($AS$2:$AS$200,$G35)&gt;0,
     COUNTIFS($AT$2:$AT$200,$G35)&gt;0,
     COUNTIFS($AU$2:$AU$200,$G35)&gt;0,
     COUNTIFS($AV$2:$AV$200,$G35)&gt;0,
     COUNTIFS($AW$2:$AW$200,$G35)&gt;0,
     COUNTIFS($AX$2:$AX$200,$G35)&gt;0
   )),
  ),
  2
 ),
"")</f>
        <v/>
      </c>
      <c r="E35" s="3" t="str" cm="1">
        <f t="array" aca="1" ref="E35" ca="1">IFERROR(
 INDEX(
  _xlfn._xlws.FILTER($U$1:$AX$1,
   TRANSPOSE(
    CHOOSE({1;2;3;4;5;6;7;8;9;10;11;12;13;14;15;16;17;18;19;20;21;22;23;24;25;26;27;28;29;30},
     COUNTIFS($U$2:$U$200,$G35)&gt;0,
     COUNTIFS($V$2:$V$200,$G35)&gt;0,
     COUNTIFS($W$2:$W$200,$G35)&gt;0,
     COUNTIFS($X$2:$X$200,$G35)&gt;0,
     COUNTIFS($Y$2:$Y$200,$G35)&gt;0,
     COUNTIFS($Z$2:$Z$200,$G35)&gt;0,
     COUNTIFS($AA$2:$AA$200,$G35)&gt;0,
     COUNTIFS($AB$2:$AB$200,$G35)&gt;0,
     COUNTIFS($AC$2:$AC$200,$G35)&gt;0,
     COUNTIFS($AD$2:$AD$200,$G35)&gt;0,
     COUNTIFS($AE$2:$AE$200,$G35)&gt;0,
     COUNTIFS($AF$2:$AF$200,$G35)&gt;0,
     COUNTIFS($AG$2:$AG$200,$G35)&gt;0,
     COUNTIFS($AH$2:$AH$200,$G35)&gt;0,
     COUNTIFS($AI$2:$AI$200,$G35)&gt;0,
     COUNTIFS($AJ$2:$AJ$200,$G35)&gt;0,
     COUNTIFS($AK$2:$AK$200,$G35)&gt;0,
     COUNTIFS($AL$2:$AL$200,$G35)&gt;0,
     COUNTIFS($AM$2:$AM$200,$G35)&gt;0,
     COUNTIFS($AN$2:$AN$200,$G35)&gt;0,
     COUNTIFS($AO$2:$AO$200,$G35)&gt;0,
     COUNTIFS($AP$2:$AP$200,$G35)&gt;0,
     COUNTIFS($AQ$2:$AQ$200,$G35)&gt;0,
     COUNTIFS($AR$2:$AR$200,$G35)&gt;0,
     COUNTIFS($AS$2:$AS$200,$G35)&gt;0,
     COUNTIFS($AT$2:$AT$200,$G35)&gt;0,
     COUNTIFS($AU$2:$AU$200,$G35)&gt;0,
     COUNTIFS($AV$2:$AV$200,$G35)&gt;0,
     COUNTIFS($AW$2:$AW$200,$G35)&gt;0,
     COUNTIFS($AX$2:$AX$200,$G35)&gt;0
   )),
  ),
  3
 ),
"")</f>
        <v/>
      </c>
      <c r="F35" s="3" t="str" cm="1">
        <f t="array" aca="1" ref="F35" ca="1">IFERROR(
 INDEX(
  _xlfn._xlws.FILTER($U$1:$AX$1,
   TRANSPOSE(
    CHOOSE({1;2;3;4;5;6;7;8;9;10;11;12;13;14;15;16;17;18;19;20;21;22;23;24;25;26;27;28;29;30},
     COUNTIFS($U$2:$U$200,$G35)&gt;0,
     COUNTIFS($V$2:$V$200,$G35)&gt;0,
     COUNTIFS($W$2:$W$200,$G35)&gt;0,
     COUNTIFS($X$2:$X$200,$G35)&gt;0,
     COUNTIFS($Y$2:$Y$200,$G35)&gt;0,
     COUNTIFS($Z$2:$Z$200,$G35)&gt;0,
     COUNTIFS($AA$2:$AA$200,$G35)&gt;0,
     COUNTIFS($AB$2:$AB$200,$G35)&gt;0,
     COUNTIFS($AC$2:$AC$200,$G35)&gt;0,
     COUNTIFS($AD$2:$AD$200,$G35)&gt;0,
     COUNTIFS($AE$2:$AE$200,$G35)&gt;0,
     COUNTIFS($AF$2:$AF$200,$G35)&gt;0,
     COUNTIFS($AG$2:$AG$200,$G35)&gt;0,
     COUNTIFS($AH$2:$AH$200,$G35)&gt;0,
     COUNTIFS($AI$2:$AI$200,$G35)&gt;0,
     COUNTIFS($AJ$2:$AJ$200,$G35)&gt;0,
     COUNTIFS($AK$2:$AK$200,$G35)&gt;0,
     COUNTIFS($AL$2:$AL$200,$G35)&gt;0,
     COUNTIFS($AM$2:$AM$200,$G35)&gt;0,
     COUNTIFS($AN$2:$AN$200,$G35)&gt;0,
     COUNTIFS($AO$2:$AO$200,$G35)&gt;0,
     COUNTIFS($AP$2:$AP$200,$G35)&gt;0,
     COUNTIFS($AQ$2:$AQ$200,$G35)&gt;0,
     COUNTIFS($AR$2:$AR$200,$G35)&gt;0,
     COUNTIFS($AS$2:$AS$200,$G35)&gt;0,
     COUNTIFS($AT$2:$AT$200,$G35)&gt;0,
     COUNTIFS($AU$2:$AU$200,$G35)&gt;0,
     COUNTIFS($AV$2:$AV$200,$G35)&gt;0,
     COUNTIFS($AW$2:$AW$200,$G35)&gt;0,
     COUNTIFS($AX$2:$AX$200,$G35)&gt;0
   )),
  ),
  4
 ),
"")</f>
        <v/>
      </c>
      <c r="G35" t="str">
        <f ca="1"/>
        <v>Aura Mutation</v>
      </c>
      <c r="X35" t="str">
        <v>Summon: Fenrir</v>
      </c>
      <c r="AX35" t="str">
        <v>Gavony Township</v>
      </c>
      <c r="BD35" t="str">
        <f ca="1"/>
        <v>Warren Soultrader</v>
      </c>
      <c r="BF35" t="str">
        <f ca="1"/>
        <v>Vronos, Masked Inquisitor</v>
      </c>
      <c r="BG35" t="str">
        <f ca="1"/>
        <v>Relentless Assault</v>
      </c>
      <c r="BH35" t="str">
        <f ca="1"/>
        <v>Kozilek, the Broken Reality</v>
      </c>
      <c r="BI35" t="str">
        <f ca="1"/>
        <v>Esper Sentinel</v>
      </c>
      <c r="BK35" t="str">
        <f ca="1"/>
        <v>Takenuma, Charco Abandonado</v>
      </c>
      <c r="BL35" t="str">
        <f ca="1"/>
        <v>Temporal Trespass</v>
      </c>
      <c r="BM35" t="str">
        <f ca="1"/>
        <v>Merchant of Secrets</v>
      </c>
      <c r="BN35" t="str">
        <f ca="1"/>
        <v>Irenicus's Vile Duplication</v>
      </c>
      <c r="BO35" t="str">
        <f ca="1"/>
        <v>Canopy Vista</v>
      </c>
      <c r="BQ35" t="str">
        <f ca="1"/>
        <v>Lagoa Espelhada</v>
      </c>
      <c r="BR35" t="str">
        <f ca="1"/>
        <v>Espada de Fogo e Gelo</v>
      </c>
      <c r="BT35" t="str">
        <f ca="1"/>
        <v>Collector's Vault</v>
      </c>
    </row>
    <row r="36" spans="1:72" x14ac:dyDescent="0.25">
      <c r="A36" s="3" t="str">
        <f t="shared" ca="1" si="0"/>
        <v>3</v>
      </c>
      <c r="B36" s="3">
        <f t="shared" ca="1" si="1"/>
        <v>1</v>
      </c>
      <c r="C36" s="3" t="str">
        <f ca="1">IFERROR(
 INDEX($U$1:$AX$1,
  MATCH(TRUE,
   CHOOSE({1;2;3;4;5;6;7;8;9;10;11;12;13;14;15;16;17;18;19;20;21;22;23;24;25;26;27;28;29;30;31;32},
    COUNTIFS($U$2:$U$200,$G36)&gt;0,
    COUNTIFS($V$2:$V$200,$G36)&gt;0,
    COUNTIFS($W$2:$W$200,$G36)&gt;0,
    COUNTIFS($X$2:$X$200,$G36)&gt;0,
    COUNTIFS($Y$2:$Y$200,$G36)&gt;0,
    COUNTIFS($Z$2:$Z$200,$G36)&gt;0,
    COUNTIFS($AA$2:$AA$200,$G36)&gt;0,
    COUNTIFS($AB$2:$AB$200,$G36)&gt;0,
    COUNTIFS($AC$2:$AC$200,$G36)&gt;0,
    COUNTIFS($AD$2:$AD$200,$G36)&gt;0,
    COUNTIFS($AE$2:$AE$200,$G36)&gt;0,
    COUNTIFS($AF$2:$AF$200,$G36)&gt;0,
    COUNTIFS($AG$2:$AG$200,$G36)&gt;0,
    COUNTIFS($AH$2:$AH$200,$G36)&gt;0,
    COUNTIFS($AI$2:$AI$200,$G36)&gt;0,
    COUNTIFS($AJ$2:$AJ$200,$G36)&gt;0,
    COUNTIFS($AK$2:$AK$200,$G36)&gt;0,
    COUNTIFS($AL$2:$AL$200,$G36)&gt;0,
    COUNTIFS($AM$2:$AM$200,$G36)&gt;0,
    COUNTIFS($AN$2:$AN$200,$G36)&gt;0,
    COUNTIFS($AO$2:$AO$200,$G36)&gt;0,
    COUNTIFS($AP$2:$AP$200,$G36)&gt;0,
    COUNTIFS($AQ$2:$AQ$200,$G36)&gt;0,
    COUNTIFS($AR$2:$AR$200,$G36)&gt;0,
    COUNTIFS($AS$2:$AS$200,$G36)&gt;0,
    COUNTIFS($AT$2:$AT$200,$G36)&gt;0,
    COUNTIFS($AU$2:$AU$200,$G36)&gt;0,
    COUNTIFS($AV$2:$AV$200,$G36)&gt;0,
    COUNTIFS($AW$2:$AW$200,$G36)&gt;0,
    COUNTIFS($AX$2:$AX$200,$G36)&gt;0
   ),
  0)
 ),
"")</f>
        <v>Carlos</v>
      </c>
      <c r="D36" s="3" t="str" cm="1">
        <f t="array" aca="1" ref="D36" ca="1">IFERROR(
 INDEX(
  _xlfn._xlws.FILTER($U$1:$AX$1,
   TRANSPOSE(
    CHOOSE({1;2;3;4;5;6;7;8;9;10;11;12;13;14;15;16;17;18;19;20;21;22;23;24;25;26;27;28;29;30},
     COUNTIFS($U$2:$U$200,$G36)&gt;0,
     COUNTIFS($V$2:$V$200,$G36)&gt;0,
     COUNTIFS($W$2:$W$200,$G36)&gt;0,
     COUNTIFS($X$2:$X$200,$G36)&gt;0,
     COUNTIFS($Y$2:$Y$200,$G36)&gt;0,
     COUNTIFS($Z$2:$Z$200,$G36)&gt;0,
     COUNTIFS($AA$2:$AA$200,$G36)&gt;0,
     COUNTIFS($AB$2:$AB$200,$G36)&gt;0,
     COUNTIFS($AC$2:$AC$200,$G36)&gt;0,
     COUNTIFS($AD$2:$AD$200,$G36)&gt;0,
     COUNTIFS($AE$2:$AE$200,$G36)&gt;0,
     COUNTIFS($AF$2:$AF$200,$G36)&gt;0,
     COUNTIFS($AG$2:$AG$200,$G36)&gt;0,
     COUNTIFS($AH$2:$AH$200,$G36)&gt;0,
     COUNTIFS($AI$2:$AI$200,$G36)&gt;0,
     COUNTIFS($AJ$2:$AJ$200,$G36)&gt;0,
     COUNTIFS($AK$2:$AK$200,$G36)&gt;0,
     COUNTIFS($AL$2:$AL$200,$G36)&gt;0,
     COUNTIFS($AM$2:$AM$200,$G36)&gt;0,
     COUNTIFS($AN$2:$AN$200,$G36)&gt;0,
     COUNTIFS($AO$2:$AO$200,$G36)&gt;0,
     COUNTIFS($AP$2:$AP$200,$G36)&gt;0,
     COUNTIFS($AQ$2:$AQ$200,$G36)&gt;0,
     COUNTIFS($AR$2:$AR$200,$G36)&gt;0,
     COUNTIFS($AS$2:$AS$200,$G36)&gt;0,
     COUNTIFS($AT$2:$AT$200,$G36)&gt;0,
     COUNTIFS($AU$2:$AU$200,$G36)&gt;0,
     COUNTIFS($AV$2:$AV$200,$G36)&gt;0,
     COUNTIFS($AW$2:$AW$200,$G36)&gt;0,
     COUNTIFS($AX$2:$AX$200,$G36)&gt;0
   )),
  ),
  2
 ),
"")</f>
        <v/>
      </c>
      <c r="E36" s="3" t="str" cm="1">
        <f t="array" aca="1" ref="E36" ca="1">IFERROR(
 INDEX(
  _xlfn._xlws.FILTER($U$1:$AX$1,
   TRANSPOSE(
    CHOOSE({1;2;3;4;5;6;7;8;9;10;11;12;13;14;15;16;17;18;19;20;21;22;23;24;25;26;27;28;29;30},
     COUNTIFS($U$2:$U$200,$G36)&gt;0,
     COUNTIFS($V$2:$V$200,$G36)&gt;0,
     COUNTIFS($W$2:$W$200,$G36)&gt;0,
     COUNTIFS($X$2:$X$200,$G36)&gt;0,
     COUNTIFS($Y$2:$Y$200,$G36)&gt;0,
     COUNTIFS($Z$2:$Z$200,$G36)&gt;0,
     COUNTIFS($AA$2:$AA$200,$G36)&gt;0,
     COUNTIFS($AB$2:$AB$200,$G36)&gt;0,
     COUNTIFS($AC$2:$AC$200,$G36)&gt;0,
     COUNTIFS($AD$2:$AD$200,$G36)&gt;0,
     COUNTIFS($AE$2:$AE$200,$G36)&gt;0,
     COUNTIFS($AF$2:$AF$200,$G36)&gt;0,
     COUNTIFS($AG$2:$AG$200,$G36)&gt;0,
     COUNTIFS($AH$2:$AH$200,$G36)&gt;0,
     COUNTIFS($AI$2:$AI$200,$G36)&gt;0,
     COUNTIFS($AJ$2:$AJ$200,$G36)&gt;0,
     COUNTIFS($AK$2:$AK$200,$G36)&gt;0,
     COUNTIFS($AL$2:$AL$200,$G36)&gt;0,
     COUNTIFS($AM$2:$AM$200,$G36)&gt;0,
     COUNTIFS($AN$2:$AN$200,$G36)&gt;0,
     COUNTIFS($AO$2:$AO$200,$G36)&gt;0,
     COUNTIFS($AP$2:$AP$200,$G36)&gt;0,
     COUNTIFS($AQ$2:$AQ$200,$G36)&gt;0,
     COUNTIFS($AR$2:$AR$200,$G36)&gt;0,
     COUNTIFS($AS$2:$AS$200,$G36)&gt;0,
     COUNTIFS($AT$2:$AT$200,$G36)&gt;0,
     COUNTIFS($AU$2:$AU$200,$G36)&gt;0,
     COUNTIFS($AV$2:$AV$200,$G36)&gt;0,
     COUNTIFS($AW$2:$AW$200,$G36)&gt;0,
     COUNTIFS($AX$2:$AX$200,$G36)&gt;0
   )),
  ),
  3
 ),
"")</f>
        <v/>
      </c>
      <c r="F36" s="3" t="str" cm="1">
        <f t="array" aca="1" ref="F36" ca="1">IFERROR(
 INDEX(
  _xlfn._xlws.FILTER($U$1:$AX$1,
   TRANSPOSE(
    CHOOSE({1;2;3;4;5;6;7;8;9;10;11;12;13;14;15;16;17;18;19;20;21;22;23;24;25;26;27;28;29;30},
     COUNTIFS($U$2:$U$200,$G36)&gt;0,
     COUNTIFS($V$2:$V$200,$G36)&gt;0,
     COUNTIFS($W$2:$W$200,$G36)&gt;0,
     COUNTIFS($X$2:$X$200,$G36)&gt;0,
     COUNTIFS($Y$2:$Y$200,$G36)&gt;0,
     COUNTIFS($Z$2:$Z$200,$G36)&gt;0,
     COUNTIFS($AA$2:$AA$200,$G36)&gt;0,
     COUNTIFS($AB$2:$AB$200,$G36)&gt;0,
     COUNTIFS($AC$2:$AC$200,$G36)&gt;0,
     COUNTIFS($AD$2:$AD$200,$G36)&gt;0,
     COUNTIFS($AE$2:$AE$200,$G36)&gt;0,
     COUNTIFS($AF$2:$AF$200,$G36)&gt;0,
     COUNTIFS($AG$2:$AG$200,$G36)&gt;0,
     COUNTIFS($AH$2:$AH$200,$G36)&gt;0,
     COUNTIFS($AI$2:$AI$200,$G36)&gt;0,
     COUNTIFS($AJ$2:$AJ$200,$G36)&gt;0,
     COUNTIFS($AK$2:$AK$200,$G36)&gt;0,
     COUNTIFS($AL$2:$AL$200,$G36)&gt;0,
     COUNTIFS($AM$2:$AM$200,$G36)&gt;0,
     COUNTIFS($AN$2:$AN$200,$G36)&gt;0,
     COUNTIFS($AO$2:$AO$200,$G36)&gt;0,
     COUNTIFS($AP$2:$AP$200,$G36)&gt;0,
     COUNTIFS($AQ$2:$AQ$200,$G36)&gt;0,
     COUNTIFS($AR$2:$AR$200,$G36)&gt;0,
     COUNTIFS($AS$2:$AS$200,$G36)&gt;0,
     COUNTIFS($AT$2:$AT$200,$G36)&gt;0,
     COUNTIFS($AU$2:$AU$200,$G36)&gt;0,
     COUNTIFS($AV$2:$AV$200,$G36)&gt;0,
     COUNTIFS($AW$2:$AW$200,$G36)&gt;0,
     COUNTIFS($AX$2:$AX$200,$G36)&gt;0
   )),
  ),
  4
 ),
"")</f>
        <v/>
      </c>
      <c r="G36" t="str">
        <f ca="1"/>
        <v>Autoridade dos Cônsules</v>
      </c>
      <c r="R36" s="3" t="s">
        <v>2170</v>
      </c>
      <c r="X36" t="str">
        <v>Summon: Ixion</v>
      </c>
      <c r="AX36" t="str">
        <v>Goblin Engineer</v>
      </c>
      <c r="BF36" t="str">
        <f ca="1"/>
        <v>Warren Soultrader</v>
      </c>
      <c r="BG36" t="str">
        <f ca="1"/>
        <v>Reliquary Tower</v>
      </c>
      <c r="BH36" t="str">
        <f ca="1"/>
        <v>Kutzil, Malamet Exemplar</v>
      </c>
      <c r="BI36" t="str">
        <f ca="1"/>
        <v>Evendo Brushrazer</v>
      </c>
      <c r="BK36" t="str">
        <f ca="1"/>
        <v>The Mycosynth Gardens</v>
      </c>
      <c r="BL36" t="str">
        <f ca="1"/>
        <v>Teyo, Geometric Tactician</v>
      </c>
      <c r="BM36" t="str">
        <f ca="1"/>
        <v>Mistbind Clique</v>
      </c>
      <c r="BN36" t="str">
        <f ca="1"/>
        <v>Jadar, Ghoulcaller of Nephalia</v>
      </c>
      <c r="BO36" t="str">
        <f ca="1"/>
        <v>Castle Ardenvale</v>
      </c>
      <c r="BQ36" t="str">
        <f ca="1"/>
        <v>Louisoix's Sacrifice</v>
      </c>
      <c r="BR36" t="str">
        <f ca="1"/>
        <v>Espada de Luz e Sombra</v>
      </c>
      <c r="BT36" t="str">
        <f ca="1"/>
        <v>Commodore Guff</v>
      </c>
    </row>
    <row r="37" spans="1:72" x14ac:dyDescent="0.25">
      <c r="A37" s="3" t="str">
        <f t="shared" ca="1" si="0"/>
        <v>2</v>
      </c>
      <c r="B37" s="3">
        <f t="shared" ca="1" si="1"/>
        <v>1</v>
      </c>
      <c r="C37" s="3" t="str">
        <f ca="1">IFERROR(
 INDEX($U$1:$AX$1,
  MATCH(TRUE,
   CHOOSE({1;2;3;4;5;6;7;8;9;10;11;12;13;14;15;16;17;18;19;20;21;22;23;24;25;26;27;28;29;30;31;32},
    COUNTIFS($U$2:$U$200,$G37)&gt;0,
    COUNTIFS($V$2:$V$200,$G37)&gt;0,
    COUNTIFS($W$2:$W$200,$G37)&gt;0,
    COUNTIFS($X$2:$X$200,$G37)&gt;0,
    COUNTIFS($Y$2:$Y$200,$G37)&gt;0,
    COUNTIFS($Z$2:$Z$200,$G37)&gt;0,
    COUNTIFS($AA$2:$AA$200,$G37)&gt;0,
    COUNTIFS($AB$2:$AB$200,$G37)&gt;0,
    COUNTIFS($AC$2:$AC$200,$G37)&gt;0,
    COUNTIFS($AD$2:$AD$200,$G37)&gt;0,
    COUNTIFS($AE$2:$AE$200,$G37)&gt;0,
    COUNTIFS($AF$2:$AF$200,$G37)&gt;0,
    COUNTIFS($AG$2:$AG$200,$G37)&gt;0,
    COUNTIFS($AH$2:$AH$200,$G37)&gt;0,
    COUNTIFS($AI$2:$AI$200,$G37)&gt;0,
    COUNTIFS($AJ$2:$AJ$200,$G37)&gt;0,
    COUNTIFS($AK$2:$AK$200,$G37)&gt;0,
    COUNTIFS($AL$2:$AL$200,$G37)&gt;0,
    COUNTIFS($AM$2:$AM$200,$G37)&gt;0,
    COUNTIFS($AN$2:$AN$200,$G37)&gt;0,
    COUNTIFS($AO$2:$AO$200,$G37)&gt;0,
    COUNTIFS($AP$2:$AP$200,$G37)&gt;0,
    COUNTIFS($AQ$2:$AQ$200,$G37)&gt;0,
    COUNTIFS($AR$2:$AR$200,$G37)&gt;0,
    COUNTIFS($AS$2:$AS$200,$G37)&gt;0,
    COUNTIFS($AT$2:$AT$200,$G37)&gt;0,
    COUNTIFS($AU$2:$AU$200,$G37)&gt;0,
    COUNTIFS($AV$2:$AV$200,$G37)&gt;0,
    COUNTIFS($AW$2:$AW$200,$G37)&gt;0,
    COUNTIFS($AX$2:$AX$200,$G37)&gt;0
   ),
  0)
 ),
"")</f>
        <v>Piratas</v>
      </c>
      <c r="D37" s="3" t="str" cm="1">
        <f t="array" aca="1" ref="D37" ca="1">IFERROR(
 INDEX(
  _xlfn._xlws.FILTER($U$1:$AX$1,
   TRANSPOSE(
    CHOOSE({1;2;3;4;5;6;7;8;9;10;11;12;13;14;15;16;17;18;19;20;21;22;23;24;25;26;27;28;29;30},
     COUNTIFS($U$2:$U$200,$G37)&gt;0,
     COUNTIFS($V$2:$V$200,$G37)&gt;0,
     COUNTIFS($W$2:$W$200,$G37)&gt;0,
     COUNTIFS($X$2:$X$200,$G37)&gt;0,
     COUNTIFS($Y$2:$Y$200,$G37)&gt;0,
     COUNTIFS($Z$2:$Z$200,$G37)&gt;0,
     COUNTIFS($AA$2:$AA$200,$G37)&gt;0,
     COUNTIFS($AB$2:$AB$200,$G37)&gt;0,
     COUNTIFS($AC$2:$AC$200,$G37)&gt;0,
     COUNTIFS($AD$2:$AD$200,$G37)&gt;0,
     COUNTIFS($AE$2:$AE$200,$G37)&gt;0,
     COUNTIFS($AF$2:$AF$200,$G37)&gt;0,
     COUNTIFS($AG$2:$AG$200,$G37)&gt;0,
     COUNTIFS($AH$2:$AH$200,$G37)&gt;0,
     COUNTIFS($AI$2:$AI$200,$G37)&gt;0,
     COUNTIFS($AJ$2:$AJ$200,$G37)&gt;0,
     COUNTIFS($AK$2:$AK$200,$G37)&gt;0,
     COUNTIFS($AL$2:$AL$200,$G37)&gt;0,
     COUNTIFS($AM$2:$AM$200,$G37)&gt;0,
     COUNTIFS($AN$2:$AN$200,$G37)&gt;0,
     COUNTIFS($AO$2:$AO$200,$G37)&gt;0,
     COUNTIFS($AP$2:$AP$200,$G37)&gt;0,
     COUNTIFS($AQ$2:$AQ$200,$G37)&gt;0,
     COUNTIFS($AR$2:$AR$200,$G37)&gt;0,
     COUNTIFS($AS$2:$AS$200,$G37)&gt;0,
     COUNTIFS($AT$2:$AT$200,$G37)&gt;0,
     COUNTIFS($AU$2:$AU$200,$G37)&gt;0,
     COUNTIFS($AV$2:$AV$200,$G37)&gt;0,
     COUNTIFS($AW$2:$AW$200,$G37)&gt;0,
     COUNTIFS($AX$2:$AX$200,$G37)&gt;0
   )),
  ),
  2
 ),
"")</f>
        <v/>
      </c>
      <c r="E37" s="3" t="str" cm="1">
        <f t="array" aca="1" ref="E37" ca="1">IFERROR(
 INDEX(
  _xlfn._xlws.FILTER($U$1:$AX$1,
   TRANSPOSE(
    CHOOSE({1;2;3;4;5;6;7;8;9;10;11;12;13;14;15;16;17;18;19;20;21;22;23;24;25;26;27;28;29;30},
     COUNTIFS($U$2:$U$200,$G37)&gt;0,
     COUNTIFS($V$2:$V$200,$G37)&gt;0,
     COUNTIFS($W$2:$W$200,$G37)&gt;0,
     COUNTIFS($X$2:$X$200,$G37)&gt;0,
     COUNTIFS($Y$2:$Y$200,$G37)&gt;0,
     COUNTIFS($Z$2:$Z$200,$G37)&gt;0,
     COUNTIFS($AA$2:$AA$200,$G37)&gt;0,
     COUNTIFS($AB$2:$AB$200,$G37)&gt;0,
     COUNTIFS($AC$2:$AC$200,$G37)&gt;0,
     COUNTIFS($AD$2:$AD$200,$G37)&gt;0,
     COUNTIFS($AE$2:$AE$200,$G37)&gt;0,
     COUNTIFS($AF$2:$AF$200,$G37)&gt;0,
     COUNTIFS($AG$2:$AG$200,$G37)&gt;0,
     COUNTIFS($AH$2:$AH$200,$G37)&gt;0,
     COUNTIFS($AI$2:$AI$200,$G37)&gt;0,
     COUNTIFS($AJ$2:$AJ$200,$G37)&gt;0,
     COUNTIFS($AK$2:$AK$200,$G37)&gt;0,
     COUNTIFS($AL$2:$AL$200,$G37)&gt;0,
     COUNTIFS($AM$2:$AM$200,$G37)&gt;0,
     COUNTIFS($AN$2:$AN$200,$G37)&gt;0,
     COUNTIFS($AO$2:$AO$200,$G37)&gt;0,
     COUNTIFS($AP$2:$AP$200,$G37)&gt;0,
     COUNTIFS($AQ$2:$AQ$200,$G37)&gt;0,
     COUNTIFS($AR$2:$AR$200,$G37)&gt;0,
     COUNTIFS($AS$2:$AS$200,$G37)&gt;0,
     COUNTIFS($AT$2:$AT$200,$G37)&gt;0,
     COUNTIFS($AU$2:$AU$200,$G37)&gt;0,
     COUNTIFS($AV$2:$AV$200,$G37)&gt;0,
     COUNTIFS($AW$2:$AW$200,$G37)&gt;0,
     COUNTIFS($AX$2:$AX$200,$G37)&gt;0
   )),
  ),
  3
 ),
"")</f>
        <v/>
      </c>
      <c r="F37" s="3" t="str" cm="1">
        <f t="array" aca="1" ref="F37" ca="1">IFERROR(
 INDEX(
  _xlfn._xlws.FILTER($U$1:$AX$1,
   TRANSPOSE(
    CHOOSE({1;2;3;4;5;6;7;8;9;10;11;12;13;14;15;16;17;18;19;20;21;22;23;24;25;26;27;28;29;30},
     COUNTIFS($U$2:$U$200,$G37)&gt;0,
     COUNTIFS($V$2:$V$200,$G37)&gt;0,
     COUNTIFS($W$2:$W$200,$G37)&gt;0,
     COUNTIFS($X$2:$X$200,$G37)&gt;0,
     COUNTIFS($Y$2:$Y$200,$G37)&gt;0,
     COUNTIFS($Z$2:$Z$200,$G37)&gt;0,
     COUNTIFS($AA$2:$AA$200,$G37)&gt;0,
     COUNTIFS($AB$2:$AB$200,$G37)&gt;0,
     COUNTIFS($AC$2:$AC$200,$G37)&gt;0,
     COUNTIFS($AD$2:$AD$200,$G37)&gt;0,
     COUNTIFS($AE$2:$AE$200,$G37)&gt;0,
     COUNTIFS($AF$2:$AF$200,$G37)&gt;0,
     COUNTIFS($AG$2:$AG$200,$G37)&gt;0,
     COUNTIFS($AH$2:$AH$200,$G37)&gt;0,
     COUNTIFS($AI$2:$AI$200,$G37)&gt;0,
     COUNTIFS($AJ$2:$AJ$200,$G37)&gt;0,
     COUNTIFS($AK$2:$AK$200,$G37)&gt;0,
     COUNTIFS($AL$2:$AL$200,$G37)&gt;0,
     COUNTIFS($AM$2:$AM$200,$G37)&gt;0,
     COUNTIFS($AN$2:$AN$200,$G37)&gt;0,
     COUNTIFS($AO$2:$AO$200,$G37)&gt;0,
     COUNTIFS($AP$2:$AP$200,$G37)&gt;0,
     COUNTIFS($AQ$2:$AQ$200,$G37)&gt;0,
     COUNTIFS($AR$2:$AR$200,$G37)&gt;0,
     COUNTIFS($AS$2:$AS$200,$G37)&gt;0,
     COUNTIFS($AT$2:$AT$200,$G37)&gt;0,
     COUNTIFS($AU$2:$AU$200,$G37)&gt;0,
     COUNTIFS($AV$2:$AV$200,$G37)&gt;0,
     COUNTIFS($AW$2:$AW$200,$G37)&gt;0,
     COUNTIFS($AX$2:$AX$200,$G37)&gt;0
   )),
  ),
  4
 ),
"")</f>
        <v/>
      </c>
      <c r="G37" t="str">
        <f ca="1"/>
        <v>Back in Town</v>
      </c>
      <c r="R37" s="3" t="s">
        <v>2171</v>
      </c>
      <c r="X37" t="str">
        <v>Syr Vondam, Sunstar Exemplar</v>
      </c>
      <c r="AX37" t="str">
        <v>Goblin Welder</v>
      </c>
      <c r="BF37" t="str">
        <f ca="1"/>
        <v>Xantcha, Agente Adormecida</v>
      </c>
      <c r="BG37" t="str">
        <f ca="1"/>
        <v>Scalding Tarn</v>
      </c>
      <c r="BH37" t="str">
        <f ca="1"/>
        <v>Lae'zel, Vlaakith's Champion</v>
      </c>
      <c r="BI37" t="str">
        <f ca="1"/>
        <v>Fabled Passage</v>
      </c>
      <c r="BK37" t="str">
        <f ca="1"/>
        <v>Three Tree City</v>
      </c>
      <c r="BL37" t="str">
        <f ca="1"/>
        <v>Valfenda</v>
      </c>
      <c r="BM37" t="str">
        <f ca="1"/>
        <v>Molten Echoes</v>
      </c>
      <c r="BN37" t="str">
        <f ca="1"/>
        <v>Jidoor, Aristocratic Capital // Overture</v>
      </c>
      <c r="BO37" t="str">
        <f ca="1"/>
        <v>Champion of Lambholt</v>
      </c>
      <c r="BQ37" t="str">
        <f ca="1"/>
        <v>Luxury Suite</v>
      </c>
      <c r="BR37" t="str">
        <f ca="1"/>
        <v>Espada de Verdade e Justiça</v>
      </c>
      <c r="BT37" t="str">
        <f ca="1"/>
        <v>Counterspell</v>
      </c>
    </row>
    <row r="38" spans="1:72" x14ac:dyDescent="0.25">
      <c r="A38" s="3" t="str">
        <f t="shared" ca="1" si="0"/>
        <v>1</v>
      </c>
      <c r="B38" s="3">
        <f t="shared" ca="1" si="1"/>
        <v>1</v>
      </c>
      <c r="C38" s="3" t="str">
        <f ca="1">IFERROR(
 INDEX($U$1:$AX$1,
  MATCH(TRUE,
   CHOOSE({1;2;3;4;5;6;7;8;9;10;11;12;13;14;15;16;17;18;19;20;21;22;23;24;25;26;27;28;29;30;31;32},
    COUNTIFS($U$2:$U$200,$G38)&gt;0,
    COUNTIFS($V$2:$V$200,$G38)&gt;0,
    COUNTIFS($W$2:$W$200,$G38)&gt;0,
    COUNTIFS($X$2:$X$200,$G38)&gt;0,
    COUNTIFS($Y$2:$Y$200,$G38)&gt;0,
    COUNTIFS($Z$2:$Z$200,$G38)&gt;0,
    COUNTIFS($AA$2:$AA$200,$G38)&gt;0,
    COUNTIFS($AB$2:$AB$200,$G38)&gt;0,
    COUNTIFS($AC$2:$AC$200,$G38)&gt;0,
    COUNTIFS($AD$2:$AD$200,$G38)&gt;0,
    COUNTIFS($AE$2:$AE$200,$G38)&gt;0,
    COUNTIFS($AF$2:$AF$200,$G38)&gt;0,
    COUNTIFS($AG$2:$AG$200,$G38)&gt;0,
    COUNTIFS($AH$2:$AH$200,$G38)&gt;0,
    COUNTIFS($AI$2:$AI$200,$G38)&gt;0,
    COUNTIFS($AJ$2:$AJ$200,$G38)&gt;0,
    COUNTIFS($AK$2:$AK$200,$G38)&gt;0,
    COUNTIFS($AL$2:$AL$200,$G38)&gt;0,
    COUNTIFS($AM$2:$AM$200,$G38)&gt;0,
    COUNTIFS($AN$2:$AN$200,$G38)&gt;0,
    COUNTIFS($AO$2:$AO$200,$G38)&gt;0,
    COUNTIFS($AP$2:$AP$200,$G38)&gt;0,
    COUNTIFS($AQ$2:$AQ$200,$G38)&gt;0,
    COUNTIFS($AR$2:$AR$200,$G38)&gt;0,
    COUNTIFS($AS$2:$AS$200,$G38)&gt;0,
    COUNTIFS($AT$2:$AT$200,$G38)&gt;0,
    COUNTIFS($AU$2:$AU$200,$G38)&gt;0,
    COUNTIFS($AV$2:$AV$200,$G38)&gt;0,
    COUNTIFS($AW$2:$AW$200,$G38)&gt;0,
    COUNTIFS($AX$2:$AX$200,$G38)&gt;0
   ),
  0)
 ),
"")</f>
        <v>Modular</v>
      </c>
      <c r="D38" s="3" t="str" cm="1">
        <f t="array" aca="1" ref="D38" ca="1">IFERROR(
 INDEX(
  _xlfn._xlws.FILTER($U$1:$AX$1,
   TRANSPOSE(
    CHOOSE({1;2;3;4;5;6;7;8;9;10;11;12;13;14;15;16;17;18;19;20;21;22;23;24;25;26;27;28;29;30},
     COUNTIFS($U$2:$U$200,$G38)&gt;0,
     COUNTIFS($V$2:$V$200,$G38)&gt;0,
     COUNTIFS($W$2:$W$200,$G38)&gt;0,
     COUNTIFS($X$2:$X$200,$G38)&gt;0,
     COUNTIFS($Y$2:$Y$200,$G38)&gt;0,
     COUNTIFS($Z$2:$Z$200,$G38)&gt;0,
     COUNTIFS($AA$2:$AA$200,$G38)&gt;0,
     COUNTIFS($AB$2:$AB$200,$G38)&gt;0,
     COUNTIFS($AC$2:$AC$200,$G38)&gt;0,
     COUNTIFS($AD$2:$AD$200,$G38)&gt;0,
     COUNTIFS($AE$2:$AE$200,$G38)&gt;0,
     COUNTIFS($AF$2:$AF$200,$G38)&gt;0,
     COUNTIFS($AG$2:$AG$200,$G38)&gt;0,
     COUNTIFS($AH$2:$AH$200,$G38)&gt;0,
     COUNTIFS($AI$2:$AI$200,$G38)&gt;0,
     COUNTIFS($AJ$2:$AJ$200,$G38)&gt;0,
     COUNTIFS($AK$2:$AK$200,$G38)&gt;0,
     COUNTIFS($AL$2:$AL$200,$G38)&gt;0,
     COUNTIFS($AM$2:$AM$200,$G38)&gt;0,
     COUNTIFS($AN$2:$AN$200,$G38)&gt;0,
     COUNTIFS($AO$2:$AO$200,$G38)&gt;0,
     COUNTIFS($AP$2:$AP$200,$G38)&gt;0,
     COUNTIFS($AQ$2:$AQ$200,$G38)&gt;0,
     COUNTIFS($AR$2:$AR$200,$G38)&gt;0,
     COUNTIFS($AS$2:$AS$200,$G38)&gt;0,
     COUNTIFS($AT$2:$AT$200,$G38)&gt;0,
     COUNTIFS($AU$2:$AU$200,$G38)&gt;0,
     COUNTIFS($AV$2:$AV$200,$G38)&gt;0,
     COUNTIFS($AW$2:$AW$200,$G38)&gt;0,
     COUNTIFS($AX$2:$AX$200,$G38)&gt;0
   )),
  ),
  2
 ),
"")</f>
        <v/>
      </c>
      <c r="E38" s="3" t="str" cm="1">
        <f t="array" aca="1" ref="E38" ca="1">IFERROR(
 INDEX(
  _xlfn._xlws.FILTER($U$1:$AX$1,
   TRANSPOSE(
    CHOOSE({1;2;3;4;5;6;7;8;9;10;11;12;13;14;15;16;17;18;19;20;21;22;23;24;25;26;27;28;29;30},
     COUNTIFS($U$2:$U$200,$G38)&gt;0,
     COUNTIFS($V$2:$V$200,$G38)&gt;0,
     COUNTIFS($W$2:$W$200,$G38)&gt;0,
     COUNTIFS($X$2:$X$200,$G38)&gt;0,
     COUNTIFS($Y$2:$Y$200,$G38)&gt;0,
     COUNTIFS($Z$2:$Z$200,$G38)&gt;0,
     COUNTIFS($AA$2:$AA$200,$G38)&gt;0,
     COUNTIFS($AB$2:$AB$200,$G38)&gt;0,
     COUNTIFS($AC$2:$AC$200,$G38)&gt;0,
     COUNTIFS($AD$2:$AD$200,$G38)&gt;0,
     COUNTIFS($AE$2:$AE$200,$G38)&gt;0,
     COUNTIFS($AF$2:$AF$200,$G38)&gt;0,
     COUNTIFS($AG$2:$AG$200,$G38)&gt;0,
     COUNTIFS($AH$2:$AH$200,$G38)&gt;0,
     COUNTIFS($AI$2:$AI$200,$G38)&gt;0,
     COUNTIFS($AJ$2:$AJ$200,$G38)&gt;0,
     COUNTIFS($AK$2:$AK$200,$G38)&gt;0,
     COUNTIFS($AL$2:$AL$200,$G38)&gt;0,
     COUNTIFS($AM$2:$AM$200,$G38)&gt;0,
     COUNTIFS($AN$2:$AN$200,$G38)&gt;0,
     COUNTIFS($AO$2:$AO$200,$G38)&gt;0,
     COUNTIFS($AP$2:$AP$200,$G38)&gt;0,
     COUNTIFS($AQ$2:$AQ$200,$G38)&gt;0,
     COUNTIFS($AR$2:$AR$200,$G38)&gt;0,
     COUNTIFS($AS$2:$AS$200,$G38)&gt;0,
     COUNTIFS($AT$2:$AT$200,$G38)&gt;0,
     COUNTIFS($AU$2:$AU$200,$G38)&gt;0,
     COUNTIFS($AV$2:$AV$200,$G38)&gt;0,
     COUNTIFS($AW$2:$AW$200,$G38)&gt;0,
     COUNTIFS($AX$2:$AX$200,$G38)&gt;0
   )),
  ),
  3
 ),
"")</f>
        <v/>
      </c>
      <c r="F38" s="3" t="str" cm="1">
        <f t="array" aca="1" ref="F38" ca="1">IFERROR(
 INDEX(
  _xlfn._xlws.FILTER($U$1:$AX$1,
   TRANSPOSE(
    CHOOSE({1;2;3;4;5;6;7;8;9;10;11;12;13;14;15;16;17;18;19;20;21;22;23;24;25;26;27;28;29;30},
     COUNTIFS($U$2:$U$200,$G38)&gt;0,
     COUNTIFS($V$2:$V$200,$G38)&gt;0,
     COUNTIFS($W$2:$W$200,$G38)&gt;0,
     COUNTIFS($X$2:$X$200,$G38)&gt;0,
     COUNTIFS($Y$2:$Y$200,$G38)&gt;0,
     COUNTIFS($Z$2:$Z$200,$G38)&gt;0,
     COUNTIFS($AA$2:$AA$200,$G38)&gt;0,
     COUNTIFS($AB$2:$AB$200,$G38)&gt;0,
     COUNTIFS($AC$2:$AC$200,$G38)&gt;0,
     COUNTIFS($AD$2:$AD$200,$G38)&gt;0,
     COUNTIFS($AE$2:$AE$200,$G38)&gt;0,
     COUNTIFS($AF$2:$AF$200,$G38)&gt;0,
     COUNTIFS($AG$2:$AG$200,$G38)&gt;0,
     COUNTIFS($AH$2:$AH$200,$G38)&gt;0,
     COUNTIFS($AI$2:$AI$200,$G38)&gt;0,
     COUNTIFS($AJ$2:$AJ$200,$G38)&gt;0,
     COUNTIFS($AK$2:$AK$200,$G38)&gt;0,
     COUNTIFS($AL$2:$AL$200,$G38)&gt;0,
     COUNTIFS($AM$2:$AM$200,$G38)&gt;0,
     COUNTIFS($AN$2:$AN$200,$G38)&gt;0,
     COUNTIFS($AO$2:$AO$200,$G38)&gt;0,
     COUNTIFS($AP$2:$AP$200,$G38)&gt;0,
     COUNTIFS($AQ$2:$AQ$200,$G38)&gt;0,
     COUNTIFS($AR$2:$AR$200,$G38)&gt;0,
     COUNTIFS($AS$2:$AS$200,$G38)&gt;0,
     COUNTIFS($AT$2:$AT$200,$G38)&gt;0,
     COUNTIFS($AU$2:$AU$200,$G38)&gt;0,
     COUNTIFS($AV$2:$AV$200,$G38)&gt;0,
     COUNTIFS($AW$2:$AW$200,$G38)&gt;0,
     COUNTIFS($AX$2:$AX$200,$G38)&gt;0
   )),
  ),
  4
 ),
"")</f>
        <v/>
      </c>
      <c r="G38" t="str">
        <f ca="1"/>
        <v>Badgermole</v>
      </c>
      <c r="R38" s="3" t="s">
        <v>2172</v>
      </c>
      <c r="X38" t="str">
        <v>Tayam, Luminous Enigma</v>
      </c>
      <c r="AX38" t="str">
        <v>Great Furnace</v>
      </c>
      <c r="BG38" t="str">
        <f ca="1"/>
        <v>Sea of Clouds</v>
      </c>
      <c r="BH38" t="str">
        <f ca="1"/>
        <v>Lightning Greaves</v>
      </c>
      <c r="BI38" t="str">
        <f ca="1"/>
        <v>Filigree Vector</v>
      </c>
      <c r="BK38" t="str">
        <f ca="1"/>
        <v>Thrumming Hivepool</v>
      </c>
      <c r="BL38" t="str">
        <f ca="1"/>
        <v>Vontade Dominadora</v>
      </c>
      <c r="BM38" t="str">
        <f ca="1"/>
        <v>Mother of runes</v>
      </c>
      <c r="BN38" t="str">
        <f ca="1"/>
        <v>Karn Liberated</v>
      </c>
      <c r="BO38" t="str">
        <f ca="1"/>
        <v>Champions from Beyond</v>
      </c>
      <c r="BQ38" t="str">
        <f ca="1"/>
        <v>Mandate of Peace</v>
      </c>
      <c r="BR38" t="str">
        <f ca="1"/>
        <v>Exemplar of Light</v>
      </c>
      <c r="BT38" t="str">
        <f ca="1"/>
        <v>Creeping Tar Pit</v>
      </c>
    </row>
    <row r="39" spans="1:72" x14ac:dyDescent="0.25">
      <c r="A39" s="3" t="str">
        <f t="shared" ca="1" si="0"/>
        <v>4</v>
      </c>
      <c r="B39" s="3">
        <f t="shared" ca="1" si="1"/>
        <v>1</v>
      </c>
      <c r="C39" s="3" t="str">
        <f ca="1">IFERROR(
 INDEX($U$1:$AX$1,
  MATCH(TRUE,
   CHOOSE({1;2;3;4;5;6;7;8;9;10;11;12;13;14;15;16;17;18;19;20;21;22;23;24;25;26;27;28;29;30;31;32},
    COUNTIFS($U$2:$U$200,$G39)&gt;0,
    COUNTIFS($V$2:$V$200,$G39)&gt;0,
    COUNTIFS($W$2:$W$200,$G39)&gt;0,
    COUNTIFS($X$2:$X$200,$G39)&gt;0,
    COUNTIFS($Y$2:$Y$200,$G39)&gt;0,
    COUNTIFS($Z$2:$Z$200,$G39)&gt;0,
    COUNTIFS($AA$2:$AA$200,$G39)&gt;0,
    COUNTIFS($AB$2:$AB$200,$G39)&gt;0,
    COUNTIFS($AC$2:$AC$200,$G39)&gt;0,
    COUNTIFS($AD$2:$AD$200,$G39)&gt;0,
    COUNTIFS($AE$2:$AE$200,$G39)&gt;0,
    COUNTIFS($AF$2:$AF$200,$G39)&gt;0,
    COUNTIFS($AG$2:$AG$200,$G39)&gt;0,
    COUNTIFS($AH$2:$AH$200,$G39)&gt;0,
    COUNTIFS($AI$2:$AI$200,$G39)&gt;0,
    COUNTIFS($AJ$2:$AJ$200,$G39)&gt;0,
    COUNTIFS($AK$2:$AK$200,$G39)&gt;0,
    COUNTIFS($AL$2:$AL$200,$G39)&gt;0,
    COUNTIFS($AM$2:$AM$200,$G39)&gt;0,
    COUNTIFS($AN$2:$AN$200,$G39)&gt;0,
    COUNTIFS($AO$2:$AO$200,$G39)&gt;0,
    COUNTIFS($AP$2:$AP$200,$G39)&gt;0,
    COUNTIFS($AQ$2:$AQ$200,$G39)&gt;0,
    COUNTIFS($AR$2:$AR$200,$G39)&gt;0,
    COUNTIFS($AS$2:$AS$200,$G39)&gt;0,
    COUNTIFS($AT$2:$AT$200,$G39)&gt;0,
    COUNTIFS($AU$2:$AU$200,$G39)&gt;0,
    COUNTIFS($AV$2:$AV$200,$G39)&gt;0,
    COUNTIFS($AW$2:$AW$200,$G39)&gt;0,
    COUNTIFS($AX$2:$AX$200,$G39)&gt;0
   ),
  0)
 ),
"")</f>
        <v>Rielle</v>
      </c>
      <c r="D39" s="3" t="str" cm="1">
        <f t="array" aca="1" ref="D39" ca="1">IFERROR(
 INDEX(
  _xlfn._xlws.FILTER($U$1:$AX$1,
   TRANSPOSE(
    CHOOSE({1;2;3;4;5;6;7;8;9;10;11;12;13;14;15;16;17;18;19;20;21;22;23;24;25;26;27;28;29;30},
     COUNTIFS($U$2:$U$200,$G39)&gt;0,
     COUNTIFS($V$2:$V$200,$G39)&gt;0,
     COUNTIFS($W$2:$W$200,$G39)&gt;0,
     COUNTIFS($X$2:$X$200,$G39)&gt;0,
     COUNTIFS($Y$2:$Y$200,$G39)&gt;0,
     COUNTIFS($Z$2:$Z$200,$G39)&gt;0,
     COUNTIFS($AA$2:$AA$200,$G39)&gt;0,
     COUNTIFS($AB$2:$AB$200,$G39)&gt;0,
     COUNTIFS($AC$2:$AC$200,$G39)&gt;0,
     COUNTIFS($AD$2:$AD$200,$G39)&gt;0,
     COUNTIFS($AE$2:$AE$200,$G39)&gt;0,
     COUNTIFS($AF$2:$AF$200,$G39)&gt;0,
     COUNTIFS($AG$2:$AG$200,$G39)&gt;0,
     COUNTIFS($AH$2:$AH$200,$G39)&gt;0,
     COUNTIFS($AI$2:$AI$200,$G39)&gt;0,
     COUNTIFS($AJ$2:$AJ$200,$G39)&gt;0,
     COUNTIFS($AK$2:$AK$200,$G39)&gt;0,
     COUNTIFS($AL$2:$AL$200,$G39)&gt;0,
     COUNTIFS($AM$2:$AM$200,$G39)&gt;0,
     COUNTIFS($AN$2:$AN$200,$G39)&gt;0,
     COUNTIFS($AO$2:$AO$200,$G39)&gt;0,
     COUNTIFS($AP$2:$AP$200,$G39)&gt;0,
     COUNTIFS($AQ$2:$AQ$200,$G39)&gt;0,
     COUNTIFS($AR$2:$AR$200,$G39)&gt;0,
     COUNTIFS($AS$2:$AS$200,$G39)&gt;0,
     COUNTIFS($AT$2:$AT$200,$G39)&gt;0,
     COUNTIFS($AU$2:$AU$200,$G39)&gt;0,
     COUNTIFS($AV$2:$AV$200,$G39)&gt;0,
     COUNTIFS($AW$2:$AW$200,$G39)&gt;0,
     COUNTIFS($AX$2:$AX$200,$G39)&gt;0
   )),
  ),
  2
 ),
"")</f>
        <v/>
      </c>
      <c r="E39" s="3" t="str" cm="1">
        <f t="array" aca="1" ref="E39" ca="1">IFERROR(
 INDEX(
  _xlfn._xlws.FILTER($U$1:$AX$1,
   TRANSPOSE(
    CHOOSE({1;2;3;4;5;6;7;8;9;10;11;12;13;14;15;16;17;18;19;20;21;22;23;24;25;26;27;28;29;30},
     COUNTIFS($U$2:$U$200,$G39)&gt;0,
     COUNTIFS($V$2:$V$200,$G39)&gt;0,
     COUNTIFS($W$2:$W$200,$G39)&gt;0,
     COUNTIFS($X$2:$X$200,$G39)&gt;0,
     COUNTIFS($Y$2:$Y$200,$G39)&gt;0,
     COUNTIFS($Z$2:$Z$200,$G39)&gt;0,
     COUNTIFS($AA$2:$AA$200,$G39)&gt;0,
     COUNTIFS($AB$2:$AB$200,$G39)&gt;0,
     COUNTIFS($AC$2:$AC$200,$G39)&gt;0,
     COUNTIFS($AD$2:$AD$200,$G39)&gt;0,
     COUNTIFS($AE$2:$AE$200,$G39)&gt;0,
     COUNTIFS($AF$2:$AF$200,$G39)&gt;0,
     COUNTIFS($AG$2:$AG$200,$G39)&gt;0,
     COUNTIFS($AH$2:$AH$200,$G39)&gt;0,
     COUNTIFS($AI$2:$AI$200,$G39)&gt;0,
     COUNTIFS($AJ$2:$AJ$200,$G39)&gt;0,
     COUNTIFS($AK$2:$AK$200,$G39)&gt;0,
     COUNTIFS($AL$2:$AL$200,$G39)&gt;0,
     COUNTIFS($AM$2:$AM$200,$G39)&gt;0,
     COUNTIFS($AN$2:$AN$200,$G39)&gt;0,
     COUNTIFS($AO$2:$AO$200,$G39)&gt;0,
     COUNTIFS($AP$2:$AP$200,$G39)&gt;0,
     COUNTIFS($AQ$2:$AQ$200,$G39)&gt;0,
     COUNTIFS($AR$2:$AR$200,$G39)&gt;0,
     COUNTIFS($AS$2:$AS$200,$G39)&gt;0,
     COUNTIFS($AT$2:$AT$200,$G39)&gt;0,
     COUNTIFS($AU$2:$AU$200,$G39)&gt;0,
     COUNTIFS($AV$2:$AV$200,$G39)&gt;0,
     COUNTIFS($AW$2:$AW$200,$G39)&gt;0,
     COUNTIFS($AX$2:$AX$200,$G39)&gt;0
   )),
  ),
  3
 ),
"")</f>
        <v/>
      </c>
      <c r="F39" s="3" t="str" cm="1">
        <f t="array" aca="1" ref="F39" ca="1">IFERROR(
 INDEX(
  _xlfn._xlws.FILTER($U$1:$AX$1,
   TRANSPOSE(
    CHOOSE({1;2;3;4;5;6;7;8;9;10;11;12;13;14;15;16;17;18;19;20;21;22;23;24;25;26;27;28;29;30},
     COUNTIFS($U$2:$U$200,$G39)&gt;0,
     COUNTIFS($V$2:$V$200,$G39)&gt;0,
     COUNTIFS($W$2:$W$200,$G39)&gt;0,
     COUNTIFS($X$2:$X$200,$G39)&gt;0,
     COUNTIFS($Y$2:$Y$200,$G39)&gt;0,
     COUNTIFS($Z$2:$Z$200,$G39)&gt;0,
     COUNTIFS($AA$2:$AA$200,$G39)&gt;0,
     COUNTIFS($AB$2:$AB$200,$G39)&gt;0,
     COUNTIFS($AC$2:$AC$200,$G39)&gt;0,
     COUNTIFS($AD$2:$AD$200,$G39)&gt;0,
     COUNTIFS($AE$2:$AE$200,$G39)&gt;0,
     COUNTIFS($AF$2:$AF$200,$G39)&gt;0,
     COUNTIFS($AG$2:$AG$200,$G39)&gt;0,
     COUNTIFS($AH$2:$AH$200,$G39)&gt;0,
     COUNTIFS($AI$2:$AI$200,$G39)&gt;0,
     COUNTIFS($AJ$2:$AJ$200,$G39)&gt;0,
     COUNTIFS($AK$2:$AK$200,$G39)&gt;0,
     COUNTIFS($AL$2:$AL$200,$G39)&gt;0,
     COUNTIFS($AM$2:$AM$200,$G39)&gt;0,
     COUNTIFS($AN$2:$AN$200,$G39)&gt;0,
     COUNTIFS($AO$2:$AO$200,$G39)&gt;0,
     COUNTIFS($AP$2:$AP$200,$G39)&gt;0,
     COUNTIFS($AQ$2:$AQ$200,$G39)&gt;0,
     COUNTIFS($AR$2:$AR$200,$G39)&gt;0,
     COUNTIFS($AS$2:$AS$200,$G39)&gt;0,
     COUNTIFS($AT$2:$AT$200,$G39)&gt;0,
     COUNTIFS($AU$2:$AU$200,$G39)&gt;0,
     COUNTIFS($AV$2:$AV$200,$G39)&gt;0,
     COUNTIFS($AW$2:$AW$200,$G39)&gt;0,
     COUNTIFS($AX$2:$AX$200,$G39)&gt;0
   )),
  ),
  4
 ),
"")</f>
        <v/>
      </c>
      <c r="G39" t="str">
        <f ca="1"/>
        <v>Baral, Chief of Compliance</v>
      </c>
      <c r="R39" s="3" t="s">
        <v>2173</v>
      </c>
      <c r="X39" t="str">
        <v>Terrasymbiosis</v>
      </c>
      <c r="AX39" t="str">
        <v>Gruul Signet</v>
      </c>
      <c r="BG39" t="str">
        <f ca="1"/>
        <v>Seahunter</v>
      </c>
      <c r="BH39" t="str">
        <f ca="1"/>
        <v>Maester Seymour</v>
      </c>
      <c r="BI39" t="str">
        <f ca="1"/>
        <v>Forerunner of the Coalition</v>
      </c>
      <c r="BK39" t="str">
        <f ca="1"/>
        <v>Titania, Voice of Gaea</v>
      </c>
      <c r="BL39" t="str">
        <f ca="1"/>
        <v>Watery Grave</v>
      </c>
      <c r="BM39" t="str">
        <f ca="1"/>
        <v>Nibelheim Aflame</v>
      </c>
      <c r="BN39" t="str">
        <f ca="1"/>
        <v>Kaya the Inexorable</v>
      </c>
      <c r="BO39" t="str">
        <f ca="1"/>
        <v>Cinder Glade</v>
      </c>
      <c r="BQ39" t="str">
        <f ca="1"/>
        <v>Matoya, Archon Elder</v>
      </c>
      <c r="BR39" t="str">
        <f ca="1"/>
        <v>Fabled Passage</v>
      </c>
      <c r="BT39" t="str">
        <f ca="1"/>
        <v>Crisol dos Mundos</v>
      </c>
    </row>
    <row r="40" spans="1:72" x14ac:dyDescent="0.25">
      <c r="A40" s="3" t="str">
        <f t="shared" ca="1" si="0"/>
        <v>3</v>
      </c>
      <c r="B40" s="3">
        <f t="shared" ca="1" si="1"/>
        <v>1</v>
      </c>
      <c r="C40" s="3" t="str">
        <f ca="1">IFERROR(
 INDEX($U$1:$AX$1,
  MATCH(TRUE,
   CHOOSE({1;2;3;4;5;6;7;8;9;10;11;12;13;14;15;16;17;18;19;20;21;22;23;24;25;26;27;28;29;30;31;32},
    COUNTIFS($U$2:$U$200,$G40)&gt;0,
    COUNTIFS($V$2:$V$200,$G40)&gt;0,
    COUNTIFS($W$2:$W$200,$G40)&gt;0,
    COUNTIFS($X$2:$X$200,$G40)&gt;0,
    COUNTIFS($Y$2:$Y$200,$G40)&gt;0,
    COUNTIFS($Z$2:$Z$200,$G40)&gt;0,
    COUNTIFS($AA$2:$AA$200,$G40)&gt;0,
    COUNTIFS($AB$2:$AB$200,$G40)&gt;0,
    COUNTIFS($AC$2:$AC$200,$G40)&gt;0,
    COUNTIFS($AD$2:$AD$200,$G40)&gt;0,
    COUNTIFS($AE$2:$AE$200,$G40)&gt;0,
    COUNTIFS($AF$2:$AF$200,$G40)&gt;0,
    COUNTIFS($AG$2:$AG$200,$G40)&gt;0,
    COUNTIFS($AH$2:$AH$200,$G40)&gt;0,
    COUNTIFS($AI$2:$AI$200,$G40)&gt;0,
    COUNTIFS($AJ$2:$AJ$200,$G40)&gt;0,
    COUNTIFS($AK$2:$AK$200,$G40)&gt;0,
    COUNTIFS($AL$2:$AL$200,$G40)&gt;0,
    COUNTIFS($AM$2:$AM$200,$G40)&gt;0,
    COUNTIFS($AN$2:$AN$200,$G40)&gt;0,
    COUNTIFS($AO$2:$AO$200,$G40)&gt;0,
    COUNTIFS($AP$2:$AP$200,$G40)&gt;0,
    COUNTIFS($AQ$2:$AQ$200,$G40)&gt;0,
    COUNTIFS($AR$2:$AR$200,$G40)&gt;0,
    COUNTIFS($AS$2:$AS$200,$G40)&gt;0,
    COUNTIFS($AT$2:$AT$200,$G40)&gt;0,
    COUNTIFS($AU$2:$AU$200,$G40)&gt;0,
    COUNTIFS($AV$2:$AV$200,$G40)&gt;0,
    COUNTIFS($AW$2:$AW$200,$G40)&gt;0,
    COUNTIFS($AX$2:$AX$200,$G40)&gt;0
   ),
  0)
 ),
"")</f>
        <v>VialIshai</v>
      </c>
      <c r="D40" s="3" t="str" cm="1">
        <f t="array" aca="1" ref="D40" ca="1">IFERROR(
 INDEX(
  _xlfn._xlws.FILTER($U$1:$AX$1,
   TRANSPOSE(
    CHOOSE({1;2;3;4;5;6;7;8;9;10;11;12;13;14;15;16;17;18;19;20;21;22;23;24;25;26;27;28;29;30},
     COUNTIFS($U$2:$U$200,$G40)&gt;0,
     COUNTIFS($V$2:$V$200,$G40)&gt;0,
     COUNTIFS($W$2:$W$200,$G40)&gt;0,
     COUNTIFS($X$2:$X$200,$G40)&gt;0,
     COUNTIFS($Y$2:$Y$200,$G40)&gt;0,
     COUNTIFS($Z$2:$Z$200,$G40)&gt;0,
     COUNTIFS($AA$2:$AA$200,$G40)&gt;0,
     COUNTIFS($AB$2:$AB$200,$G40)&gt;0,
     COUNTIFS($AC$2:$AC$200,$G40)&gt;0,
     COUNTIFS($AD$2:$AD$200,$G40)&gt;0,
     COUNTIFS($AE$2:$AE$200,$G40)&gt;0,
     COUNTIFS($AF$2:$AF$200,$G40)&gt;0,
     COUNTIFS($AG$2:$AG$200,$G40)&gt;0,
     COUNTIFS($AH$2:$AH$200,$G40)&gt;0,
     COUNTIFS($AI$2:$AI$200,$G40)&gt;0,
     COUNTIFS($AJ$2:$AJ$200,$G40)&gt;0,
     COUNTIFS($AK$2:$AK$200,$G40)&gt;0,
     COUNTIFS($AL$2:$AL$200,$G40)&gt;0,
     COUNTIFS($AM$2:$AM$200,$G40)&gt;0,
     COUNTIFS($AN$2:$AN$200,$G40)&gt;0,
     COUNTIFS($AO$2:$AO$200,$G40)&gt;0,
     COUNTIFS($AP$2:$AP$200,$G40)&gt;0,
     COUNTIFS($AQ$2:$AQ$200,$G40)&gt;0,
     COUNTIFS($AR$2:$AR$200,$G40)&gt;0,
     COUNTIFS($AS$2:$AS$200,$G40)&gt;0,
     COUNTIFS($AT$2:$AT$200,$G40)&gt;0,
     COUNTIFS($AU$2:$AU$200,$G40)&gt;0,
     COUNTIFS($AV$2:$AV$200,$G40)&gt;0,
     COUNTIFS($AW$2:$AW$200,$G40)&gt;0,
     COUNTIFS($AX$2:$AX$200,$G40)&gt;0
   )),
  ),
  2
 ),
"")</f>
        <v/>
      </c>
      <c r="E40" s="3" t="str" cm="1">
        <f t="array" aca="1" ref="E40" ca="1">IFERROR(
 INDEX(
  _xlfn._xlws.FILTER($U$1:$AX$1,
   TRANSPOSE(
    CHOOSE({1;2;3;4;5;6;7;8;9;10;11;12;13;14;15;16;17;18;19;20;21;22;23;24;25;26;27;28;29;30},
     COUNTIFS($U$2:$U$200,$G40)&gt;0,
     COUNTIFS($V$2:$V$200,$G40)&gt;0,
     COUNTIFS($W$2:$W$200,$G40)&gt;0,
     COUNTIFS($X$2:$X$200,$G40)&gt;0,
     COUNTIFS($Y$2:$Y$200,$G40)&gt;0,
     COUNTIFS($Z$2:$Z$200,$G40)&gt;0,
     COUNTIFS($AA$2:$AA$200,$G40)&gt;0,
     COUNTIFS($AB$2:$AB$200,$G40)&gt;0,
     COUNTIFS($AC$2:$AC$200,$G40)&gt;0,
     COUNTIFS($AD$2:$AD$200,$G40)&gt;0,
     COUNTIFS($AE$2:$AE$200,$G40)&gt;0,
     COUNTIFS($AF$2:$AF$200,$G40)&gt;0,
     COUNTIFS($AG$2:$AG$200,$G40)&gt;0,
     COUNTIFS($AH$2:$AH$200,$G40)&gt;0,
     COUNTIFS($AI$2:$AI$200,$G40)&gt;0,
     COUNTIFS($AJ$2:$AJ$200,$G40)&gt;0,
     COUNTIFS($AK$2:$AK$200,$G40)&gt;0,
     COUNTIFS($AL$2:$AL$200,$G40)&gt;0,
     COUNTIFS($AM$2:$AM$200,$G40)&gt;0,
     COUNTIFS($AN$2:$AN$200,$G40)&gt;0,
     COUNTIFS($AO$2:$AO$200,$G40)&gt;0,
     COUNTIFS($AP$2:$AP$200,$G40)&gt;0,
     COUNTIFS($AQ$2:$AQ$200,$G40)&gt;0,
     COUNTIFS($AR$2:$AR$200,$G40)&gt;0,
     COUNTIFS($AS$2:$AS$200,$G40)&gt;0,
     COUNTIFS($AT$2:$AT$200,$G40)&gt;0,
     COUNTIFS($AU$2:$AU$200,$G40)&gt;0,
     COUNTIFS($AV$2:$AV$200,$G40)&gt;0,
     COUNTIFS($AW$2:$AW$200,$G40)&gt;0,
     COUNTIFS($AX$2:$AX$200,$G40)&gt;0
   )),
  ),
  3
 ),
"")</f>
        <v/>
      </c>
      <c r="F40" s="3" t="str" cm="1">
        <f t="array" aca="1" ref="F40" ca="1">IFERROR(
 INDEX(
  _xlfn._xlws.FILTER($U$1:$AX$1,
   TRANSPOSE(
    CHOOSE({1;2;3;4;5;6;7;8;9;10;11;12;13;14;15;16;17;18;19;20;21;22;23;24;25;26;27;28;29;30},
     COUNTIFS($U$2:$U$200,$G40)&gt;0,
     COUNTIFS($V$2:$V$200,$G40)&gt;0,
     COUNTIFS($W$2:$W$200,$G40)&gt;0,
     COUNTIFS($X$2:$X$200,$G40)&gt;0,
     COUNTIFS($Y$2:$Y$200,$G40)&gt;0,
     COUNTIFS($Z$2:$Z$200,$G40)&gt;0,
     COUNTIFS($AA$2:$AA$200,$G40)&gt;0,
     COUNTIFS($AB$2:$AB$200,$G40)&gt;0,
     COUNTIFS($AC$2:$AC$200,$G40)&gt;0,
     COUNTIFS($AD$2:$AD$200,$G40)&gt;0,
     COUNTIFS($AE$2:$AE$200,$G40)&gt;0,
     COUNTIFS($AF$2:$AF$200,$G40)&gt;0,
     COUNTIFS($AG$2:$AG$200,$G40)&gt;0,
     COUNTIFS($AH$2:$AH$200,$G40)&gt;0,
     COUNTIFS($AI$2:$AI$200,$G40)&gt;0,
     COUNTIFS($AJ$2:$AJ$200,$G40)&gt;0,
     COUNTIFS($AK$2:$AK$200,$G40)&gt;0,
     COUNTIFS($AL$2:$AL$200,$G40)&gt;0,
     COUNTIFS($AM$2:$AM$200,$G40)&gt;0,
     COUNTIFS($AN$2:$AN$200,$G40)&gt;0,
     COUNTIFS($AO$2:$AO$200,$G40)&gt;0,
     COUNTIFS($AP$2:$AP$200,$G40)&gt;0,
     COUNTIFS($AQ$2:$AQ$200,$G40)&gt;0,
     COUNTIFS($AR$2:$AR$200,$G40)&gt;0,
     COUNTIFS($AS$2:$AS$200,$G40)&gt;0,
     COUNTIFS($AT$2:$AT$200,$G40)&gt;0,
     COUNTIFS($AU$2:$AU$200,$G40)&gt;0,
     COUNTIFS($AV$2:$AV$200,$G40)&gt;0,
     COUNTIFS($AW$2:$AW$200,$G40)&gt;0,
     COUNTIFS($AX$2:$AX$200,$G40)&gt;0
   )),
  ),
  4
 ),
"")</f>
        <v/>
      </c>
      <c r="G40" t="str">
        <f ca="1"/>
        <v>Batwing Brume</v>
      </c>
      <c r="R40" s="3" t="s">
        <v>2174</v>
      </c>
      <c r="X40" t="str">
        <v>Tromell, Seymour's Butler</v>
      </c>
      <c r="AX40" t="str">
        <v>Hangarback Walker</v>
      </c>
      <c r="BG40" t="str">
        <f ca="1"/>
        <v>Simic Charm</v>
      </c>
      <c r="BH40" t="str">
        <f ca="1"/>
        <v>Managorger Hydra</v>
      </c>
      <c r="BI40" t="str">
        <f ca="1"/>
        <v>Forest</v>
      </c>
      <c r="BK40" t="str">
        <f ca="1"/>
        <v>Trioma de Indatha</v>
      </c>
      <c r="BL40" t="str">
        <f ca="1"/>
        <v>Westvale Abbey</v>
      </c>
      <c r="BM40" t="str">
        <f ca="1"/>
        <v>Pain for All</v>
      </c>
      <c r="BN40" t="str">
        <f ca="1"/>
        <v>Khorvath's Fury</v>
      </c>
      <c r="BO40" t="str">
        <f ca="1"/>
        <v>Coastline Marauders</v>
      </c>
      <c r="BQ40" t="str">
        <f ca="1"/>
        <v>Mirrex</v>
      </c>
      <c r="BR40" t="str">
        <f ca="1"/>
        <v>Fellwar Stone</v>
      </c>
      <c r="BT40" t="str">
        <f ca="1"/>
        <v>Cyber Conversion</v>
      </c>
    </row>
    <row r="41" spans="1:72" x14ac:dyDescent="0.25">
      <c r="A41" s="3" t="str">
        <f t="shared" ca="1" si="0"/>
        <v>2</v>
      </c>
      <c r="B41" s="3">
        <f t="shared" ca="1" si="1"/>
        <v>2</v>
      </c>
      <c r="C41" s="3" t="str">
        <f ca="1">IFERROR(
 INDEX($U$1:$AX$1,
  MATCH(TRUE,
   CHOOSE({1;2;3;4;5;6;7;8;9;10;11;12;13;14;15;16;17;18;19;20;21;22;23;24;25;26;27;28;29;30;31;32},
    COUNTIFS($U$2:$U$200,$G41)&gt;0,
    COUNTIFS($V$2:$V$200,$G41)&gt;0,
    COUNTIFS($W$2:$W$200,$G41)&gt;0,
    COUNTIFS($X$2:$X$200,$G41)&gt;0,
    COUNTIFS($Y$2:$Y$200,$G41)&gt;0,
    COUNTIFS($Z$2:$Z$200,$G41)&gt;0,
    COUNTIFS($AA$2:$AA$200,$G41)&gt;0,
    COUNTIFS($AB$2:$AB$200,$G41)&gt;0,
    COUNTIFS($AC$2:$AC$200,$G41)&gt;0,
    COUNTIFS($AD$2:$AD$200,$G41)&gt;0,
    COUNTIFS($AE$2:$AE$200,$G41)&gt;0,
    COUNTIFS($AF$2:$AF$200,$G41)&gt;0,
    COUNTIFS($AG$2:$AG$200,$G41)&gt;0,
    COUNTIFS($AH$2:$AH$200,$G41)&gt;0,
    COUNTIFS($AI$2:$AI$200,$G41)&gt;0,
    COUNTIFS($AJ$2:$AJ$200,$G41)&gt;0,
    COUNTIFS($AK$2:$AK$200,$G41)&gt;0,
    COUNTIFS($AL$2:$AL$200,$G41)&gt;0,
    COUNTIFS($AM$2:$AM$200,$G41)&gt;0,
    COUNTIFS($AN$2:$AN$200,$G41)&gt;0,
    COUNTIFS($AO$2:$AO$200,$G41)&gt;0,
    COUNTIFS($AP$2:$AP$200,$G41)&gt;0,
    COUNTIFS($AQ$2:$AQ$200,$G41)&gt;0,
    COUNTIFS($AR$2:$AR$200,$G41)&gt;0,
    COUNTIFS($AS$2:$AS$200,$G41)&gt;0,
    COUNTIFS($AT$2:$AT$200,$G41)&gt;0,
    COUNTIFS($AU$2:$AU$200,$G41)&gt;0,
    COUNTIFS($AV$2:$AV$200,$G41)&gt;0,
    COUNTIFS($AW$2:$AW$200,$G41)&gt;0,
    COUNTIFS($AX$2:$AX$200,$G41)&gt;0
   ),
  0)
 ),
"")</f>
        <v>Kumena</v>
      </c>
      <c r="D41" s="3" t="str" cm="1">
        <f t="array" aca="1" ref="D41" ca="1">IFERROR(
 INDEX(
  _xlfn._xlws.FILTER($U$1:$AX$1,
   TRANSPOSE(
    CHOOSE({1;2;3;4;5;6;7;8;9;10;11;12;13;14;15;16;17;18;19;20;21;22;23;24;25;26;27;28;29;30},
     COUNTIFS($U$2:$U$200,$G41)&gt;0,
     COUNTIFS($V$2:$V$200,$G41)&gt;0,
     COUNTIFS($W$2:$W$200,$G41)&gt;0,
     COUNTIFS($X$2:$X$200,$G41)&gt;0,
     COUNTIFS($Y$2:$Y$200,$G41)&gt;0,
     COUNTIFS($Z$2:$Z$200,$G41)&gt;0,
     COUNTIFS($AA$2:$AA$200,$G41)&gt;0,
     COUNTIFS($AB$2:$AB$200,$G41)&gt;0,
     COUNTIFS($AC$2:$AC$200,$G41)&gt;0,
     COUNTIFS($AD$2:$AD$200,$G41)&gt;0,
     COUNTIFS($AE$2:$AE$200,$G41)&gt;0,
     COUNTIFS($AF$2:$AF$200,$G41)&gt;0,
     COUNTIFS($AG$2:$AG$200,$G41)&gt;0,
     COUNTIFS($AH$2:$AH$200,$G41)&gt;0,
     COUNTIFS($AI$2:$AI$200,$G41)&gt;0,
     COUNTIFS($AJ$2:$AJ$200,$G41)&gt;0,
     COUNTIFS($AK$2:$AK$200,$G41)&gt;0,
     COUNTIFS($AL$2:$AL$200,$G41)&gt;0,
     COUNTIFS($AM$2:$AM$200,$G41)&gt;0,
     COUNTIFS($AN$2:$AN$200,$G41)&gt;0,
     COUNTIFS($AO$2:$AO$200,$G41)&gt;0,
     COUNTIFS($AP$2:$AP$200,$G41)&gt;0,
     COUNTIFS($AQ$2:$AQ$200,$G41)&gt;0,
     COUNTIFS($AR$2:$AR$200,$G41)&gt;0,
     COUNTIFS($AS$2:$AS$200,$G41)&gt;0,
     COUNTIFS($AT$2:$AT$200,$G41)&gt;0,
     COUNTIFS($AU$2:$AU$200,$G41)&gt;0,
     COUNTIFS($AV$2:$AV$200,$G41)&gt;0,
     COUNTIFS($AW$2:$AW$200,$G41)&gt;0,
     COUNTIFS($AX$2:$AX$200,$G41)&gt;0
   )),
  ),
  2
 ),
"")</f>
        <v>Modular</v>
      </c>
      <c r="E41" s="3" t="str" cm="1">
        <f t="array" aca="1" ref="E41" ca="1">IFERROR(
 INDEX(
  _xlfn._xlws.FILTER($U$1:$AX$1,
   TRANSPOSE(
    CHOOSE({1;2;3;4;5;6;7;8;9;10;11;12;13;14;15;16;17;18;19;20;21;22;23;24;25;26;27;28;29;30},
     COUNTIFS($U$2:$U$200,$G41)&gt;0,
     COUNTIFS($V$2:$V$200,$G41)&gt;0,
     COUNTIFS($W$2:$W$200,$G41)&gt;0,
     COUNTIFS($X$2:$X$200,$G41)&gt;0,
     COUNTIFS($Y$2:$Y$200,$G41)&gt;0,
     COUNTIFS($Z$2:$Z$200,$G41)&gt;0,
     COUNTIFS($AA$2:$AA$200,$G41)&gt;0,
     COUNTIFS($AB$2:$AB$200,$G41)&gt;0,
     COUNTIFS($AC$2:$AC$200,$G41)&gt;0,
     COUNTIFS($AD$2:$AD$200,$G41)&gt;0,
     COUNTIFS($AE$2:$AE$200,$G41)&gt;0,
     COUNTIFS($AF$2:$AF$200,$G41)&gt;0,
     COUNTIFS($AG$2:$AG$200,$G41)&gt;0,
     COUNTIFS($AH$2:$AH$200,$G41)&gt;0,
     COUNTIFS($AI$2:$AI$200,$G41)&gt;0,
     COUNTIFS($AJ$2:$AJ$200,$G41)&gt;0,
     COUNTIFS($AK$2:$AK$200,$G41)&gt;0,
     COUNTIFS($AL$2:$AL$200,$G41)&gt;0,
     COUNTIFS($AM$2:$AM$200,$G41)&gt;0,
     COUNTIFS($AN$2:$AN$200,$G41)&gt;0,
     COUNTIFS($AO$2:$AO$200,$G41)&gt;0,
     COUNTIFS($AP$2:$AP$200,$G41)&gt;0,
     COUNTIFS($AQ$2:$AQ$200,$G41)&gt;0,
     COUNTIFS($AR$2:$AR$200,$G41)&gt;0,
     COUNTIFS($AS$2:$AS$200,$G41)&gt;0,
     COUNTIFS($AT$2:$AT$200,$G41)&gt;0,
     COUNTIFS($AU$2:$AU$200,$G41)&gt;0,
     COUNTIFS($AV$2:$AV$200,$G41)&gt;0,
     COUNTIFS($AW$2:$AW$200,$G41)&gt;0,
     COUNTIFS($AX$2:$AX$200,$G41)&gt;0
   )),
  ),
  3
 ),
"")</f>
        <v/>
      </c>
      <c r="F41" s="3" t="str" cm="1">
        <f t="array" aca="1" ref="F41" ca="1">IFERROR(
 INDEX(
  _xlfn._xlws.FILTER($U$1:$AX$1,
   TRANSPOSE(
    CHOOSE({1;2;3;4;5;6;7;8;9;10;11;12;13;14;15;16;17;18;19;20;21;22;23;24;25;26;27;28;29;30},
     COUNTIFS($U$2:$U$200,$G41)&gt;0,
     COUNTIFS($V$2:$V$200,$G41)&gt;0,
     COUNTIFS($W$2:$W$200,$G41)&gt;0,
     COUNTIFS($X$2:$X$200,$G41)&gt;0,
     COUNTIFS($Y$2:$Y$200,$G41)&gt;0,
     COUNTIFS($Z$2:$Z$200,$G41)&gt;0,
     COUNTIFS($AA$2:$AA$200,$G41)&gt;0,
     COUNTIFS($AB$2:$AB$200,$G41)&gt;0,
     COUNTIFS($AC$2:$AC$200,$G41)&gt;0,
     COUNTIFS($AD$2:$AD$200,$G41)&gt;0,
     COUNTIFS($AE$2:$AE$200,$G41)&gt;0,
     COUNTIFS($AF$2:$AF$200,$G41)&gt;0,
     COUNTIFS($AG$2:$AG$200,$G41)&gt;0,
     COUNTIFS($AH$2:$AH$200,$G41)&gt;0,
     COUNTIFS($AI$2:$AI$200,$G41)&gt;0,
     COUNTIFS($AJ$2:$AJ$200,$G41)&gt;0,
     COUNTIFS($AK$2:$AK$200,$G41)&gt;0,
     COUNTIFS($AL$2:$AL$200,$G41)&gt;0,
     COUNTIFS($AM$2:$AM$200,$G41)&gt;0,
     COUNTIFS($AN$2:$AN$200,$G41)&gt;0,
     COUNTIFS($AO$2:$AO$200,$G41)&gt;0,
     COUNTIFS($AP$2:$AP$200,$G41)&gt;0,
     COUNTIFS($AQ$2:$AQ$200,$G41)&gt;0,
     COUNTIFS($AR$2:$AR$200,$G41)&gt;0,
     COUNTIFS($AS$2:$AS$200,$G41)&gt;0,
     COUNTIFS($AT$2:$AT$200,$G41)&gt;0,
     COUNTIFS($AU$2:$AU$200,$G41)&gt;0,
     COUNTIFS($AV$2:$AV$200,$G41)&gt;0,
     COUNTIFS($AW$2:$AW$200,$G41)&gt;0,
     COUNTIFS($AX$2:$AX$200,$G41)&gt;0
   )),
  ),
  4
 ),
"")</f>
        <v/>
      </c>
      <c r="G41" t="str">
        <f ca="1"/>
        <v>Beast Within</v>
      </c>
      <c r="R41" s="3" t="s">
        <v>2183</v>
      </c>
      <c r="X41" t="str">
        <v>Unbreakable Formation</v>
      </c>
      <c r="AX41" t="str">
        <v>Hanza, Guardian of Arashin</v>
      </c>
      <c r="BG41" t="str">
        <f ca="1"/>
        <v>Singer of Swift Rivers</v>
      </c>
      <c r="BH41" t="str">
        <f ca="1"/>
        <v>Marcha dos Canonizados</v>
      </c>
      <c r="BI41" t="str">
        <f ca="1"/>
        <v>Forest</v>
      </c>
      <c r="BK41" t="str">
        <f ca="1"/>
        <v>Trioma de Raugrin</v>
      </c>
      <c r="BM41" t="str">
        <f ca="1"/>
        <v>Red XIII, Proud Warrior</v>
      </c>
      <c r="BN41" t="str">
        <f ca="1"/>
        <v>Kodama's Reach</v>
      </c>
      <c r="BO41" t="str">
        <f ca="1"/>
        <v>Conclave Mentor</v>
      </c>
      <c r="BQ41" t="str">
        <f ca="1"/>
        <v>Mistrise Village</v>
      </c>
      <c r="BR41" t="str">
        <f ca="1"/>
        <v>Firion, Wild Rose Warrior</v>
      </c>
      <c r="BT41" t="str">
        <f ca="1"/>
        <v>Daretti, Ingenious Iconoclast</v>
      </c>
    </row>
    <row r="42" spans="1:72" x14ac:dyDescent="0.25">
      <c r="A42" s="3" t="str">
        <f t="shared" ca="1" si="0"/>
        <v>2</v>
      </c>
      <c r="B42" s="3">
        <f t="shared" ca="1" si="1"/>
        <v>1</v>
      </c>
      <c r="C42" s="3" t="str">
        <f ca="1">IFERROR(
 INDEX($U$1:$AX$1,
  MATCH(TRUE,
   CHOOSE({1;2;3;4;5;6;7;8;9;10;11;12;13;14;15;16;17;18;19;20;21;22;23;24;25;26;27;28;29;30;31;32},
    COUNTIFS($U$2:$U$200,$G42)&gt;0,
    COUNTIFS($V$2:$V$200,$G42)&gt;0,
    COUNTIFS($W$2:$W$200,$G42)&gt;0,
    COUNTIFS($X$2:$X$200,$G42)&gt;0,
    COUNTIFS($Y$2:$Y$200,$G42)&gt;0,
    COUNTIFS($Z$2:$Z$200,$G42)&gt;0,
    COUNTIFS($AA$2:$AA$200,$G42)&gt;0,
    COUNTIFS($AB$2:$AB$200,$G42)&gt;0,
    COUNTIFS($AC$2:$AC$200,$G42)&gt;0,
    COUNTIFS($AD$2:$AD$200,$G42)&gt;0,
    COUNTIFS($AE$2:$AE$200,$G42)&gt;0,
    COUNTIFS($AF$2:$AF$200,$G42)&gt;0,
    COUNTIFS($AG$2:$AG$200,$G42)&gt;0,
    COUNTIFS($AH$2:$AH$200,$G42)&gt;0,
    COUNTIFS($AI$2:$AI$200,$G42)&gt;0,
    COUNTIFS($AJ$2:$AJ$200,$G42)&gt;0,
    COUNTIFS($AK$2:$AK$200,$G42)&gt;0,
    COUNTIFS($AL$2:$AL$200,$G42)&gt;0,
    COUNTIFS($AM$2:$AM$200,$G42)&gt;0,
    COUNTIFS($AN$2:$AN$200,$G42)&gt;0,
    COUNTIFS($AO$2:$AO$200,$G42)&gt;0,
    COUNTIFS($AP$2:$AP$200,$G42)&gt;0,
    COUNTIFS($AQ$2:$AQ$200,$G42)&gt;0,
    COUNTIFS($AR$2:$AR$200,$G42)&gt;0,
    COUNTIFS($AS$2:$AS$200,$G42)&gt;0,
    COUNTIFS($AT$2:$AT$200,$G42)&gt;0,
    COUNTIFS($AU$2:$AU$200,$G42)&gt;0,
    COUNTIFS($AV$2:$AV$200,$G42)&gt;0,
    COUNTIFS($AW$2:$AW$200,$G42)&gt;0,
    COUNTIFS($AX$2:$AX$200,$G42)&gt;0
   ),
  0)
 ),
"")</f>
        <v>Piratas</v>
      </c>
      <c r="D42" s="3" t="str" cm="1">
        <f t="array" aca="1" ref="D42" ca="1">IFERROR(
 INDEX(
  _xlfn._xlws.FILTER($U$1:$AX$1,
   TRANSPOSE(
    CHOOSE({1;2;3;4;5;6;7;8;9;10;11;12;13;14;15;16;17;18;19;20;21;22;23;24;25;26;27;28;29;30},
     COUNTIFS($U$2:$U$200,$G42)&gt;0,
     COUNTIFS($V$2:$V$200,$G42)&gt;0,
     COUNTIFS($W$2:$W$200,$G42)&gt;0,
     COUNTIFS($X$2:$X$200,$G42)&gt;0,
     COUNTIFS($Y$2:$Y$200,$G42)&gt;0,
     COUNTIFS($Z$2:$Z$200,$G42)&gt;0,
     COUNTIFS($AA$2:$AA$200,$G42)&gt;0,
     COUNTIFS($AB$2:$AB$200,$G42)&gt;0,
     COUNTIFS($AC$2:$AC$200,$G42)&gt;0,
     COUNTIFS($AD$2:$AD$200,$G42)&gt;0,
     COUNTIFS($AE$2:$AE$200,$G42)&gt;0,
     COUNTIFS($AF$2:$AF$200,$G42)&gt;0,
     COUNTIFS($AG$2:$AG$200,$G42)&gt;0,
     COUNTIFS($AH$2:$AH$200,$G42)&gt;0,
     COUNTIFS($AI$2:$AI$200,$G42)&gt;0,
     COUNTIFS($AJ$2:$AJ$200,$G42)&gt;0,
     COUNTIFS($AK$2:$AK$200,$G42)&gt;0,
     COUNTIFS($AL$2:$AL$200,$G42)&gt;0,
     COUNTIFS($AM$2:$AM$200,$G42)&gt;0,
     COUNTIFS($AN$2:$AN$200,$G42)&gt;0,
     COUNTIFS($AO$2:$AO$200,$G42)&gt;0,
     COUNTIFS($AP$2:$AP$200,$G42)&gt;0,
     COUNTIFS($AQ$2:$AQ$200,$G42)&gt;0,
     COUNTIFS($AR$2:$AR$200,$G42)&gt;0,
     COUNTIFS($AS$2:$AS$200,$G42)&gt;0,
     COUNTIFS($AT$2:$AT$200,$G42)&gt;0,
     COUNTIFS($AU$2:$AU$200,$G42)&gt;0,
     COUNTIFS($AV$2:$AV$200,$G42)&gt;0,
     COUNTIFS($AW$2:$AW$200,$G42)&gt;0,
     COUNTIFS($AX$2:$AX$200,$G42)&gt;0
   )),
  ),
  2
 ),
"")</f>
        <v/>
      </c>
      <c r="E42" s="3" t="str" cm="1">
        <f t="array" aca="1" ref="E42" ca="1">IFERROR(
 INDEX(
  _xlfn._xlws.FILTER($U$1:$AX$1,
   TRANSPOSE(
    CHOOSE({1;2;3;4;5;6;7;8;9;10;11;12;13;14;15;16;17;18;19;20;21;22;23;24;25;26;27;28;29;30},
     COUNTIFS($U$2:$U$200,$G42)&gt;0,
     COUNTIFS($V$2:$V$200,$G42)&gt;0,
     COUNTIFS($W$2:$W$200,$G42)&gt;0,
     COUNTIFS($X$2:$X$200,$G42)&gt;0,
     COUNTIFS($Y$2:$Y$200,$G42)&gt;0,
     COUNTIFS($Z$2:$Z$200,$G42)&gt;0,
     COUNTIFS($AA$2:$AA$200,$G42)&gt;0,
     COUNTIFS($AB$2:$AB$200,$G42)&gt;0,
     COUNTIFS($AC$2:$AC$200,$G42)&gt;0,
     COUNTIFS($AD$2:$AD$200,$G42)&gt;0,
     COUNTIFS($AE$2:$AE$200,$G42)&gt;0,
     COUNTIFS($AF$2:$AF$200,$G42)&gt;0,
     COUNTIFS($AG$2:$AG$200,$G42)&gt;0,
     COUNTIFS($AH$2:$AH$200,$G42)&gt;0,
     COUNTIFS($AI$2:$AI$200,$G42)&gt;0,
     COUNTIFS($AJ$2:$AJ$200,$G42)&gt;0,
     COUNTIFS($AK$2:$AK$200,$G42)&gt;0,
     COUNTIFS($AL$2:$AL$200,$G42)&gt;0,
     COUNTIFS($AM$2:$AM$200,$G42)&gt;0,
     COUNTIFS($AN$2:$AN$200,$G42)&gt;0,
     COUNTIFS($AO$2:$AO$200,$G42)&gt;0,
     COUNTIFS($AP$2:$AP$200,$G42)&gt;0,
     COUNTIFS($AQ$2:$AQ$200,$G42)&gt;0,
     COUNTIFS($AR$2:$AR$200,$G42)&gt;0,
     COUNTIFS($AS$2:$AS$200,$G42)&gt;0,
     COUNTIFS($AT$2:$AT$200,$G42)&gt;0,
     COUNTIFS($AU$2:$AU$200,$G42)&gt;0,
     COUNTIFS($AV$2:$AV$200,$G42)&gt;0,
     COUNTIFS($AW$2:$AW$200,$G42)&gt;0,
     COUNTIFS($AX$2:$AX$200,$G42)&gt;0
   )),
  ),
  3
 ),
"")</f>
        <v/>
      </c>
      <c r="F42" s="3" t="str" cm="1">
        <f t="array" aca="1" ref="F42" ca="1">IFERROR(
 INDEX(
  _xlfn._xlws.FILTER($U$1:$AX$1,
   TRANSPOSE(
    CHOOSE({1;2;3;4;5;6;7;8;9;10;11;12;13;14;15;16;17;18;19;20;21;22;23;24;25;26;27;28;29;30},
     COUNTIFS($U$2:$U$200,$G42)&gt;0,
     COUNTIFS($V$2:$V$200,$G42)&gt;0,
     COUNTIFS($W$2:$W$200,$G42)&gt;0,
     COUNTIFS($X$2:$X$200,$G42)&gt;0,
     COUNTIFS($Y$2:$Y$200,$G42)&gt;0,
     COUNTIFS($Z$2:$Z$200,$G42)&gt;0,
     COUNTIFS($AA$2:$AA$200,$G42)&gt;0,
     COUNTIFS($AB$2:$AB$200,$G42)&gt;0,
     COUNTIFS($AC$2:$AC$200,$G42)&gt;0,
     COUNTIFS($AD$2:$AD$200,$G42)&gt;0,
     COUNTIFS($AE$2:$AE$200,$G42)&gt;0,
     COUNTIFS($AF$2:$AF$200,$G42)&gt;0,
     COUNTIFS($AG$2:$AG$200,$G42)&gt;0,
     COUNTIFS($AH$2:$AH$200,$G42)&gt;0,
     COUNTIFS($AI$2:$AI$200,$G42)&gt;0,
     COUNTIFS($AJ$2:$AJ$200,$G42)&gt;0,
     COUNTIFS($AK$2:$AK$200,$G42)&gt;0,
     COUNTIFS($AL$2:$AL$200,$G42)&gt;0,
     COUNTIFS($AM$2:$AM$200,$G42)&gt;0,
     COUNTIFS($AN$2:$AN$200,$G42)&gt;0,
     COUNTIFS($AO$2:$AO$200,$G42)&gt;0,
     COUNTIFS($AP$2:$AP$200,$G42)&gt;0,
     COUNTIFS($AQ$2:$AQ$200,$G42)&gt;0,
     COUNTIFS($AR$2:$AR$200,$G42)&gt;0,
     COUNTIFS($AS$2:$AS$200,$G42)&gt;0,
     COUNTIFS($AT$2:$AT$200,$G42)&gt;0,
     COUNTIFS($AU$2:$AU$200,$G42)&gt;0,
     COUNTIFS($AV$2:$AV$200,$G42)&gt;0,
     COUNTIFS($AW$2:$AW$200,$G42)&gt;0,
     COUNTIFS($AX$2:$AX$200,$G42)&gt;0
   )),
  ),
  4
 ),
"")</f>
        <v/>
      </c>
      <c r="G42" t="str">
        <f ca="1"/>
        <v>Bident of Thassa</v>
      </c>
      <c r="R42" s="3" t="s">
        <v>2175</v>
      </c>
      <c r="X42" t="str">
        <v>Warden of the Grove</v>
      </c>
      <c r="AX42" t="str">
        <v>Haru, Hidden Talent</v>
      </c>
      <c r="BG42" t="str">
        <f ca="1"/>
        <v>Slash the Ranks</v>
      </c>
      <c r="BH42" t="str">
        <f ca="1"/>
        <v>Mistrise Village</v>
      </c>
      <c r="BI42" t="str">
        <f ca="1"/>
        <v>Forest</v>
      </c>
      <c r="BK42" t="str">
        <f ca="1"/>
        <v>Trioma de Zagoth</v>
      </c>
      <c r="BM42" t="str">
        <f ca="1"/>
        <v>Reflecting Pool</v>
      </c>
      <c r="BN42" t="str">
        <f ca="1"/>
        <v>Life of the Party</v>
      </c>
      <c r="BO42" t="str">
        <f ca="1"/>
        <v>Darksteel Citadel</v>
      </c>
      <c r="BQ42" t="str">
        <f ca="1"/>
        <v>Morphic Pool</v>
      </c>
      <c r="BR42" t="str">
        <f ca="1"/>
        <v>Frenzied Gorespawn</v>
      </c>
      <c r="BT42" t="str">
        <f ca="1"/>
        <v>Deeproot Historian</v>
      </c>
    </row>
    <row r="43" spans="1:72" x14ac:dyDescent="0.25">
      <c r="A43" s="3" t="str">
        <f t="shared" ca="1" si="0"/>
        <v>3</v>
      </c>
      <c r="B43" s="3">
        <f t="shared" ca="1" si="1"/>
        <v>1</v>
      </c>
      <c r="C43" s="3" t="str">
        <f ca="1">IFERROR(
 INDEX($U$1:$AX$1,
  MATCH(TRUE,
   CHOOSE({1;2;3;4;5;6;7;8;9;10;11;12;13;14;15;16;17;18;19;20;21;22;23;24;25;26;27;28;29;30;31;32},
    COUNTIFS($U$2:$U$200,$G43)&gt;0,
    COUNTIFS($V$2:$V$200,$G43)&gt;0,
    COUNTIFS($W$2:$W$200,$G43)&gt;0,
    COUNTIFS($X$2:$X$200,$G43)&gt;0,
    COUNTIFS($Y$2:$Y$200,$G43)&gt;0,
    COUNTIFS($Z$2:$Z$200,$G43)&gt;0,
    COUNTIFS($AA$2:$AA$200,$G43)&gt;0,
    COUNTIFS($AB$2:$AB$200,$G43)&gt;0,
    COUNTIFS($AC$2:$AC$200,$G43)&gt;0,
    COUNTIFS($AD$2:$AD$200,$G43)&gt;0,
    COUNTIFS($AE$2:$AE$200,$G43)&gt;0,
    COUNTIFS($AF$2:$AF$200,$G43)&gt;0,
    COUNTIFS($AG$2:$AG$200,$G43)&gt;0,
    COUNTIFS($AH$2:$AH$200,$G43)&gt;0,
    COUNTIFS($AI$2:$AI$200,$G43)&gt;0,
    COUNTIFS($AJ$2:$AJ$200,$G43)&gt;0,
    COUNTIFS($AK$2:$AK$200,$G43)&gt;0,
    COUNTIFS($AL$2:$AL$200,$G43)&gt;0,
    COUNTIFS($AM$2:$AM$200,$G43)&gt;0,
    COUNTIFS($AN$2:$AN$200,$G43)&gt;0,
    COUNTIFS($AO$2:$AO$200,$G43)&gt;0,
    COUNTIFS($AP$2:$AP$200,$G43)&gt;0,
    COUNTIFS($AQ$2:$AQ$200,$G43)&gt;0,
    COUNTIFS($AR$2:$AR$200,$G43)&gt;0,
    COUNTIFS($AS$2:$AS$200,$G43)&gt;0,
    COUNTIFS($AT$2:$AT$200,$G43)&gt;0,
    COUNTIFS($AU$2:$AU$200,$G43)&gt;0,
    COUNTIFS($AV$2:$AV$200,$G43)&gt;0,
    COUNTIFS($AW$2:$AW$200,$G43)&gt;0,
    COUNTIFS($AX$2:$AX$200,$G43)&gt;0
   ),
  0)
 ),
"")</f>
        <v>Zimone</v>
      </c>
      <c r="D43" s="3" t="str" cm="1">
        <f t="array" aca="1" ref="D43" ca="1">IFERROR(
 INDEX(
  _xlfn._xlws.FILTER($U$1:$AX$1,
   TRANSPOSE(
    CHOOSE({1;2;3;4;5;6;7;8;9;10;11;12;13;14;15;16;17;18;19;20;21;22;23;24;25;26;27;28;29;30},
     COUNTIFS($U$2:$U$200,$G43)&gt;0,
     COUNTIFS($V$2:$V$200,$G43)&gt;0,
     COUNTIFS($W$2:$W$200,$G43)&gt;0,
     COUNTIFS($X$2:$X$200,$G43)&gt;0,
     COUNTIFS($Y$2:$Y$200,$G43)&gt;0,
     COUNTIFS($Z$2:$Z$200,$G43)&gt;0,
     COUNTIFS($AA$2:$AA$200,$G43)&gt;0,
     COUNTIFS($AB$2:$AB$200,$G43)&gt;0,
     COUNTIFS($AC$2:$AC$200,$G43)&gt;0,
     COUNTIFS($AD$2:$AD$200,$G43)&gt;0,
     COUNTIFS($AE$2:$AE$200,$G43)&gt;0,
     COUNTIFS($AF$2:$AF$200,$G43)&gt;0,
     COUNTIFS($AG$2:$AG$200,$G43)&gt;0,
     COUNTIFS($AH$2:$AH$200,$G43)&gt;0,
     COUNTIFS($AI$2:$AI$200,$G43)&gt;0,
     COUNTIFS($AJ$2:$AJ$200,$G43)&gt;0,
     COUNTIFS($AK$2:$AK$200,$G43)&gt;0,
     COUNTIFS($AL$2:$AL$200,$G43)&gt;0,
     COUNTIFS($AM$2:$AM$200,$G43)&gt;0,
     COUNTIFS($AN$2:$AN$200,$G43)&gt;0,
     COUNTIFS($AO$2:$AO$200,$G43)&gt;0,
     COUNTIFS($AP$2:$AP$200,$G43)&gt;0,
     COUNTIFS($AQ$2:$AQ$200,$G43)&gt;0,
     COUNTIFS($AR$2:$AR$200,$G43)&gt;0,
     COUNTIFS($AS$2:$AS$200,$G43)&gt;0,
     COUNTIFS($AT$2:$AT$200,$G43)&gt;0,
     COUNTIFS($AU$2:$AU$200,$G43)&gt;0,
     COUNTIFS($AV$2:$AV$200,$G43)&gt;0,
     COUNTIFS($AW$2:$AW$200,$G43)&gt;0,
     COUNTIFS($AX$2:$AX$200,$G43)&gt;0
   )),
  ),
  2
 ),
"")</f>
        <v/>
      </c>
      <c r="E43" s="3" t="str" cm="1">
        <f t="array" aca="1" ref="E43" ca="1">IFERROR(
 INDEX(
  _xlfn._xlws.FILTER($U$1:$AX$1,
   TRANSPOSE(
    CHOOSE({1;2;3;4;5;6;7;8;9;10;11;12;13;14;15;16;17;18;19;20;21;22;23;24;25;26;27;28;29;30},
     COUNTIFS($U$2:$U$200,$G43)&gt;0,
     COUNTIFS($V$2:$V$200,$G43)&gt;0,
     COUNTIFS($W$2:$W$200,$G43)&gt;0,
     COUNTIFS($X$2:$X$200,$G43)&gt;0,
     COUNTIFS($Y$2:$Y$200,$G43)&gt;0,
     COUNTIFS($Z$2:$Z$200,$G43)&gt;0,
     COUNTIFS($AA$2:$AA$200,$G43)&gt;0,
     COUNTIFS($AB$2:$AB$200,$G43)&gt;0,
     COUNTIFS($AC$2:$AC$200,$G43)&gt;0,
     COUNTIFS($AD$2:$AD$200,$G43)&gt;0,
     COUNTIFS($AE$2:$AE$200,$G43)&gt;0,
     COUNTIFS($AF$2:$AF$200,$G43)&gt;0,
     COUNTIFS($AG$2:$AG$200,$G43)&gt;0,
     COUNTIFS($AH$2:$AH$200,$G43)&gt;0,
     COUNTIFS($AI$2:$AI$200,$G43)&gt;0,
     COUNTIFS($AJ$2:$AJ$200,$G43)&gt;0,
     COUNTIFS($AK$2:$AK$200,$G43)&gt;0,
     COUNTIFS($AL$2:$AL$200,$G43)&gt;0,
     COUNTIFS($AM$2:$AM$200,$G43)&gt;0,
     COUNTIFS($AN$2:$AN$200,$G43)&gt;0,
     COUNTIFS($AO$2:$AO$200,$G43)&gt;0,
     COUNTIFS($AP$2:$AP$200,$G43)&gt;0,
     COUNTIFS($AQ$2:$AQ$200,$G43)&gt;0,
     COUNTIFS($AR$2:$AR$200,$G43)&gt;0,
     COUNTIFS($AS$2:$AS$200,$G43)&gt;0,
     COUNTIFS($AT$2:$AT$200,$G43)&gt;0,
     COUNTIFS($AU$2:$AU$200,$G43)&gt;0,
     COUNTIFS($AV$2:$AV$200,$G43)&gt;0,
     COUNTIFS($AW$2:$AW$200,$G43)&gt;0,
     COUNTIFS($AX$2:$AX$200,$G43)&gt;0
   )),
  ),
  3
 ),
"")</f>
        <v/>
      </c>
      <c r="F43" s="3" t="str" cm="1">
        <f t="array" aca="1" ref="F43" ca="1">IFERROR(
 INDEX(
  _xlfn._xlws.FILTER($U$1:$AX$1,
   TRANSPOSE(
    CHOOSE({1;2;3;4;5;6;7;8;9;10;11;12;13;14;15;16;17;18;19;20;21;22;23;24;25;26;27;28;29;30},
     COUNTIFS($U$2:$U$200,$G43)&gt;0,
     COUNTIFS($V$2:$V$200,$G43)&gt;0,
     COUNTIFS($W$2:$W$200,$G43)&gt;0,
     COUNTIFS($X$2:$X$200,$G43)&gt;0,
     COUNTIFS($Y$2:$Y$200,$G43)&gt;0,
     COUNTIFS($Z$2:$Z$200,$G43)&gt;0,
     COUNTIFS($AA$2:$AA$200,$G43)&gt;0,
     COUNTIFS($AB$2:$AB$200,$G43)&gt;0,
     COUNTIFS($AC$2:$AC$200,$G43)&gt;0,
     COUNTIFS($AD$2:$AD$200,$G43)&gt;0,
     COUNTIFS($AE$2:$AE$200,$G43)&gt;0,
     COUNTIFS($AF$2:$AF$200,$G43)&gt;0,
     COUNTIFS($AG$2:$AG$200,$G43)&gt;0,
     COUNTIFS($AH$2:$AH$200,$G43)&gt;0,
     COUNTIFS($AI$2:$AI$200,$G43)&gt;0,
     COUNTIFS($AJ$2:$AJ$200,$G43)&gt;0,
     COUNTIFS($AK$2:$AK$200,$G43)&gt;0,
     COUNTIFS($AL$2:$AL$200,$G43)&gt;0,
     COUNTIFS($AM$2:$AM$200,$G43)&gt;0,
     COUNTIFS($AN$2:$AN$200,$G43)&gt;0,
     COUNTIFS($AO$2:$AO$200,$G43)&gt;0,
     COUNTIFS($AP$2:$AP$200,$G43)&gt;0,
     COUNTIFS($AQ$2:$AQ$200,$G43)&gt;0,
     COUNTIFS($AR$2:$AR$200,$G43)&gt;0,
     COUNTIFS($AS$2:$AS$200,$G43)&gt;0,
     COUNTIFS($AT$2:$AT$200,$G43)&gt;0,
     COUNTIFS($AU$2:$AU$200,$G43)&gt;0,
     COUNTIFS($AV$2:$AV$200,$G43)&gt;0,
     COUNTIFS($AW$2:$AW$200,$G43)&gt;0,
     COUNTIFS($AX$2:$AX$200,$G43)&gt;0
   )),
  ),
  4
 ),
"")</f>
        <v/>
      </c>
      <c r="G43" t="str">
        <f ca="1"/>
        <v>Bloodstained Mire</v>
      </c>
      <c r="R43" s="3" t="s">
        <v>2176</v>
      </c>
      <c r="X43" t="str">
        <v>Zack Fair</v>
      </c>
      <c r="AX43" t="str">
        <v>Haywire Mite</v>
      </c>
      <c r="BG43" t="str">
        <f ca="1"/>
        <v>Slayers' Stronghold</v>
      </c>
      <c r="BH43" t="str">
        <f ca="1"/>
        <v>Mossfire Valley</v>
      </c>
      <c r="BI43" t="str">
        <f ca="1"/>
        <v>Forest</v>
      </c>
      <c r="BK43" t="str">
        <f ca="1"/>
        <v>Ulamog, o Profanador</v>
      </c>
      <c r="BM43" t="str">
        <f ca="1"/>
        <v>Reliquary Tower</v>
      </c>
      <c r="BN43" t="str">
        <f ca="1"/>
        <v>Lightning Greaves</v>
      </c>
      <c r="BO43" t="str">
        <f ca="1"/>
        <v>Deadeye Tracker</v>
      </c>
      <c r="BQ43" t="str">
        <f ca="1"/>
        <v>Nissa, Resurgent Animist</v>
      </c>
      <c r="BR43" t="str">
        <f ca="1"/>
        <v>Freyalise, Llanowar's Fury</v>
      </c>
      <c r="BT43" t="str">
        <f ca="1"/>
        <v>Delighted Halfling</v>
      </c>
    </row>
    <row r="44" spans="1:72" x14ac:dyDescent="0.25">
      <c r="A44" s="3" t="str">
        <f t="shared" ca="1" si="0"/>
        <v>2</v>
      </c>
      <c r="B44" s="3">
        <f t="shared" ca="1" si="1"/>
        <v>4</v>
      </c>
      <c r="C44" s="3" t="str">
        <f ca="1">IFERROR(
 INDEX($U$1:$AX$1,
  MATCH(TRUE,
   CHOOSE({1;2;3;4;5;6;7;8;9;10;11;12;13;14;15;16;17;18;19;20;21;22;23;24;25;26;27;28;29;30;31;32},
    COUNTIFS($U$2:$U$200,$G44)&gt;0,
    COUNTIFS($V$2:$V$200,$G44)&gt;0,
    COUNTIFS($W$2:$W$200,$G44)&gt;0,
    COUNTIFS($X$2:$X$200,$G44)&gt;0,
    COUNTIFS($Y$2:$Y$200,$G44)&gt;0,
    COUNTIFS($Z$2:$Z$200,$G44)&gt;0,
    COUNTIFS($AA$2:$AA$200,$G44)&gt;0,
    COUNTIFS($AB$2:$AB$200,$G44)&gt;0,
    COUNTIFS($AC$2:$AC$200,$G44)&gt;0,
    COUNTIFS($AD$2:$AD$200,$G44)&gt;0,
    COUNTIFS($AE$2:$AE$200,$G44)&gt;0,
    COUNTIFS($AF$2:$AF$200,$G44)&gt;0,
    COUNTIFS($AG$2:$AG$200,$G44)&gt;0,
    COUNTIFS($AH$2:$AH$200,$G44)&gt;0,
    COUNTIFS($AI$2:$AI$200,$G44)&gt;0,
    COUNTIFS($AJ$2:$AJ$200,$G44)&gt;0,
    COUNTIFS($AK$2:$AK$200,$G44)&gt;0,
    COUNTIFS($AL$2:$AL$200,$G44)&gt;0,
    COUNTIFS($AM$2:$AM$200,$G44)&gt;0,
    COUNTIFS($AN$2:$AN$200,$G44)&gt;0,
    COUNTIFS($AO$2:$AO$200,$G44)&gt;0,
    COUNTIFS($AP$2:$AP$200,$G44)&gt;0,
    COUNTIFS($AQ$2:$AQ$200,$G44)&gt;0,
    COUNTIFS($AR$2:$AR$200,$G44)&gt;0,
    COUNTIFS($AS$2:$AS$200,$G44)&gt;0,
    COUNTIFS($AT$2:$AT$200,$G44)&gt;0,
    COUNTIFS($AU$2:$AU$200,$G44)&gt;0,
    COUNTIFS($AV$2:$AV$200,$G44)&gt;0,
    COUNTIFS($AW$2:$AW$200,$G44)&gt;0,
    COUNTIFS($AX$2:$AX$200,$G44)&gt;0
   ),
  0)
 ),
"")</f>
        <v>Piratas</v>
      </c>
      <c r="D44" s="3" t="str" cm="1">
        <f t="array" aca="1" ref="D44" ca="1">IFERROR(
 INDEX(
  _xlfn._xlws.FILTER($U$1:$AX$1,
   TRANSPOSE(
    CHOOSE({1;2;3;4;5;6;7;8;9;10;11;12;13;14;15;16;17;18;19;20;21;22;23;24;25;26;27;28;29;30},
     COUNTIFS($U$2:$U$200,$G44)&gt;0,
     COUNTIFS($V$2:$V$200,$G44)&gt;0,
     COUNTIFS($W$2:$W$200,$G44)&gt;0,
     COUNTIFS($X$2:$X$200,$G44)&gt;0,
     COUNTIFS($Y$2:$Y$200,$G44)&gt;0,
     COUNTIFS($Z$2:$Z$200,$G44)&gt;0,
     COUNTIFS($AA$2:$AA$200,$G44)&gt;0,
     COUNTIFS($AB$2:$AB$200,$G44)&gt;0,
     COUNTIFS($AC$2:$AC$200,$G44)&gt;0,
     COUNTIFS($AD$2:$AD$200,$G44)&gt;0,
     COUNTIFS($AE$2:$AE$200,$G44)&gt;0,
     COUNTIFS($AF$2:$AF$200,$G44)&gt;0,
     COUNTIFS($AG$2:$AG$200,$G44)&gt;0,
     COUNTIFS($AH$2:$AH$200,$G44)&gt;0,
     COUNTIFS($AI$2:$AI$200,$G44)&gt;0,
     COUNTIFS($AJ$2:$AJ$200,$G44)&gt;0,
     COUNTIFS($AK$2:$AK$200,$G44)&gt;0,
     COUNTIFS($AL$2:$AL$200,$G44)&gt;0,
     COUNTIFS($AM$2:$AM$200,$G44)&gt;0,
     COUNTIFS($AN$2:$AN$200,$G44)&gt;0,
     COUNTIFS($AO$2:$AO$200,$G44)&gt;0,
     COUNTIFS($AP$2:$AP$200,$G44)&gt;0,
     COUNTIFS($AQ$2:$AQ$200,$G44)&gt;0,
     COUNTIFS($AR$2:$AR$200,$G44)&gt;0,
     COUNTIFS($AS$2:$AS$200,$G44)&gt;0,
     COUNTIFS($AT$2:$AT$200,$G44)&gt;0,
     COUNTIFS($AU$2:$AU$200,$G44)&gt;0,
     COUNTIFS($AV$2:$AV$200,$G44)&gt;0,
     COUNTIFS($AW$2:$AW$200,$G44)&gt;0,
     COUNTIFS($AX$2:$AX$200,$G44)&gt;0
   )),
  ),
  2
 ),
"")</f>
        <v>Carlos</v>
      </c>
      <c r="E44" s="3" t="str" cm="1">
        <f t="array" aca="1" ref="E44" ca="1">IFERROR(
 INDEX(
  _xlfn._xlws.FILTER($U$1:$AX$1,
   TRANSPOSE(
    CHOOSE({1;2;3;4;5;6;7;8;9;10;11;12;13;14;15;16;17;18;19;20;21;22;23;24;25;26;27;28;29;30},
     COUNTIFS($U$2:$U$200,$G44)&gt;0,
     COUNTIFS($V$2:$V$200,$G44)&gt;0,
     COUNTIFS($W$2:$W$200,$G44)&gt;0,
     COUNTIFS($X$2:$X$200,$G44)&gt;0,
     COUNTIFS($Y$2:$Y$200,$G44)&gt;0,
     COUNTIFS($Z$2:$Z$200,$G44)&gt;0,
     COUNTIFS($AA$2:$AA$200,$G44)&gt;0,
     COUNTIFS($AB$2:$AB$200,$G44)&gt;0,
     COUNTIFS($AC$2:$AC$200,$G44)&gt;0,
     COUNTIFS($AD$2:$AD$200,$G44)&gt;0,
     COUNTIFS($AE$2:$AE$200,$G44)&gt;0,
     COUNTIFS($AF$2:$AF$200,$G44)&gt;0,
     COUNTIFS($AG$2:$AG$200,$G44)&gt;0,
     COUNTIFS($AH$2:$AH$200,$G44)&gt;0,
     COUNTIFS($AI$2:$AI$200,$G44)&gt;0,
     COUNTIFS($AJ$2:$AJ$200,$G44)&gt;0,
     COUNTIFS($AK$2:$AK$200,$G44)&gt;0,
     COUNTIFS($AL$2:$AL$200,$G44)&gt;0,
     COUNTIFS($AM$2:$AM$200,$G44)&gt;0,
     COUNTIFS($AN$2:$AN$200,$G44)&gt;0,
     COUNTIFS($AO$2:$AO$200,$G44)&gt;0,
     COUNTIFS($AP$2:$AP$200,$G44)&gt;0,
     COUNTIFS($AQ$2:$AQ$200,$G44)&gt;0,
     COUNTIFS($AR$2:$AR$200,$G44)&gt;0,
     COUNTIFS($AS$2:$AS$200,$G44)&gt;0,
     COUNTIFS($AT$2:$AT$200,$G44)&gt;0,
     COUNTIFS($AU$2:$AU$200,$G44)&gt;0,
     COUNTIFS($AV$2:$AV$200,$G44)&gt;0,
     COUNTIFS($AW$2:$AW$200,$G44)&gt;0,
     COUNTIFS($AX$2:$AX$200,$G44)&gt;0
   )),
  ),
  3
 ),
"")</f>
        <v>Rani</v>
      </c>
      <c r="F44" s="3" t="str" cm="1">
        <f t="array" aca="1" ref="F44" ca="1">IFERROR(
 INDEX(
  _xlfn._xlws.FILTER($U$1:$AX$1,
   TRANSPOSE(
    CHOOSE({1;2;3;4;5;6;7;8;9;10;11;12;13;14;15;16;17;18;19;20;21;22;23;24;25;26;27;28;29;30},
     COUNTIFS($U$2:$U$200,$G44)&gt;0,
     COUNTIFS($V$2:$V$200,$G44)&gt;0,
     COUNTIFS($W$2:$W$200,$G44)&gt;0,
     COUNTIFS($X$2:$X$200,$G44)&gt;0,
     COUNTIFS($Y$2:$Y$200,$G44)&gt;0,
     COUNTIFS($Z$2:$Z$200,$G44)&gt;0,
     COUNTIFS($AA$2:$AA$200,$G44)&gt;0,
     COUNTIFS($AB$2:$AB$200,$G44)&gt;0,
     COUNTIFS($AC$2:$AC$200,$G44)&gt;0,
     COUNTIFS($AD$2:$AD$200,$G44)&gt;0,
     COUNTIFS($AE$2:$AE$200,$G44)&gt;0,
     COUNTIFS($AF$2:$AF$200,$G44)&gt;0,
     COUNTIFS($AG$2:$AG$200,$G44)&gt;0,
     COUNTIFS($AH$2:$AH$200,$G44)&gt;0,
     COUNTIFS($AI$2:$AI$200,$G44)&gt;0,
     COUNTIFS($AJ$2:$AJ$200,$G44)&gt;0,
     COUNTIFS($AK$2:$AK$200,$G44)&gt;0,
     COUNTIFS($AL$2:$AL$200,$G44)&gt;0,
     COUNTIFS($AM$2:$AM$200,$G44)&gt;0,
     COUNTIFS($AN$2:$AN$200,$G44)&gt;0,
     COUNTIFS($AO$2:$AO$200,$G44)&gt;0,
     COUNTIFS($AP$2:$AP$200,$G44)&gt;0,
     COUNTIFS($AQ$2:$AQ$200,$G44)&gt;0,
     COUNTIFS($AR$2:$AR$200,$G44)&gt;0,
     COUNTIFS($AS$2:$AS$200,$G44)&gt;0,
     COUNTIFS($AT$2:$AT$200,$G44)&gt;0,
     COUNTIFS($AU$2:$AU$200,$G44)&gt;0,
     COUNTIFS($AV$2:$AV$200,$G44)&gt;0,
     COUNTIFS($AW$2:$AW$200,$G44)&gt;0,
     COUNTIFS($AX$2:$AX$200,$G44)&gt;0
   )),
  ),
  4
 ),
"")</f>
        <v>Inalla</v>
      </c>
      <c r="G44" t="str">
        <f ca="1"/>
        <v>Bojuka Bog</v>
      </c>
      <c r="R44" s="3" t="s">
        <v>2177</v>
      </c>
      <c r="AX44" t="str">
        <v>High Market</v>
      </c>
      <c r="BG44" t="str">
        <f ca="1"/>
        <v>Smuggler's Share</v>
      </c>
      <c r="BH44" t="str">
        <f ca="1"/>
        <v>Mox Tantalite</v>
      </c>
      <c r="BI44" t="str">
        <f ca="1"/>
        <v>Gavony Township</v>
      </c>
      <c r="BK44" t="str">
        <f ca="1"/>
        <v>Ulamog, the Infinite Gyre</v>
      </c>
      <c r="BM44" t="str">
        <f ca="1"/>
        <v>Saqueador Amaldiçoado</v>
      </c>
      <c r="BN44" t="str">
        <f ca="1"/>
        <v>Lolth, Rainha Aranha</v>
      </c>
      <c r="BO44" t="str">
        <f ca="1"/>
        <v>Deceptive Landscape</v>
      </c>
      <c r="BQ44" t="str">
        <f ca="1"/>
        <v>Obelisco de Obsidiana</v>
      </c>
      <c r="BR44" t="str">
        <f ca="1"/>
        <v>Full Throttle</v>
      </c>
      <c r="BT44" t="str">
        <f ca="1"/>
        <v>Diário de Tarrian</v>
      </c>
    </row>
    <row r="45" spans="1:72" x14ac:dyDescent="0.25">
      <c r="A45" s="3" t="str">
        <f t="shared" ca="1" si="0"/>
        <v>1</v>
      </c>
      <c r="B45" s="3">
        <f t="shared" ca="1" si="1"/>
        <v>1</v>
      </c>
      <c r="C45" s="3" t="str">
        <f ca="1">IFERROR(
 INDEX($U$1:$AX$1,
  MATCH(TRUE,
   CHOOSE({1;2;3;4;5;6;7;8;9;10;11;12;13;14;15;16;17;18;19;20;21;22;23;24;25;26;27;28;29;30;31;32},
    COUNTIFS($U$2:$U$200,$G45)&gt;0,
    COUNTIFS($V$2:$V$200,$G45)&gt;0,
    COUNTIFS($W$2:$W$200,$G45)&gt;0,
    COUNTIFS($X$2:$X$200,$G45)&gt;0,
    COUNTIFS($Y$2:$Y$200,$G45)&gt;0,
    COUNTIFS($Z$2:$Z$200,$G45)&gt;0,
    COUNTIFS($AA$2:$AA$200,$G45)&gt;0,
    COUNTIFS($AB$2:$AB$200,$G45)&gt;0,
    COUNTIFS($AC$2:$AC$200,$G45)&gt;0,
    COUNTIFS($AD$2:$AD$200,$G45)&gt;0,
    COUNTIFS($AE$2:$AE$200,$G45)&gt;0,
    COUNTIFS($AF$2:$AF$200,$G45)&gt;0,
    COUNTIFS($AG$2:$AG$200,$G45)&gt;0,
    COUNTIFS($AH$2:$AH$200,$G45)&gt;0,
    COUNTIFS($AI$2:$AI$200,$G45)&gt;0,
    COUNTIFS($AJ$2:$AJ$200,$G45)&gt;0,
    COUNTIFS($AK$2:$AK$200,$G45)&gt;0,
    COUNTIFS($AL$2:$AL$200,$G45)&gt;0,
    COUNTIFS($AM$2:$AM$200,$G45)&gt;0,
    COUNTIFS($AN$2:$AN$200,$G45)&gt;0,
    COUNTIFS($AO$2:$AO$200,$G45)&gt;0,
    COUNTIFS($AP$2:$AP$200,$G45)&gt;0,
    COUNTIFS($AQ$2:$AQ$200,$G45)&gt;0,
    COUNTIFS($AR$2:$AR$200,$G45)&gt;0,
    COUNTIFS($AS$2:$AS$200,$G45)&gt;0,
    COUNTIFS($AT$2:$AT$200,$G45)&gt;0,
    COUNTIFS($AU$2:$AU$200,$G45)&gt;0,
    COUNTIFS($AV$2:$AV$200,$G45)&gt;0,
    COUNTIFS($AW$2:$AW$200,$G45)&gt;0,
    COUNTIFS($AX$2:$AX$200,$G45)&gt;0
   ),
  0)
 ),
"")</f>
        <v>Baylen</v>
      </c>
      <c r="D45" s="3" t="str" cm="1">
        <f t="array" aca="1" ref="D45" ca="1">IFERROR(
 INDEX(
  _xlfn._xlws.FILTER($U$1:$AX$1,
   TRANSPOSE(
    CHOOSE({1;2;3;4;5;6;7;8;9;10;11;12;13;14;15;16;17;18;19;20;21;22;23;24;25;26;27;28;29;30},
     COUNTIFS($U$2:$U$200,$G45)&gt;0,
     COUNTIFS($V$2:$V$200,$G45)&gt;0,
     COUNTIFS($W$2:$W$200,$G45)&gt;0,
     COUNTIFS($X$2:$X$200,$G45)&gt;0,
     COUNTIFS($Y$2:$Y$200,$G45)&gt;0,
     COUNTIFS($Z$2:$Z$200,$G45)&gt;0,
     COUNTIFS($AA$2:$AA$200,$G45)&gt;0,
     COUNTIFS($AB$2:$AB$200,$G45)&gt;0,
     COUNTIFS($AC$2:$AC$200,$G45)&gt;0,
     COUNTIFS($AD$2:$AD$200,$G45)&gt;0,
     COUNTIFS($AE$2:$AE$200,$G45)&gt;0,
     COUNTIFS($AF$2:$AF$200,$G45)&gt;0,
     COUNTIFS($AG$2:$AG$200,$G45)&gt;0,
     COUNTIFS($AH$2:$AH$200,$G45)&gt;0,
     COUNTIFS($AI$2:$AI$200,$G45)&gt;0,
     COUNTIFS($AJ$2:$AJ$200,$G45)&gt;0,
     COUNTIFS($AK$2:$AK$200,$G45)&gt;0,
     COUNTIFS($AL$2:$AL$200,$G45)&gt;0,
     COUNTIFS($AM$2:$AM$200,$G45)&gt;0,
     COUNTIFS($AN$2:$AN$200,$G45)&gt;0,
     COUNTIFS($AO$2:$AO$200,$G45)&gt;0,
     COUNTIFS($AP$2:$AP$200,$G45)&gt;0,
     COUNTIFS($AQ$2:$AQ$200,$G45)&gt;0,
     COUNTIFS($AR$2:$AR$200,$G45)&gt;0,
     COUNTIFS($AS$2:$AS$200,$G45)&gt;0,
     COUNTIFS($AT$2:$AT$200,$G45)&gt;0,
     COUNTIFS($AU$2:$AU$200,$G45)&gt;0,
     COUNTIFS($AV$2:$AV$200,$G45)&gt;0,
     COUNTIFS($AW$2:$AW$200,$G45)&gt;0,
     COUNTIFS($AX$2:$AX$200,$G45)&gt;0
   )),
  ),
  2
 ),
"")</f>
        <v/>
      </c>
      <c r="E45" s="3" t="str" cm="1">
        <f t="array" aca="1" ref="E45" ca="1">IFERROR(
 INDEX(
  _xlfn._xlws.FILTER($U$1:$AX$1,
   TRANSPOSE(
    CHOOSE({1;2;3;4;5;6;7;8;9;10;11;12;13;14;15;16;17;18;19;20;21;22;23;24;25;26;27;28;29;30},
     COUNTIFS($U$2:$U$200,$G45)&gt;0,
     COUNTIFS($V$2:$V$200,$G45)&gt;0,
     COUNTIFS($W$2:$W$200,$G45)&gt;0,
     COUNTIFS($X$2:$X$200,$G45)&gt;0,
     COUNTIFS($Y$2:$Y$200,$G45)&gt;0,
     COUNTIFS($Z$2:$Z$200,$G45)&gt;0,
     COUNTIFS($AA$2:$AA$200,$G45)&gt;0,
     COUNTIFS($AB$2:$AB$200,$G45)&gt;0,
     COUNTIFS($AC$2:$AC$200,$G45)&gt;0,
     COUNTIFS($AD$2:$AD$200,$G45)&gt;0,
     COUNTIFS($AE$2:$AE$200,$G45)&gt;0,
     COUNTIFS($AF$2:$AF$200,$G45)&gt;0,
     COUNTIFS($AG$2:$AG$200,$G45)&gt;0,
     COUNTIFS($AH$2:$AH$200,$G45)&gt;0,
     COUNTIFS($AI$2:$AI$200,$G45)&gt;0,
     COUNTIFS($AJ$2:$AJ$200,$G45)&gt;0,
     COUNTIFS($AK$2:$AK$200,$G45)&gt;0,
     COUNTIFS($AL$2:$AL$200,$G45)&gt;0,
     COUNTIFS($AM$2:$AM$200,$G45)&gt;0,
     COUNTIFS($AN$2:$AN$200,$G45)&gt;0,
     COUNTIFS($AO$2:$AO$200,$G45)&gt;0,
     COUNTIFS($AP$2:$AP$200,$G45)&gt;0,
     COUNTIFS($AQ$2:$AQ$200,$G45)&gt;0,
     COUNTIFS($AR$2:$AR$200,$G45)&gt;0,
     COUNTIFS($AS$2:$AS$200,$G45)&gt;0,
     COUNTIFS($AT$2:$AT$200,$G45)&gt;0,
     COUNTIFS($AU$2:$AU$200,$G45)&gt;0,
     COUNTIFS($AV$2:$AV$200,$G45)&gt;0,
     COUNTIFS($AW$2:$AW$200,$G45)&gt;0,
     COUNTIFS($AX$2:$AX$200,$G45)&gt;0
   )),
  ),
  3
 ),
"")</f>
        <v/>
      </c>
      <c r="F45" s="3" t="str" cm="1">
        <f t="array" aca="1" ref="F45" ca="1">IFERROR(
 INDEX(
  _xlfn._xlws.FILTER($U$1:$AX$1,
   TRANSPOSE(
    CHOOSE({1;2;3;4;5;6;7;8;9;10;11;12;13;14;15;16;17;18;19;20;21;22;23;24;25;26;27;28;29;30},
     COUNTIFS($U$2:$U$200,$G45)&gt;0,
     COUNTIFS($V$2:$V$200,$G45)&gt;0,
     COUNTIFS($W$2:$W$200,$G45)&gt;0,
     COUNTIFS($X$2:$X$200,$G45)&gt;0,
     COUNTIFS($Y$2:$Y$200,$G45)&gt;0,
     COUNTIFS($Z$2:$Z$200,$G45)&gt;0,
     COUNTIFS($AA$2:$AA$200,$G45)&gt;0,
     COUNTIFS($AB$2:$AB$200,$G45)&gt;0,
     COUNTIFS($AC$2:$AC$200,$G45)&gt;0,
     COUNTIFS($AD$2:$AD$200,$G45)&gt;0,
     COUNTIFS($AE$2:$AE$200,$G45)&gt;0,
     COUNTIFS($AF$2:$AF$200,$G45)&gt;0,
     COUNTIFS($AG$2:$AG$200,$G45)&gt;0,
     COUNTIFS($AH$2:$AH$200,$G45)&gt;0,
     COUNTIFS($AI$2:$AI$200,$G45)&gt;0,
     COUNTIFS($AJ$2:$AJ$200,$G45)&gt;0,
     COUNTIFS($AK$2:$AK$200,$G45)&gt;0,
     COUNTIFS($AL$2:$AL$200,$G45)&gt;0,
     COUNTIFS($AM$2:$AM$200,$G45)&gt;0,
     COUNTIFS($AN$2:$AN$200,$G45)&gt;0,
     COUNTIFS($AO$2:$AO$200,$G45)&gt;0,
     COUNTIFS($AP$2:$AP$200,$G45)&gt;0,
     COUNTIFS($AQ$2:$AQ$200,$G45)&gt;0,
     COUNTIFS($AR$2:$AR$200,$G45)&gt;0,
     COUNTIFS($AS$2:$AS$200,$G45)&gt;0,
     COUNTIFS($AT$2:$AT$200,$G45)&gt;0,
     COUNTIFS($AU$2:$AU$200,$G45)&gt;0,
     COUNTIFS($AV$2:$AV$200,$G45)&gt;0,
     COUNTIFS($AW$2:$AW$200,$G45)&gt;0,
     COUNTIFS($AX$2:$AX$200,$G45)&gt;0
   )),
  ),
  4
 ),
"")</f>
        <v/>
      </c>
      <c r="G45" t="str">
        <f ca="1"/>
        <v>Boros Charm</v>
      </c>
      <c r="R45" s="3" t="s">
        <v>2178</v>
      </c>
      <c r="AX45" t="str">
        <v>Inkmoth Nexus</v>
      </c>
      <c r="BG45" t="str">
        <f ca="1"/>
        <v>Sokenzan, Crucible of Defiance</v>
      </c>
      <c r="BH45" t="str">
        <f ca="1"/>
        <v>Nature's Lore</v>
      </c>
      <c r="BI45" t="str">
        <f ca="1"/>
        <v>Glint-Horn Buccaneer</v>
      </c>
      <c r="BK45" t="str">
        <f ca="1"/>
        <v>Uthros, Titanic Godcore</v>
      </c>
      <c r="BM45" t="str">
        <f ca="1"/>
        <v>Saw in Half</v>
      </c>
      <c r="BN45" t="str">
        <f ca="1"/>
        <v>Lord of Atlantis</v>
      </c>
      <c r="BO45" t="str">
        <f ca="1"/>
        <v>Dever Além da Morte</v>
      </c>
      <c r="BQ45" t="str">
        <f ca="1"/>
        <v>Ojer Pakpatiq, Era Profunda</v>
      </c>
      <c r="BR45" t="str">
        <f ca="1"/>
        <v>Gallifrey Council Chamber</v>
      </c>
      <c r="BT45" t="str">
        <f ca="1"/>
        <v>Dionus, Elvish Archdruid</v>
      </c>
    </row>
    <row r="46" spans="1:72" x14ac:dyDescent="0.25">
      <c r="A46" s="3" t="str">
        <f t="shared" ca="1" si="0"/>
        <v>1</v>
      </c>
      <c r="B46" s="3">
        <f t="shared" ca="1" si="1"/>
        <v>1</v>
      </c>
      <c r="C46" s="3" t="str">
        <f ca="1">IFERROR(
 INDEX($U$1:$AX$1,
  MATCH(TRUE,
   CHOOSE({1;2;3;4;5;6;7;8;9;10;11;12;13;14;15;16;17;18;19;20;21;22;23;24;25;26;27;28;29;30;31;32},
    COUNTIFS($U$2:$U$200,$G46)&gt;0,
    COUNTIFS($V$2:$V$200,$G46)&gt;0,
    COUNTIFS($W$2:$W$200,$G46)&gt;0,
    COUNTIFS($X$2:$X$200,$G46)&gt;0,
    COUNTIFS($Y$2:$Y$200,$G46)&gt;0,
    COUNTIFS($Z$2:$Z$200,$G46)&gt;0,
    COUNTIFS($AA$2:$AA$200,$G46)&gt;0,
    COUNTIFS($AB$2:$AB$200,$G46)&gt;0,
    COUNTIFS($AC$2:$AC$200,$G46)&gt;0,
    COUNTIFS($AD$2:$AD$200,$G46)&gt;0,
    COUNTIFS($AE$2:$AE$200,$G46)&gt;0,
    COUNTIFS($AF$2:$AF$200,$G46)&gt;0,
    COUNTIFS($AG$2:$AG$200,$G46)&gt;0,
    COUNTIFS($AH$2:$AH$200,$G46)&gt;0,
    COUNTIFS($AI$2:$AI$200,$G46)&gt;0,
    COUNTIFS($AJ$2:$AJ$200,$G46)&gt;0,
    COUNTIFS($AK$2:$AK$200,$G46)&gt;0,
    COUNTIFS($AL$2:$AL$200,$G46)&gt;0,
    COUNTIFS($AM$2:$AM$200,$G46)&gt;0,
    COUNTIFS($AN$2:$AN$200,$G46)&gt;0,
    COUNTIFS($AO$2:$AO$200,$G46)&gt;0,
    COUNTIFS($AP$2:$AP$200,$G46)&gt;0,
    COUNTIFS($AQ$2:$AQ$200,$G46)&gt;0,
    COUNTIFS($AR$2:$AR$200,$G46)&gt;0,
    COUNTIFS($AS$2:$AS$200,$G46)&gt;0,
    COUNTIFS($AT$2:$AT$200,$G46)&gt;0,
    COUNTIFS($AU$2:$AU$200,$G46)&gt;0,
    COUNTIFS($AV$2:$AV$200,$G46)&gt;0,
    COUNTIFS($AW$2:$AW$200,$G46)&gt;0,
    COUNTIFS($AX$2:$AX$200,$G46)&gt;0
   ),
  0)
 ),
"")</f>
        <v>Modular</v>
      </c>
      <c r="D46" s="3" t="str" cm="1">
        <f t="array" aca="1" ref="D46" ca="1">IFERROR(
 INDEX(
  _xlfn._xlws.FILTER($U$1:$AX$1,
   TRANSPOSE(
    CHOOSE({1;2;3;4;5;6;7;8;9;10;11;12;13;14;15;16;17;18;19;20;21;22;23;24;25;26;27;28;29;30},
     COUNTIFS($U$2:$U$200,$G46)&gt;0,
     COUNTIFS($V$2:$V$200,$G46)&gt;0,
     COUNTIFS($W$2:$W$200,$G46)&gt;0,
     COUNTIFS($X$2:$X$200,$G46)&gt;0,
     COUNTIFS($Y$2:$Y$200,$G46)&gt;0,
     COUNTIFS($Z$2:$Z$200,$G46)&gt;0,
     COUNTIFS($AA$2:$AA$200,$G46)&gt;0,
     COUNTIFS($AB$2:$AB$200,$G46)&gt;0,
     COUNTIFS($AC$2:$AC$200,$G46)&gt;0,
     COUNTIFS($AD$2:$AD$200,$G46)&gt;0,
     COUNTIFS($AE$2:$AE$200,$G46)&gt;0,
     COUNTIFS($AF$2:$AF$200,$G46)&gt;0,
     COUNTIFS($AG$2:$AG$200,$G46)&gt;0,
     COUNTIFS($AH$2:$AH$200,$G46)&gt;0,
     COUNTIFS($AI$2:$AI$200,$G46)&gt;0,
     COUNTIFS($AJ$2:$AJ$200,$G46)&gt;0,
     COUNTIFS($AK$2:$AK$200,$G46)&gt;0,
     COUNTIFS($AL$2:$AL$200,$G46)&gt;0,
     COUNTIFS($AM$2:$AM$200,$G46)&gt;0,
     COUNTIFS($AN$2:$AN$200,$G46)&gt;0,
     COUNTIFS($AO$2:$AO$200,$G46)&gt;0,
     COUNTIFS($AP$2:$AP$200,$G46)&gt;0,
     COUNTIFS($AQ$2:$AQ$200,$G46)&gt;0,
     COUNTIFS($AR$2:$AR$200,$G46)&gt;0,
     COUNTIFS($AS$2:$AS$200,$G46)&gt;0,
     COUNTIFS($AT$2:$AT$200,$G46)&gt;0,
     COUNTIFS($AU$2:$AU$200,$G46)&gt;0,
     COUNTIFS($AV$2:$AV$200,$G46)&gt;0,
     COUNTIFS($AW$2:$AW$200,$G46)&gt;0,
     COUNTIFS($AX$2:$AX$200,$G46)&gt;0
   )),
  ),
  2
 ),
"")</f>
        <v/>
      </c>
      <c r="E46" s="3" t="str" cm="1">
        <f t="array" aca="1" ref="E46" ca="1">IFERROR(
 INDEX(
  _xlfn._xlws.FILTER($U$1:$AX$1,
   TRANSPOSE(
    CHOOSE({1;2;3;4;5;6;7;8;9;10;11;12;13;14;15;16;17;18;19;20;21;22;23;24;25;26;27;28;29;30},
     COUNTIFS($U$2:$U$200,$G46)&gt;0,
     COUNTIFS($V$2:$V$200,$G46)&gt;0,
     COUNTIFS($W$2:$W$200,$G46)&gt;0,
     COUNTIFS($X$2:$X$200,$G46)&gt;0,
     COUNTIFS($Y$2:$Y$200,$G46)&gt;0,
     COUNTIFS($Z$2:$Z$200,$G46)&gt;0,
     COUNTIFS($AA$2:$AA$200,$G46)&gt;0,
     COUNTIFS($AB$2:$AB$200,$G46)&gt;0,
     COUNTIFS($AC$2:$AC$200,$G46)&gt;0,
     COUNTIFS($AD$2:$AD$200,$G46)&gt;0,
     COUNTIFS($AE$2:$AE$200,$G46)&gt;0,
     COUNTIFS($AF$2:$AF$200,$G46)&gt;0,
     COUNTIFS($AG$2:$AG$200,$G46)&gt;0,
     COUNTIFS($AH$2:$AH$200,$G46)&gt;0,
     COUNTIFS($AI$2:$AI$200,$G46)&gt;0,
     COUNTIFS($AJ$2:$AJ$200,$G46)&gt;0,
     COUNTIFS($AK$2:$AK$200,$G46)&gt;0,
     COUNTIFS($AL$2:$AL$200,$G46)&gt;0,
     COUNTIFS($AM$2:$AM$200,$G46)&gt;0,
     COUNTIFS($AN$2:$AN$200,$G46)&gt;0,
     COUNTIFS($AO$2:$AO$200,$G46)&gt;0,
     COUNTIFS($AP$2:$AP$200,$G46)&gt;0,
     COUNTIFS($AQ$2:$AQ$200,$G46)&gt;0,
     COUNTIFS($AR$2:$AR$200,$G46)&gt;0,
     COUNTIFS($AS$2:$AS$200,$G46)&gt;0,
     COUNTIFS($AT$2:$AT$200,$G46)&gt;0,
     COUNTIFS($AU$2:$AU$200,$G46)&gt;0,
     COUNTIFS($AV$2:$AV$200,$G46)&gt;0,
     COUNTIFS($AW$2:$AW$200,$G46)&gt;0,
     COUNTIFS($AX$2:$AX$200,$G46)&gt;0
   )),
  ),
  3
 ),
"")</f>
        <v/>
      </c>
      <c r="F46" s="3" t="str" cm="1">
        <f t="array" aca="1" ref="F46" ca="1">IFERROR(
 INDEX(
  _xlfn._xlws.FILTER($U$1:$AX$1,
   TRANSPOSE(
    CHOOSE({1;2;3;4;5;6;7;8;9;10;11;12;13;14;15;16;17;18;19;20;21;22;23;24;25;26;27;28;29;30},
     COUNTIFS($U$2:$U$200,$G46)&gt;0,
     COUNTIFS($V$2:$V$200,$G46)&gt;0,
     COUNTIFS($W$2:$W$200,$G46)&gt;0,
     COUNTIFS($X$2:$X$200,$G46)&gt;0,
     COUNTIFS($Y$2:$Y$200,$G46)&gt;0,
     COUNTIFS($Z$2:$Z$200,$G46)&gt;0,
     COUNTIFS($AA$2:$AA$200,$G46)&gt;0,
     COUNTIFS($AB$2:$AB$200,$G46)&gt;0,
     COUNTIFS($AC$2:$AC$200,$G46)&gt;0,
     COUNTIFS($AD$2:$AD$200,$G46)&gt;0,
     COUNTIFS($AE$2:$AE$200,$G46)&gt;0,
     COUNTIFS($AF$2:$AF$200,$G46)&gt;0,
     COUNTIFS($AG$2:$AG$200,$G46)&gt;0,
     COUNTIFS($AH$2:$AH$200,$G46)&gt;0,
     COUNTIFS($AI$2:$AI$200,$G46)&gt;0,
     COUNTIFS($AJ$2:$AJ$200,$G46)&gt;0,
     COUNTIFS($AK$2:$AK$200,$G46)&gt;0,
     COUNTIFS($AL$2:$AL$200,$G46)&gt;0,
     COUNTIFS($AM$2:$AM$200,$G46)&gt;0,
     COUNTIFS($AN$2:$AN$200,$G46)&gt;0,
     COUNTIFS($AO$2:$AO$200,$G46)&gt;0,
     COUNTIFS($AP$2:$AP$200,$G46)&gt;0,
     COUNTIFS($AQ$2:$AQ$200,$G46)&gt;0,
     COUNTIFS($AR$2:$AR$200,$G46)&gt;0,
     COUNTIFS($AS$2:$AS$200,$G46)&gt;0,
     COUNTIFS($AT$2:$AT$200,$G46)&gt;0,
     COUNTIFS($AU$2:$AU$200,$G46)&gt;0,
     COUNTIFS($AV$2:$AV$200,$G46)&gt;0,
     COUNTIFS($AW$2:$AW$200,$G46)&gt;0,
     COUNTIFS($AX$2:$AX$200,$G46)&gt;0
   )),
  ),
  4
 ),
"")</f>
        <v/>
      </c>
      <c r="G46" t="str">
        <f ca="1"/>
        <v>Boros Signet</v>
      </c>
      <c r="R46" s="3" t="s">
        <v>2179</v>
      </c>
      <c r="AX46" t="str">
        <v>Karn's Bastion</v>
      </c>
      <c r="BG46" t="str">
        <f ca="1"/>
        <v>Sol Ring</v>
      </c>
      <c r="BH46" t="str">
        <f ca="1"/>
        <v>Ozolith, the Shattered Spire</v>
      </c>
      <c r="BI46" t="str">
        <f ca="1"/>
        <v>Go for the Throat</v>
      </c>
      <c r="BK46" t="str">
        <f ca="1"/>
        <v>Valfenda</v>
      </c>
      <c r="BM46" t="str">
        <f ca="1"/>
        <v>Scour for Scrap</v>
      </c>
      <c r="BN46" t="str">
        <f ca="1"/>
        <v>Lullmage Mentor</v>
      </c>
      <c r="BO46" t="str">
        <f ca="1"/>
        <v>Devoted Druid</v>
      </c>
      <c r="BQ46" t="str">
        <f ca="1"/>
        <v>Olho de Ojer Taq</v>
      </c>
      <c r="BR46" t="str">
        <f ca="1"/>
        <v>Genji Glove</v>
      </c>
      <c r="BT46" t="str">
        <f ca="1"/>
        <v>Dollmaker's Shop // Porcelain Gallery</v>
      </c>
    </row>
    <row r="47" spans="1:72" x14ac:dyDescent="0.25">
      <c r="A47" s="3" t="str">
        <f t="shared" ca="1" si="0"/>
        <v>1</v>
      </c>
      <c r="B47" s="3">
        <f t="shared" ca="1" si="1"/>
        <v>1</v>
      </c>
      <c r="C47" s="3" t="str">
        <f ca="1">IFERROR(
 INDEX($U$1:$AX$1,
  MATCH(TRUE,
   CHOOSE({1;2;3;4;5;6;7;8;9;10;11;12;13;14;15;16;17;18;19;20;21;22;23;24;25;26;27;28;29;30;31;32},
    COUNTIFS($U$2:$U$200,$G47)&gt;0,
    COUNTIFS($V$2:$V$200,$G47)&gt;0,
    COUNTIFS($W$2:$W$200,$G47)&gt;0,
    COUNTIFS($X$2:$X$200,$G47)&gt;0,
    COUNTIFS($Y$2:$Y$200,$G47)&gt;0,
    COUNTIFS($Z$2:$Z$200,$G47)&gt;0,
    COUNTIFS($AA$2:$AA$200,$G47)&gt;0,
    COUNTIFS($AB$2:$AB$200,$G47)&gt;0,
    COUNTIFS($AC$2:$AC$200,$G47)&gt;0,
    COUNTIFS($AD$2:$AD$200,$G47)&gt;0,
    COUNTIFS($AE$2:$AE$200,$G47)&gt;0,
    COUNTIFS($AF$2:$AF$200,$G47)&gt;0,
    COUNTIFS($AG$2:$AG$200,$G47)&gt;0,
    COUNTIFS($AH$2:$AH$200,$G47)&gt;0,
    COUNTIFS($AI$2:$AI$200,$G47)&gt;0,
    COUNTIFS($AJ$2:$AJ$200,$G47)&gt;0,
    COUNTIFS($AK$2:$AK$200,$G47)&gt;0,
    COUNTIFS($AL$2:$AL$200,$G47)&gt;0,
    COUNTIFS($AM$2:$AM$200,$G47)&gt;0,
    COUNTIFS($AN$2:$AN$200,$G47)&gt;0,
    COUNTIFS($AO$2:$AO$200,$G47)&gt;0,
    COUNTIFS($AP$2:$AP$200,$G47)&gt;0,
    COUNTIFS($AQ$2:$AQ$200,$G47)&gt;0,
    COUNTIFS($AR$2:$AR$200,$G47)&gt;0,
    COUNTIFS($AS$2:$AS$200,$G47)&gt;0,
    COUNTIFS($AT$2:$AT$200,$G47)&gt;0,
    COUNTIFS($AU$2:$AU$200,$G47)&gt;0,
    COUNTIFS($AV$2:$AV$200,$G47)&gt;0,
    COUNTIFS($AW$2:$AW$200,$G47)&gt;0,
    COUNTIFS($AX$2:$AX$200,$G47)&gt;0
   ),
  0)
 ),
"")</f>
        <v>Tayam</v>
      </c>
      <c r="D47" s="3" t="str" cm="1">
        <f t="array" aca="1" ref="D47" ca="1">IFERROR(
 INDEX(
  _xlfn._xlws.FILTER($U$1:$AX$1,
   TRANSPOSE(
    CHOOSE({1;2;3;4;5;6;7;8;9;10;11;12;13;14;15;16;17;18;19;20;21;22;23;24;25;26;27;28;29;30},
     COUNTIFS($U$2:$U$200,$G47)&gt;0,
     COUNTIFS($V$2:$V$200,$G47)&gt;0,
     COUNTIFS($W$2:$W$200,$G47)&gt;0,
     COUNTIFS($X$2:$X$200,$G47)&gt;0,
     COUNTIFS($Y$2:$Y$200,$G47)&gt;0,
     COUNTIFS($Z$2:$Z$200,$G47)&gt;0,
     COUNTIFS($AA$2:$AA$200,$G47)&gt;0,
     COUNTIFS($AB$2:$AB$200,$G47)&gt;0,
     COUNTIFS($AC$2:$AC$200,$G47)&gt;0,
     COUNTIFS($AD$2:$AD$200,$G47)&gt;0,
     COUNTIFS($AE$2:$AE$200,$G47)&gt;0,
     COUNTIFS($AF$2:$AF$200,$G47)&gt;0,
     COUNTIFS($AG$2:$AG$200,$G47)&gt;0,
     COUNTIFS($AH$2:$AH$200,$G47)&gt;0,
     COUNTIFS($AI$2:$AI$200,$G47)&gt;0,
     COUNTIFS($AJ$2:$AJ$200,$G47)&gt;0,
     COUNTIFS($AK$2:$AK$200,$G47)&gt;0,
     COUNTIFS($AL$2:$AL$200,$G47)&gt;0,
     COUNTIFS($AM$2:$AM$200,$G47)&gt;0,
     COUNTIFS($AN$2:$AN$200,$G47)&gt;0,
     COUNTIFS($AO$2:$AO$200,$G47)&gt;0,
     COUNTIFS($AP$2:$AP$200,$G47)&gt;0,
     COUNTIFS($AQ$2:$AQ$200,$G47)&gt;0,
     COUNTIFS($AR$2:$AR$200,$G47)&gt;0,
     COUNTIFS($AS$2:$AS$200,$G47)&gt;0,
     COUNTIFS($AT$2:$AT$200,$G47)&gt;0,
     COUNTIFS($AU$2:$AU$200,$G47)&gt;0,
     COUNTIFS($AV$2:$AV$200,$G47)&gt;0,
     COUNTIFS($AW$2:$AW$200,$G47)&gt;0,
     COUNTIFS($AX$2:$AX$200,$G47)&gt;0
   )),
  ),
  2
 ),
"")</f>
        <v/>
      </c>
      <c r="E47" s="3" t="str" cm="1">
        <f t="array" aca="1" ref="E47" ca="1">IFERROR(
 INDEX(
  _xlfn._xlws.FILTER($U$1:$AX$1,
   TRANSPOSE(
    CHOOSE({1;2;3;4;5;6;7;8;9;10;11;12;13;14;15;16;17;18;19;20;21;22;23;24;25;26;27;28;29;30},
     COUNTIFS($U$2:$U$200,$G47)&gt;0,
     COUNTIFS($V$2:$V$200,$G47)&gt;0,
     COUNTIFS($W$2:$W$200,$G47)&gt;0,
     COUNTIFS($X$2:$X$200,$G47)&gt;0,
     COUNTIFS($Y$2:$Y$200,$G47)&gt;0,
     COUNTIFS($Z$2:$Z$200,$G47)&gt;0,
     COUNTIFS($AA$2:$AA$200,$G47)&gt;0,
     COUNTIFS($AB$2:$AB$200,$G47)&gt;0,
     COUNTIFS($AC$2:$AC$200,$G47)&gt;0,
     COUNTIFS($AD$2:$AD$200,$G47)&gt;0,
     COUNTIFS($AE$2:$AE$200,$G47)&gt;0,
     COUNTIFS($AF$2:$AF$200,$G47)&gt;0,
     COUNTIFS($AG$2:$AG$200,$G47)&gt;0,
     COUNTIFS($AH$2:$AH$200,$G47)&gt;0,
     COUNTIFS($AI$2:$AI$200,$G47)&gt;0,
     COUNTIFS($AJ$2:$AJ$200,$G47)&gt;0,
     COUNTIFS($AK$2:$AK$200,$G47)&gt;0,
     COUNTIFS($AL$2:$AL$200,$G47)&gt;0,
     COUNTIFS($AM$2:$AM$200,$G47)&gt;0,
     COUNTIFS($AN$2:$AN$200,$G47)&gt;0,
     COUNTIFS($AO$2:$AO$200,$G47)&gt;0,
     COUNTIFS($AP$2:$AP$200,$G47)&gt;0,
     COUNTIFS($AQ$2:$AQ$200,$G47)&gt;0,
     COUNTIFS($AR$2:$AR$200,$G47)&gt;0,
     COUNTIFS($AS$2:$AS$200,$G47)&gt;0,
     COUNTIFS($AT$2:$AT$200,$G47)&gt;0,
     COUNTIFS($AU$2:$AU$200,$G47)&gt;0,
     COUNTIFS($AV$2:$AV$200,$G47)&gt;0,
     COUNTIFS($AW$2:$AW$200,$G47)&gt;0,
     COUNTIFS($AX$2:$AX$200,$G47)&gt;0
   )),
  ),
  3
 ),
"")</f>
        <v/>
      </c>
      <c r="F47" s="3" t="str" cm="1">
        <f t="array" aca="1" ref="F47" ca="1">IFERROR(
 INDEX(
  _xlfn._xlws.FILTER($U$1:$AX$1,
   TRANSPOSE(
    CHOOSE({1;2;3;4;5;6;7;8;9;10;11;12;13;14;15;16;17;18;19;20;21;22;23;24;25;26;27;28;29;30},
     COUNTIFS($U$2:$U$200,$G47)&gt;0,
     COUNTIFS($V$2:$V$200,$G47)&gt;0,
     COUNTIFS($W$2:$W$200,$G47)&gt;0,
     COUNTIFS($X$2:$X$200,$G47)&gt;0,
     COUNTIFS($Y$2:$Y$200,$G47)&gt;0,
     COUNTIFS($Z$2:$Z$200,$G47)&gt;0,
     COUNTIFS($AA$2:$AA$200,$G47)&gt;0,
     COUNTIFS($AB$2:$AB$200,$G47)&gt;0,
     COUNTIFS($AC$2:$AC$200,$G47)&gt;0,
     COUNTIFS($AD$2:$AD$200,$G47)&gt;0,
     COUNTIFS($AE$2:$AE$200,$G47)&gt;0,
     COUNTIFS($AF$2:$AF$200,$G47)&gt;0,
     COUNTIFS($AG$2:$AG$200,$G47)&gt;0,
     COUNTIFS($AH$2:$AH$200,$G47)&gt;0,
     COUNTIFS($AI$2:$AI$200,$G47)&gt;0,
     COUNTIFS($AJ$2:$AJ$200,$G47)&gt;0,
     COUNTIFS($AK$2:$AK$200,$G47)&gt;0,
     COUNTIFS($AL$2:$AL$200,$G47)&gt;0,
     COUNTIFS($AM$2:$AM$200,$G47)&gt;0,
     COUNTIFS($AN$2:$AN$200,$G47)&gt;0,
     COUNTIFS($AO$2:$AO$200,$G47)&gt;0,
     COUNTIFS($AP$2:$AP$200,$G47)&gt;0,
     COUNTIFS($AQ$2:$AQ$200,$G47)&gt;0,
     COUNTIFS($AR$2:$AR$200,$G47)&gt;0,
     COUNTIFS($AS$2:$AS$200,$G47)&gt;0,
     COUNTIFS($AT$2:$AT$200,$G47)&gt;0,
     COUNTIFS($AU$2:$AU$200,$G47)&gt;0,
     COUNTIFS($AV$2:$AV$200,$G47)&gt;0,
     COUNTIFS($AW$2:$AW$200,$G47)&gt;0,
     COUNTIFS($AX$2:$AX$200,$G47)&gt;0
   )),
  ),
  4
 ),
"")</f>
        <v/>
      </c>
      <c r="G47" t="str">
        <f ca="1"/>
        <v>Branching Evolution</v>
      </c>
      <c r="R47" s="3" t="s">
        <v>2180</v>
      </c>
      <c r="AX47" t="str">
        <v>Kessig Wolf Run</v>
      </c>
      <c r="BG47" t="str">
        <f ca="1"/>
        <v>Sol Ring</v>
      </c>
      <c r="BH47" t="str">
        <f ca="1"/>
        <v>Patrolling Peacemaker</v>
      </c>
      <c r="BI47" t="str">
        <f ca="1"/>
        <v>Goblin Engineer</v>
      </c>
      <c r="BK47" t="str">
        <f ca="1"/>
        <v>Vexing Puzzlebox</v>
      </c>
      <c r="BM47" t="str">
        <f ca="1"/>
        <v>Season of Weaving</v>
      </c>
      <c r="BN47" t="str">
        <f ca="1"/>
        <v>Maddening Cacophony</v>
      </c>
      <c r="BO47" t="str">
        <f ca="1"/>
        <v>Dispatch</v>
      </c>
      <c r="BQ47" t="str">
        <f ca="1"/>
        <v>Petrified Field</v>
      </c>
      <c r="BR47" t="str">
        <f ca="1"/>
        <v>Ghostly Prison</v>
      </c>
      <c r="BT47" t="str">
        <f ca="1"/>
        <v>Dour Port-Mage</v>
      </c>
    </row>
    <row r="48" spans="1:72" x14ac:dyDescent="0.25">
      <c r="A48" s="3" t="str">
        <f t="shared" ca="1" si="0"/>
        <v>2</v>
      </c>
      <c r="B48" s="3">
        <f t="shared" ca="1" si="1"/>
        <v>1</v>
      </c>
      <c r="C48" s="3" t="str">
        <f ca="1">IFERROR(
 INDEX($U$1:$AX$1,
  MATCH(TRUE,
   CHOOSE({1;2;3;4;5;6;7;8;9;10;11;12;13;14;15;16;17;18;19;20;21;22;23;24;25;26;27;28;29;30;31;32},
    COUNTIFS($U$2:$U$200,$G48)&gt;0,
    COUNTIFS($V$2:$V$200,$G48)&gt;0,
    COUNTIFS($W$2:$W$200,$G48)&gt;0,
    COUNTIFS($X$2:$X$200,$G48)&gt;0,
    COUNTIFS($Y$2:$Y$200,$G48)&gt;0,
    COUNTIFS($Z$2:$Z$200,$G48)&gt;0,
    COUNTIFS($AA$2:$AA$200,$G48)&gt;0,
    COUNTIFS($AB$2:$AB$200,$G48)&gt;0,
    COUNTIFS($AC$2:$AC$200,$G48)&gt;0,
    COUNTIFS($AD$2:$AD$200,$G48)&gt;0,
    COUNTIFS($AE$2:$AE$200,$G48)&gt;0,
    COUNTIFS($AF$2:$AF$200,$G48)&gt;0,
    COUNTIFS($AG$2:$AG$200,$G48)&gt;0,
    COUNTIFS($AH$2:$AH$200,$G48)&gt;0,
    COUNTIFS($AI$2:$AI$200,$G48)&gt;0,
    COUNTIFS($AJ$2:$AJ$200,$G48)&gt;0,
    COUNTIFS($AK$2:$AK$200,$G48)&gt;0,
    COUNTIFS($AL$2:$AL$200,$G48)&gt;0,
    COUNTIFS($AM$2:$AM$200,$G48)&gt;0,
    COUNTIFS($AN$2:$AN$200,$G48)&gt;0,
    COUNTIFS($AO$2:$AO$200,$G48)&gt;0,
    COUNTIFS($AP$2:$AP$200,$G48)&gt;0,
    COUNTIFS($AQ$2:$AQ$200,$G48)&gt;0,
    COUNTIFS($AR$2:$AR$200,$G48)&gt;0,
    COUNTIFS($AS$2:$AS$200,$G48)&gt;0,
    COUNTIFS($AT$2:$AT$200,$G48)&gt;0,
    COUNTIFS($AU$2:$AU$200,$G48)&gt;0,
    COUNTIFS($AV$2:$AV$200,$G48)&gt;0,
    COUNTIFS($AW$2:$AW$200,$G48)&gt;0,
    COUNTIFS($AX$2:$AX$200,$G48)&gt;0
   ),
  0)
 ),
"")</f>
        <v>Piratas</v>
      </c>
      <c r="D48" s="3" t="str" cm="1">
        <f t="array" aca="1" ref="D48" ca="1">IFERROR(
 INDEX(
  _xlfn._xlws.FILTER($U$1:$AX$1,
   TRANSPOSE(
    CHOOSE({1;2;3;4;5;6;7;8;9;10;11;12;13;14;15;16;17;18;19;20;21;22;23;24;25;26;27;28;29;30},
     COUNTIFS($U$2:$U$200,$G48)&gt;0,
     COUNTIFS($V$2:$V$200,$G48)&gt;0,
     COUNTIFS($W$2:$W$200,$G48)&gt;0,
     COUNTIFS($X$2:$X$200,$G48)&gt;0,
     COUNTIFS($Y$2:$Y$200,$G48)&gt;0,
     COUNTIFS($Z$2:$Z$200,$G48)&gt;0,
     COUNTIFS($AA$2:$AA$200,$G48)&gt;0,
     COUNTIFS($AB$2:$AB$200,$G48)&gt;0,
     COUNTIFS($AC$2:$AC$200,$G48)&gt;0,
     COUNTIFS($AD$2:$AD$200,$G48)&gt;0,
     COUNTIFS($AE$2:$AE$200,$G48)&gt;0,
     COUNTIFS($AF$2:$AF$200,$G48)&gt;0,
     COUNTIFS($AG$2:$AG$200,$G48)&gt;0,
     COUNTIFS($AH$2:$AH$200,$G48)&gt;0,
     COUNTIFS($AI$2:$AI$200,$G48)&gt;0,
     COUNTIFS($AJ$2:$AJ$200,$G48)&gt;0,
     COUNTIFS($AK$2:$AK$200,$G48)&gt;0,
     COUNTIFS($AL$2:$AL$200,$G48)&gt;0,
     COUNTIFS($AM$2:$AM$200,$G48)&gt;0,
     COUNTIFS($AN$2:$AN$200,$G48)&gt;0,
     COUNTIFS($AO$2:$AO$200,$G48)&gt;0,
     COUNTIFS($AP$2:$AP$200,$G48)&gt;0,
     COUNTIFS($AQ$2:$AQ$200,$G48)&gt;0,
     COUNTIFS($AR$2:$AR$200,$G48)&gt;0,
     COUNTIFS($AS$2:$AS$200,$G48)&gt;0,
     COUNTIFS($AT$2:$AT$200,$G48)&gt;0,
     COUNTIFS($AU$2:$AU$200,$G48)&gt;0,
     COUNTIFS($AV$2:$AV$200,$G48)&gt;0,
     COUNTIFS($AW$2:$AW$200,$G48)&gt;0,
     COUNTIFS($AX$2:$AX$200,$G48)&gt;0
   )),
  ),
  2
 ),
"")</f>
        <v/>
      </c>
      <c r="E48" s="3" t="str" cm="1">
        <f t="array" aca="1" ref="E48" ca="1">IFERROR(
 INDEX(
  _xlfn._xlws.FILTER($U$1:$AX$1,
   TRANSPOSE(
    CHOOSE({1;2;3;4;5;6;7;8;9;10;11;12;13;14;15;16;17;18;19;20;21;22;23;24;25;26;27;28;29;30},
     COUNTIFS($U$2:$U$200,$G48)&gt;0,
     COUNTIFS($V$2:$V$200,$G48)&gt;0,
     COUNTIFS($W$2:$W$200,$G48)&gt;0,
     COUNTIFS($X$2:$X$200,$G48)&gt;0,
     COUNTIFS($Y$2:$Y$200,$G48)&gt;0,
     COUNTIFS($Z$2:$Z$200,$G48)&gt;0,
     COUNTIFS($AA$2:$AA$200,$G48)&gt;0,
     COUNTIFS($AB$2:$AB$200,$G48)&gt;0,
     COUNTIFS($AC$2:$AC$200,$G48)&gt;0,
     COUNTIFS($AD$2:$AD$200,$G48)&gt;0,
     COUNTIFS($AE$2:$AE$200,$G48)&gt;0,
     COUNTIFS($AF$2:$AF$200,$G48)&gt;0,
     COUNTIFS($AG$2:$AG$200,$G48)&gt;0,
     COUNTIFS($AH$2:$AH$200,$G48)&gt;0,
     COUNTIFS($AI$2:$AI$200,$G48)&gt;0,
     COUNTIFS($AJ$2:$AJ$200,$G48)&gt;0,
     COUNTIFS($AK$2:$AK$200,$G48)&gt;0,
     COUNTIFS($AL$2:$AL$200,$G48)&gt;0,
     COUNTIFS($AM$2:$AM$200,$G48)&gt;0,
     COUNTIFS($AN$2:$AN$200,$G48)&gt;0,
     COUNTIFS($AO$2:$AO$200,$G48)&gt;0,
     COUNTIFS($AP$2:$AP$200,$G48)&gt;0,
     COUNTIFS($AQ$2:$AQ$200,$G48)&gt;0,
     COUNTIFS($AR$2:$AR$200,$G48)&gt;0,
     COUNTIFS($AS$2:$AS$200,$G48)&gt;0,
     COUNTIFS($AT$2:$AT$200,$G48)&gt;0,
     COUNTIFS($AU$2:$AU$200,$G48)&gt;0,
     COUNTIFS($AV$2:$AV$200,$G48)&gt;0,
     COUNTIFS($AW$2:$AW$200,$G48)&gt;0,
     COUNTIFS($AX$2:$AX$200,$G48)&gt;0
   )),
  ),
  3
 ),
"")</f>
        <v/>
      </c>
      <c r="F48" s="3" t="str" cm="1">
        <f t="array" aca="1" ref="F48" ca="1">IFERROR(
 INDEX(
  _xlfn._xlws.FILTER($U$1:$AX$1,
   TRANSPOSE(
    CHOOSE({1;2;3;4;5;6;7;8;9;10;11;12;13;14;15;16;17;18;19;20;21;22;23;24;25;26;27;28;29;30},
     COUNTIFS($U$2:$U$200,$G48)&gt;0,
     COUNTIFS($V$2:$V$200,$G48)&gt;0,
     COUNTIFS($W$2:$W$200,$G48)&gt;0,
     COUNTIFS($X$2:$X$200,$G48)&gt;0,
     COUNTIFS($Y$2:$Y$200,$G48)&gt;0,
     COUNTIFS($Z$2:$Z$200,$G48)&gt;0,
     COUNTIFS($AA$2:$AA$200,$G48)&gt;0,
     COUNTIFS($AB$2:$AB$200,$G48)&gt;0,
     COUNTIFS($AC$2:$AC$200,$G48)&gt;0,
     COUNTIFS($AD$2:$AD$200,$G48)&gt;0,
     COUNTIFS($AE$2:$AE$200,$G48)&gt;0,
     COUNTIFS($AF$2:$AF$200,$G48)&gt;0,
     COUNTIFS($AG$2:$AG$200,$G48)&gt;0,
     COUNTIFS($AH$2:$AH$200,$G48)&gt;0,
     COUNTIFS($AI$2:$AI$200,$G48)&gt;0,
     COUNTIFS($AJ$2:$AJ$200,$G48)&gt;0,
     COUNTIFS($AK$2:$AK$200,$G48)&gt;0,
     COUNTIFS($AL$2:$AL$200,$G48)&gt;0,
     COUNTIFS($AM$2:$AM$200,$G48)&gt;0,
     COUNTIFS($AN$2:$AN$200,$G48)&gt;0,
     COUNTIFS($AO$2:$AO$200,$G48)&gt;0,
     COUNTIFS($AP$2:$AP$200,$G48)&gt;0,
     COUNTIFS($AQ$2:$AQ$200,$G48)&gt;0,
     COUNTIFS($AR$2:$AR$200,$G48)&gt;0,
     COUNTIFS($AS$2:$AS$200,$G48)&gt;0,
     COUNTIFS($AT$2:$AT$200,$G48)&gt;0,
     COUNTIFS($AU$2:$AU$200,$G48)&gt;0,
     COUNTIFS($AV$2:$AV$200,$G48)&gt;0,
     COUNTIFS($AW$2:$AW$200,$G48)&gt;0,
     COUNTIFS($AX$2:$AX$200,$G48)&gt;0
   )),
  ),
  4
 ),
"")</f>
        <v/>
      </c>
      <c r="G48" t="str">
        <f ca="1"/>
        <v>Broadside Bombardiers</v>
      </c>
      <c r="R48" s="3" t="s">
        <v>2182</v>
      </c>
      <c r="AX48" t="str">
        <v>Kodama of the West Tree</v>
      </c>
      <c r="BG48" t="str">
        <f ca="1"/>
        <v>Sothera, the Supervoid</v>
      </c>
      <c r="BH48" t="str">
        <f ca="1"/>
        <v>Prosperous Partnership</v>
      </c>
      <c r="BI48" t="str">
        <f ca="1"/>
        <v>Goblin Welder</v>
      </c>
      <c r="BK48" t="str">
        <f ca="1"/>
        <v>Zagoth Triome</v>
      </c>
      <c r="BM48" t="str">
        <f ca="1"/>
        <v>Sonic Screwdriver</v>
      </c>
      <c r="BN48" t="str">
        <f ca="1"/>
        <v>Memory Erosion</v>
      </c>
      <c r="BO48" t="str">
        <f ca="1"/>
        <v>Duty Beyond Death</v>
      </c>
      <c r="BQ48" t="str">
        <f ca="1"/>
        <v>Phyrexian Tower</v>
      </c>
      <c r="BR48" t="str">
        <f ca="1"/>
        <v>Giver of Runes</v>
      </c>
      <c r="BT48" t="str">
        <f ca="1"/>
        <v>Drowned Catacomb</v>
      </c>
    </row>
    <row r="49" spans="1:72" x14ac:dyDescent="0.25">
      <c r="A49" s="3" t="str">
        <f t="shared" ca="1" si="0"/>
        <v>3</v>
      </c>
      <c r="B49" s="3">
        <f t="shared" ca="1" si="1"/>
        <v>1</v>
      </c>
      <c r="C49" s="3" t="str">
        <f ca="1">IFERROR(
 INDEX($U$1:$AX$1,
  MATCH(TRUE,
   CHOOSE({1;2;3;4;5;6;7;8;9;10;11;12;13;14;15;16;17;18;19;20;21;22;23;24;25;26;27;28;29;30;31;32},
    COUNTIFS($U$2:$U$200,$G49)&gt;0,
    COUNTIFS($V$2:$V$200,$G49)&gt;0,
    COUNTIFS($W$2:$W$200,$G49)&gt;0,
    COUNTIFS($X$2:$X$200,$G49)&gt;0,
    COUNTIFS($Y$2:$Y$200,$G49)&gt;0,
    COUNTIFS($Z$2:$Z$200,$G49)&gt;0,
    COUNTIFS($AA$2:$AA$200,$G49)&gt;0,
    COUNTIFS($AB$2:$AB$200,$G49)&gt;0,
    COUNTIFS($AC$2:$AC$200,$G49)&gt;0,
    COUNTIFS($AD$2:$AD$200,$G49)&gt;0,
    COUNTIFS($AE$2:$AE$200,$G49)&gt;0,
    COUNTIFS($AF$2:$AF$200,$G49)&gt;0,
    COUNTIFS($AG$2:$AG$200,$G49)&gt;0,
    COUNTIFS($AH$2:$AH$200,$G49)&gt;0,
    COUNTIFS($AI$2:$AI$200,$G49)&gt;0,
    COUNTIFS($AJ$2:$AJ$200,$G49)&gt;0,
    COUNTIFS($AK$2:$AK$200,$G49)&gt;0,
    COUNTIFS($AL$2:$AL$200,$G49)&gt;0,
    COUNTIFS($AM$2:$AM$200,$G49)&gt;0,
    COUNTIFS($AN$2:$AN$200,$G49)&gt;0,
    COUNTIFS($AO$2:$AO$200,$G49)&gt;0,
    COUNTIFS($AP$2:$AP$200,$G49)&gt;0,
    COUNTIFS($AQ$2:$AQ$200,$G49)&gt;0,
    COUNTIFS($AR$2:$AR$200,$G49)&gt;0,
    COUNTIFS($AS$2:$AS$200,$G49)&gt;0,
    COUNTIFS($AT$2:$AT$200,$G49)&gt;0,
    COUNTIFS($AU$2:$AU$200,$G49)&gt;0,
    COUNTIFS($AV$2:$AV$200,$G49)&gt;0,
    COUNTIFS($AW$2:$AW$200,$G49)&gt;0,
    COUNTIFS($AX$2:$AX$200,$G49)&gt;0
   ),
  0)
 ),
"")</f>
        <v>Gritrog</v>
      </c>
      <c r="D49" s="3" t="str" cm="1">
        <f t="array" aca="1" ref="D49" ca="1">IFERROR(
 INDEX(
  _xlfn._xlws.FILTER($U$1:$AX$1,
   TRANSPOSE(
    CHOOSE({1;2;3;4;5;6;7;8;9;10;11;12;13;14;15;16;17;18;19;20;21;22;23;24;25;26;27;28;29;30},
     COUNTIFS($U$2:$U$200,$G49)&gt;0,
     COUNTIFS($V$2:$V$200,$G49)&gt;0,
     COUNTIFS($W$2:$W$200,$G49)&gt;0,
     COUNTIFS($X$2:$X$200,$G49)&gt;0,
     COUNTIFS($Y$2:$Y$200,$G49)&gt;0,
     COUNTIFS($Z$2:$Z$200,$G49)&gt;0,
     COUNTIFS($AA$2:$AA$200,$G49)&gt;0,
     COUNTIFS($AB$2:$AB$200,$G49)&gt;0,
     COUNTIFS($AC$2:$AC$200,$G49)&gt;0,
     COUNTIFS($AD$2:$AD$200,$G49)&gt;0,
     COUNTIFS($AE$2:$AE$200,$G49)&gt;0,
     COUNTIFS($AF$2:$AF$200,$G49)&gt;0,
     COUNTIFS($AG$2:$AG$200,$G49)&gt;0,
     COUNTIFS($AH$2:$AH$200,$G49)&gt;0,
     COUNTIFS($AI$2:$AI$200,$G49)&gt;0,
     COUNTIFS($AJ$2:$AJ$200,$G49)&gt;0,
     COUNTIFS($AK$2:$AK$200,$G49)&gt;0,
     COUNTIFS($AL$2:$AL$200,$G49)&gt;0,
     COUNTIFS($AM$2:$AM$200,$G49)&gt;0,
     COUNTIFS($AN$2:$AN$200,$G49)&gt;0,
     COUNTIFS($AO$2:$AO$200,$G49)&gt;0,
     COUNTIFS($AP$2:$AP$200,$G49)&gt;0,
     COUNTIFS($AQ$2:$AQ$200,$G49)&gt;0,
     COUNTIFS($AR$2:$AR$200,$G49)&gt;0,
     COUNTIFS($AS$2:$AS$200,$G49)&gt;0,
     COUNTIFS($AT$2:$AT$200,$G49)&gt;0,
     COUNTIFS($AU$2:$AU$200,$G49)&gt;0,
     COUNTIFS($AV$2:$AV$200,$G49)&gt;0,
     COUNTIFS($AW$2:$AW$200,$G49)&gt;0,
     COUNTIFS($AX$2:$AX$200,$G49)&gt;0
   )),
  ),
  2
 ),
"")</f>
        <v/>
      </c>
      <c r="E49" s="3" t="str" cm="1">
        <f t="array" aca="1" ref="E49" ca="1">IFERROR(
 INDEX(
  _xlfn._xlws.FILTER($U$1:$AX$1,
   TRANSPOSE(
    CHOOSE({1;2;3;4;5;6;7;8;9;10;11;12;13;14;15;16;17;18;19;20;21;22;23;24;25;26;27;28;29;30},
     COUNTIFS($U$2:$U$200,$G49)&gt;0,
     COUNTIFS($V$2:$V$200,$G49)&gt;0,
     COUNTIFS($W$2:$W$200,$G49)&gt;0,
     COUNTIFS($X$2:$X$200,$G49)&gt;0,
     COUNTIFS($Y$2:$Y$200,$G49)&gt;0,
     COUNTIFS($Z$2:$Z$200,$G49)&gt;0,
     COUNTIFS($AA$2:$AA$200,$G49)&gt;0,
     COUNTIFS($AB$2:$AB$200,$G49)&gt;0,
     COUNTIFS($AC$2:$AC$200,$G49)&gt;0,
     COUNTIFS($AD$2:$AD$200,$G49)&gt;0,
     COUNTIFS($AE$2:$AE$200,$G49)&gt;0,
     COUNTIFS($AF$2:$AF$200,$G49)&gt;0,
     COUNTIFS($AG$2:$AG$200,$G49)&gt;0,
     COUNTIFS($AH$2:$AH$200,$G49)&gt;0,
     COUNTIFS($AI$2:$AI$200,$G49)&gt;0,
     COUNTIFS($AJ$2:$AJ$200,$G49)&gt;0,
     COUNTIFS($AK$2:$AK$200,$G49)&gt;0,
     COUNTIFS($AL$2:$AL$200,$G49)&gt;0,
     COUNTIFS($AM$2:$AM$200,$G49)&gt;0,
     COUNTIFS($AN$2:$AN$200,$G49)&gt;0,
     COUNTIFS($AO$2:$AO$200,$G49)&gt;0,
     COUNTIFS($AP$2:$AP$200,$G49)&gt;0,
     COUNTIFS($AQ$2:$AQ$200,$G49)&gt;0,
     COUNTIFS($AR$2:$AR$200,$G49)&gt;0,
     COUNTIFS($AS$2:$AS$200,$G49)&gt;0,
     COUNTIFS($AT$2:$AT$200,$G49)&gt;0,
     COUNTIFS($AU$2:$AU$200,$G49)&gt;0,
     COUNTIFS($AV$2:$AV$200,$G49)&gt;0,
     COUNTIFS($AW$2:$AW$200,$G49)&gt;0,
     COUNTIFS($AX$2:$AX$200,$G49)&gt;0
   )),
  ),
  3
 ),
"")</f>
        <v/>
      </c>
      <c r="F49" s="3" t="str" cm="1">
        <f t="array" aca="1" ref="F49" ca="1">IFERROR(
 INDEX(
  _xlfn._xlws.FILTER($U$1:$AX$1,
   TRANSPOSE(
    CHOOSE({1;2;3;4;5;6;7;8;9;10;11;12;13;14;15;16;17;18;19;20;21;22;23;24;25;26;27;28;29;30},
     COUNTIFS($U$2:$U$200,$G49)&gt;0,
     COUNTIFS($V$2:$V$200,$G49)&gt;0,
     COUNTIFS($W$2:$W$200,$G49)&gt;0,
     COUNTIFS($X$2:$X$200,$G49)&gt;0,
     COUNTIFS($Y$2:$Y$200,$G49)&gt;0,
     COUNTIFS($Z$2:$Z$200,$G49)&gt;0,
     COUNTIFS($AA$2:$AA$200,$G49)&gt;0,
     COUNTIFS($AB$2:$AB$200,$G49)&gt;0,
     COUNTIFS($AC$2:$AC$200,$G49)&gt;0,
     COUNTIFS($AD$2:$AD$200,$G49)&gt;0,
     COUNTIFS($AE$2:$AE$200,$G49)&gt;0,
     COUNTIFS($AF$2:$AF$200,$G49)&gt;0,
     COUNTIFS($AG$2:$AG$200,$G49)&gt;0,
     COUNTIFS($AH$2:$AH$200,$G49)&gt;0,
     COUNTIFS($AI$2:$AI$200,$G49)&gt;0,
     COUNTIFS($AJ$2:$AJ$200,$G49)&gt;0,
     COUNTIFS($AK$2:$AK$200,$G49)&gt;0,
     COUNTIFS($AL$2:$AL$200,$G49)&gt;0,
     COUNTIFS($AM$2:$AM$200,$G49)&gt;0,
     COUNTIFS($AN$2:$AN$200,$G49)&gt;0,
     COUNTIFS($AO$2:$AO$200,$G49)&gt;0,
     COUNTIFS($AP$2:$AP$200,$G49)&gt;0,
     COUNTIFS($AQ$2:$AQ$200,$G49)&gt;0,
     COUNTIFS($AR$2:$AR$200,$G49)&gt;0,
     COUNTIFS($AS$2:$AS$200,$G49)&gt;0,
     COUNTIFS($AT$2:$AT$200,$G49)&gt;0,
     COUNTIFS($AU$2:$AU$200,$G49)&gt;0,
     COUNTIFS($AV$2:$AV$200,$G49)&gt;0,
     COUNTIFS($AW$2:$AW$200,$G49)&gt;0,
     COUNTIFS($AX$2:$AX$200,$G49)&gt;0
   )),
  ),
  4
 ),
"")</f>
        <v/>
      </c>
      <c r="G49" t="str">
        <f ca="1"/>
        <v>Broodheart Engine</v>
      </c>
      <c r="R49" s="3" t="s">
        <v>2183</v>
      </c>
      <c r="AX49" t="str">
        <v>Lithoform Engine</v>
      </c>
      <c r="BG49" t="str">
        <f ca="1"/>
        <v>Spark Double</v>
      </c>
      <c r="BH49" t="str">
        <f ca="1"/>
        <v>Protection Magic</v>
      </c>
      <c r="BI49" t="str">
        <f ca="1"/>
        <v>Great Furnace</v>
      </c>
      <c r="BM49" t="str">
        <f ca="1"/>
        <v>Sorin da Casa Markov</v>
      </c>
      <c r="BN49" t="str">
        <f ca="1"/>
        <v>Merrow Commerce</v>
      </c>
      <c r="BO49" t="str">
        <f ca="1"/>
        <v>Earth Rumble</v>
      </c>
      <c r="BQ49" t="str">
        <f ca="1"/>
        <v>Planetary Annihilation</v>
      </c>
      <c r="BR49" t="str">
        <f ca="1"/>
        <v>Glasspool Mimic</v>
      </c>
      <c r="BT49" t="str">
        <f ca="1"/>
        <v>Dúplice Debochada</v>
      </c>
    </row>
    <row r="50" spans="1:72" x14ac:dyDescent="0.25">
      <c r="A50" s="3" t="str">
        <f t="shared" ca="1" si="0"/>
        <v>1</v>
      </c>
      <c r="B50" s="3">
        <f t="shared" ca="1" si="1"/>
        <v>1</v>
      </c>
      <c r="C50" s="3" t="str">
        <f ca="1">IFERROR(
 INDEX($U$1:$AX$1,
  MATCH(TRUE,
   CHOOSE({1;2;3;4;5;6;7;8;9;10;11;12;13;14;15;16;17;18;19;20;21;22;23;24;25;26;27;28;29;30;31;32},
    COUNTIFS($U$2:$U$200,$G50)&gt;0,
    COUNTIFS($V$2:$V$200,$G50)&gt;0,
    COUNTIFS($W$2:$W$200,$G50)&gt;0,
    COUNTIFS($X$2:$X$200,$G50)&gt;0,
    COUNTIFS($Y$2:$Y$200,$G50)&gt;0,
    COUNTIFS($Z$2:$Z$200,$G50)&gt;0,
    COUNTIFS($AA$2:$AA$200,$G50)&gt;0,
    COUNTIFS($AB$2:$AB$200,$G50)&gt;0,
    COUNTIFS($AC$2:$AC$200,$G50)&gt;0,
    COUNTIFS($AD$2:$AD$200,$G50)&gt;0,
    COUNTIFS($AE$2:$AE$200,$G50)&gt;0,
    COUNTIFS($AF$2:$AF$200,$G50)&gt;0,
    COUNTIFS($AG$2:$AG$200,$G50)&gt;0,
    COUNTIFS($AH$2:$AH$200,$G50)&gt;0,
    COUNTIFS($AI$2:$AI$200,$G50)&gt;0,
    COUNTIFS($AJ$2:$AJ$200,$G50)&gt;0,
    COUNTIFS($AK$2:$AK$200,$G50)&gt;0,
    COUNTIFS($AL$2:$AL$200,$G50)&gt;0,
    COUNTIFS($AM$2:$AM$200,$G50)&gt;0,
    COUNTIFS($AN$2:$AN$200,$G50)&gt;0,
    COUNTIFS($AO$2:$AO$200,$G50)&gt;0,
    COUNTIFS($AP$2:$AP$200,$G50)&gt;0,
    COUNTIFS($AQ$2:$AQ$200,$G50)&gt;0,
    COUNTIFS($AR$2:$AR$200,$G50)&gt;0,
    COUNTIFS($AS$2:$AS$200,$G50)&gt;0,
    COUNTIFS($AT$2:$AT$200,$G50)&gt;0,
    COUNTIFS($AU$2:$AU$200,$G50)&gt;0,
    COUNTIFS($AV$2:$AV$200,$G50)&gt;0,
    COUNTIFS($AW$2:$AW$200,$G50)&gt;0,
    COUNTIFS($AX$2:$AX$200,$G50)&gt;0
   ),
  0)
 ),
"")</f>
        <v>Baylen</v>
      </c>
      <c r="D50" s="3" t="str" cm="1">
        <f t="array" aca="1" ref="D50" ca="1">IFERROR(
 INDEX(
  _xlfn._xlws.FILTER($U$1:$AX$1,
   TRANSPOSE(
    CHOOSE({1;2;3;4;5;6;7;8;9;10;11;12;13;14;15;16;17;18;19;20;21;22;23;24;25;26;27;28;29;30},
     COUNTIFS($U$2:$U$200,$G50)&gt;0,
     COUNTIFS($V$2:$V$200,$G50)&gt;0,
     COUNTIFS($W$2:$W$200,$G50)&gt;0,
     COUNTIFS($X$2:$X$200,$G50)&gt;0,
     COUNTIFS($Y$2:$Y$200,$G50)&gt;0,
     COUNTIFS($Z$2:$Z$200,$G50)&gt;0,
     COUNTIFS($AA$2:$AA$200,$G50)&gt;0,
     COUNTIFS($AB$2:$AB$200,$G50)&gt;0,
     COUNTIFS($AC$2:$AC$200,$G50)&gt;0,
     COUNTIFS($AD$2:$AD$200,$G50)&gt;0,
     COUNTIFS($AE$2:$AE$200,$G50)&gt;0,
     COUNTIFS($AF$2:$AF$200,$G50)&gt;0,
     COUNTIFS($AG$2:$AG$200,$G50)&gt;0,
     COUNTIFS($AH$2:$AH$200,$G50)&gt;0,
     COUNTIFS($AI$2:$AI$200,$G50)&gt;0,
     COUNTIFS($AJ$2:$AJ$200,$G50)&gt;0,
     COUNTIFS($AK$2:$AK$200,$G50)&gt;0,
     COUNTIFS($AL$2:$AL$200,$G50)&gt;0,
     COUNTIFS($AM$2:$AM$200,$G50)&gt;0,
     COUNTIFS($AN$2:$AN$200,$G50)&gt;0,
     COUNTIFS($AO$2:$AO$200,$G50)&gt;0,
     COUNTIFS($AP$2:$AP$200,$G50)&gt;0,
     COUNTIFS($AQ$2:$AQ$200,$G50)&gt;0,
     COUNTIFS($AR$2:$AR$200,$G50)&gt;0,
     COUNTIFS($AS$2:$AS$200,$G50)&gt;0,
     COUNTIFS($AT$2:$AT$200,$G50)&gt;0,
     COUNTIFS($AU$2:$AU$200,$G50)&gt;0,
     COUNTIFS($AV$2:$AV$200,$G50)&gt;0,
     COUNTIFS($AW$2:$AW$200,$G50)&gt;0,
     COUNTIFS($AX$2:$AX$200,$G50)&gt;0
   )),
  ),
  2
 ),
"")</f>
        <v/>
      </c>
      <c r="E50" s="3" t="str" cm="1">
        <f t="array" aca="1" ref="E50" ca="1">IFERROR(
 INDEX(
  _xlfn._xlws.FILTER($U$1:$AX$1,
   TRANSPOSE(
    CHOOSE({1;2;3;4;5;6;7;8;9;10;11;12;13;14;15;16;17;18;19;20;21;22;23;24;25;26;27;28;29;30},
     COUNTIFS($U$2:$U$200,$G50)&gt;0,
     COUNTIFS($V$2:$V$200,$G50)&gt;0,
     COUNTIFS($W$2:$W$200,$G50)&gt;0,
     COUNTIFS($X$2:$X$200,$G50)&gt;0,
     COUNTIFS($Y$2:$Y$200,$G50)&gt;0,
     COUNTIFS($Z$2:$Z$200,$G50)&gt;0,
     COUNTIFS($AA$2:$AA$200,$G50)&gt;0,
     COUNTIFS($AB$2:$AB$200,$G50)&gt;0,
     COUNTIFS($AC$2:$AC$200,$G50)&gt;0,
     COUNTIFS($AD$2:$AD$200,$G50)&gt;0,
     COUNTIFS($AE$2:$AE$200,$G50)&gt;0,
     COUNTIFS($AF$2:$AF$200,$G50)&gt;0,
     COUNTIFS($AG$2:$AG$200,$G50)&gt;0,
     COUNTIFS($AH$2:$AH$200,$G50)&gt;0,
     COUNTIFS($AI$2:$AI$200,$G50)&gt;0,
     COUNTIFS($AJ$2:$AJ$200,$G50)&gt;0,
     COUNTIFS($AK$2:$AK$200,$G50)&gt;0,
     COUNTIFS($AL$2:$AL$200,$G50)&gt;0,
     COUNTIFS($AM$2:$AM$200,$G50)&gt;0,
     COUNTIFS($AN$2:$AN$200,$G50)&gt;0,
     COUNTIFS($AO$2:$AO$200,$G50)&gt;0,
     COUNTIFS($AP$2:$AP$200,$G50)&gt;0,
     COUNTIFS($AQ$2:$AQ$200,$G50)&gt;0,
     COUNTIFS($AR$2:$AR$200,$G50)&gt;0,
     COUNTIFS($AS$2:$AS$200,$G50)&gt;0,
     COUNTIFS($AT$2:$AT$200,$G50)&gt;0,
     COUNTIFS($AU$2:$AU$200,$G50)&gt;0,
     COUNTIFS($AV$2:$AV$200,$G50)&gt;0,
     COUNTIFS($AW$2:$AW$200,$G50)&gt;0,
     COUNTIFS($AX$2:$AX$200,$G50)&gt;0
   )),
  ),
  3
 ),
"")</f>
        <v/>
      </c>
      <c r="F50" s="3" t="str" cm="1">
        <f t="array" aca="1" ref="F50" ca="1">IFERROR(
 INDEX(
  _xlfn._xlws.FILTER($U$1:$AX$1,
   TRANSPOSE(
    CHOOSE({1;2;3;4;5;6;7;8;9;10;11;12;13;14;15;16;17;18;19;20;21;22;23;24;25;26;27;28;29;30},
     COUNTIFS($U$2:$U$200,$G50)&gt;0,
     COUNTIFS($V$2:$V$200,$G50)&gt;0,
     COUNTIFS($W$2:$W$200,$G50)&gt;0,
     COUNTIFS($X$2:$X$200,$G50)&gt;0,
     COUNTIFS($Y$2:$Y$200,$G50)&gt;0,
     COUNTIFS($Z$2:$Z$200,$G50)&gt;0,
     COUNTIFS($AA$2:$AA$200,$G50)&gt;0,
     COUNTIFS($AB$2:$AB$200,$G50)&gt;0,
     COUNTIFS($AC$2:$AC$200,$G50)&gt;0,
     COUNTIFS($AD$2:$AD$200,$G50)&gt;0,
     COUNTIFS($AE$2:$AE$200,$G50)&gt;0,
     COUNTIFS($AF$2:$AF$200,$G50)&gt;0,
     COUNTIFS($AG$2:$AG$200,$G50)&gt;0,
     COUNTIFS($AH$2:$AH$200,$G50)&gt;0,
     COUNTIFS($AI$2:$AI$200,$G50)&gt;0,
     COUNTIFS($AJ$2:$AJ$200,$G50)&gt;0,
     COUNTIFS($AK$2:$AK$200,$G50)&gt;0,
     COUNTIFS($AL$2:$AL$200,$G50)&gt;0,
     COUNTIFS($AM$2:$AM$200,$G50)&gt;0,
     COUNTIFS($AN$2:$AN$200,$G50)&gt;0,
     COUNTIFS($AO$2:$AO$200,$G50)&gt;0,
     COUNTIFS($AP$2:$AP$200,$G50)&gt;0,
     COUNTIFS($AQ$2:$AQ$200,$G50)&gt;0,
     COUNTIFS($AR$2:$AR$200,$G50)&gt;0,
     COUNTIFS($AS$2:$AS$200,$G50)&gt;0,
     COUNTIFS($AT$2:$AT$200,$G50)&gt;0,
     COUNTIFS($AU$2:$AU$200,$G50)&gt;0,
     COUNTIFS($AV$2:$AV$200,$G50)&gt;0,
     COUNTIFS($AW$2:$AW$200,$G50)&gt;0,
     COUNTIFS($AX$2:$AX$200,$G50)&gt;0
   )),
  ),
  4
 ),
"")</f>
        <v/>
      </c>
      <c r="G50" t="str">
        <f ca="1"/>
        <v>Brushland</v>
      </c>
      <c r="R50" s="3" t="s">
        <v>2181</v>
      </c>
      <c r="AX50" t="str">
        <v>Llanowar Reborn</v>
      </c>
      <c r="BG50" t="str">
        <f ca="1"/>
        <v>Spectator Seating</v>
      </c>
      <c r="BH50" t="str">
        <f ca="1"/>
        <v>Purphoros, God of the Forge</v>
      </c>
      <c r="BI50" t="str">
        <f ca="1"/>
        <v>Gruul Signet</v>
      </c>
      <c r="BM50" t="str">
        <f ca="1"/>
        <v>Stoneforge Mystic</v>
      </c>
      <c r="BN50" t="str">
        <f ca="1"/>
        <v>Merrow Harbinger</v>
      </c>
      <c r="BO50" t="str">
        <f ca="1"/>
        <v>Earthbending Student</v>
      </c>
      <c r="BQ50" t="str">
        <f ca="1"/>
        <v>Polluted Delta</v>
      </c>
      <c r="BR50" t="str">
        <f ca="1"/>
        <v>Grave Pact</v>
      </c>
      <c r="BT50" t="str">
        <f ca="1"/>
        <v>Elspeth, Sun's Champion</v>
      </c>
    </row>
    <row r="51" spans="1:72" x14ac:dyDescent="0.25">
      <c r="A51" s="3" t="str">
        <f t="shared" ca="1" si="0"/>
        <v>4</v>
      </c>
      <c r="B51" s="3">
        <f t="shared" ca="1" si="1"/>
        <v>1</v>
      </c>
      <c r="C51" s="3" t="str">
        <f ca="1">IFERROR(
 INDEX($U$1:$AX$1,
  MATCH(TRUE,
   CHOOSE({1;2;3;4;5;6;7;8;9;10;11;12;13;14;15;16;17;18;19;20;21;22;23;24;25;26;27;28;29;30;31;32},
    COUNTIFS($U$2:$U$200,$G51)&gt;0,
    COUNTIFS($V$2:$V$200,$G51)&gt;0,
    COUNTIFS($W$2:$W$200,$G51)&gt;0,
    COUNTIFS($X$2:$X$200,$G51)&gt;0,
    COUNTIFS($Y$2:$Y$200,$G51)&gt;0,
    COUNTIFS($Z$2:$Z$200,$G51)&gt;0,
    COUNTIFS($AA$2:$AA$200,$G51)&gt;0,
    COUNTIFS($AB$2:$AB$200,$G51)&gt;0,
    COUNTIFS($AC$2:$AC$200,$G51)&gt;0,
    COUNTIFS($AD$2:$AD$200,$G51)&gt;0,
    COUNTIFS($AE$2:$AE$200,$G51)&gt;0,
    COUNTIFS($AF$2:$AF$200,$G51)&gt;0,
    COUNTIFS($AG$2:$AG$200,$G51)&gt;0,
    COUNTIFS($AH$2:$AH$200,$G51)&gt;0,
    COUNTIFS($AI$2:$AI$200,$G51)&gt;0,
    COUNTIFS($AJ$2:$AJ$200,$G51)&gt;0,
    COUNTIFS($AK$2:$AK$200,$G51)&gt;0,
    COUNTIFS($AL$2:$AL$200,$G51)&gt;0,
    COUNTIFS($AM$2:$AM$200,$G51)&gt;0,
    COUNTIFS($AN$2:$AN$200,$G51)&gt;0,
    COUNTIFS($AO$2:$AO$200,$G51)&gt;0,
    COUNTIFS($AP$2:$AP$200,$G51)&gt;0,
    COUNTIFS($AQ$2:$AQ$200,$G51)&gt;0,
    COUNTIFS($AR$2:$AR$200,$G51)&gt;0,
    COUNTIFS($AS$2:$AS$200,$G51)&gt;0,
    COUNTIFS($AT$2:$AT$200,$G51)&gt;0,
    COUNTIFS($AU$2:$AU$200,$G51)&gt;0,
    COUNTIFS($AV$2:$AV$200,$G51)&gt;0,
    COUNTIFS($AW$2:$AW$200,$G51)&gt;0,
    COUNTIFS($AX$2:$AX$200,$G51)&gt;0
   ),
  0)
 ),
"")</f>
        <v>Kresh</v>
      </c>
      <c r="D51" s="3" t="str" cm="1">
        <f t="array" aca="1" ref="D51" ca="1">IFERROR(
 INDEX(
  _xlfn._xlws.FILTER($U$1:$AX$1,
   TRANSPOSE(
    CHOOSE({1;2;3;4;5;6;7;8;9;10;11;12;13;14;15;16;17;18;19;20;21;22;23;24;25;26;27;28;29;30},
     COUNTIFS($U$2:$U$200,$G51)&gt;0,
     COUNTIFS($V$2:$V$200,$G51)&gt;0,
     COUNTIFS($W$2:$W$200,$G51)&gt;0,
     COUNTIFS($X$2:$X$200,$G51)&gt;0,
     COUNTIFS($Y$2:$Y$200,$G51)&gt;0,
     COUNTIFS($Z$2:$Z$200,$G51)&gt;0,
     COUNTIFS($AA$2:$AA$200,$G51)&gt;0,
     COUNTIFS($AB$2:$AB$200,$G51)&gt;0,
     COUNTIFS($AC$2:$AC$200,$G51)&gt;0,
     COUNTIFS($AD$2:$AD$200,$G51)&gt;0,
     COUNTIFS($AE$2:$AE$200,$G51)&gt;0,
     COUNTIFS($AF$2:$AF$200,$G51)&gt;0,
     COUNTIFS($AG$2:$AG$200,$G51)&gt;0,
     COUNTIFS($AH$2:$AH$200,$G51)&gt;0,
     COUNTIFS($AI$2:$AI$200,$G51)&gt;0,
     COUNTIFS($AJ$2:$AJ$200,$G51)&gt;0,
     COUNTIFS($AK$2:$AK$200,$G51)&gt;0,
     COUNTIFS($AL$2:$AL$200,$G51)&gt;0,
     COUNTIFS($AM$2:$AM$200,$G51)&gt;0,
     COUNTIFS($AN$2:$AN$200,$G51)&gt;0,
     COUNTIFS($AO$2:$AO$200,$G51)&gt;0,
     COUNTIFS($AP$2:$AP$200,$G51)&gt;0,
     COUNTIFS($AQ$2:$AQ$200,$G51)&gt;0,
     COUNTIFS($AR$2:$AR$200,$G51)&gt;0,
     COUNTIFS($AS$2:$AS$200,$G51)&gt;0,
     COUNTIFS($AT$2:$AT$200,$G51)&gt;0,
     COUNTIFS($AU$2:$AU$200,$G51)&gt;0,
     COUNTIFS($AV$2:$AV$200,$G51)&gt;0,
     COUNTIFS($AW$2:$AW$200,$G51)&gt;0,
     COUNTIFS($AX$2:$AX$200,$G51)&gt;0
   )),
  ),
  2
 ),
"")</f>
        <v/>
      </c>
      <c r="E51" s="3" t="str" cm="1">
        <f t="array" aca="1" ref="E51" ca="1">IFERROR(
 INDEX(
  _xlfn._xlws.FILTER($U$1:$AX$1,
   TRANSPOSE(
    CHOOSE({1;2;3;4;5;6;7;8;9;10;11;12;13;14;15;16;17;18;19;20;21;22;23;24;25;26;27;28;29;30},
     COUNTIFS($U$2:$U$200,$G51)&gt;0,
     COUNTIFS($V$2:$V$200,$G51)&gt;0,
     COUNTIFS($W$2:$W$200,$G51)&gt;0,
     COUNTIFS($X$2:$X$200,$G51)&gt;0,
     COUNTIFS($Y$2:$Y$200,$G51)&gt;0,
     COUNTIFS($Z$2:$Z$200,$G51)&gt;0,
     COUNTIFS($AA$2:$AA$200,$G51)&gt;0,
     COUNTIFS($AB$2:$AB$200,$G51)&gt;0,
     COUNTIFS($AC$2:$AC$200,$G51)&gt;0,
     COUNTIFS($AD$2:$AD$200,$G51)&gt;0,
     COUNTIFS($AE$2:$AE$200,$G51)&gt;0,
     COUNTIFS($AF$2:$AF$200,$G51)&gt;0,
     COUNTIFS($AG$2:$AG$200,$G51)&gt;0,
     COUNTIFS($AH$2:$AH$200,$G51)&gt;0,
     COUNTIFS($AI$2:$AI$200,$G51)&gt;0,
     COUNTIFS($AJ$2:$AJ$200,$G51)&gt;0,
     COUNTIFS($AK$2:$AK$200,$G51)&gt;0,
     COUNTIFS($AL$2:$AL$200,$G51)&gt;0,
     COUNTIFS($AM$2:$AM$200,$G51)&gt;0,
     COUNTIFS($AN$2:$AN$200,$G51)&gt;0,
     COUNTIFS($AO$2:$AO$200,$G51)&gt;0,
     COUNTIFS($AP$2:$AP$200,$G51)&gt;0,
     COUNTIFS($AQ$2:$AQ$200,$G51)&gt;0,
     COUNTIFS($AR$2:$AR$200,$G51)&gt;0,
     COUNTIFS($AS$2:$AS$200,$G51)&gt;0,
     COUNTIFS($AT$2:$AT$200,$G51)&gt;0,
     COUNTIFS($AU$2:$AU$200,$G51)&gt;0,
     COUNTIFS($AV$2:$AV$200,$G51)&gt;0,
     COUNTIFS($AW$2:$AW$200,$G51)&gt;0,
     COUNTIFS($AX$2:$AX$200,$G51)&gt;0
   )),
  ),
  3
 ),
"")</f>
        <v/>
      </c>
      <c r="F51" s="3" t="str" cm="1">
        <f t="array" aca="1" ref="F51" ca="1">IFERROR(
 INDEX(
  _xlfn._xlws.FILTER($U$1:$AX$1,
   TRANSPOSE(
    CHOOSE({1;2;3;4;5;6;7;8;9;10;11;12;13;14;15;16;17;18;19;20;21;22;23;24;25;26;27;28;29;30},
     COUNTIFS($U$2:$U$200,$G51)&gt;0,
     COUNTIFS($V$2:$V$200,$G51)&gt;0,
     COUNTIFS($W$2:$W$200,$G51)&gt;0,
     COUNTIFS($X$2:$X$200,$G51)&gt;0,
     COUNTIFS($Y$2:$Y$200,$G51)&gt;0,
     COUNTIFS($Z$2:$Z$200,$G51)&gt;0,
     COUNTIFS($AA$2:$AA$200,$G51)&gt;0,
     COUNTIFS($AB$2:$AB$200,$G51)&gt;0,
     COUNTIFS($AC$2:$AC$200,$G51)&gt;0,
     COUNTIFS($AD$2:$AD$200,$G51)&gt;0,
     COUNTIFS($AE$2:$AE$200,$G51)&gt;0,
     COUNTIFS($AF$2:$AF$200,$G51)&gt;0,
     COUNTIFS($AG$2:$AG$200,$G51)&gt;0,
     COUNTIFS($AH$2:$AH$200,$G51)&gt;0,
     COUNTIFS($AI$2:$AI$200,$G51)&gt;0,
     COUNTIFS($AJ$2:$AJ$200,$G51)&gt;0,
     COUNTIFS($AK$2:$AK$200,$G51)&gt;0,
     COUNTIFS($AL$2:$AL$200,$G51)&gt;0,
     COUNTIFS($AM$2:$AM$200,$G51)&gt;0,
     COUNTIFS($AN$2:$AN$200,$G51)&gt;0,
     COUNTIFS($AO$2:$AO$200,$G51)&gt;0,
     COUNTIFS($AP$2:$AP$200,$G51)&gt;0,
     COUNTIFS($AQ$2:$AQ$200,$G51)&gt;0,
     COUNTIFS($AR$2:$AR$200,$G51)&gt;0,
     COUNTIFS($AS$2:$AS$200,$G51)&gt;0,
     COUNTIFS($AT$2:$AT$200,$G51)&gt;0,
     COUNTIFS($AU$2:$AU$200,$G51)&gt;0,
     COUNTIFS($AV$2:$AV$200,$G51)&gt;0,
     COUNTIFS($AW$2:$AW$200,$G51)&gt;0,
     COUNTIFS($AX$2:$AX$200,$G51)&gt;0
   )),
  ),
  4
 ),
"")</f>
        <v/>
      </c>
      <c r="G51" t="str">
        <f ca="1"/>
        <v>Bugenhagen, Wise Elder</v>
      </c>
      <c r="AX51" t="str">
        <v>Long-Range Sensor</v>
      </c>
      <c r="BG51" t="str">
        <f ca="1"/>
        <v>Stonybrook Banneret</v>
      </c>
      <c r="BH51" t="str">
        <f ca="1"/>
        <v>Resourceful Defense</v>
      </c>
      <c r="BI51" t="str">
        <f ca="1"/>
        <v>Hangarback Walker</v>
      </c>
      <c r="BM51" t="str">
        <f ca="1"/>
        <v>Takenuma, Charco Abandonado</v>
      </c>
      <c r="BN51" t="str">
        <f ca="1"/>
        <v>Misty Rainforest</v>
      </c>
      <c r="BO51" t="str">
        <f ca="1"/>
        <v>Elvish Reclaimer</v>
      </c>
      <c r="BQ51" t="str">
        <f ca="1"/>
        <v>Portal to Phyrexia</v>
      </c>
      <c r="BR51" t="str">
        <f ca="1"/>
        <v>Guia das Almas</v>
      </c>
      <c r="BT51" t="str">
        <f ca="1"/>
        <v>Emergency Eject</v>
      </c>
    </row>
    <row r="52" spans="1:72" x14ac:dyDescent="0.25">
      <c r="A52" s="3" t="str">
        <f t="shared" ca="1" si="0"/>
        <v>1</v>
      </c>
      <c r="B52" s="3">
        <f t="shared" ca="1" si="1"/>
        <v>1</v>
      </c>
      <c r="C52" s="3" t="str">
        <f ca="1">IFERROR(
 INDEX($U$1:$AX$1,
  MATCH(TRUE,
   CHOOSE({1;2;3;4;5;6;7;8;9;10;11;12;13;14;15;16;17;18;19;20;21;22;23;24;25;26;27;28;29;30;31;32},
    COUNTIFS($U$2:$U$200,$G52)&gt;0,
    COUNTIFS($V$2:$V$200,$G52)&gt;0,
    COUNTIFS($W$2:$W$200,$G52)&gt;0,
    COUNTIFS($X$2:$X$200,$G52)&gt;0,
    COUNTIFS($Y$2:$Y$200,$G52)&gt;0,
    COUNTIFS($Z$2:$Z$200,$G52)&gt;0,
    COUNTIFS($AA$2:$AA$200,$G52)&gt;0,
    COUNTIFS($AB$2:$AB$200,$G52)&gt;0,
    COUNTIFS($AC$2:$AC$200,$G52)&gt;0,
    COUNTIFS($AD$2:$AD$200,$G52)&gt;0,
    COUNTIFS($AE$2:$AE$200,$G52)&gt;0,
    COUNTIFS($AF$2:$AF$200,$G52)&gt;0,
    COUNTIFS($AG$2:$AG$200,$G52)&gt;0,
    COUNTIFS($AH$2:$AH$200,$G52)&gt;0,
    COUNTIFS($AI$2:$AI$200,$G52)&gt;0,
    COUNTIFS($AJ$2:$AJ$200,$G52)&gt;0,
    COUNTIFS($AK$2:$AK$200,$G52)&gt;0,
    COUNTIFS($AL$2:$AL$200,$G52)&gt;0,
    COUNTIFS($AM$2:$AM$200,$G52)&gt;0,
    COUNTIFS($AN$2:$AN$200,$G52)&gt;0,
    COUNTIFS($AO$2:$AO$200,$G52)&gt;0,
    COUNTIFS($AP$2:$AP$200,$G52)&gt;0,
    COUNTIFS($AQ$2:$AQ$200,$G52)&gt;0,
    COUNTIFS($AR$2:$AR$200,$G52)&gt;0,
    COUNTIFS($AS$2:$AS$200,$G52)&gt;0,
    COUNTIFS($AT$2:$AT$200,$G52)&gt;0,
    COUNTIFS($AU$2:$AU$200,$G52)&gt;0,
    COUNTIFS($AV$2:$AV$200,$G52)&gt;0,
    COUNTIFS($AW$2:$AW$200,$G52)&gt;0,
    COUNTIFS($AX$2:$AX$200,$G52)&gt;0
   ),
  0)
 ),
"")</f>
        <v>Tayam</v>
      </c>
      <c r="D52" s="3" t="str" cm="1">
        <f t="array" aca="1" ref="D52" ca="1">IFERROR(
 INDEX(
  _xlfn._xlws.FILTER($U$1:$AX$1,
   TRANSPOSE(
    CHOOSE({1;2;3;4;5;6;7;8;9;10;11;12;13;14;15;16;17;18;19;20;21;22;23;24;25;26;27;28;29;30},
     COUNTIFS($U$2:$U$200,$G52)&gt;0,
     COUNTIFS($V$2:$V$200,$G52)&gt;0,
     COUNTIFS($W$2:$W$200,$G52)&gt;0,
     COUNTIFS($X$2:$X$200,$G52)&gt;0,
     COUNTIFS($Y$2:$Y$200,$G52)&gt;0,
     COUNTIFS($Z$2:$Z$200,$G52)&gt;0,
     COUNTIFS($AA$2:$AA$200,$G52)&gt;0,
     COUNTIFS($AB$2:$AB$200,$G52)&gt;0,
     COUNTIFS($AC$2:$AC$200,$G52)&gt;0,
     COUNTIFS($AD$2:$AD$200,$G52)&gt;0,
     COUNTIFS($AE$2:$AE$200,$G52)&gt;0,
     COUNTIFS($AF$2:$AF$200,$G52)&gt;0,
     COUNTIFS($AG$2:$AG$200,$G52)&gt;0,
     COUNTIFS($AH$2:$AH$200,$G52)&gt;0,
     COUNTIFS($AI$2:$AI$200,$G52)&gt;0,
     COUNTIFS($AJ$2:$AJ$200,$G52)&gt;0,
     COUNTIFS($AK$2:$AK$200,$G52)&gt;0,
     COUNTIFS($AL$2:$AL$200,$G52)&gt;0,
     COUNTIFS($AM$2:$AM$200,$G52)&gt;0,
     COUNTIFS($AN$2:$AN$200,$G52)&gt;0,
     COUNTIFS($AO$2:$AO$200,$G52)&gt;0,
     COUNTIFS($AP$2:$AP$200,$G52)&gt;0,
     COUNTIFS($AQ$2:$AQ$200,$G52)&gt;0,
     COUNTIFS($AR$2:$AR$200,$G52)&gt;0,
     COUNTIFS($AS$2:$AS$200,$G52)&gt;0,
     COUNTIFS($AT$2:$AT$200,$G52)&gt;0,
     COUNTIFS($AU$2:$AU$200,$G52)&gt;0,
     COUNTIFS($AV$2:$AV$200,$G52)&gt;0,
     COUNTIFS($AW$2:$AW$200,$G52)&gt;0,
     COUNTIFS($AX$2:$AX$200,$G52)&gt;0
   )),
  ),
  2
 ),
"")</f>
        <v/>
      </c>
      <c r="E52" s="3" t="str" cm="1">
        <f t="array" aca="1" ref="E52" ca="1">IFERROR(
 INDEX(
  _xlfn._xlws.FILTER($U$1:$AX$1,
   TRANSPOSE(
    CHOOSE({1;2;3;4;5;6;7;8;9;10;11;12;13;14;15;16;17;18;19;20;21;22;23;24;25;26;27;28;29;30},
     COUNTIFS($U$2:$U$200,$G52)&gt;0,
     COUNTIFS($V$2:$V$200,$G52)&gt;0,
     COUNTIFS($W$2:$W$200,$G52)&gt;0,
     COUNTIFS($X$2:$X$200,$G52)&gt;0,
     COUNTIFS($Y$2:$Y$200,$G52)&gt;0,
     COUNTIFS($Z$2:$Z$200,$G52)&gt;0,
     COUNTIFS($AA$2:$AA$200,$G52)&gt;0,
     COUNTIFS($AB$2:$AB$200,$G52)&gt;0,
     COUNTIFS($AC$2:$AC$200,$G52)&gt;0,
     COUNTIFS($AD$2:$AD$200,$G52)&gt;0,
     COUNTIFS($AE$2:$AE$200,$G52)&gt;0,
     COUNTIFS($AF$2:$AF$200,$G52)&gt;0,
     COUNTIFS($AG$2:$AG$200,$G52)&gt;0,
     COUNTIFS($AH$2:$AH$200,$G52)&gt;0,
     COUNTIFS($AI$2:$AI$200,$G52)&gt;0,
     COUNTIFS($AJ$2:$AJ$200,$G52)&gt;0,
     COUNTIFS($AK$2:$AK$200,$G52)&gt;0,
     COUNTIFS($AL$2:$AL$200,$G52)&gt;0,
     COUNTIFS($AM$2:$AM$200,$G52)&gt;0,
     COUNTIFS($AN$2:$AN$200,$G52)&gt;0,
     COUNTIFS($AO$2:$AO$200,$G52)&gt;0,
     COUNTIFS($AP$2:$AP$200,$G52)&gt;0,
     COUNTIFS($AQ$2:$AQ$200,$G52)&gt;0,
     COUNTIFS($AR$2:$AR$200,$G52)&gt;0,
     COUNTIFS($AS$2:$AS$200,$G52)&gt;0,
     COUNTIFS($AT$2:$AT$200,$G52)&gt;0,
     COUNTIFS($AU$2:$AU$200,$G52)&gt;0,
     COUNTIFS($AV$2:$AV$200,$G52)&gt;0,
     COUNTIFS($AW$2:$AW$200,$G52)&gt;0,
     COUNTIFS($AX$2:$AX$200,$G52)&gt;0
   )),
  ),
  3
 ),
"")</f>
        <v/>
      </c>
      <c r="F52" s="3" t="str" cm="1">
        <f t="array" aca="1" ref="F52" ca="1">IFERROR(
 INDEX(
  _xlfn._xlws.FILTER($U$1:$AX$1,
   TRANSPOSE(
    CHOOSE({1;2;3;4;5;6;7;8;9;10;11;12;13;14;15;16;17;18;19;20;21;22;23;24;25;26;27;28;29;30},
     COUNTIFS($U$2:$U$200,$G52)&gt;0,
     COUNTIFS($V$2:$V$200,$G52)&gt;0,
     COUNTIFS($W$2:$W$200,$G52)&gt;0,
     COUNTIFS($X$2:$X$200,$G52)&gt;0,
     COUNTIFS($Y$2:$Y$200,$G52)&gt;0,
     COUNTIFS($Z$2:$Z$200,$G52)&gt;0,
     COUNTIFS($AA$2:$AA$200,$G52)&gt;0,
     COUNTIFS($AB$2:$AB$200,$G52)&gt;0,
     COUNTIFS($AC$2:$AC$200,$G52)&gt;0,
     COUNTIFS($AD$2:$AD$200,$G52)&gt;0,
     COUNTIFS($AE$2:$AE$200,$G52)&gt;0,
     COUNTIFS($AF$2:$AF$200,$G52)&gt;0,
     COUNTIFS($AG$2:$AG$200,$G52)&gt;0,
     COUNTIFS($AH$2:$AH$200,$G52)&gt;0,
     COUNTIFS($AI$2:$AI$200,$G52)&gt;0,
     COUNTIFS($AJ$2:$AJ$200,$G52)&gt;0,
     COUNTIFS($AK$2:$AK$200,$G52)&gt;0,
     COUNTIFS($AL$2:$AL$200,$G52)&gt;0,
     COUNTIFS($AM$2:$AM$200,$G52)&gt;0,
     COUNTIFS($AN$2:$AN$200,$G52)&gt;0,
     COUNTIFS($AO$2:$AO$200,$G52)&gt;0,
     COUNTIFS($AP$2:$AP$200,$G52)&gt;0,
     COUNTIFS($AQ$2:$AQ$200,$G52)&gt;0,
     COUNTIFS($AR$2:$AR$200,$G52)&gt;0,
     COUNTIFS($AS$2:$AS$200,$G52)&gt;0,
     COUNTIFS($AT$2:$AT$200,$G52)&gt;0,
     COUNTIFS($AU$2:$AU$200,$G52)&gt;0,
     COUNTIFS($AV$2:$AV$200,$G52)&gt;0,
     COUNTIFS($AW$2:$AW$200,$G52)&gt;0,
     COUNTIFS($AX$2:$AX$200,$G52)&gt;0
   )),
  ),
  4
 ),
"")</f>
        <v/>
      </c>
      <c r="G52" t="str">
        <f ca="1"/>
        <v>Bulwark Ox</v>
      </c>
      <c r="AX52" t="str">
        <v>Lotus Field</v>
      </c>
      <c r="BG52" t="str">
        <f ca="1"/>
        <v>Summon: Leviathan</v>
      </c>
      <c r="BH52" t="str">
        <f ca="1"/>
        <v>Retribution of the Ancients</v>
      </c>
      <c r="BI52" t="str">
        <f ca="1"/>
        <v>Hanza, Guardian of Arashin</v>
      </c>
      <c r="BM52" t="str">
        <f ca="1"/>
        <v>Terramorphic Expanse</v>
      </c>
      <c r="BN52" t="str">
        <f ca="1"/>
        <v>Monastery Siege</v>
      </c>
      <c r="BO52" t="str">
        <f ca="1"/>
        <v>Emberwilde Captain</v>
      </c>
      <c r="BQ52" t="str">
        <f ca="1"/>
        <v>Prismatic Strands</v>
      </c>
      <c r="BR52" t="str">
        <f ca="1"/>
        <v>Harvest Season</v>
      </c>
      <c r="BT52" t="str">
        <f ca="1"/>
        <v>Emrakul, um Novo Mundo</v>
      </c>
    </row>
    <row r="53" spans="1:72" x14ac:dyDescent="0.25">
      <c r="A53" s="3" t="str">
        <f t="shared" ca="1" si="0"/>
        <v>1</v>
      </c>
      <c r="B53" s="3">
        <f t="shared" ca="1" si="1"/>
        <v>1</v>
      </c>
      <c r="C53" s="3" t="str">
        <f ca="1">IFERROR(
 INDEX($U$1:$AX$1,
  MATCH(TRUE,
   CHOOSE({1;2;3;4;5;6;7;8;9;10;11;12;13;14;15;16;17;18;19;20;21;22;23;24;25;26;27;28;29;30;31;32},
    COUNTIFS($U$2:$U$200,$G53)&gt;0,
    COUNTIFS($V$2:$V$200,$G53)&gt;0,
    COUNTIFS($W$2:$W$200,$G53)&gt;0,
    COUNTIFS($X$2:$X$200,$G53)&gt;0,
    COUNTIFS($Y$2:$Y$200,$G53)&gt;0,
    COUNTIFS($Z$2:$Z$200,$G53)&gt;0,
    COUNTIFS($AA$2:$AA$200,$G53)&gt;0,
    COUNTIFS($AB$2:$AB$200,$G53)&gt;0,
    COUNTIFS($AC$2:$AC$200,$G53)&gt;0,
    COUNTIFS($AD$2:$AD$200,$G53)&gt;0,
    COUNTIFS($AE$2:$AE$200,$G53)&gt;0,
    COUNTIFS($AF$2:$AF$200,$G53)&gt;0,
    COUNTIFS($AG$2:$AG$200,$G53)&gt;0,
    COUNTIFS($AH$2:$AH$200,$G53)&gt;0,
    COUNTIFS($AI$2:$AI$200,$G53)&gt;0,
    COUNTIFS($AJ$2:$AJ$200,$G53)&gt;0,
    COUNTIFS($AK$2:$AK$200,$G53)&gt;0,
    COUNTIFS($AL$2:$AL$200,$G53)&gt;0,
    COUNTIFS($AM$2:$AM$200,$G53)&gt;0,
    COUNTIFS($AN$2:$AN$200,$G53)&gt;0,
    COUNTIFS($AO$2:$AO$200,$G53)&gt;0,
    COUNTIFS($AP$2:$AP$200,$G53)&gt;0,
    COUNTIFS($AQ$2:$AQ$200,$G53)&gt;0,
    COUNTIFS($AR$2:$AR$200,$G53)&gt;0,
    COUNTIFS($AS$2:$AS$200,$G53)&gt;0,
    COUNTIFS($AT$2:$AT$200,$G53)&gt;0,
    COUNTIFS($AU$2:$AU$200,$G53)&gt;0,
    COUNTIFS($AV$2:$AV$200,$G53)&gt;0,
    COUNTIFS($AW$2:$AW$200,$G53)&gt;0,
    COUNTIFS($AX$2:$AX$200,$G53)&gt;0
   ),
  0)
 ),
"")</f>
        <v>Modular</v>
      </c>
      <c r="D53" s="3" t="str" cm="1">
        <f t="array" aca="1" ref="D53" ca="1">IFERROR(
 INDEX(
  _xlfn._xlws.FILTER($U$1:$AX$1,
   TRANSPOSE(
    CHOOSE({1;2;3;4;5;6;7;8;9;10;11;12;13;14;15;16;17;18;19;20;21;22;23;24;25;26;27;28;29;30},
     COUNTIFS($U$2:$U$200,$G53)&gt;0,
     COUNTIFS($V$2:$V$200,$G53)&gt;0,
     COUNTIFS($W$2:$W$200,$G53)&gt;0,
     COUNTIFS($X$2:$X$200,$G53)&gt;0,
     COUNTIFS($Y$2:$Y$200,$G53)&gt;0,
     COUNTIFS($Z$2:$Z$200,$G53)&gt;0,
     COUNTIFS($AA$2:$AA$200,$G53)&gt;0,
     COUNTIFS($AB$2:$AB$200,$G53)&gt;0,
     COUNTIFS($AC$2:$AC$200,$G53)&gt;0,
     COUNTIFS($AD$2:$AD$200,$G53)&gt;0,
     COUNTIFS($AE$2:$AE$200,$G53)&gt;0,
     COUNTIFS($AF$2:$AF$200,$G53)&gt;0,
     COUNTIFS($AG$2:$AG$200,$G53)&gt;0,
     COUNTIFS($AH$2:$AH$200,$G53)&gt;0,
     COUNTIFS($AI$2:$AI$200,$G53)&gt;0,
     COUNTIFS($AJ$2:$AJ$200,$G53)&gt;0,
     COUNTIFS($AK$2:$AK$200,$G53)&gt;0,
     COUNTIFS($AL$2:$AL$200,$G53)&gt;0,
     COUNTIFS($AM$2:$AM$200,$G53)&gt;0,
     COUNTIFS($AN$2:$AN$200,$G53)&gt;0,
     COUNTIFS($AO$2:$AO$200,$G53)&gt;0,
     COUNTIFS($AP$2:$AP$200,$G53)&gt;0,
     COUNTIFS($AQ$2:$AQ$200,$G53)&gt;0,
     COUNTIFS($AR$2:$AR$200,$G53)&gt;0,
     COUNTIFS($AS$2:$AS$200,$G53)&gt;0,
     COUNTIFS($AT$2:$AT$200,$G53)&gt;0,
     COUNTIFS($AU$2:$AU$200,$G53)&gt;0,
     COUNTIFS($AV$2:$AV$200,$G53)&gt;0,
     COUNTIFS($AW$2:$AW$200,$G53)&gt;0,
     COUNTIFS($AX$2:$AX$200,$G53)&gt;0
   )),
  ),
  2
 ),
"")</f>
        <v/>
      </c>
      <c r="E53" s="3" t="str" cm="1">
        <f t="array" aca="1" ref="E53" ca="1">IFERROR(
 INDEX(
  _xlfn._xlws.FILTER($U$1:$AX$1,
   TRANSPOSE(
    CHOOSE({1;2;3;4;5;6;7;8;9;10;11;12;13;14;15;16;17;18;19;20;21;22;23;24;25;26;27;28;29;30},
     COUNTIFS($U$2:$U$200,$G53)&gt;0,
     COUNTIFS($V$2:$V$200,$G53)&gt;0,
     COUNTIFS($W$2:$W$200,$G53)&gt;0,
     COUNTIFS($X$2:$X$200,$G53)&gt;0,
     COUNTIFS($Y$2:$Y$200,$G53)&gt;0,
     COUNTIFS($Z$2:$Z$200,$G53)&gt;0,
     COUNTIFS($AA$2:$AA$200,$G53)&gt;0,
     COUNTIFS($AB$2:$AB$200,$G53)&gt;0,
     COUNTIFS($AC$2:$AC$200,$G53)&gt;0,
     COUNTIFS($AD$2:$AD$200,$G53)&gt;0,
     COUNTIFS($AE$2:$AE$200,$G53)&gt;0,
     COUNTIFS($AF$2:$AF$200,$G53)&gt;0,
     COUNTIFS($AG$2:$AG$200,$G53)&gt;0,
     COUNTIFS($AH$2:$AH$200,$G53)&gt;0,
     COUNTIFS($AI$2:$AI$200,$G53)&gt;0,
     COUNTIFS($AJ$2:$AJ$200,$G53)&gt;0,
     COUNTIFS($AK$2:$AK$200,$G53)&gt;0,
     COUNTIFS($AL$2:$AL$200,$G53)&gt;0,
     COUNTIFS($AM$2:$AM$200,$G53)&gt;0,
     COUNTIFS($AN$2:$AN$200,$G53)&gt;0,
     COUNTIFS($AO$2:$AO$200,$G53)&gt;0,
     COUNTIFS($AP$2:$AP$200,$G53)&gt;0,
     COUNTIFS($AQ$2:$AQ$200,$G53)&gt;0,
     COUNTIFS($AR$2:$AR$200,$G53)&gt;0,
     COUNTIFS($AS$2:$AS$200,$G53)&gt;0,
     COUNTIFS($AT$2:$AT$200,$G53)&gt;0,
     COUNTIFS($AU$2:$AU$200,$G53)&gt;0,
     COUNTIFS($AV$2:$AV$200,$G53)&gt;0,
     COUNTIFS($AW$2:$AW$200,$G53)&gt;0,
     COUNTIFS($AX$2:$AX$200,$G53)&gt;0
   )),
  ),
  3
 ),
"")</f>
        <v/>
      </c>
      <c r="F53" s="3" t="str" cm="1">
        <f t="array" aca="1" ref="F53" ca="1">IFERROR(
 INDEX(
  _xlfn._xlws.FILTER($U$1:$AX$1,
   TRANSPOSE(
    CHOOSE({1;2;3;4;5;6;7;8;9;10;11;12;13;14;15;16;17;18;19;20;21;22;23;24;25;26;27;28;29;30},
     COUNTIFS($U$2:$U$200,$G53)&gt;0,
     COUNTIFS($V$2:$V$200,$G53)&gt;0,
     COUNTIFS($W$2:$W$200,$G53)&gt;0,
     COUNTIFS($X$2:$X$200,$G53)&gt;0,
     COUNTIFS($Y$2:$Y$200,$G53)&gt;0,
     COUNTIFS($Z$2:$Z$200,$G53)&gt;0,
     COUNTIFS($AA$2:$AA$200,$G53)&gt;0,
     COUNTIFS($AB$2:$AB$200,$G53)&gt;0,
     COUNTIFS($AC$2:$AC$200,$G53)&gt;0,
     COUNTIFS($AD$2:$AD$200,$G53)&gt;0,
     COUNTIFS($AE$2:$AE$200,$G53)&gt;0,
     COUNTIFS($AF$2:$AF$200,$G53)&gt;0,
     COUNTIFS($AG$2:$AG$200,$G53)&gt;0,
     COUNTIFS($AH$2:$AH$200,$G53)&gt;0,
     COUNTIFS($AI$2:$AI$200,$G53)&gt;0,
     COUNTIFS($AJ$2:$AJ$200,$G53)&gt;0,
     COUNTIFS($AK$2:$AK$200,$G53)&gt;0,
     COUNTIFS($AL$2:$AL$200,$G53)&gt;0,
     COUNTIFS($AM$2:$AM$200,$G53)&gt;0,
     COUNTIFS($AN$2:$AN$200,$G53)&gt;0,
     COUNTIFS($AO$2:$AO$200,$G53)&gt;0,
     COUNTIFS($AP$2:$AP$200,$G53)&gt;0,
     COUNTIFS($AQ$2:$AQ$200,$G53)&gt;0,
     COUNTIFS($AR$2:$AR$200,$G53)&gt;0,
     COUNTIFS($AS$2:$AS$200,$G53)&gt;0,
     COUNTIFS($AT$2:$AT$200,$G53)&gt;0,
     COUNTIFS($AU$2:$AU$200,$G53)&gt;0,
     COUNTIFS($AV$2:$AV$200,$G53)&gt;0,
     COUNTIFS($AW$2:$AW$200,$G53)&gt;0,
     COUNTIFS($AX$2:$AX$200,$G53)&gt;0
   )),
  ),
  4
 ),
"")</f>
        <v/>
      </c>
      <c r="G53" t="str">
        <f ca="1"/>
        <v>Buried Ruin</v>
      </c>
      <c r="AX53" t="str">
        <v>Marketback Walker</v>
      </c>
      <c r="BG53" t="str">
        <f ca="1"/>
        <v>Surgespanner</v>
      </c>
      <c r="BH53" t="str">
        <f ca="1"/>
        <v>Reyhan, Last of the Abzan</v>
      </c>
      <c r="BI53" t="str">
        <f ca="1"/>
        <v>Haru, Hidden Talent</v>
      </c>
      <c r="BM53" t="str">
        <f ca="1"/>
        <v>The Masamune</v>
      </c>
      <c r="BN53" t="str">
        <f ca="1"/>
        <v>Nicol Bolas, God-Pharaoh</v>
      </c>
      <c r="BO53" t="str">
        <f ca="1"/>
        <v>Emrakul, um Novo Mundo</v>
      </c>
      <c r="BQ53" t="str">
        <f ca="1"/>
        <v>Raffine's Tower</v>
      </c>
      <c r="BR53" t="str">
        <f ca="1"/>
        <v>Havengul Laboratory</v>
      </c>
      <c r="BT53" t="str">
        <f ca="1"/>
        <v>Enduring Innocence</v>
      </c>
    </row>
    <row r="54" spans="1:72" x14ac:dyDescent="0.25">
      <c r="A54" s="3" t="str">
        <f t="shared" ca="1" si="0"/>
        <v>3</v>
      </c>
      <c r="B54" s="3">
        <f t="shared" ca="1" si="1"/>
        <v>1</v>
      </c>
      <c r="C54" s="3" t="str">
        <f ca="1">IFERROR(
 INDEX($U$1:$AX$1,
  MATCH(TRUE,
   CHOOSE({1;2;3;4;5;6;7;8;9;10;11;12;13;14;15;16;17;18;19;20;21;22;23;24;25;26;27;28;29;30;31;32},
    COUNTIFS($U$2:$U$200,$G54)&gt;0,
    COUNTIFS($V$2:$V$200,$G54)&gt;0,
    COUNTIFS($W$2:$W$200,$G54)&gt;0,
    COUNTIFS($X$2:$X$200,$G54)&gt;0,
    COUNTIFS($Y$2:$Y$200,$G54)&gt;0,
    COUNTIFS($Z$2:$Z$200,$G54)&gt;0,
    COUNTIFS($AA$2:$AA$200,$G54)&gt;0,
    COUNTIFS($AB$2:$AB$200,$G54)&gt;0,
    COUNTIFS($AC$2:$AC$200,$G54)&gt;0,
    COUNTIFS($AD$2:$AD$200,$G54)&gt;0,
    COUNTIFS($AE$2:$AE$200,$G54)&gt;0,
    COUNTIFS($AF$2:$AF$200,$G54)&gt;0,
    COUNTIFS($AG$2:$AG$200,$G54)&gt;0,
    COUNTIFS($AH$2:$AH$200,$G54)&gt;0,
    COUNTIFS($AI$2:$AI$200,$G54)&gt;0,
    COUNTIFS($AJ$2:$AJ$200,$G54)&gt;0,
    COUNTIFS($AK$2:$AK$200,$G54)&gt;0,
    COUNTIFS($AL$2:$AL$200,$G54)&gt;0,
    COUNTIFS($AM$2:$AM$200,$G54)&gt;0,
    COUNTIFS($AN$2:$AN$200,$G54)&gt;0,
    COUNTIFS($AO$2:$AO$200,$G54)&gt;0,
    COUNTIFS($AP$2:$AP$200,$G54)&gt;0,
    COUNTIFS($AQ$2:$AQ$200,$G54)&gt;0,
    COUNTIFS($AR$2:$AR$200,$G54)&gt;0,
    COUNTIFS($AS$2:$AS$200,$G54)&gt;0,
    COUNTIFS($AT$2:$AT$200,$G54)&gt;0,
    COUNTIFS($AU$2:$AU$200,$G54)&gt;0,
    COUNTIFS($AV$2:$AV$200,$G54)&gt;0,
    COUNTIFS($AW$2:$AW$200,$G54)&gt;0,
    COUNTIFS($AX$2:$AX$200,$G54)&gt;0
   ),
  0)
 ),
"")</f>
        <v>Inalla</v>
      </c>
      <c r="D54" s="3" t="str" cm="1">
        <f t="array" aca="1" ref="D54" ca="1">IFERROR(
 INDEX(
  _xlfn._xlws.FILTER($U$1:$AX$1,
   TRANSPOSE(
    CHOOSE({1;2;3;4;5;6;7;8;9;10;11;12;13;14;15;16;17;18;19;20;21;22;23;24;25;26;27;28;29;30},
     COUNTIFS($U$2:$U$200,$G54)&gt;0,
     COUNTIFS($V$2:$V$200,$G54)&gt;0,
     COUNTIFS($W$2:$W$200,$G54)&gt;0,
     COUNTIFS($X$2:$X$200,$G54)&gt;0,
     COUNTIFS($Y$2:$Y$200,$G54)&gt;0,
     COUNTIFS($Z$2:$Z$200,$G54)&gt;0,
     COUNTIFS($AA$2:$AA$200,$G54)&gt;0,
     COUNTIFS($AB$2:$AB$200,$G54)&gt;0,
     COUNTIFS($AC$2:$AC$200,$G54)&gt;0,
     COUNTIFS($AD$2:$AD$200,$G54)&gt;0,
     COUNTIFS($AE$2:$AE$200,$G54)&gt;0,
     COUNTIFS($AF$2:$AF$200,$G54)&gt;0,
     COUNTIFS($AG$2:$AG$200,$G54)&gt;0,
     COUNTIFS($AH$2:$AH$200,$G54)&gt;0,
     COUNTIFS($AI$2:$AI$200,$G54)&gt;0,
     COUNTIFS($AJ$2:$AJ$200,$G54)&gt;0,
     COUNTIFS($AK$2:$AK$200,$G54)&gt;0,
     COUNTIFS($AL$2:$AL$200,$G54)&gt;0,
     COUNTIFS($AM$2:$AM$200,$G54)&gt;0,
     COUNTIFS($AN$2:$AN$200,$G54)&gt;0,
     COUNTIFS($AO$2:$AO$200,$G54)&gt;0,
     COUNTIFS($AP$2:$AP$200,$G54)&gt;0,
     COUNTIFS($AQ$2:$AQ$200,$G54)&gt;0,
     COUNTIFS($AR$2:$AR$200,$G54)&gt;0,
     COUNTIFS($AS$2:$AS$200,$G54)&gt;0,
     COUNTIFS($AT$2:$AT$200,$G54)&gt;0,
     COUNTIFS($AU$2:$AU$200,$G54)&gt;0,
     COUNTIFS($AV$2:$AV$200,$G54)&gt;0,
     COUNTIFS($AW$2:$AW$200,$G54)&gt;0,
     COUNTIFS($AX$2:$AX$200,$G54)&gt;0
   )),
  ),
  2
 ),
"")</f>
        <v/>
      </c>
      <c r="E54" s="3" t="str" cm="1">
        <f t="array" aca="1" ref="E54" ca="1">IFERROR(
 INDEX(
  _xlfn._xlws.FILTER($U$1:$AX$1,
   TRANSPOSE(
    CHOOSE({1;2;3;4;5;6;7;8;9;10;11;12;13;14;15;16;17;18;19;20;21;22;23;24;25;26;27;28;29;30},
     COUNTIFS($U$2:$U$200,$G54)&gt;0,
     COUNTIFS($V$2:$V$200,$G54)&gt;0,
     COUNTIFS($W$2:$W$200,$G54)&gt;0,
     COUNTIFS($X$2:$X$200,$G54)&gt;0,
     COUNTIFS($Y$2:$Y$200,$G54)&gt;0,
     COUNTIFS($Z$2:$Z$200,$G54)&gt;0,
     COUNTIFS($AA$2:$AA$200,$G54)&gt;0,
     COUNTIFS($AB$2:$AB$200,$G54)&gt;0,
     COUNTIFS($AC$2:$AC$200,$G54)&gt;0,
     COUNTIFS($AD$2:$AD$200,$G54)&gt;0,
     COUNTIFS($AE$2:$AE$200,$G54)&gt;0,
     COUNTIFS($AF$2:$AF$200,$G54)&gt;0,
     COUNTIFS($AG$2:$AG$200,$G54)&gt;0,
     COUNTIFS($AH$2:$AH$200,$G54)&gt;0,
     COUNTIFS($AI$2:$AI$200,$G54)&gt;0,
     COUNTIFS($AJ$2:$AJ$200,$G54)&gt;0,
     COUNTIFS($AK$2:$AK$200,$G54)&gt;0,
     COUNTIFS($AL$2:$AL$200,$G54)&gt;0,
     COUNTIFS($AM$2:$AM$200,$G54)&gt;0,
     COUNTIFS($AN$2:$AN$200,$G54)&gt;0,
     COUNTIFS($AO$2:$AO$200,$G54)&gt;0,
     COUNTIFS($AP$2:$AP$200,$G54)&gt;0,
     COUNTIFS($AQ$2:$AQ$200,$G54)&gt;0,
     COUNTIFS($AR$2:$AR$200,$G54)&gt;0,
     COUNTIFS($AS$2:$AS$200,$G54)&gt;0,
     COUNTIFS($AT$2:$AT$200,$G54)&gt;0,
     COUNTIFS($AU$2:$AU$200,$G54)&gt;0,
     COUNTIFS($AV$2:$AV$200,$G54)&gt;0,
     COUNTIFS($AW$2:$AW$200,$G54)&gt;0,
     COUNTIFS($AX$2:$AX$200,$G54)&gt;0
   )),
  ),
  3
 ),
"")</f>
        <v/>
      </c>
      <c r="F54" s="3" t="str" cm="1">
        <f t="array" aca="1" ref="F54" ca="1">IFERROR(
 INDEX(
  _xlfn._xlws.FILTER($U$1:$AX$1,
   TRANSPOSE(
    CHOOSE({1;2;3;4;5;6;7;8;9;10;11;12;13;14;15;16;17;18;19;20;21;22;23;24;25;26;27;28;29;30},
     COUNTIFS($U$2:$U$200,$G54)&gt;0,
     COUNTIFS($V$2:$V$200,$G54)&gt;0,
     COUNTIFS($W$2:$W$200,$G54)&gt;0,
     COUNTIFS($X$2:$X$200,$G54)&gt;0,
     COUNTIFS($Y$2:$Y$200,$G54)&gt;0,
     COUNTIFS($Z$2:$Z$200,$G54)&gt;0,
     COUNTIFS($AA$2:$AA$200,$G54)&gt;0,
     COUNTIFS($AB$2:$AB$200,$G54)&gt;0,
     COUNTIFS($AC$2:$AC$200,$G54)&gt;0,
     COUNTIFS($AD$2:$AD$200,$G54)&gt;0,
     COUNTIFS($AE$2:$AE$200,$G54)&gt;0,
     COUNTIFS($AF$2:$AF$200,$G54)&gt;0,
     COUNTIFS($AG$2:$AG$200,$G54)&gt;0,
     COUNTIFS($AH$2:$AH$200,$G54)&gt;0,
     COUNTIFS($AI$2:$AI$200,$G54)&gt;0,
     COUNTIFS($AJ$2:$AJ$200,$G54)&gt;0,
     COUNTIFS($AK$2:$AK$200,$G54)&gt;0,
     COUNTIFS($AL$2:$AL$200,$G54)&gt;0,
     COUNTIFS($AM$2:$AM$200,$G54)&gt;0,
     COUNTIFS($AN$2:$AN$200,$G54)&gt;0,
     COUNTIFS($AO$2:$AO$200,$G54)&gt;0,
     COUNTIFS($AP$2:$AP$200,$G54)&gt;0,
     COUNTIFS($AQ$2:$AQ$200,$G54)&gt;0,
     COUNTIFS($AR$2:$AR$200,$G54)&gt;0,
     COUNTIFS($AS$2:$AS$200,$G54)&gt;0,
     COUNTIFS($AT$2:$AT$200,$G54)&gt;0,
     COUNTIFS($AU$2:$AU$200,$G54)&gt;0,
     COUNTIFS($AV$2:$AV$200,$G54)&gt;0,
     COUNTIFS($AW$2:$AW$200,$G54)&gt;0,
     COUNTIFS($AX$2:$AX$200,$G54)&gt;0
   )),
  ),
  4
 ),
"")</f>
        <v/>
      </c>
      <c r="G54" t="str">
        <f ca="1"/>
        <v>Burnt Offering</v>
      </c>
      <c r="AX54" t="str">
        <v>Mindless Automaton</v>
      </c>
      <c r="BG54" t="str">
        <f ca="1"/>
        <v>Teferi's Ageless Insight</v>
      </c>
      <c r="BH54" t="str">
        <f ca="1"/>
        <v>Rise of the Eldrazi</v>
      </c>
      <c r="BI54" t="str">
        <f ca="1"/>
        <v>Haywire Mite</v>
      </c>
      <c r="BM54" t="str">
        <f ca="1"/>
        <v>Três Passos à Frente</v>
      </c>
      <c r="BN54" t="str">
        <f ca="1"/>
        <v>O Dínamo Peregrino</v>
      </c>
      <c r="BO54" t="str">
        <f ca="1"/>
        <v>Esper Sentinel</v>
      </c>
      <c r="BQ54" t="str">
        <f ca="1"/>
        <v>Renewed Solidarity</v>
      </c>
      <c r="BR54" t="str">
        <f ca="1"/>
        <v>Herald of Secret Streams</v>
      </c>
      <c r="BT54" t="str">
        <f ca="1"/>
        <v>Entomb</v>
      </c>
    </row>
    <row r="55" spans="1:72" x14ac:dyDescent="0.25">
      <c r="A55" s="3" t="str">
        <f t="shared" ca="1" si="0"/>
        <v>2</v>
      </c>
      <c r="B55" s="3">
        <f t="shared" ca="1" si="1"/>
        <v>1</v>
      </c>
      <c r="C55" s="3" t="str">
        <f ca="1">IFERROR(
 INDEX($U$1:$AX$1,
  MATCH(TRUE,
   CHOOSE({1;2;3;4;5;6;7;8;9;10;11;12;13;14;15;16;17;18;19;20;21;22;23;24;25;26;27;28;29;30;31;32},
    COUNTIFS($U$2:$U$200,$G55)&gt;0,
    COUNTIFS($V$2:$V$200,$G55)&gt;0,
    COUNTIFS($W$2:$W$200,$G55)&gt;0,
    COUNTIFS($X$2:$X$200,$G55)&gt;0,
    COUNTIFS($Y$2:$Y$200,$G55)&gt;0,
    COUNTIFS($Z$2:$Z$200,$G55)&gt;0,
    COUNTIFS($AA$2:$AA$200,$G55)&gt;0,
    COUNTIFS($AB$2:$AB$200,$G55)&gt;0,
    COUNTIFS($AC$2:$AC$200,$G55)&gt;0,
    COUNTIFS($AD$2:$AD$200,$G55)&gt;0,
    COUNTIFS($AE$2:$AE$200,$G55)&gt;0,
    COUNTIFS($AF$2:$AF$200,$G55)&gt;0,
    COUNTIFS($AG$2:$AG$200,$G55)&gt;0,
    COUNTIFS($AH$2:$AH$200,$G55)&gt;0,
    COUNTIFS($AI$2:$AI$200,$G55)&gt;0,
    COUNTIFS($AJ$2:$AJ$200,$G55)&gt;0,
    COUNTIFS($AK$2:$AK$200,$G55)&gt;0,
    COUNTIFS($AL$2:$AL$200,$G55)&gt;0,
    COUNTIFS($AM$2:$AM$200,$G55)&gt;0,
    COUNTIFS($AN$2:$AN$200,$G55)&gt;0,
    COUNTIFS($AO$2:$AO$200,$G55)&gt;0,
    COUNTIFS($AP$2:$AP$200,$G55)&gt;0,
    COUNTIFS($AQ$2:$AQ$200,$G55)&gt;0,
    COUNTIFS($AR$2:$AR$200,$G55)&gt;0,
    COUNTIFS($AS$2:$AS$200,$G55)&gt;0,
    COUNTIFS($AT$2:$AT$200,$G55)&gt;0,
    COUNTIFS($AU$2:$AU$200,$G55)&gt;0,
    COUNTIFS($AV$2:$AV$200,$G55)&gt;0,
    COUNTIFS($AW$2:$AW$200,$G55)&gt;0,
    COUNTIFS($AX$2:$AX$200,$G55)&gt;0
   ),
  0)
 ),
"")</f>
        <v>Kumena</v>
      </c>
      <c r="D55" s="3" t="str" cm="1">
        <f t="array" aca="1" ref="D55" ca="1">IFERROR(
 INDEX(
  _xlfn._xlws.FILTER($U$1:$AX$1,
   TRANSPOSE(
    CHOOSE({1;2;3;4;5;6;7;8;9;10;11;12;13;14;15;16;17;18;19;20;21;22;23;24;25;26;27;28;29;30},
     COUNTIFS($U$2:$U$200,$G55)&gt;0,
     COUNTIFS($V$2:$V$200,$G55)&gt;0,
     COUNTIFS($W$2:$W$200,$G55)&gt;0,
     COUNTIFS($X$2:$X$200,$G55)&gt;0,
     COUNTIFS($Y$2:$Y$200,$G55)&gt;0,
     COUNTIFS($Z$2:$Z$200,$G55)&gt;0,
     COUNTIFS($AA$2:$AA$200,$G55)&gt;0,
     COUNTIFS($AB$2:$AB$200,$G55)&gt;0,
     COUNTIFS($AC$2:$AC$200,$G55)&gt;0,
     COUNTIFS($AD$2:$AD$200,$G55)&gt;0,
     COUNTIFS($AE$2:$AE$200,$G55)&gt;0,
     COUNTIFS($AF$2:$AF$200,$G55)&gt;0,
     COUNTIFS($AG$2:$AG$200,$G55)&gt;0,
     COUNTIFS($AH$2:$AH$200,$G55)&gt;0,
     COUNTIFS($AI$2:$AI$200,$G55)&gt;0,
     COUNTIFS($AJ$2:$AJ$200,$G55)&gt;0,
     COUNTIFS($AK$2:$AK$200,$G55)&gt;0,
     COUNTIFS($AL$2:$AL$200,$G55)&gt;0,
     COUNTIFS($AM$2:$AM$200,$G55)&gt;0,
     COUNTIFS($AN$2:$AN$200,$G55)&gt;0,
     COUNTIFS($AO$2:$AO$200,$G55)&gt;0,
     COUNTIFS($AP$2:$AP$200,$G55)&gt;0,
     COUNTIFS($AQ$2:$AQ$200,$G55)&gt;0,
     COUNTIFS($AR$2:$AR$200,$G55)&gt;0,
     COUNTIFS($AS$2:$AS$200,$G55)&gt;0,
     COUNTIFS($AT$2:$AT$200,$G55)&gt;0,
     COUNTIFS($AU$2:$AU$200,$G55)&gt;0,
     COUNTIFS($AV$2:$AV$200,$G55)&gt;0,
     COUNTIFS($AW$2:$AW$200,$G55)&gt;0,
     COUNTIFS($AX$2:$AX$200,$G55)&gt;0
   )),
  ),
  2
 ),
"")</f>
        <v/>
      </c>
      <c r="E55" s="3" t="str" cm="1">
        <f t="array" aca="1" ref="E55" ca="1">IFERROR(
 INDEX(
  _xlfn._xlws.FILTER($U$1:$AX$1,
   TRANSPOSE(
    CHOOSE({1;2;3;4;5;6;7;8;9;10;11;12;13;14;15;16;17;18;19;20;21;22;23;24;25;26;27;28;29;30},
     COUNTIFS($U$2:$U$200,$G55)&gt;0,
     COUNTIFS($V$2:$V$200,$G55)&gt;0,
     COUNTIFS($W$2:$W$200,$G55)&gt;0,
     COUNTIFS($X$2:$X$200,$G55)&gt;0,
     COUNTIFS($Y$2:$Y$200,$G55)&gt;0,
     COUNTIFS($Z$2:$Z$200,$G55)&gt;0,
     COUNTIFS($AA$2:$AA$200,$G55)&gt;0,
     COUNTIFS($AB$2:$AB$200,$G55)&gt;0,
     COUNTIFS($AC$2:$AC$200,$G55)&gt;0,
     COUNTIFS($AD$2:$AD$200,$G55)&gt;0,
     COUNTIFS($AE$2:$AE$200,$G55)&gt;0,
     COUNTIFS($AF$2:$AF$200,$G55)&gt;0,
     COUNTIFS($AG$2:$AG$200,$G55)&gt;0,
     COUNTIFS($AH$2:$AH$200,$G55)&gt;0,
     COUNTIFS($AI$2:$AI$200,$G55)&gt;0,
     COUNTIFS($AJ$2:$AJ$200,$G55)&gt;0,
     COUNTIFS($AK$2:$AK$200,$G55)&gt;0,
     COUNTIFS($AL$2:$AL$200,$G55)&gt;0,
     COUNTIFS($AM$2:$AM$200,$G55)&gt;0,
     COUNTIFS($AN$2:$AN$200,$G55)&gt;0,
     COUNTIFS($AO$2:$AO$200,$G55)&gt;0,
     COUNTIFS($AP$2:$AP$200,$G55)&gt;0,
     COUNTIFS($AQ$2:$AQ$200,$G55)&gt;0,
     COUNTIFS($AR$2:$AR$200,$G55)&gt;0,
     COUNTIFS($AS$2:$AS$200,$G55)&gt;0,
     COUNTIFS($AT$2:$AT$200,$G55)&gt;0,
     COUNTIFS($AU$2:$AU$200,$G55)&gt;0,
     COUNTIFS($AV$2:$AV$200,$G55)&gt;0,
     COUNTIFS($AW$2:$AW$200,$G55)&gt;0,
     COUNTIFS($AX$2:$AX$200,$G55)&gt;0
   )),
  ),
  3
 ),
"")</f>
        <v/>
      </c>
      <c r="F55" s="3" t="str" cm="1">
        <f t="array" aca="1" ref="F55" ca="1">IFERROR(
 INDEX(
  _xlfn._xlws.FILTER($U$1:$AX$1,
   TRANSPOSE(
    CHOOSE({1;2;3;4;5;6;7;8;9;10;11;12;13;14;15;16;17;18;19;20;21;22;23;24;25;26;27;28;29;30},
     COUNTIFS($U$2:$U$200,$G55)&gt;0,
     COUNTIFS($V$2:$V$200,$G55)&gt;0,
     COUNTIFS($W$2:$W$200,$G55)&gt;0,
     COUNTIFS($X$2:$X$200,$G55)&gt;0,
     COUNTIFS($Y$2:$Y$200,$G55)&gt;0,
     COUNTIFS($Z$2:$Z$200,$G55)&gt;0,
     COUNTIFS($AA$2:$AA$200,$G55)&gt;0,
     COUNTIFS($AB$2:$AB$200,$G55)&gt;0,
     COUNTIFS($AC$2:$AC$200,$G55)&gt;0,
     COUNTIFS($AD$2:$AD$200,$G55)&gt;0,
     COUNTIFS($AE$2:$AE$200,$G55)&gt;0,
     COUNTIFS($AF$2:$AF$200,$G55)&gt;0,
     COUNTIFS($AG$2:$AG$200,$G55)&gt;0,
     COUNTIFS($AH$2:$AH$200,$G55)&gt;0,
     COUNTIFS($AI$2:$AI$200,$G55)&gt;0,
     COUNTIFS($AJ$2:$AJ$200,$G55)&gt;0,
     COUNTIFS($AK$2:$AK$200,$G55)&gt;0,
     COUNTIFS($AL$2:$AL$200,$G55)&gt;0,
     COUNTIFS($AM$2:$AM$200,$G55)&gt;0,
     COUNTIFS($AN$2:$AN$200,$G55)&gt;0,
     COUNTIFS($AO$2:$AO$200,$G55)&gt;0,
     COUNTIFS($AP$2:$AP$200,$G55)&gt;0,
     COUNTIFS($AQ$2:$AQ$200,$G55)&gt;0,
     COUNTIFS($AR$2:$AR$200,$G55)&gt;0,
     COUNTIFS($AS$2:$AS$200,$G55)&gt;0,
     COUNTIFS($AT$2:$AT$200,$G55)&gt;0,
     COUNTIFS($AU$2:$AU$200,$G55)&gt;0,
     COUNTIFS($AV$2:$AV$200,$G55)&gt;0,
     COUNTIFS($AW$2:$AW$200,$G55)&gt;0,
     COUNTIFS($AX$2:$AX$200,$G55)&gt;0
   )),
  ),
  4
 ),
"")</f>
        <v/>
      </c>
      <c r="G55" t="str">
        <f ca="1"/>
        <v>Call to the Kindred</v>
      </c>
      <c r="AX55" t="str">
        <v>Monumental Henge</v>
      </c>
      <c r="BG55" t="str">
        <f ca="1"/>
        <v>The Water Crystal</v>
      </c>
      <c r="BH55" t="str">
        <f ca="1"/>
        <v>Rishkar, Peema Renegade</v>
      </c>
      <c r="BI55" t="str">
        <f ca="1"/>
        <v>Hedron Detonator</v>
      </c>
      <c r="BM55" t="str">
        <f ca="1"/>
        <v>Unholy Annex // Ritual Chamber</v>
      </c>
      <c r="BN55" t="str">
        <f ca="1"/>
        <v>Oko, Thief of Crowns</v>
      </c>
      <c r="BO55" t="str">
        <f ca="1"/>
        <v>Evendo Brushrazer</v>
      </c>
      <c r="BQ55" t="str">
        <f ca="1"/>
        <v>Rings of Brighthearth</v>
      </c>
      <c r="BR55" t="str">
        <f ca="1"/>
        <v>Hierofante de Elenda</v>
      </c>
      <c r="BT55" t="str">
        <f ca="1"/>
        <v>Equilíbrio de Poderes</v>
      </c>
    </row>
    <row r="56" spans="1:72" x14ac:dyDescent="0.25">
      <c r="A56" s="3" t="str">
        <f t="shared" ca="1" si="0"/>
        <v>1</v>
      </c>
      <c r="B56" s="3">
        <f t="shared" ca="1" si="1"/>
        <v>1</v>
      </c>
      <c r="C56" s="3" t="str">
        <f ca="1">IFERROR(
 INDEX($U$1:$AX$1,
  MATCH(TRUE,
   CHOOSE({1;2;3;4;5;6;7;8;9;10;11;12;13;14;15;16;17;18;19;20;21;22;23;24;25;26;27;28;29;30;31;32},
    COUNTIFS($U$2:$U$200,$G56)&gt;0,
    COUNTIFS($V$2:$V$200,$G56)&gt;0,
    COUNTIFS($W$2:$W$200,$G56)&gt;0,
    COUNTIFS($X$2:$X$200,$G56)&gt;0,
    COUNTIFS($Y$2:$Y$200,$G56)&gt;0,
    COUNTIFS($Z$2:$Z$200,$G56)&gt;0,
    COUNTIFS($AA$2:$AA$200,$G56)&gt;0,
    COUNTIFS($AB$2:$AB$200,$G56)&gt;0,
    COUNTIFS($AC$2:$AC$200,$G56)&gt;0,
    COUNTIFS($AD$2:$AD$200,$G56)&gt;0,
    COUNTIFS($AE$2:$AE$200,$G56)&gt;0,
    COUNTIFS($AF$2:$AF$200,$G56)&gt;0,
    COUNTIFS($AG$2:$AG$200,$G56)&gt;0,
    COUNTIFS($AH$2:$AH$200,$G56)&gt;0,
    COUNTIFS($AI$2:$AI$200,$G56)&gt;0,
    COUNTIFS($AJ$2:$AJ$200,$G56)&gt;0,
    COUNTIFS($AK$2:$AK$200,$G56)&gt;0,
    COUNTIFS($AL$2:$AL$200,$G56)&gt;0,
    COUNTIFS($AM$2:$AM$200,$G56)&gt;0,
    COUNTIFS($AN$2:$AN$200,$G56)&gt;0,
    COUNTIFS($AO$2:$AO$200,$G56)&gt;0,
    COUNTIFS($AP$2:$AP$200,$G56)&gt;0,
    COUNTIFS($AQ$2:$AQ$200,$G56)&gt;0,
    COUNTIFS($AR$2:$AR$200,$G56)&gt;0,
    COUNTIFS($AS$2:$AS$200,$G56)&gt;0,
    COUNTIFS($AT$2:$AT$200,$G56)&gt;0,
    COUNTIFS($AU$2:$AU$200,$G56)&gt;0,
    COUNTIFS($AV$2:$AV$200,$G56)&gt;0,
    COUNTIFS($AW$2:$AW$200,$G56)&gt;0,
    COUNTIFS($AX$2:$AX$200,$G56)&gt;0
   ),
  0)
 ),
"")</f>
        <v>Tayam</v>
      </c>
      <c r="D56" s="3" t="str" cm="1">
        <f t="array" aca="1" ref="D56" ca="1">IFERROR(
 INDEX(
  _xlfn._xlws.FILTER($U$1:$AX$1,
   TRANSPOSE(
    CHOOSE({1;2;3;4;5;6;7;8;9;10;11;12;13;14;15;16;17;18;19;20;21;22;23;24;25;26;27;28;29;30},
     COUNTIFS($U$2:$U$200,$G56)&gt;0,
     COUNTIFS($V$2:$V$200,$G56)&gt;0,
     COUNTIFS($W$2:$W$200,$G56)&gt;0,
     COUNTIFS($X$2:$X$200,$G56)&gt;0,
     COUNTIFS($Y$2:$Y$200,$G56)&gt;0,
     COUNTIFS($Z$2:$Z$200,$G56)&gt;0,
     COUNTIFS($AA$2:$AA$200,$G56)&gt;0,
     COUNTIFS($AB$2:$AB$200,$G56)&gt;0,
     COUNTIFS($AC$2:$AC$200,$G56)&gt;0,
     COUNTIFS($AD$2:$AD$200,$G56)&gt;0,
     COUNTIFS($AE$2:$AE$200,$G56)&gt;0,
     COUNTIFS($AF$2:$AF$200,$G56)&gt;0,
     COUNTIFS($AG$2:$AG$200,$G56)&gt;0,
     COUNTIFS($AH$2:$AH$200,$G56)&gt;0,
     COUNTIFS($AI$2:$AI$200,$G56)&gt;0,
     COUNTIFS($AJ$2:$AJ$200,$G56)&gt;0,
     COUNTIFS($AK$2:$AK$200,$G56)&gt;0,
     COUNTIFS($AL$2:$AL$200,$G56)&gt;0,
     COUNTIFS($AM$2:$AM$200,$G56)&gt;0,
     COUNTIFS($AN$2:$AN$200,$G56)&gt;0,
     COUNTIFS($AO$2:$AO$200,$G56)&gt;0,
     COUNTIFS($AP$2:$AP$200,$G56)&gt;0,
     COUNTIFS($AQ$2:$AQ$200,$G56)&gt;0,
     COUNTIFS($AR$2:$AR$200,$G56)&gt;0,
     COUNTIFS($AS$2:$AS$200,$G56)&gt;0,
     COUNTIFS($AT$2:$AT$200,$G56)&gt;0,
     COUNTIFS($AU$2:$AU$200,$G56)&gt;0,
     COUNTIFS($AV$2:$AV$200,$G56)&gt;0,
     COUNTIFS($AW$2:$AW$200,$G56)&gt;0,
     COUNTIFS($AX$2:$AX$200,$G56)&gt;0
   )),
  ),
  2
 ),
"")</f>
        <v/>
      </c>
      <c r="E56" s="3" t="str" cm="1">
        <f t="array" aca="1" ref="E56" ca="1">IFERROR(
 INDEX(
  _xlfn._xlws.FILTER($U$1:$AX$1,
   TRANSPOSE(
    CHOOSE({1;2;3;4;5;6;7;8;9;10;11;12;13;14;15;16;17;18;19;20;21;22;23;24;25;26;27;28;29;30},
     COUNTIFS($U$2:$U$200,$G56)&gt;0,
     COUNTIFS($V$2:$V$200,$G56)&gt;0,
     COUNTIFS($W$2:$W$200,$G56)&gt;0,
     COUNTIFS($X$2:$X$200,$G56)&gt;0,
     COUNTIFS($Y$2:$Y$200,$G56)&gt;0,
     COUNTIFS($Z$2:$Z$200,$G56)&gt;0,
     COUNTIFS($AA$2:$AA$200,$G56)&gt;0,
     COUNTIFS($AB$2:$AB$200,$G56)&gt;0,
     COUNTIFS($AC$2:$AC$200,$G56)&gt;0,
     COUNTIFS($AD$2:$AD$200,$G56)&gt;0,
     COUNTIFS($AE$2:$AE$200,$G56)&gt;0,
     COUNTIFS($AF$2:$AF$200,$G56)&gt;0,
     COUNTIFS($AG$2:$AG$200,$G56)&gt;0,
     COUNTIFS($AH$2:$AH$200,$G56)&gt;0,
     COUNTIFS($AI$2:$AI$200,$G56)&gt;0,
     COUNTIFS($AJ$2:$AJ$200,$G56)&gt;0,
     COUNTIFS($AK$2:$AK$200,$G56)&gt;0,
     COUNTIFS($AL$2:$AL$200,$G56)&gt;0,
     COUNTIFS($AM$2:$AM$200,$G56)&gt;0,
     COUNTIFS($AN$2:$AN$200,$G56)&gt;0,
     COUNTIFS($AO$2:$AO$200,$G56)&gt;0,
     COUNTIFS($AP$2:$AP$200,$G56)&gt;0,
     COUNTIFS($AQ$2:$AQ$200,$G56)&gt;0,
     COUNTIFS($AR$2:$AR$200,$G56)&gt;0,
     COUNTIFS($AS$2:$AS$200,$G56)&gt;0,
     COUNTIFS($AT$2:$AT$200,$G56)&gt;0,
     COUNTIFS($AU$2:$AU$200,$G56)&gt;0,
     COUNTIFS($AV$2:$AV$200,$G56)&gt;0,
     COUNTIFS($AW$2:$AW$200,$G56)&gt;0,
     COUNTIFS($AX$2:$AX$200,$G56)&gt;0
   )),
  ),
  3
 ),
"")</f>
        <v/>
      </c>
      <c r="F56" s="3" t="str" cm="1">
        <f t="array" aca="1" ref="F56" ca="1">IFERROR(
 INDEX(
  _xlfn._xlws.FILTER($U$1:$AX$1,
   TRANSPOSE(
    CHOOSE({1;2;3;4;5;6;7;8;9;10;11;12;13;14;15;16;17;18;19;20;21;22;23;24;25;26;27;28;29;30},
     COUNTIFS($U$2:$U$200,$G56)&gt;0,
     COUNTIFS($V$2:$V$200,$G56)&gt;0,
     COUNTIFS($W$2:$W$200,$G56)&gt;0,
     COUNTIFS($X$2:$X$200,$G56)&gt;0,
     COUNTIFS($Y$2:$Y$200,$G56)&gt;0,
     COUNTIFS($Z$2:$Z$200,$G56)&gt;0,
     COUNTIFS($AA$2:$AA$200,$G56)&gt;0,
     COUNTIFS($AB$2:$AB$200,$G56)&gt;0,
     COUNTIFS($AC$2:$AC$200,$G56)&gt;0,
     COUNTIFS($AD$2:$AD$200,$G56)&gt;0,
     COUNTIFS($AE$2:$AE$200,$G56)&gt;0,
     COUNTIFS($AF$2:$AF$200,$G56)&gt;0,
     COUNTIFS($AG$2:$AG$200,$G56)&gt;0,
     COUNTIFS($AH$2:$AH$200,$G56)&gt;0,
     COUNTIFS($AI$2:$AI$200,$G56)&gt;0,
     COUNTIFS($AJ$2:$AJ$200,$G56)&gt;0,
     COUNTIFS($AK$2:$AK$200,$G56)&gt;0,
     COUNTIFS($AL$2:$AL$200,$G56)&gt;0,
     COUNTIFS($AM$2:$AM$200,$G56)&gt;0,
     COUNTIFS($AN$2:$AN$200,$G56)&gt;0,
     COUNTIFS($AO$2:$AO$200,$G56)&gt;0,
     COUNTIFS($AP$2:$AP$200,$G56)&gt;0,
     COUNTIFS($AQ$2:$AQ$200,$G56)&gt;0,
     COUNTIFS($AR$2:$AR$200,$G56)&gt;0,
     COUNTIFS($AS$2:$AS$200,$G56)&gt;0,
     COUNTIFS($AT$2:$AT$200,$G56)&gt;0,
     COUNTIFS($AU$2:$AU$200,$G56)&gt;0,
     COUNTIFS($AV$2:$AV$200,$G56)&gt;0,
     COUNTIFS($AW$2:$AW$200,$G56)&gt;0,
     COUNTIFS($AX$2:$AX$200,$G56)&gt;0
   )),
  ),
  4
 ),
"")</f>
        <v/>
      </c>
      <c r="G56" t="str">
        <f ca="1"/>
        <v>Cankerbloom</v>
      </c>
      <c r="AX56" t="str">
        <v>Mountain</v>
      </c>
      <c r="BG56" t="str">
        <f ca="1"/>
        <v>Thousand-Year Elixir</v>
      </c>
      <c r="BH56" t="str">
        <f ca="1"/>
        <v>Rogue's Passage</v>
      </c>
      <c r="BI56" t="str">
        <f ca="1"/>
        <v>High Market</v>
      </c>
      <c r="BM56" t="str">
        <f ca="1"/>
        <v>Unstoppable Plan</v>
      </c>
      <c r="BN56" t="str">
        <f ca="1"/>
        <v>Psychic Corrosion</v>
      </c>
      <c r="BO56" t="str">
        <f ca="1"/>
        <v>Exalted Sunborn</v>
      </c>
      <c r="BQ56" t="str">
        <f ca="1"/>
        <v>Ripples of Undeath</v>
      </c>
      <c r="BR56" t="str">
        <f ca="1"/>
        <v>High-Society Hunter</v>
      </c>
      <c r="BT56" t="str">
        <f ca="1"/>
        <v>Espada da Riqueza e do Poder</v>
      </c>
    </row>
    <row r="57" spans="1:72" x14ac:dyDescent="0.25">
      <c r="A57" s="3" t="str">
        <f t="shared" ca="1" si="0"/>
        <v>1</v>
      </c>
      <c r="B57" s="3">
        <f t="shared" ca="1" si="1"/>
        <v>2</v>
      </c>
      <c r="C57" s="3" t="str">
        <f ca="1">IFERROR(
 INDEX($U$1:$AX$1,
  MATCH(TRUE,
   CHOOSE({1;2;3;4;5;6;7;8;9;10;11;12;13;14;15;16;17;18;19;20;21;22;23;24;25;26;27;28;29;30;31;32},
    COUNTIFS($U$2:$U$200,$G57)&gt;0,
    COUNTIFS($V$2:$V$200,$G57)&gt;0,
    COUNTIFS($W$2:$W$200,$G57)&gt;0,
    COUNTIFS($X$2:$X$200,$G57)&gt;0,
    COUNTIFS($Y$2:$Y$200,$G57)&gt;0,
    COUNTIFS($Z$2:$Z$200,$G57)&gt;0,
    COUNTIFS($AA$2:$AA$200,$G57)&gt;0,
    COUNTIFS($AB$2:$AB$200,$G57)&gt;0,
    COUNTIFS($AC$2:$AC$200,$G57)&gt;0,
    COUNTIFS($AD$2:$AD$200,$G57)&gt;0,
    COUNTIFS($AE$2:$AE$200,$G57)&gt;0,
    COUNTIFS($AF$2:$AF$200,$G57)&gt;0,
    COUNTIFS($AG$2:$AG$200,$G57)&gt;0,
    COUNTIFS($AH$2:$AH$200,$G57)&gt;0,
    COUNTIFS($AI$2:$AI$200,$G57)&gt;0,
    COUNTIFS($AJ$2:$AJ$200,$G57)&gt;0,
    COUNTIFS($AK$2:$AK$200,$G57)&gt;0,
    COUNTIFS($AL$2:$AL$200,$G57)&gt;0,
    COUNTIFS($AM$2:$AM$200,$G57)&gt;0,
    COUNTIFS($AN$2:$AN$200,$G57)&gt;0,
    COUNTIFS($AO$2:$AO$200,$G57)&gt;0,
    COUNTIFS($AP$2:$AP$200,$G57)&gt;0,
    COUNTIFS($AQ$2:$AQ$200,$G57)&gt;0,
    COUNTIFS($AR$2:$AR$200,$G57)&gt;0,
    COUNTIFS($AS$2:$AS$200,$G57)&gt;0,
    COUNTIFS($AT$2:$AT$200,$G57)&gt;0,
    COUNTIFS($AU$2:$AU$200,$G57)&gt;0,
    COUNTIFS($AV$2:$AV$200,$G57)&gt;0,
    COUNTIFS($AW$2:$AW$200,$G57)&gt;0,
    COUNTIFS($AX$2:$AX$200,$G57)&gt;0
   ),
  0)
 ),
"")</f>
        <v>Baylen</v>
      </c>
      <c r="D57" s="3" t="str" cm="1">
        <f t="array" aca="1" ref="D57" ca="1">IFERROR(
 INDEX(
  _xlfn._xlws.FILTER($U$1:$AX$1,
   TRANSPOSE(
    CHOOSE({1;2;3;4;5;6;7;8;9;10;11;12;13;14;15;16;17;18;19;20;21;22;23;24;25;26;27;28;29;30},
     COUNTIFS($U$2:$U$200,$G57)&gt;0,
     COUNTIFS($V$2:$V$200,$G57)&gt;0,
     COUNTIFS($W$2:$W$200,$G57)&gt;0,
     COUNTIFS($X$2:$X$200,$G57)&gt;0,
     COUNTIFS($Y$2:$Y$200,$G57)&gt;0,
     COUNTIFS($Z$2:$Z$200,$G57)&gt;0,
     COUNTIFS($AA$2:$AA$200,$G57)&gt;0,
     COUNTIFS($AB$2:$AB$200,$G57)&gt;0,
     COUNTIFS($AC$2:$AC$200,$G57)&gt;0,
     COUNTIFS($AD$2:$AD$200,$G57)&gt;0,
     COUNTIFS($AE$2:$AE$200,$G57)&gt;0,
     COUNTIFS($AF$2:$AF$200,$G57)&gt;0,
     COUNTIFS($AG$2:$AG$200,$G57)&gt;0,
     COUNTIFS($AH$2:$AH$200,$G57)&gt;0,
     COUNTIFS($AI$2:$AI$200,$G57)&gt;0,
     COUNTIFS($AJ$2:$AJ$200,$G57)&gt;0,
     COUNTIFS($AK$2:$AK$200,$G57)&gt;0,
     COUNTIFS($AL$2:$AL$200,$G57)&gt;0,
     COUNTIFS($AM$2:$AM$200,$G57)&gt;0,
     COUNTIFS($AN$2:$AN$200,$G57)&gt;0,
     COUNTIFS($AO$2:$AO$200,$G57)&gt;0,
     COUNTIFS($AP$2:$AP$200,$G57)&gt;0,
     COUNTIFS($AQ$2:$AQ$200,$G57)&gt;0,
     COUNTIFS($AR$2:$AR$200,$G57)&gt;0,
     COUNTIFS($AS$2:$AS$200,$G57)&gt;0,
     COUNTIFS($AT$2:$AT$200,$G57)&gt;0,
     COUNTIFS($AU$2:$AU$200,$G57)&gt;0,
     COUNTIFS($AV$2:$AV$200,$G57)&gt;0,
     COUNTIFS($AW$2:$AW$200,$G57)&gt;0,
     COUNTIFS($AX$2:$AX$200,$G57)&gt;0
   )),
  ),
  2
 ),
"")</f>
        <v>Tayam</v>
      </c>
      <c r="E57" s="3" t="str" cm="1">
        <f t="array" aca="1" ref="E57" ca="1">IFERROR(
 INDEX(
  _xlfn._xlws.FILTER($U$1:$AX$1,
   TRANSPOSE(
    CHOOSE({1;2;3;4;5;6;7;8;9;10;11;12;13;14;15;16;17;18;19;20;21;22;23;24;25;26;27;28;29;30},
     COUNTIFS($U$2:$U$200,$G57)&gt;0,
     COUNTIFS($V$2:$V$200,$G57)&gt;0,
     COUNTIFS($W$2:$W$200,$G57)&gt;0,
     COUNTIFS($X$2:$X$200,$G57)&gt;0,
     COUNTIFS($Y$2:$Y$200,$G57)&gt;0,
     COUNTIFS($Z$2:$Z$200,$G57)&gt;0,
     COUNTIFS($AA$2:$AA$200,$G57)&gt;0,
     COUNTIFS($AB$2:$AB$200,$G57)&gt;0,
     COUNTIFS($AC$2:$AC$200,$G57)&gt;0,
     COUNTIFS($AD$2:$AD$200,$G57)&gt;0,
     COUNTIFS($AE$2:$AE$200,$G57)&gt;0,
     COUNTIFS($AF$2:$AF$200,$G57)&gt;0,
     COUNTIFS($AG$2:$AG$200,$G57)&gt;0,
     COUNTIFS($AH$2:$AH$200,$G57)&gt;0,
     COUNTIFS($AI$2:$AI$200,$G57)&gt;0,
     COUNTIFS($AJ$2:$AJ$200,$G57)&gt;0,
     COUNTIFS($AK$2:$AK$200,$G57)&gt;0,
     COUNTIFS($AL$2:$AL$200,$G57)&gt;0,
     COUNTIFS($AM$2:$AM$200,$G57)&gt;0,
     COUNTIFS($AN$2:$AN$200,$G57)&gt;0,
     COUNTIFS($AO$2:$AO$200,$G57)&gt;0,
     COUNTIFS($AP$2:$AP$200,$G57)&gt;0,
     COUNTIFS($AQ$2:$AQ$200,$G57)&gt;0,
     COUNTIFS($AR$2:$AR$200,$G57)&gt;0,
     COUNTIFS($AS$2:$AS$200,$G57)&gt;0,
     COUNTIFS($AT$2:$AT$200,$G57)&gt;0,
     COUNTIFS($AU$2:$AU$200,$G57)&gt;0,
     COUNTIFS($AV$2:$AV$200,$G57)&gt;0,
     COUNTIFS($AW$2:$AW$200,$G57)&gt;0,
     COUNTIFS($AX$2:$AX$200,$G57)&gt;0
   )),
  ),
  3
 ),
"")</f>
        <v/>
      </c>
      <c r="F57" s="3" t="str" cm="1">
        <f t="array" aca="1" ref="F57" ca="1">IFERROR(
 INDEX(
  _xlfn._xlws.FILTER($U$1:$AX$1,
   TRANSPOSE(
    CHOOSE({1;2;3;4;5;6;7;8;9;10;11;12;13;14;15;16;17;18;19;20;21;22;23;24;25;26;27;28;29;30},
     COUNTIFS($U$2:$U$200,$G57)&gt;0,
     COUNTIFS($V$2:$V$200,$G57)&gt;0,
     COUNTIFS($W$2:$W$200,$G57)&gt;0,
     COUNTIFS($X$2:$X$200,$G57)&gt;0,
     COUNTIFS($Y$2:$Y$200,$G57)&gt;0,
     COUNTIFS($Z$2:$Z$200,$G57)&gt;0,
     COUNTIFS($AA$2:$AA$200,$G57)&gt;0,
     COUNTIFS($AB$2:$AB$200,$G57)&gt;0,
     COUNTIFS($AC$2:$AC$200,$G57)&gt;0,
     COUNTIFS($AD$2:$AD$200,$G57)&gt;0,
     COUNTIFS($AE$2:$AE$200,$G57)&gt;0,
     COUNTIFS($AF$2:$AF$200,$G57)&gt;0,
     COUNTIFS($AG$2:$AG$200,$G57)&gt;0,
     COUNTIFS($AH$2:$AH$200,$G57)&gt;0,
     COUNTIFS($AI$2:$AI$200,$G57)&gt;0,
     COUNTIFS($AJ$2:$AJ$200,$G57)&gt;0,
     COUNTIFS($AK$2:$AK$200,$G57)&gt;0,
     COUNTIFS($AL$2:$AL$200,$G57)&gt;0,
     COUNTIFS($AM$2:$AM$200,$G57)&gt;0,
     COUNTIFS($AN$2:$AN$200,$G57)&gt;0,
     COUNTIFS($AO$2:$AO$200,$G57)&gt;0,
     COUNTIFS($AP$2:$AP$200,$G57)&gt;0,
     COUNTIFS($AQ$2:$AQ$200,$G57)&gt;0,
     COUNTIFS($AR$2:$AR$200,$G57)&gt;0,
     COUNTIFS($AS$2:$AS$200,$G57)&gt;0,
     COUNTIFS($AT$2:$AT$200,$G57)&gt;0,
     COUNTIFS($AU$2:$AU$200,$G57)&gt;0,
     COUNTIFS($AV$2:$AV$200,$G57)&gt;0,
     COUNTIFS($AW$2:$AW$200,$G57)&gt;0,
     COUNTIFS($AX$2:$AX$200,$G57)&gt;0
   )),
  ),
  4
 ),
"")</f>
        <v/>
      </c>
      <c r="G57" t="str">
        <f ca="1"/>
        <v>Canopy Vista</v>
      </c>
      <c r="AX57" t="str">
        <v>Mountain</v>
      </c>
      <c r="BG57" t="str">
        <f ca="1"/>
        <v>Three Visits</v>
      </c>
      <c r="BH57" t="str">
        <f ca="1"/>
        <v>Rotating Fireplace</v>
      </c>
      <c r="BI57" t="str">
        <f ca="1"/>
        <v>Inkmoth Nexus</v>
      </c>
      <c r="BM57" t="str">
        <f ca="1"/>
        <v>Vault of the Archangel</v>
      </c>
      <c r="BN57" t="str">
        <f ca="1"/>
        <v>Reforge the Soul</v>
      </c>
      <c r="BO57" t="str">
        <f ca="1"/>
        <v>Exotic Orchard</v>
      </c>
      <c r="BQ57" t="str">
        <f ca="1"/>
        <v>Satoru, the Infiltrator</v>
      </c>
      <c r="BR57" t="str">
        <f ca="1"/>
        <v>Horizon Explorer</v>
      </c>
      <c r="BT57" t="str">
        <f ca="1"/>
        <v>Espada de Banquete e Fome</v>
      </c>
    </row>
    <row r="58" spans="1:72" x14ac:dyDescent="0.25">
      <c r="A58" s="3" t="str">
        <f t="shared" ca="1" si="0"/>
        <v>4</v>
      </c>
      <c r="B58" s="3">
        <f t="shared" ca="1" si="1"/>
        <v>1</v>
      </c>
      <c r="C58" s="3" t="str">
        <f ca="1">IFERROR(
 INDEX($U$1:$AX$1,
  MATCH(TRUE,
   CHOOSE({1;2;3;4;5;6;7;8;9;10;11;12;13;14;15;16;17;18;19;20;21;22;23;24;25;26;27;28;29;30;31;32},
    COUNTIFS($U$2:$U$200,$G58)&gt;0,
    COUNTIFS($V$2:$V$200,$G58)&gt;0,
    COUNTIFS($W$2:$W$200,$G58)&gt;0,
    COUNTIFS($X$2:$X$200,$G58)&gt;0,
    COUNTIFS($Y$2:$Y$200,$G58)&gt;0,
    COUNTIFS($Z$2:$Z$200,$G58)&gt;0,
    COUNTIFS($AA$2:$AA$200,$G58)&gt;0,
    COUNTIFS($AB$2:$AB$200,$G58)&gt;0,
    COUNTIFS($AC$2:$AC$200,$G58)&gt;0,
    COUNTIFS($AD$2:$AD$200,$G58)&gt;0,
    COUNTIFS($AE$2:$AE$200,$G58)&gt;0,
    COUNTIFS($AF$2:$AF$200,$G58)&gt;0,
    COUNTIFS($AG$2:$AG$200,$G58)&gt;0,
    COUNTIFS($AH$2:$AH$200,$G58)&gt;0,
    COUNTIFS($AI$2:$AI$200,$G58)&gt;0,
    COUNTIFS($AJ$2:$AJ$200,$G58)&gt;0,
    COUNTIFS($AK$2:$AK$200,$G58)&gt;0,
    COUNTIFS($AL$2:$AL$200,$G58)&gt;0,
    COUNTIFS($AM$2:$AM$200,$G58)&gt;0,
    COUNTIFS($AN$2:$AN$200,$G58)&gt;0,
    COUNTIFS($AO$2:$AO$200,$G58)&gt;0,
    COUNTIFS($AP$2:$AP$200,$G58)&gt;0,
    COUNTIFS($AQ$2:$AQ$200,$G58)&gt;0,
    COUNTIFS($AR$2:$AR$200,$G58)&gt;0,
    COUNTIFS($AS$2:$AS$200,$G58)&gt;0,
    COUNTIFS($AT$2:$AT$200,$G58)&gt;0,
    COUNTIFS($AU$2:$AU$200,$G58)&gt;0,
    COUNTIFS($AV$2:$AV$200,$G58)&gt;0,
    COUNTIFS($AW$2:$AW$200,$G58)&gt;0,
    COUNTIFS($AX$2:$AX$200,$G58)&gt;0
   ),
  0)
 ),
"")</f>
        <v>Rielle</v>
      </c>
      <c r="D58" s="3" t="str" cm="1">
        <f t="array" aca="1" ref="D58" ca="1">IFERROR(
 INDEX(
  _xlfn._xlws.FILTER($U$1:$AX$1,
   TRANSPOSE(
    CHOOSE({1;2;3;4;5;6;7;8;9;10;11;12;13;14;15;16;17;18;19;20;21;22;23;24;25;26;27;28;29;30},
     COUNTIFS($U$2:$U$200,$G58)&gt;0,
     COUNTIFS($V$2:$V$200,$G58)&gt;0,
     COUNTIFS($W$2:$W$200,$G58)&gt;0,
     COUNTIFS($X$2:$X$200,$G58)&gt;0,
     COUNTIFS($Y$2:$Y$200,$G58)&gt;0,
     COUNTIFS($Z$2:$Z$200,$G58)&gt;0,
     COUNTIFS($AA$2:$AA$200,$G58)&gt;0,
     COUNTIFS($AB$2:$AB$200,$G58)&gt;0,
     COUNTIFS($AC$2:$AC$200,$G58)&gt;0,
     COUNTIFS($AD$2:$AD$200,$G58)&gt;0,
     COUNTIFS($AE$2:$AE$200,$G58)&gt;0,
     COUNTIFS($AF$2:$AF$200,$G58)&gt;0,
     COUNTIFS($AG$2:$AG$200,$G58)&gt;0,
     COUNTIFS($AH$2:$AH$200,$G58)&gt;0,
     COUNTIFS($AI$2:$AI$200,$G58)&gt;0,
     COUNTIFS($AJ$2:$AJ$200,$G58)&gt;0,
     COUNTIFS($AK$2:$AK$200,$G58)&gt;0,
     COUNTIFS($AL$2:$AL$200,$G58)&gt;0,
     COUNTIFS($AM$2:$AM$200,$G58)&gt;0,
     COUNTIFS($AN$2:$AN$200,$G58)&gt;0,
     COUNTIFS($AO$2:$AO$200,$G58)&gt;0,
     COUNTIFS($AP$2:$AP$200,$G58)&gt;0,
     COUNTIFS($AQ$2:$AQ$200,$G58)&gt;0,
     COUNTIFS($AR$2:$AR$200,$G58)&gt;0,
     COUNTIFS($AS$2:$AS$200,$G58)&gt;0,
     COUNTIFS($AT$2:$AT$200,$G58)&gt;0,
     COUNTIFS($AU$2:$AU$200,$G58)&gt;0,
     COUNTIFS($AV$2:$AV$200,$G58)&gt;0,
     COUNTIFS($AW$2:$AW$200,$G58)&gt;0,
     COUNTIFS($AX$2:$AX$200,$G58)&gt;0
   )),
  ),
  2
 ),
"")</f>
        <v/>
      </c>
      <c r="E58" s="3" t="str" cm="1">
        <f t="array" aca="1" ref="E58" ca="1">IFERROR(
 INDEX(
  _xlfn._xlws.FILTER($U$1:$AX$1,
   TRANSPOSE(
    CHOOSE({1;2;3;4;5;6;7;8;9;10;11;12;13;14;15;16;17;18;19;20;21;22;23;24;25;26;27;28;29;30},
     COUNTIFS($U$2:$U$200,$G58)&gt;0,
     COUNTIFS($V$2:$V$200,$G58)&gt;0,
     COUNTIFS($W$2:$W$200,$G58)&gt;0,
     COUNTIFS($X$2:$X$200,$G58)&gt;0,
     COUNTIFS($Y$2:$Y$200,$G58)&gt;0,
     COUNTIFS($Z$2:$Z$200,$G58)&gt;0,
     COUNTIFS($AA$2:$AA$200,$G58)&gt;0,
     COUNTIFS($AB$2:$AB$200,$G58)&gt;0,
     COUNTIFS($AC$2:$AC$200,$G58)&gt;0,
     COUNTIFS($AD$2:$AD$200,$G58)&gt;0,
     COUNTIFS($AE$2:$AE$200,$G58)&gt;0,
     COUNTIFS($AF$2:$AF$200,$G58)&gt;0,
     COUNTIFS($AG$2:$AG$200,$G58)&gt;0,
     COUNTIFS($AH$2:$AH$200,$G58)&gt;0,
     COUNTIFS($AI$2:$AI$200,$G58)&gt;0,
     COUNTIFS($AJ$2:$AJ$200,$G58)&gt;0,
     COUNTIFS($AK$2:$AK$200,$G58)&gt;0,
     COUNTIFS($AL$2:$AL$200,$G58)&gt;0,
     COUNTIFS($AM$2:$AM$200,$G58)&gt;0,
     COUNTIFS($AN$2:$AN$200,$G58)&gt;0,
     COUNTIFS($AO$2:$AO$200,$G58)&gt;0,
     COUNTIFS($AP$2:$AP$200,$G58)&gt;0,
     COUNTIFS($AQ$2:$AQ$200,$G58)&gt;0,
     COUNTIFS($AR$2:$AR$200,$G58)&gt;0,
     COUNTIFS($AS$2:$AS$200,$G58)&gt;0,
     COUNTIFS($AT$2:$AT$200,$G58)&gt;0,
     COUNTIFS($AU$2:$AU$200,$G58)&gt;0,
     COUNTIFS($AV$2:$AV$200,$G58)&gt;0,
     COUNTIFS($AW$2:$AW$200,$G58)&gt;0,
     COUNTIFS($AX$2:$AX$200,$G58)&gt;0
   )),
  ),
  3
 ),
"")</f>
        <v/>
      </c>
      <c r="F58" s="3" t="str" cm="1">
        <f t="array" aca="1" ref="F58" ca="1">IFERROR(
 INDEX(
  _xlfn._xlws.FILTER($U$1:$AX$1,
   TRANSPOSE(
    CHOOSE({1;2;3;4;5;6;7;8;9;10;11;12;13;14;15;16;17;18;19;20;21;22;23;24;25;26;27;28;29;30},
     COUNTIFS($U$2:$U$200,$G58)&gt;0,
     COUNTIFS($V$2:$V$200,$G58)&gt;0,
     COUNTIFS($W$2:$W$200,$G58)&gt;0,
     COUNTIFS($X$2:$X$200,$G58)&gt;0,
     COUNTIFS($Y$2:$Y$200,$G58)&gt;0,
     COUNTIFS($Z$2:$Z$200,$G58)&gt;0,
     COUNTIFS($AA$2:$AA$200,$G58)&gt;0,
     COUNTIFS($AB$2:$AB$200,$G58)&gt;0,
     COUNTIFS($AC$2:$AC$200,$G58)&gt;0,
     COUNTIFS($AD$2:$AD$200,$G58)&gt;0,
     COUNTIFS($AE$2:$AE$200,$G58)&gt;0,
     COUNTIFS($AF$2:$AF$200,$G58)&gt;0,
     COUNTIFS($AG$2:$AG$200,$G58)&gt;0,
     COUNTIFS($AH$2:$AH$200,$G58)&gt;0,
     COUNTIFS($AI$2:$AI$200,$G58)&gt;0,
     COUNTIFS($AJ$2:$AJ$200,$G58)&gt;0,
     COUNTIFS($AK$2:$AK$200,$G58)&gt;0,
     COUNTIFS($AL$2:$AL$200,$G58)&gt;0,
     COUNTIFS($AM$2:$AM$200,$G58)&gt;0,
     COUNTIFS($AN$2:$AN$200,$G58)&gt;0,
     COUNTIFS($AO$2:$AO$200,$G58)&gt;0,
     COUNTIFS($AP$2:$AP$200,$G58)&gt;0,
     COUNTIFS($AQ$2:$AQ$200,$G58)&gt;0,
     COUNTIFS($AR$2:$AR$200,$G58)&gt;0,
     COUNTIFS($AS$2:$AS$200,$G58)&gt;0,
     COUNTIFS($AT$2:$AT$200,$G58)&gt;0,
     COUNTIFS($AU$2:$AU$200,$G58)&gt;0,
     COUNTIFS($AV$2:$AV$200,$G58)&gt;0,
     COUNTIFS($AW$2:$AW$200,$G58)&gt;0,
     COUNTIFS($AX$2:$AX$200,$G58)&gt;0
   )),
  ),
  4
 ),
"")</f>
        <v/>
      </c>
      <c r="G58" t="str">
        <f ca="1"/>
        <v>Careful Study</v>
      </c>
      <c r="AX58" t="str">
        <v>Mountain</v>
      </c>
      <c r="BG58" t="str">
        <f ca="1"/>
        <v>Throne of the God-Pharaoh</v>
      </c>
      <c r="BH58" t="str">
        <f ca="1"/>
        <v>Sakura-Tribe Elder</v>
      </c>
      <c r="BI58" t="str">
        <f ca="1"/>
        <v>Karn's Bastion</v>
      </c>
      <c r="BM58" t="str">
        <f ca="1"/>
        <v>Warren Soultrader</v>
      </c>
      <c r="BN58" t="str">
        <f ca="1"/>
        <v>Relentless Assault</v>
      </c>
      <c r="BO58" t="str">
        <f ca="1"/>
        <v>Fabled Passage</v>
      </c>
      <c r="BQ58" t="str">
        <f ca="1"/>
        <v>Sea Gate Restoration</v>
      </c>
      <c r="BR58" t="str">
        <f ca="1"/>
        <v>Illustrious Wanderglyph</v>
      </c>
      <c r="BT58" t="str">
        <f ca="1"/>
        <v>Espada de Fogo e Gelo</v>
      </c>
    </row>
    <row r="59" spans="1:72" x14ac:dyDescent="0.25">
      <c r="A59" s="3" t="str">
        <f t="shared" ca="1" si="0"/>
        <v>1</v>
      </c>
      <c r="B59" s="3">
        <f t="shared" ca="1" si="1"/>
        <v>1</v>
      </c>
      <c r="C59" s="3" t="str">
        <f ca="1">IFERROR(
 INDEX($U$1:$AX$1,
  MATCH(TRUE,
   CHOOSE({1;2;3;4;5;6;7;8;9;10;11;12;13;14;15;16;17;18;19;20;21;22;23;24;25;26;27;28;29;30;31;32},
    COUNTIFS($U$2:$U$200,$G59)&gt;0,
    COUNTIFS($V$2:$V$200,$G59)&gt;0,
    COUNTIFS($W$2:$W$200,$G59)&gt;0,
    COUNTIFS($X$2:$X$200,$G59)&gt;0,
    COUNTIFS($Y$2:$Y$200,$G59)&gt;0,
    COUNTIFS($Z$2:$Z$200,$G59)&gt;0,
    COUNTIFS($AA$2:$AA$200,$G59)&gt;0,
    COUNTIFS($AB$2:$AB$200,$G59)&gt;0,
    COUNTIFS($AC$2:$AC$200,$G59)&gt;0,
    COUNTIFS($AD$2:$AD$200,$G59)&gt;0,
    COUNTIFS($AE$2:$AE$200,$G59)&gt;0,
    COUNTIFS($AF$2:$AF$200,$G59)&gt;0,
    COUNTIFS($AG$2:$AG$200,$G59)&gt;0,
    COUNTIFS($AH$2:$AH$200,$G59)&gt;0,
    COUNTIFS($AI$2:$AI$200,$G59)&gt;0,
    COUNTIFS($AJ$2:$AJ$200,$G59)&gt;0,
    COUNTIFS($AK$2:$AK$200,$G59)&gt;0,
    COUNTIFS($AL$2:$AL$200,$G59)&gt;0,
    COUNTIFS($AM$2:$AM$200,$G59)&gt;0,
    COUNTIFS($AN$2:$AN$200,$G59)&gt;0,
    COUNTIFS($AO$2:$AO$200,$G59)&gt;0,
    COUNTIFS($AP$2:$AP$200,$G59)&gt;0,
    COUNTIFS($AQ$2:$AQ$200,$G59)&gt;0,
    COUNTIFS($AR$2:$AR$200,$G59)&gt;0,
    COUNTIFS($AS$2:$AS$200,$G59)&gt;0,
    COUNTIFS($AT$2:$AT$200,$G59)&gt;0,
    COUNTIFS($AU$2:$AU$200,$G59)&gt;0,
    COUNTIFS($AV$2:$AV$200,$G59)&gt;0,
    COUNTIFS($AW$2:$AW$200,$G59)&gt;0,
    COUNTIFS($AX$2:$AX$200,$G59)&gt;0
   ),
  0)
 ),
"")</f>
        <v>Baylen</v>
      </c>
      <c r="D59" s="3" t="str" cm="1">
        <f t="array" aca="1" ref="D59" ca="1">IFERROR(
 INDEX(
  _xlfn._xlws.FILTER($U$1:$AX$1,
   TRANSPOSE(
    CHOOSE({1;2;3;4;5;6;7;8;9;10;11;12;13;14;15;16;17;18;19;20;21;22;23;24;25;26;27;28;29;30},
     COUNTIFS($U$2:$U$200,$G59)&gt;0,
     COUNTIFS($V$2:$V$200,$G59)&gt;0,
     COUNTIFS($W$2:$W$200,$G59)&gt;0,
     COUNTIFS($X$2:$X$200,$G59)&gt;0,
     COUNTIFS($Y$2:$Y$200,$G59)&gt;0,
     COUNTIFS($Z$2:$Z$200,$G59)&gt;0,
     COUNTIFS($AA$2:$AA$200,$G59)&gt;0,
     COUNTIFS($AB$2:$AB$200,$G59)&gt;0,
     COUNTIFS($AC$2:$AC$200,$G59)&gt;0,
     COUNTIFS($AD$2:$AD$200,$G59)&gt;0,
     COUNTIFS($AE$2:$AE$200,$G59)&gt;0,
     COUNTIFS($AF$2:$AF$200,$G59)&gt;0,
     COUNTIFS($AG$2:$AG$200,$G59)&gt;0,
     COUNTIFS($AH$2:$AH$200,$G59)&gt;0,
     COUNTIFS($AI$2:$AI$200,$G59)&gt;0,
     COUNTIFS($AJ$2:$AJ$200,$G59)&gt;0,
     COUNTIFS($AK$2:$AK$200,$G59)&gt;0,
     COUNTIFS($AL$2:$AL$200,$G59)&gt;0,
     COUNTIFS($AM$2:$AM$200,$G59)&gt;0,
     COUNTIFS($AN$2:$AN$200,$G59)&gt;0,
     COUNTIFS($AO$2:$AO$200,$G59)&gt;0,
     COUNTIFS($AP$2:$AP$200,$G59)&gt;0,
     COUNTIFS($AQ$2:$AQ$200,$G59)&gt;0,
     COUNTIFS($AR$2:$AR$200,$G59)&gt;0,
     COUNTIFS($AS$2:$AS$200,$G59)&gt;0,
     COUNTIFS($AT$2:$AT$200,$G59)&gt;0,
     COUNTIFS($AU$2:$AU$200,$G59)&gt;0,
     COUNTIFS($AV$2:$AV$200,$G59)&gt;0,
     COUNTIFS($AW$2:$AW$200,$G59)&gt;0,
     COUNTIFS($AX$2:$AX$200,$G59)&gt;0
   )),
  ),
  2
 ),
"")</f>
        <v/>
      </c>
      <c r="E59" s="3" t="str" cm="1">
        <f t="array" aca="1" ref="E59" ca="1">IFERROR(
 INDEX(
  _xlfn._xlws.FILTER($U$1:$AX$1,
   TRANSPOSE(
    CHOOSE({1;2;3;4;5;6;7;8;9;10;11;12;13;14;15;16;17;18;19;20;21;22;23;24;25;26;27;28;29;30},
     COUNTIFS($U$2:$U$200,$G59)&gt;0,
     COUNTIFS($V$2:$V$200,$G59)&gt;0,
     COUNTIFS($W$2:$W$200,$G59)&gt;0,
     COUNTIFS($X$2:$X$200,$G59)&gt;0,
     COUNTIFS($Y$2:$Y$200,$G59)&gt;0,
     COUNTIFS($Z$2:$Z$200,$G59)&gt;0,
     COUNTIFS($AA$2:$AA$200,$G59)&gt;0,
     COUNTIFS($AB$2:$AB$200,$G59)&gt;0,
     COUNTIFS($AC$2:$AC$200,$G59)&gt;0,
     COUNTIFS($AD$2:$AD$200,$G59)&gt;0,
     COUNTIFS($AE$2:$AE$200,$G59)&gt;0,
     COUNTIFS($AF$2:$AF$200,$G59)&gt;0,
     COUNTIFS($AG$2:$AG$200,$G59)&gt;0,
     COUNTIFS($AH$2:$AH$200,$G59)&gt;0,
     COUNTIFS($AI$2:$AI$200,$G59)&gt;0,
     COUNTIFS($AJ$2:$AJ$200,$G59)&gt;0,
     COUNTIFS($AK$2:$AK$200,$G59)&gt;0,
     COUNTIFS($AL$2:$AL$200,$G59)&gt;0,
     COUNTIFS($AM$2:$AM$200,$G59)&gt;0,
     COUNTIFS($AN$2:$AN$200,$G59)&gt;0,
     COUNTIFS($AO$2:$AO$200,$G59)&gt;0,
     COUNTIFS($AP$2:$AP$200,$G59)&gt;0,
     COUNTIFS($AQ$2:$AQ$200,$G59)&gt;0,
     COUNTIFS($AR$2:$AR$200,$G59)&gt;0,
     COUNTIFS($AS$2:$AS$200,$G59)&gt;0,
     COUNTIFS($AT$2:$AT$200,$G59)&gt;0,
     COUNTIFS($AU$2:$AU$200,$G59)&gt;0,
     COUNTIFS($AV$2:$AV$200,$G59)&gt;0,
     COUNTIFS($AW$2:$AW$200,$G59)&gt;0,
     COUNTIFS($AX$2:$AX$200,$G59)&gt;0
   )),
  ),
  3
 ),
"")</f>
        <v/>
      </c>
      <c r="F59" s="3" t="str" cm="1">
        <f t="array" aca="1" ref="F59" ca="1">IFERROR(
 INDEX(
  _xlfn._xlws.FILTER($U$1:$AX$1,
   TRANSPOSE(
    CHOOSE({1;2;3;4;5;6;7;8;9;10;11;12;13;14;15;16;17;18;19;20;21;22;23;24;25;26;27;28;29;30},
     COUNTIFS($U$2:$U$200,$G59)&gt;0,
     COUNTIFS($V$2:$V$200,$G59)&gt;0,
     COUNTIFS($W$2:$W$200,$G59)&gt;0,
     COUNTIFS($X$2:$X$200,$G59)&gt;0,
     COUNTIFS($Y$2:$Y$200,$G59)&gt;0,
     COUNTIFS($Z$2:$Z$200,$G59)&gt;0,
     COUNTIFS($AA$2:$AA$200,$G59)&gt;0,
     COUNTIFS($AB$2:$AB$200,$G59)&gt;0,
     COUNTIFS($AC$2:$AC$200,$G59)&gt;0,
     COUNTIFS($AD$2:$AD$200,$G59)&gt;0,
     COUNTIFS($AE$2:$AE$200,$G59)&gt;0,
     COUNTIFS($AF$2:$AF$200,$G59)&gt;0,
     COUNTIFS($AG$2:$AG$200,$G59)&gt;0,
     COUNTIFS($AH$2:$AH$200,$G59)&gt;0,
     COUNTIFS($AI$2:$AI$200,$G59)&gt;0,
     COUNTIFS($AJ$2:$AJ$200,$G59)&gt;0,
     COUNTIFS($AK$2:$AK$200,$G59)&gt;0,
     COUNTIFS($AL$2:$AL$200,$G59)&gt;0,
     COUNTIFS($AM$2:$AM$200,$G59)&gt;0,
     COUNTIFS($AN$2:$AN$200,$G59)&gt;0,
     COUNTIFS($AO$2:$AO$200,$G59)&gt;0,
     COUNTIFS($AP$2:$AP$200,$G59)&gt;0,
     COUNTIFS($AQ$2:$AQ$200,$G59)&gt;0,
     COUNTIFS($AR$2:$AR$200,$G59)&gt;0,
     COUNTIFS($AS$2:$AS$200,$G59)&gt;0,
     COUNTIFS($AT$2:$AT$200,$G59)&gt;0,
     COUNTIFS($AU$2:$AU$200,$G59)&gt;0,
     COUNTIFS($AV$2:$AV$200,$G59)&gt;0,
     COUNTIFS($AW$2:$AW$200,$G59)&gt;0,
     COUNTIFS($AX$2:$AX$200,$G59)&gt;0
   )),
  ),
  4
 ),
"")</f>
        <v/>
      </c>
      <c r="G59" t="str">
        <f ca="1"/>
        <v>Castle Ardenvale</v>
      </c>
      <c r="AX59" t="str">
        <v>Mystic Forge</v>
      </c>
      <c r="BG59" t="str">
        <f ca="1"/>
        <v>Tishana, Voice of Thunder</v>
      </c>
      <c r="BH59" t="str">
        <f ca="1"/>
        <v>Scholar of New Horizons</v>
      </c>
      <c r="BI59" t="str">
        <f ca="1"/>
        <v>Kessig Wolf Run</v>
      </c>
      <c r="BN59" t="str">
        <f ca="1"/>
        <v>Reliquary Tower</v>
      </c>
      <c r="BO59" t="str">
        <f ca="1"/>
        <v>Farmer Cotton</v>
      </c>
      <c r="BQ59" t="str">
        <f ca="1"/>
        <v>Serenata das Estriges</v>
      </c>
      <c r="BR59" t="str">
        <f ca="1"/>
        <v>Incendiary Command</v>
      </c>
      <c r="BT59" t="str">
        <f ca="1"/>
        <v>Espada de Luz e Sombra</v>
      </c>
    </row>
    <row r="60" spans="1:72" x14ac:dyDescent="0.25">
      <c r="A60" s="3" t="str">
        <f t="shared" ca="1" si="0"/>
        <v>4</v>
      </c>
      <c r="B60" s="3">
        <f t="shared" ca="1" si="1"/>
        <v>1</v>
      </c>
      <c r="C60" s="3" t="str">
        <f ca="1">IFERROR(
 INDEX($U$1:$AX$1,
  MATCH(TRUE,
   CHOOSE({1;2;3;4;5;6;7;8;9;10;11;12;13;14;15;16;17;18;19;20;21;22;23;24;25;26;27;28;29;30;31;32},
    COUNTIFS($U$2:$U$200,$G60)&gt;0,
    COUNTIFS($V$2:$V$200,$G60)&gt;0,
    COUNTIFS($W$2:$W$200,$G60)&gt;0,
    COUNTIFS($X$2:$X$200,$G60)&gt;0,
    COUNTIFS($Y$2:$Y$200,$G60)&gt;0,
    COUNTIFS($Z$2:$Z$200,$G60)&gt;0,
    COUNTIFS($AA$2:$AA$200,$G60)&gt;0,
    COUNTIFS($AB$2:$AB$200,$G60)&gt;0,
    COUNTIFS($AC$2:$AC$200,$G60)&gt;0,
    COUNTIFS($AD$2:$AD$200,$G60)&gt;0,
    COUNTIFS($AE$2:$AE$200,$G60)&gt;0,
    COUNTIFS($AF$2:$AF$200,$G60)&gt;0,
    COUNTIFS($AG$2:$AG$200,$G60)&gt;0,
    COUNTIFS($AH$2:$AH$200,$G60)&gt;0,
    COUNTIFS($AI$2:$AI$200,$G60)&gt;0,
    COUNTIFS($AJ$2:$AJ$200,$G60)&gt;0,
    COUNTIFS($AK$2:$AK$200,$G60)&gt;0,
    COUNTIFS($AL$2:$AL$200,$G60)&gt;0,
    COUNTIFS($AM$2:$AM$200,$G60)&gt;0,
    COUNTIFS($AN$2:$AN$200,$G60)&gt;0,
    COUNTIFS($AO$2:$AO$200,$G60)&gt;0,
    COUNTIFS($AP$2:$AP$200,$G60)&gt;0,
    COUNTIFS($AQ$2:$AQ$200,$G60)&gt;0,
    COUNTIFS($AR$2:$AR$200,$G60)&gt;0,
    COUNTIFS($AS$2:$AS$200,$G60)&gt;0,
    COUNTIFS($AT$2:$AT$200,$G60)&gt;0,
    COUNTIFS($AU$2:$AU$200,$G60)&gt;0,
    COUNTIFS($AV$2:$AV$200,$G60)&gt;0,
    COUNTIFS($AW$2:$AW$200,$G60)&gt;0,
    COUNTIFS($AX$2:$AX$200,$G60)&gt;0
   ),
  0)
 ),
"")</f>
        <v>Fractius</v>
      </c>
      <c r="D60" s="3" t="str" cm="1">
        <f t="array" aca="1" ref="D60" ca="1">IFERROR(
 INDEX(
  _xlfn._xlws.FILTER($U$1:$AX$1,
   TRANSPOSE(
    CHOOSE({1;2;3;4;5;6;7;8;9;10;11;12;13;14;15;16;17;18;19;20;21;22;23;24;25;26;27;28;29;30},
     COUNTIFS($U$2:$U$200,$G60)&gt;0,
     COUNTIFS($V$2:$V$200,$G60)&gt;0,
     COUNTIFS($W$2:$W$200,$G60)&gt;0,
     COUNTIFS($X$2:$X$200,$G60)&gt;0,
     COUNTIFS($Y$2:$Y$200,$G60)&gt;0,
     COUNTIFS($Z$2:$Z$200,$G60)&gt;0,
     COUNTIFS($AA$2:$AA$200,$G60)&gt;0,
     COUNTIFS($AB$2:$AB$200,$G60)&gt;0,
     COUNTIFS($AC$2:$AC$200,$G60)&gt;0,
     COUNTIFS($AD$2:$AD$200,$G60)&gt;0,
     COUNTIFS($AE$2:$AE$200,$G60)&gt;0,
     COUNTIFS($AF$2:$AF$200,$G60)&gt;0,
     COUNTIFS($AG$2:$AG$200,$G60)&gt;0,
     COUNTIFS($AH$2:$AH$200,$G60)&gt;0,
     COUNTIFS($AI$2:$AI$200,$G60)&gt;0,
     COUNTIFS($AJ$2:$AJ$200,$G60)&gt;0,
     COUNTIFS($AK$2:$AK$200,$G60)&gt;0,
     COUNTIFS($AL$2:$AL$200,$G60)&gt;0,
     COUNTIFS($AM$2:$AM$200,$G60)&gt;0,
     COUNTIFS($AN$2:$AN$200,$G60)&gt;0,
     COUNTIFS($AO$2:$AO$200,$G60)&gt;0,
     COUNTIFS($AP$2:$AP$200,$G60)&gt;0,
     COUNTIFS($AQ$2:$AQ$200,$G60)&gt;0,
     COUNTIFS($AR$2:$AR$200,$G60)&gt;0,
     COUNTIFS($AS$2:$AS$200,$G60)&gt;0,
     COUNTIFS($AT$2:$AT$200,$G60)&gt;0,
     COUNTIFS($AU$2:$AU$200,$G60)&gt;0,
     COUNTIFS($AV$2:$AV$200,$G60)&gt;0,
     COUNTIFS($AW$2:$AW$200,$G60)&gt;0,
     COUNTIFS($AX$2:$AX$200,$G60)&gt;0
   )),
  ),
  2
 ),
"")</f>
        <v/>
      </c>
      <c r="E60" s="3" t="str" cm="1">
        <f t="array" aca="1" ref="E60" ca="1">IFERROR(
 INDEX(
  _xlfn._xlws.FILTER($U$1:$AX$1,
   TRANSPOSE(
    CHOOSE({1;2;3;4;5;6;7;8;9;10;11;12;13;14;15;16;17;18;19;20;21;22;23;24;25;26;27;28;29;30},
     COUNTIFS($U$2:$U$200,$G60)&gt;0,
     COUNTIFS($V$2:$V$200,$G60)&gt;0,
     COUNTIFS($W$2:$W$200,$G60)&gt;0,
     COUNTIFS($X$2:$X$200,$G60)&gt;0,
     COUNTIFS($Y$2:$Y$200,$G60)&gt;0,
     COUNTIFS($Z$2:$Z$200,$G60)&gt;0,
     COUNTIFS($AA$2:$AA$200,$G60)&gt;0,
     COUNTIFS($AB$2:$AB$200,$G60)&gt;0,
     COUNTIFS($AC$2:$AC$200,$G60)&gt;0,
     COUNTIFS($AD$2:$AD$200,$G60)&gt;0,
     COUNTIFS($AE$2:$AE$200,$G60)&gt;0,
     COUNTIFS($AF$2:$AF$200,$G60)&gt;0,
     COUNTIFS($AG$2:$AG$200,$G60)&gt;0,
     COUNTIFS($AH$2:$AH$200,$G60)&gt;0,
     COUNTIFS($AI$2:$AI$200,$G60)&gt;0,
     COUNTIFS($AJ$2:$AJ$200,$G60)&gt;0,
     COUNTIFS($AK$2:$AK$200,$G60)&gt;0,
     COUNTIFS($AL$2:$AL$200,$G60)&gt;0,
     COUNTIFS($AM$2:$AM$200,$G60)&gt;0,
     COUNTIFS($AN$2:$AN$200,$G60)&gt;0,
     COUNTIFS($AO$2:$AO$200,$G60)&gt;0,
     COUNTIFS($AP$2:$AP$200,$G60)&gt;0,
     COUNTIFS($AQ$2:$AQ$200,$G60)&gt;0,
     COUNTIFS($AR$2:$AR$200,$G60)&gt;0,
     COUNTIFS($AS$2:$AS$200,$G60)&gt;0,
     COUNTIFS($AT$2:$AT$200,$G60)&gt;0,
     COUNTIFS($AU$2:$AU$200,$G60)&gt;0,
     COUNTIFS($AV$2:$AV$200,$G60)&gt;0,
     COUNTIFS($AW$2:$AW$200,$G60)&gt;0,
     COUNTIFS($AX$2:$AX$200,$G60)&gt;0
   )),
  ),
  3
 ),
"")</f>
        <v/>
      </c>
      <c r="F60" s="3" t="str" cm="1">
        <f t="array" aca="1" ref="F60" ca="1">IFERROR(
 INDEX(
  _xlfn._xlws.FILTER($U$1:$AX$1,
   TRANSPOSE(
    CHOOSE({1;2;3;4;5;6;7;8;9;10;11;12;13;14;15;16;17;18;19;20;21;22;23;24;25;26;27;28;29;30},
     COUNTIFS($U$2:$U$200,$G60)&gt;0,
     COUNTIFS($V$2:$V$200,$G60)&gt;0,
     COUNTIFS($W$2:$W$200,$G60)&gt;0,
     COUNTIFS($X$2:$X$200,$G60)&gt;0,
     COUNTIFS($Y$2:$Y$200,$G60)&gt;0,
     COUNTIFS($Z$2:$Z$200,$G60)&gt;0,
     COUNTIFS($AA$2:$AA$200,$G60)&gt;0,
     COUNTIFS($AB$2:$AB$200,$G60)&gt;0,
     COUNTIFS($AC$2:$AC$200,$G60)&gt;0,
     COUNTIFS($AD$2:$AD$200,$G60)&gt;0,
     COUNTIFS($AE$2:$AE$200,$G60)&gt;0,
     COUNTIFS($AF$2:$AF$200,$G60)&gt;0,
     COUNTIFS($AG$2:$AG$200,$G60)&gt;0,
     COUNTIFS($AH$2:$AH$200,$G60)&gt;0,
     COUNTIFS($AI$2:$AI$200,$G60)&gt;0,
     COUNTIFS($AJ$2:$AJ$200,$G60)&gt;0,
     COUNTIFS($AK$2:$AK$200,$G60)&gt;0,
     COUNTIFS($AL$2:$AL$200,$G60)&gt;0,
     COUNTIFS($AM$2:$AM$200,$G60)&gt;0,
     COUNTIFS($AN$2:$AN$200,$G60)&gt;0,
     COUNTIFS($AO$2:$AO$200,$G60)&gt;0,
     COUNTIFS($AP$2:$AP$200,$G60)&gt;0,
     COUNTIFS($AQ$2:$AQ$200,$G60)&gt;0,
     COUNTIFS($AR$2:$AR$200,$G60)&gt;0,
     COUNTIFS($AS$2:$AS$200,$G60)&gt;0,
     COUNTIFS($AT$2:$AT$200,$G60)&gt;0,
     COUNTIFS($AU$2:$AU$200,$G60)&gt;0,
     COUNTIFS($AV$2:$AV$200,$G60)&gt;0,
     COUNTIFS($AW$2:$AW$200,$G60)&gt;0,
     COUNTIFS($AX$2:$AX$200,$G60)&gt;0
   )),
  ),
  4
 ),
"")</f>
        <v/>
      </c>
      <c r="G60" t="str">
        <f ca="1"/>
        <v>Caverna das Almas</v>
      </c>
      <c r="AX60" t="str">
        <v>Osgir, the Reconstructor</v>
      </c>
      <c r="BG60" t="str">
        <f ca="1"/>
        <v>Training Center</v>
      </c>
      <c r="BH60" t="str">
        <f ca="1"/>
        <v>Second Harvest</v>
      </c>
      <c r="BI60" t="str">
        <f ca="1"/>
        <v>Kodama of the West Tree</v>
      </c>
      <c r="BN60" t="str">
        <f ca="1"/>
        <v>Ripples of Potential</v>
      </c>
      <c r="BO60" t="str">
        <f ca="1"/>
        <v>Farseek</v>
      </c>
      <c r="BQ60" t="str">
        <f ca="1"/>
        <v>Shaku da Honra Desgastada</v>
      </c>
      <c r="BR60" t="str">
        <f ca="1"/>
        <v>Invasion of Segovia</v>
      </c>
      <c r="BT60" t="str">
        <f ca="1"/>
        <v>Espada de Verdade e Justiça</v>
      </c>
    </row>
    <row r="61" spans="1:72" x14ac:dyDescent="0.25">
      <c r="A61" s="3" t="str">
        <f t="shared" ca="1" si="0"/>
        <v>1</v>
      </c>
      <c r="B61" s="3">
        <f t="shared" ca="1" si="1"/>
        <v>1</v>
      </c>
      <c r="C61" s="3" t="str">
        <f ca="1">IFERROR(
 INDEX($U$1:$AX$1,
  MATCH(TRUE,
   CHOOSE({1;2;3;4;5;6;7;8;9;10;11;12;13;14;15;16;17;18;19;20;21;22;23;24;25;26;27;28;29;30;31;32},
    COUNTIFS($U$2:$U$200,$G61)&gt;0,
    COUNTIFS($V$2:$V$200,$G61)&gt;0,
    COUNTIFS($W$2:$W$200,$G61)&gt;0,
    COUNTIFS($X$2:$X$200,$G61)&gt;0,
    COUNTIFS($Y$2:$Y$200,$G61)&gt;0,
    COUNTIFS($Z$2:$Z$200,$G61)&gt;0,
    COUNTIFS($AA$2:$AA$200,$G61)&gt;0,
    COUNTIFS($AB$2:$AB$200,$G61)&gt;0,
    COUNTIFS($AC$2:$AC$200,$G61)&gt;0,
    COUNTIFS($AD$2:$AD$200,$G61)&gt;0,
    COUNTIFS($AE$2:$AE$200,$G61)&gt;0,
    COUNTIFS($AF$2:$AF$200,$G61)&gt;0,
    COUNTIFS($AG$2:$AG$200,$G61)&gt;0,
    COUNTIFS($AH$2:$AH$200,$G61)&gt;0,
    COUNTIFS($AI$2:$AI$200,$G61)&gt;0,
    COUNTIFS($AJ$2:$AJ$200,$G61)&gt;0,
    COUNTIFS($AK$2:$AK$200,$G61)&gt;0,
    COUNTIFS($AL$2:$AL$200,$G61)&gt;0,
    COUNTIFS($AM$2:$AM$200,$G61)&gt;0,
    COUNTIFS($AN$2:$AN$200,$G61)&gt;0,
    COUNTIFS($AO$2:$AO$200,$G61)&gt;0,
    COUNTIFS($AP$2:$AP$200,$G61)&gt;0,
    COUNTIFS($AQ$2:$AQ$200,$G61)&gt;0,
    COUNTIFS($AR$2:$AR$200,$G61)&gt;0,
    COUNTIFS($AS$2:$AS$200,$G61)&gt;0,
    COUNTIFS($AT$2:$AT$200,$G61)&gt;0,
    COUNTIFS($AU$2:$AU$200,$G61)&gt;0,
    COUNTIFS($AV$2:$AV$200,$G61)&gt;0,
    COUNTIFS($AW$2:$AW$200,$G61)&gt;0,
    COUNTIFS($AX$2:$AX$200,$G61)&gt;0
   ),
  0)
 ),
"")</f>
        <v>Tayam</v>
      </c>
      <c r="D61" s="3" t="str" cm="1">
        <f t="array" aca="1" ref="D61" ca="1">IFERROR(
 INDEX(
  _xlfn._xlws.FILTER($U$1:$AX$1,
   TRANSPOSE(
    CHOOSE({1;2;3;4;5;6;7;8;9;10;11;12;13;14;15;16;17;18;19;20;21;22;23;24;25;26;27;28;29;30},
     COUNTIFS($U$2:$U$200,$G61)&gt;0,
     COUNTIFS($V$2:$V$200,$G61)&gt;0,
     COUNTIFS($W$2:$W$200,$G61)&gt;0,
     COUNTIFS($X$2:$X$200,$G61)&gt;0,
     COUNTIFS($Y$2:$Y$200,$G61)&gt;0,
     COUNTIFS($Z$2:$Z$200,$G61)&gt;0,
     COUNTIFS($AA$2:$AA$200,$G61)&gt;0,
     COUNTIFS($AB$2:$AB$200,$G61)&gt;0,
     COUNTIFS($AC$2:$AC$200,$G61)&gt;0,
     COUNTIFS($AD$2:$AD$200,$G61)&gt;0,
     COUNTIFS($AE$2:$AE$200,$G61)&gt;0,
     COUNTIFS($AF$2:$AF$200,$G61)&gt;0,
     COUNTIFS($AG$2:$AG$200,$G61)&gt;0,
     COUNTIFS($AH$2:$AH$200,$G61)&gt;0,
     COUNTIFS($AI$2:$AI$200,$G61)&gt;0,
     COUNTIFS($AJ$2:$AJ$200,$G61)&gt;0,
     COUNTIFS($AK$2:$AK$200,$G61)&gt;0,
     COUNTIFS($AL$2:$AL$200,$G61)&gt;0,
     COUNTIFS($AM$2:$AM$200,$G61)&gt;0,
     COUNTIFS($AN$2:$AN$200,$G61)&gt;0,
     COUNTIFS($AO$2:$AO$200,$G61)&gt;0,
     COUNTIFS($AP$2:$AP$200,$G61)&gt;0,
     COUNTIFS($AQ$2:$AQ$200,$G61)&gt;0,
     COUNTIFS($AR$2:$AR$200,$G61)&gt;0,
     COUNTIFS($AS$2:$AS$200,$G61)&gt;0,
     COUNTIFS($AT$2:$AT$200,$G61)&gt;0,
     COUNTIFS($AU$2:$AU$200,$G61)&gt;0,
     COUNTIFS($AV$2:$AV$200,$G61)&gt;0,
     COUNTIFS($AW$2:$AW$200,$G61)&gt;0,
     COUNTIFS($AX$2:$AX$200,$G61)&gt;0
   )),
  ),
  2
 ),
"")</f>
        <v/>
      </c>
      <c r="E61" s="3" t="str" cm="1">
        <f t="array" aca="1" ref="E61" ca="1">IFERROR(
 INDEX(
  _xlfn._xlws.FILTER($U$1:$AX$1,
   TRANSPOSE(
    CHOOSE({1;2;3;4;5;6;7;8;9;10;11;12;13;14;15;16;17;18;19;20;21;22;23;24;25;26;27;28;29;30},
     COUNTIFS($U$2:$U$200,$G61)&gt;0,
     COUNTIFS($V$2:$V$200,$G61)&gt;0,
     COUNTIFS($W$2:$W$200,$G61)&gt;0,
     COUNTIFS($X$2:$X$200,$G61)&gt;0,
     COUNTIFS($Y$2:$Y$200,$G61)&gt;0,
     COUNTIFS($Z$2:$Z$200,$G61)&gt;0,
     COUNTIFS($AA$2:$AA$200,$G61)&gt;0,
     COUNTIFS($AB$2:$AB$200,$G61)&gt;0,
     COUNTIFS($AC$2:$AC$200,$G61)&gt;0,
     COUNTIFS($AD$2:$AD$200,$G61)&gt;0,
     COUNTIFS($AE$2:$AE$200,$G61)&gt;0,
     COUNTIFS($AF$2:$AF$200,$G61)&gt;0,
     COUNTIFS($AG$2:$AG$200,$G61)&gt;0,
     COUNTIFS($AH$2:$AH$200,$G61)&gt;0,
     COUNTIFS($AI$2:$AI$200,$G61)&gt;0,
     COUNTIFS($AJ$2:$AJ$200,$G61)&gt;0,
     COUNTIFS($AK$2:$AK$200,$G61)&gt;0,
     COUNTIFS($AL$2:$AL$200,$G61)&gt;0,
     COUNTIFS($AM$2:$AM$200,$G61)&gt;0,
     COUNTIFS($AN$2:$AN$200,$G61)&gt;0,
     COUNTIFS($AO$2:$AO$200,$G61)&gt;0,
     COUNTIFS($AP$2:$AP$200,$G61)&gt;0,
     COUNTIFS($AQ$2:$AQ$200,$G61)&gt;0,
     COUNTIFS($AR$2:$AR$200,$G61)&gt;0,
     COUNTIFS($AS$2:$AS$200,$G61)&gt;0,
     COUNTIFS($AT$2:$AT$200,$G61)&gt;0,
     COUNTIFS($AU$2:$AU$200,$G61)&gt;0,
     COUNTIFS($AV$2:$AV$200,$G61)&gt;0,
     COUNTIFS($AW$2:$AW$200,$G61)&gt;0,
     COUNTIFS($AX$2:$AX$200,$G61)&gt;0
   )),
  ),
  3
 ),
"")</f>
        <v/>
      </c>
      <c r="F61" s="3" t="str" cm="1">
        <f t="array" aca="1" ref="F61" ca="1">IFERROR(
 INDEX(
  _xlfn._xlws.FILTER($U$1:$AX$1,
   TRANSPOSE(
    CHOOSE({1;2;3;4;5;6;7;8;9;10;11;12;13;14;15;16;17;18;19;20;21;22;23;24;25;26;27;28;29;30},
     COUNTIFS($U$2:$U$200,$G61)&gt;0,
     COUNTIFS($V$2:$V$200,$G61)&gt;0,
     COUNTIFS($W$2:$W$200,$G61)&gt;0,
     COUNTIFS($X$2:$X$200,$G61)&gt;0,
     COUNTIFS($Y$2:$Y$200,$G61)&gt;0,
     COUNTIFS($Z$2:$Z$200,$G61)&gt;0,
     COUNTIFS($AA$2:$AA$200,$G61)&gt;0,
     COUNTIFS($AB$2:$AB$200,$G61)&gt;0,
     COUNTIFS($AC$2:$AC$200,$G61)&gt;0,
     COUNTIFS($AD$2:$AD$200,$G61)&gt;0,
     COUNTIFS($AE$2:$AE$200,$G61)&gt;0,
     COUNTIFS($AF$2:$AF$200,$G61)&gt;0,
     COUNTIFS($AG$2:$AG$200,$G61)&gt;0,
     COUNTIFS($AH$2:$AH$200,$G61)&gt;0,
     COUNTIFS($AI$2:$AI$200,$G61)&gt;0,
     COUNTIFS($AJ$2:$AJ$200,$G61)&gt;0,
     COUNTIFS($AK$2:$AK$200,$G61)&gt;0,
     COUNTIFS($AL$2:$AL$200,$G61)&gt;0,
     COUNTIFS($AM$2:$AM$200,$G61)&gt;0,
     COUNTIFS($AN$2:$AN$200,$G61)&gt;0,
     COUNTIFS($AO$2:$AO$200,$G61)&gt;0,
     COUNTIFS($AP$2:$AP$200,$G61)&gt;0,
     COUNTIFS($AQ$2:$AQ$200,$G61)&gt;0,
     COUNTIFS($AR$2:$AR$200,$G61)&gt;0,
     COUNTIFS($AS$2:$AS$200,$G61)&gt;0,
     COUNTIFS($AT$2:$AT$200,$G61)&gt;0,
     COUNTIFS($AU$2:$AU$200,$G61)&gt;0,
     COUNTIFS($AV$2:$AV$200,$G61)&gt;0,
     COUNTIFS($AW$2:$AW$200,$G61)&gt;0,
     COUNTIFS($AX$2:$AX$200,$G61)&gt;0
   )),
  ),
  4
 ),
"")</f>
        <v/>
      </c>
      <c r="G61" t="str">
        <f ca="1"/>
        <v>Champion of Lambholt</v>
      </c>
      <c r="AX61" t="str">
        <v>Ozolith, the Shattered Spire</v>
      </c>
      <c r="BG61" t="str">
        <f ca="1"/>
        <v>Vanquisher's Banner</v>
      </c>
      <c r="BH61" t="str">
        <f ca="1"/>
        <v>Seedborn Muse</v>
      </c>
      <c r="BI61" t="str">
        <f ca="1"/>
        <v>Lithoform Engine</v>
      </c>
      <c r="BN61" t="str">
        <f ca="1"/>
        <v>Rogue's Passage</v>
      </c>
      <c r="BO61" t="str">
        <f ca="1"/>
        <v>Filigree Vector</v>
      </c>
      <c r="BQ61" t="str">
        <f ca="1"/>
        <v>Shizo, Death's Storehouse</v>
      </c>
      <c r="BR61" t="str">
        <f ca="1"/>
        <v>Irenicus's Vile Duplication</v>
      </c>
      <c r="BT61" t="str">
        <f ca="1"/>
        <v>Evendo, Waking Haven</v>
      </c>
    </row>
    <row r="62" spans="1:72" x14ac:dyDescent="0.25">
      <c r="A62" s="3" t="str">
        <f t="shared" ca="1" si="0"/>
        <v>1</v>
      </c>
      <c r="B62" s="3">
        <f t="shared" ca="1" si="1"/>
        <v>1</v>
      </c>
      <c r="C62" s="3" t="str">
        <f ca="1">IFERROR(
 INDEX($U$1:$AX$1,
  MATCH(TRUE,
   CHOOSE({1;2;3;4;5;6;7;8;9;10;11;12;13;14;15;16;17;18;19;20;21;22;23;24;25;26;27;28;29;30;31;32},
    COUNTIFS($U$2:$U$200,$G62)&gt;0,
    COUNTIFS($V$2:$V$200,$G62)&gt;0,
    COUNTIFS($W$2:$W$200,$G62)&gt;0,
    COUNTIFS($X$2:$X$200,$G62)&gt;0,
    COUNTIFS($Y$2:$Y$200,$G62)&gt;0,
    COUNTIFS($Z$2:$Z$200,$G62)&gt;0,
    COUNTIFS($AA$2:$AA$200,$G62)&gt;0,
    COUNTIFS($AB$2:$AB$200,$G62)&gt;0,
    COUNTIFS($AC$2:$AC$200,$G62)&gt;0,
    COUNTIFS($AD$2:$AD$200,$G62)&gt;0,
    COUNTIFS($AE$2:$AE$200,$G62)&gt;0,
    COUNTIFS($AF$2:$AF$200,$G62)&gt;0,
    COUNTIFS($AG$2:$AG$200,$G62)&gt;0,
    COUNTIFS($AH$2:$AH$200,$G62)&gt;0,
    COUNTIFS($AI$2:$AI$200,$G62)&gt;0,
    COUNTIFS($AJ$2:$AJ$200,$G62)&gt;0,
    COUNTIFS($AK$2:$AK$200,$G62)&gt;0,
    COUNTIFS($AL$2:$AL$200,$G62)&gt;0,
    COUNTIFS($AM$2:$AM$200,$G62)&gt;0,
    COUNTIFS($AN$2:$AN$200,$G62)&gt;0,
    COUNTIFS($AO$2:$AO$200,$G62)&gt;0,
    COUNTIFS($AP$2:$AP$200,$G62)&gt;0,
    COUNTIFS($AQ$2:$AQ$200,$G62)&gt;0,
    COUNTIFS($AR$2:$AR$200,$G62)&gt;0,
    COUNTIFS($AS$2:$AS$200,$G62)&gt;0,
    COUNTIFS($AT$2:$AT$200,$G62)&gt;0,
    COUNTIFS($AU$2:$AU$200,$G62)&gt;0,
    COUNTIFS($AV$2:$AV$200,$G62)&gt;0,
    COUNTIFS($AW$2:$AW$200,$G62)&gt;0,
    COUNTIFS($AX$2:$AX$200,$G62)&gt;0
   ),
  0)
 ),
"")</f>
        <v>Baylen</v>
      </c>
      <c r="D62" s="3" t="str" cm="1">
        <f t="array" aca="1" ref="D62" ca="1">IFERROR(
 INDEX(
  _xlfn._xlws.FILTER($U$1:$AX$1,
   TRANSPOSE(
    CHOOSE({1;2;3;4;5;6;7;8;9;10;11;12;13;14;15;16;17;18;19;20;21;22;23;24;25;26;27;28;29;30},
     COUNTIFS($U$2:$U$200,$G62)&gt;0,
     COUNTIFS($V$2:$V$200,$G62)&gt;0,
     COUNTIFS($W$2:$W$200,$G62)&gt;0,
     COUNTIFS($X$2:$X$200,$G62)&gt;0,
     COUNTIFS($Y$2:$Y$200,$G62)&gt;0,
     COUNTIFS($Z$2:$Z$200,$G62)&gt;0,
     COUNTIFS($AA$2:$AA$200,$G62)&gt;0,
     COUNTIFS($AB$2:$AB$200,$G62)&gt;0,
     COUNTIFS($AC$2:$AC$200,$G62)&gt;0,
     COUNTIFS($AD$2:$AD$200,$G62)&gt;0,
     COUNTIFS($AE$2:$AE$200,$G62)&gt;0,
     COUNTIFS($AF$2:$AF$200,$G62)&gt;0,
     COUNTIFS($AG$2:$AG$200,$G62)&gt;0,
     COUNTIFS($AH$2:$AH$200,$G62)&gt;0,
     COUNTIFS($AI$2:$AI$200,$G62)&gt;0,
     COUNTIFS($AJ$2:$AJ$200,$G62)&gt;0,
     COUNTIFS($AK$2:$AK$200,$G62)&gt;0,
     COUNTIFS($AL$2:$AL$200,$G62)&gt;0,
     COUNTIFS($AM$2:$AM$200,$G62)&gt;0,
     COUNTIFS($AN$2:$AN$200,$G62)&gt;0,
     COUNTIFS($AO$2:$AO$200,$G62)&gt;0,
     COUNTIFS($AP$2:$AP$200,$G62)&gt;0,
     COUNTIFS($AQ$2:$AQ$200,$G62)&gt;0,
     COUNTIFS($AR$2:$AR$200,$G62)&gt;0,
     COUNTIFS($AS$2:$AS$200,$G62)&gt;0,
     COUNTIFS($AT$2:$AT$200,$G62)&gt;0,
     COUNTIFS($AU$2:$AU$200,$G62)&gt;0,
     COUNTIFS($AV$2:$AV$200,$G62)&gt;0,
     COUNTIFS($AW$2:$AW$200,$G62)&gt;0,
     COUNTIFS($AX$2:$AX$200,$G62)&gt;0
   )),
  ),
  2
 ),
"")</f>
        <v/>
      </c>
      <c r="E62" s="3" t="str" cm="1">
        <f t="array" aca="1" ref="E62" ca="1">IFERROR(
 INDEX(
  _xlfn._xlws.FILTER($U$1:$AX$1,
   TRANSPOSE(
    CHOOSE({1;2;3;4;5;6;7;8;9;10;11;12;13;14;15;16;17;18;19;20;21;22;23;24;25;26;27;28;29;30},
     COUNTIFS($U$2:$U$200,$G62)&gt;0,
     COUNTIFS($V$2:$V$200,$G62)&gt;0,
     COUNTIFS($W$2:$W$200,$G62)&gt;0,
     COUNTIFS($X$2:$X$200,$G62)&gt;0,
     COUNTIFS($Y$2:$Y$200,$G62)&gt;0,
     COUNTIFS($Z$2:$Z$200,$G62)&gt;0,
     COUNTIFS($AA$2:$AA$200,$G62)&gt;0,
     COUNTIFS($AB$2:$AB$200,$G62)&gt;0,
     COUNTIFS($AC$2:$AC$200,$G62)&gt;0,
     COUNTIFS($AD$2:$AD$200,$G62)&gt;0,
     COUNTIFS($AE$2:$AE$200,$G62)&gt;0,
     COUNTIFS($AF$2:$AF$200,$G62)&gt;0,
     COUNTIFS($AG$2:$AG$200,$G62)&gt;0,
     COUNTIFS($AH$2:$AH$200,$G62)&gt;0,
     COUNTIFS($AI$2:$AI$200,$G62)&gt;0,
     COUNTIFS($AJ$2:$AJ$200,$G62)&gt;0,
     COUNTIFS($AK$2:$AK$200,$G62)&gt;0,
     COUNTIFS($AL$2:$AL$200,$G62)&gt;0,
     COUNTIFS($AM$2:$AM$200,$G62)&gt;0,
     COUNTIFS($AN$2:$AN$200,$G62)&gt;0,
     COUNTIFS($AO$2:$AO$200,$G62)&gt;0,
     COUNTIFS($AP$2:$AP$200,$G62)&gt;0,
     COUNTIFS($AQ$2:$AQ$200,$G62)&gt;0,
     COUNTIFS($AR$2:$AR$200,$G62)&gt;0,
     COUNTIFS($AS$2:$AS$200,$G62)&gt;0,
     COUNTIFS($AT$2:$AT$200,$G62)&gt;0,
     COUNTIFS($AU$2:$AU$200,$G62)&gt;0,
     COUNTIFS($AV$2:$AV$200,$G62)&gt;0,
     COUNTIFS($AW$2:$AW$200,$G62)&gt;0,
     COUNTIFS($AX$2:$AX$200,$G62)&gt;0
   )),
  ),
  3
 ),
"")</f>
        <v/>
      </c>
      <c r="F62" s="3" t="str" cm="1">
        <f t="array" aca="1" ref="F62" ca="1">IFERROR(
 INDEX(
  _xlfn._xlws.FILTER($U$1:$AX$1,
   TRANSPOSE(
    CHOOSE({1;2;3;4;5;6;7;8;9;10;11;12;13;14;15;16;17;18;19;20;21;22;23;24;25;26;27;28;29;30},
     COUNTIFS($U$2:$U$200,$G62)&gt;0,
     COUNTIFS($V$2:$V$200,$G62)&gt;0,
     COUNTIFS($W$2:$W$200,$G62)&gt;0,
     COUNTIFS($X$2:$X$200,$G62)&gt;0,
     COUNTIFS($Y$2:$Y$200,$G62)&gt;0,
     COUNTIFS($Z$2:$Z$200,$G62)&gt;0,
     COUNTIFS($AA$2:$AA$200,$G62)&gt;0,
     COUNTIFS($AB$2:$AB$200,$G62)&gt;0,
     COUNTIFS($AC$2:$AC$200,$G62)&gt;0,
     COUNTIFS($AD$2:$AD$200,$G62)&gt;0,
     COUNTIFS($AE$2:$AE$200,$G62)&gt;0,
     COUNTIFS($AF$2:$AF$200,$G62)&gt;0,
     COUNTIFS($AG$2:$AG$200,$G62)&gt;0,
     COUNTIFS($AH$2:$AH$200,$G62)&gt;0,
     COUNTIFS($AI$2:$AI$200,$G62)&gt;0,
     COUNTIFS($AJ$2:$AJ$200,$G62)&gt;0,
     COUNTIFS($AK$2:$AK$200,$G62)&gt;0,
     COUNTIFS($AL$2:$AL$200,$G62)&gt;0,
     COUNTIFS($AM$2:$AM$200,$G62)&gt;0,
     COUNTIFS($AN$2:$AN$200,$G62)&gt;0,
     COUNTIFS($AO$2:$AO$200,$G62)&gt;0,
     COUNTIFS($AP$2:$AP$200,$G62)&gt;0,
     COUNTIFS($AQ$2:$AQ$200,$G62)&gt;0,
     COUNTIFS($AR$2:$AR$200,$G62)&gt;0,
     COUNTIFS($AS$2:$AS$200,$G62)&gt;0,
     COUNTIFS($AT$2:$AT$200,$G62)&gt;0,
     COUNTIFS($AU$2:$AU$200,$G62)&gt;0,
     COUNTIFS($AV$2:$AV$200,$G62)&gt;0,
     COUNTIFS($AW$2:$AW$200,$G62)&gt;0,
     COUNTIFS($AX$2:$AX$200,$G62)&gt;0
   )),
  ),
  4
 ),
"")</f>
        <v/>
      </c>
      <c r="G62" t="str">
        <f ca="1"/>
        <v>Champions from Beyond</v>
      </c>
      <c r="AX62" t="str">
        <v>Patrolling Peacemaker</v>
      </c>
      <c r="BG62" t="str">
        <f ca="1"/>
        <v>Windcrag Siege</v>
      </c>
      <c r="BH62" t="str">
        <f ca="1"/>
        <v>Shelinda, Yevon Acolyte</v>
      </c>
      <c r="BI62" t="str">
        <f ca="1"/>
        <v>Llanowar Reborn</v>
      </c>
      <c r="BN62" t="str">
        <f ca="1"/>
        <v>Scalding Tarn</v>
      </c>
      <c r="BO62" t="str">
        <f ca="1"/>
        <v>Forerunner of the Coalition</v>
      </c>
      <c r="BQ62" t="str">
        <f ca="1"/>
        <v>Sliver Gravemother</v>
      </c>
      <c r="BR62" t="str">
        <f ca="1"/>
        <v>Jadar, Ghoulcaller of Nephalia</v>
      </c>
      <c r="BT62" t="str">
        <f ca="1"/>
        <v>Exemplar of Light</v>
      </c>
    </row>
    <row r="63" spans="1:72" x14ac:dyDescent="0.25">
      <c r="A63" s="3" t="str">
        <f t="shared" ca="1" si="0"/>
        <v>4</v>
      </c>
      <c r="B63" s="3">
        <f t="shared" ca="1" si="1"/>
        <v>1</v>
      </c>
      <c r="C63" s="3" t="str">
        <f ca="1">IFERROR(
 INDEX($U$1:$AX$1,
  MATCH(TRUE,
   CHOOSE({1;2;3;4;5;6;7;8;9;10;11;12;13;14;15;16;17;18;19;20;21;22;23;24;25;26;27;28;29;30;31;32},
    COUNTIFS($U$2:$U$200,$G63)&gt;0,
    COUNTIFS($V$2:$V$200,$G63)&gt;0,
    COUNTIFS($W$2:$W$200,$G63)&gt;0,
    COUNTIFS($X$2:$X$200,$G63)&gt;0,
    COUNTIFS($Y$2:$Y$200,$G63)&gt;0,
    COUNTIFS($Z$2:$Z$200,$G63)&gt;0,
    COUNTIFS($AA$2:$AA$200,$G63)&gt;0,
    COUNTIFS($AB$2:$AB$200,$G63)&gt;0,
    COUNTIFS($AC$2:$AC$200,$G63)&gt;0,
    COUNTIFS($AD$2:$AD$200,$G63)&gt;0,
    COUNTIFS($AE$2:$AE$200,$G63)&gt;0,
    COUNTIFS($AF$2:$AF$200,$G63)&gt;0,
    COUNTIFS($AG$2:$AG$200,$G63)&gt;0,
    COUNTIFS($AH$2:$AH$200,$G63)&gt;0,
    COUNTIFS($AI$2:$AI$200,$G63)&gt;0,
    COUNTIFS($AJ$2:$AJ$200,$G63)&gt;0,
    COUNTIFS($AK$2:$AK$200,$G63)&gt;0,
    COUNTIFS($AL$2:$AL$200,$G63)&gt;0,
    COUNTIFS($AM$2:$AM$200,$G63)&gt;0,
    COUNTIFS($AN$2:$AN$200,$G63)&gt;0,
    COUNTIFS($AO$2:$AO$200,$G63)&gt;0,
    COUNTIFS($AP$2:$AP$200,$G63)&gt;0,
    COUNTIFS($AQ$2:$AQ$200,$G63)&gt;0,
    COUNTIFS($AR$2:$AR$200,$G63)&gt;0,
    COUNTIFS($AS$2:$AS$200,$G63)&gt;0,
    COUNTIFS($AT$2:$AT$200,$G63)&gt;0,
    COUNTIFS($AU$2:$AU$200,$G63)&gt;0,
    COUNTIFS($AV$2:$AV$200,$G63)&gt;0,
    COUNTIFS($AW$2:$AW$200,$G63)&gt;0,
    COUNTIFS($AX$2:$AX$200,$G63)&gt;0
   ),
  0)
 ),
"")</f>
        <v>Kresh</v>
      </c>
      <c r="D63" s="3" t="str" cm="1">
        <f t="array" aca="1" ref="D63" ca="1">IFERROR(
 INDEX(
  _xlfn._xlws.FILTER($U$1:$AX$1,
   TRANSPOSE(
    CHOOSE({1;2;3;4;5;6;7;8;9;10;11;12;13;14;15;16;17;18;19;20;21;22;23;24;25;26;27;28;29;30},
     COUNTIFS($U$2:$U$200,$G63)&gt;0,
     COUNTIFS($V$2:$V$200,$G63)&gt;0,
     COUNTIFS($W$2:$W$200,$G63)&gt;0,
     COUNTIFS($X$2:$X$200,$G63)&gt;0,
     COUNTIFS($Y$2:$Y$200,$G63)&gt;0,
     COUNTIFS($Z$2:$Z$200,$G63)&gt;0,
     COUNTIFS($AA$2:$AA$200,$G63)&gt;0,
     COUNTIFS($AB$2:$AB$200,$G63)&gt;0,
     COUNTIFS($AC$2:$AC$200,$G63)&gt;0,
     COUNTIFS($AD$2:$AD$200,$G63)&gt;0,
     COUNTIFS($AE$2:$AE$200,$G63)&gt;0,
     COUNTIFS($AF$2:$AF$200,$G63)&gt;0,
     COUNTIFS($AG$2:$AG$200,$G63)&gt;0,
     COUNTIFS($AH$2:$AH$200,$G63)&gt;0,
     COUNTIFS($AI$2:$AI$200,$G63)&gt;0,
     COUNTIFS($AJ$2:$AJ$200,$G63)&gt;0,
     COUNTIFS($AK$2:$AK$200,$G63)&gt;0,
     COUNTIFS($AL$2:$AL$200,$G63)&gt;0,
     COUNTIFS($AM$2:$AM$200,$G63)&gt;0,
     COUNTIFS($AN$2:$AN$200,$G63)&gt;0,
     COUNTIFS($AO$2:$AO$200,$G63)&gt;0,
     COUNTIFS($AP$2:$AP$200,$G63)&gt;0,
     COUNTIFS($AQ$2:$AQ$200,$G63)&gt;0,
     COUNTIFS($AR$2:$AR$200,$G63)&gt;0,
     COUNTIFS($AS$2:$AS$200,$G63)&gt;0,
     COUNTIFS($AT$2:$AT$200,$G63)&gt;0,
     COUNTIFS($AU$2:$AU$200,$G63)&gt;0,
     COUNTIFS($AV$2:$AV$200,$G63)&gt;0,
     COUNTIFS($AW$2:$AW$200,$G63)&gt;0,
     COUNTIFS($AX$2:$AX$200,$G63)&gt;0
   )),
  ),
  2
 ),
"")</f>
        <v/>
      </c>
      <c r="E63" s="3" t="str" cm="1">
        <f t="array" aca="1" ref="E63" ca="1">IFERROR(
 INDEX(
  _xlfn._xlws.FILTER($U$1:$AX$1,
   TRANSPOSE(
    CHOOSE({1;2;3;4;5;6;7;8;9;10;11;12;13;14;15;16;17;18;19;20;21;22;23;24;25;26;27;28;29;30},
     COUNTIFS($U$2:$U$200,$G63)&gt;0,
     COUNTIFS($V$2:$V$200,$G63)&gt;0,
     COUNTIFS($W$2:$W$200,$G63)&gt;0,
     COUNTIFS($X$2:$X$200,$G63)&gt;0,
     COUNTIFS($Y$2:$Y$200,$G63)&gt;0,
     COUNTIFS($Z$2:$Z$200,$G63)&gt;0,
     COUNTIFS($AA$2:$AA$200,$G63)&gt;0,
     COUNTIFS($AB$2:$AB$200,$G63)&gt;0,
     COUNTIFS($AC$2:$AC$200,$G63)&gt;0,
     COUNTIFS($AD$2:$AD$200,$G63)&gt;0,
     COUNTIFS($AE$2:$AE$200,$G63)&gt;0,
     COUNTIFS($AF$2:$AF$200,$G63)&gt;0,
     COUNTIFS($AG$2:$AG$200,$G63)&gt;0,
     COUNTIFS($AH$2:$AH$200,$G63)&gt;0,
     COUNTIFS($AI$2:$AI$200,$G63)&gt;0,
     COUNTIFS($AJ$2:$AJ$200,$G63)&gt;0,
     COUNTIFS($AK$2:$AK$200,$G63)&gt;0,
     COUNTIFS($AL$2:$AL$200,$G63)&gt;0,
     COUNTIFS($AM$2:$AM$200,$G63)&gt;0,
     COUNTIFS($AN$2:$AN$200,$G63)&gt;0,
     COUNTIFS($AO$2:$AO$200,$G63)&gt;0,
     COUNTIFS($AP$2:$AP$200,$G63)&gt;0,
     COUNTIFS($AQ$2:$AQ$200,$G63)&gt;0,
     COUNTIFS($AR$2:$AR$200,$G63)&gt;0,
     COUNTIFS($AS$2:$AS$200,$G63)&gt;0,
     COUNTIFS($AT$2:$AT$200,$G63)&gt;0,
     COUNTIFS($AU$2:$AU$200,$G63)&gt;0,
     COUNTIFS($AV$2:$AV$200,$G63)&gt;0,
     COUNTIFS($AW$2:$AW$200,$G63)&gt;0,
     COUNTIFS($AX$2:$AX$200,$G63)&gt;0
   )),
  ),
  3
 ),
"")</f>
        <v/>
      </c>
      <c r="F63" s="3" t="str" cm="1">
        <f t="array" aca="1" ref="F63" ca="1">IFERROR(
 INDEX(
  _xlfn._xlws.FILTER($U$1:$AX$1,
   TRANSPOSE(
    CHOOSE({1;2;3;4;5;6;7;8;9;10;11;12;13;14;15;16;17;18;19;20;21;22;23;24;25;26;27;28;29;30},
     COUNTIFS($U$2:$U$200,$G63)&gt;0,
     COUNTIFS($V$2:$V$200,$G63)&gt;0,
     COUNTIFS($W$2:$W$200,$G63)&gt;0,
     COUNTIFS($X$2:$X$200,$G63)&gt;0,
     COUNTIFS($Y$2:$Y$200,$G63)&gt;0,
     COUNTIFS($Z$2:$Z$200,$G63)&gt;0,
     COUNTIFS($AA$2:$AA$200,$G63)&gt;0,
     COUNTIFS($AB$2:$AB$200,$G63)&gt;0,
     COUNTIFS($AC$2:$AC$200,$G63)&gt;0,
     COUNTIFS($AD$2:$AD$200,$G63)&gt;0,
     COUNTIFS($AE$2:$AE$200,$G63)&gt;0,
     COUNTIFS($AF$2:$AF$200,$G63)&gt;0,
     COUNTIFS($AG$2:$AG$200,$G63)&gt;0,
     COUNTIFS($AH$2:$AH$200,$G63)&gt;0,
     COUNTIFS($AI$2:$AI$200,$G63)&gt;0,
     COUNTIFS($AJ$2:$AJ$200,$G63)&gt;0,
     COUNTIFS($AK$2:$AK$200,$G63)&gt;0,
     COUNTIFS($AL$2:$AL$200,$G63)&gt;0,
     COUNTIFS($AM$2:$AM$200,$G63)&gt;0,
     COUNTIFS($AN$2:$AN$200,$G63)&gt;0,
     COUNTIFS($AO$2:$AO$200,$G63)&gt;0,
     COUNTIFS($AP$2:$AP$200,$G63)&gt;0,
     COUNTIFS($AQ$2:$AQ$200,$G63)&gt;0,
     COUNTIFS($AR$2:$AR$200,$G63)&gt;0,
     COUNTIFS($AS$2:$AS$200,$G63)&gt;0,
     COUNTIFS($AT$2:$AT$200,$G63)&gt;0,
     COUNTIFS($AU$2:$AU$200,$G63)&gt;0,
     COUNTIFS($AV$2:$AV$200,$G63)&gt;0,
     COUNTIFS($AW$2:$AW$200,$G63)&gt;0,
     COUNTIFS($AX$2:$AX$200,$G63)&gt;0
   )),
  ),
  4
 ),
"")</f>
        <v/>
      </c>
      <c r="G63" t="str">
        <f ca="1"/>
        <v>Chandra's Ignition</v>
      </c>
      <c r="AX63" t="str">
        <v>Phyrexia's Core</v>
      </c>
      <c r="BG63" t="str">
        <f ca="1"/>
        <v>World at War</v>
      </c>
      <c r="BH63" t="str">
        <f ca="1"/>
        <v>Song of Freyalise</v>
      </c>
      <c r="BI63" t="str">
        <f ca="1"/>
        <v>Long-Range Sensor</v>
      </c>
      <c r="BN63" t="str">
        <f ca="1"/>
        <v>Scattered Groves</v>
      </c>
      <c r="BO63" t="str">
        <f ca="1"/>
        <v>Forest</v>
      </c>
      <c r="BQ63" t="str">
        <f ca="1"/>
        <v>Sokenzan, Crisol da Afronta</v>
      </c>
      <c r="BR63" t="str">
        <f ca="1"/>
        <v>Jenova, Ancient Calamity</v>
      </c>
      <c r="BT63" t="str">
        <f ca="1"/>
        <v>Extinguisher Battleship</v>
      </c>
    </row>
    <row r="64" spans="1:72" x14ac:dyDescent="0.25">
      <c r="A64" s="3" t="str">
        <f t="shared" ca="1" si="0"/>
        <v>3</v>
      </c>
      <c r="B64" s="3">
        <f t="shared" ca="1" si="1"/>
        <v>1</v>
      </c>
      <c r="C64" s="3" t="str">
        <f ca="1">IFERROR(
 INDEX($U$1:$AX$1,
  MATCH(TRUE,
   CHOOSE({1;2;3;4;5;6;7;8;9;10;11;12;13;14;15;16;17;18;19;20;21;22;23;24;25;26;27;28;29;30;31;32},
    COUNTIFS($U$2:$U$200,$G64)&gt;0,
    COUNTIFS($V$2:$V$200,$G64)&gt;0,
    COUNTIFS($W$2:$W$200,$G64)&gt;0,
    COUNTIFS($X$2:$X$200,$G64)&gt;0,
    COUNTIFS($Y$2:$Y$200,$G64)&gt;0,
    COUNTIFS($Z$2:$Z$200,$G64)&gt;0,
    COUNTIFS($AA$2:$AA$200,$G64)&gt;0,
    COUNTIFS($AB$2:$AB$200,$G64)&gt;0,
    COUNTIFS($AC$2:$AC$200,$G64)&gt;0,
    COUNTIFS($AD$2:$AD$200,$G64)&gt;0,
    COUNTIFS($AE$2:$AE$200,$G64)&gt;0,
    COUNTIFS($AF$2:$AF$200,$G64)&gt;0,
    COUNTIFS($AG$2:$AG$200,$G64)&gt;0,
    COUNTIFS($AH$2:$AH$200,$G64)&gt;0,
    COUNTIFS($AI$2:$AI$200,$G64)&gt;0,
    COUNTIFS($AJ$2:$AJ$200,$G64)&gt;0,
    COUNTIFS($AK$2:$AK$200,$G64)&gt;0,
    COUNTIFS($AL$2:$AL$200,$G64)&gt;0,
    COUNTIFS($AM$2:$AM$200,$G64)&gt;0,
    COUNTIFS($AN$2:$AN$200,$G64)&gt;0,
    COUNTIFS($AO$2:$AO$200,$G64)&gt;0,
    COUNTIFS($AP$2:$AP$200,$G64)&gt;0,
    COUNTIFS($AQ$2:$AQ$200,$G64)&gt;0,
    COUNTIFS($AR$2:$AR$200,$G64)&gt;0,
    COUNTIFS($AS$2:$AS$200,$G64)&gt;0,
    COUNTIFS($AT$2:$AT$200,$G64)&gt;0,
    COUNTIFS($AU$2:$AU$200,$G64)&gt;0,
    COUNTIFS($AV$2:$AV$200,$G64)&gt;0,
    COUNTIFS($AW$2:$AW$200,$G64)&gt;0,
    COUNTIFS($AX$2:$AX$200,$G64)&gt;0
   ),
  0)
 ),
"")</f>
        <v>Muzzio</v>
      </c>
      <c r="D64" s="3" t="str" cm="1">
        <f t="array" aca="1" ref="D64" ca="1">IFERROR(
 INDEX(
  _xlfn._xlws.FILTER($U$1:$AX$1,
   TRANSPOSE(
    CHOOSE({1;2;3;4;5;6;7;8;9;10;11;12;13;14;15;16;17;18;19;20;21;22;23;24;25;26;27;28;29;30},
     COUNTIFS($U$2:$U$200,$G64)&gt;0,
     COUNTIFS($V$2:$V$200,$G64)&gt;0,
     COUNTIFS($W$2:$W$200,$G64)&gt;0,
     COUNTIFS($X$2:$X$200,$G64)&gt;0,
     COUNTIFS($Y$2:$Y$200,$G64)&gt;0,
     COUNTIFS($Z$2:$Z$200,$G64)&gt;0,
     COUNTIFS($AA$2:$AA$200,$G64)&gt;0,
     COUNTIFS($AB$2:$AB$200,$G64)&gt;0,
     COUNTIFS($AC$2:$AC$200,$G64)&gt;0,
     COUNTIFS($AD$2:$AD$200,$G64)&gt;0,
     COUNTIFS($AE$2:$AE$200,$G64)&gt;0,
     COUNTIFS($AF$2:$AF$200,$G64)&gt;0,
     COUNTIFS($AG$2:$AG$200,$G64)&gt;0,
     COUNTIFS($AH$2:$AH$200,$G64)&gt;0,
     COUNTIFS($AI$2:$AI$200,$G64)&gt;0,
     COUNTIFS($AJ$2:$AJ$200,$G64)&gt;0,
     COUNTIFS($AK$2:$AK$200,$G64)&gt;0,
     COUNTIFS($AL$2:$AL$200,$G64)&gt;0,
     COUNTIFS($AM$2:$AM$200,$G64)&gt;0,
     COUNTIFS($AN$2:$AN$200,$G64)&gt;0,
     COUNTIFS($AO$2:$AO$200,$G64)&gt;0,
     COUNTIFS($AP$2:$AP$200,$G64)&gt;0,
     COUNTIFS($AQ$2:$AQ$200,$G64)&gt;0,
     COUNTIFS($AR$2:$AR$200,$G64)&gt;0,
     COUNTIFS($AS$2:$AS$200,$G64)&gt;0,
     COUNTIFS($AT$2:$AT$200,$G64)&gt;0,
     COUNTIFS($AU$2:$AU$200,$G64)&gt;0,
     COUNTIFS($AV$2:$AV$200,$G64)&gt;0,
     COUNTIFS($AW$2:$AW$200,$G64)&gt;0,
     COUNTIFS($AX$2:$AX$200,$G64)&gt;0
   )),
  ),
  2
 ),
"")</f>
        <v/>
      </c>
      <c r="E64" s="3" t="str" cm="1">
        <f t="array" aca="1" ref="E64" ca="1">IFERROR(
 INDEX(
  _xlfn._xlws.FILTER($U$1:$AX$1,
   TRANSPOSE(
    CHOOSE({1;2;3;4;5;6;7;8;9;10;11;12;13;14;15;16;17;18;19;20;21;22;23;24;25;26;27;28;29;30},
     COUNTIFS($U$2:$U$200,$G64)&gt;0,
     COUNTIFS($V$2:$V$200,$G64)&gt;0,
     COUNTIFS($W$2:$W$200,$G64)&gt;0,
     COUNTIFS($X$2:$X$200,$G64)&gt;0,
     COUNTIFS($Y$2:$Y$200,$G64)&gt;0,
     COUNTIFS($Z$2:$Z$200,$G64)&gt;0,
     COUNTIFS($AA$2:$AA$200,$G64)&gt;0,
     COUNTIFS($AB$2:$AB$200,$G64)&gt;0,
     COUNTIFS($AC$2:$AC$200,$G64)&gt;0,
     COUNTIFS($AD$2:$AD$200,$G64)&gt;0,
     COUNTIFS($AE$2:$AE$200,$G64)&gt;0,
     COUNTIFS($AF$2:$AF$200,$G64)&gt;0,
     COUNTIFS($AG$2:$AG$200,$G64)&gt;0,
     COUNTIFS($AH$2:$AH$200,$G64)&gt;0,
     COUNTIFS($AI$2:$AI$200,$G64)&gt;0,
     COUNTIFS($AJ$2:$AJ$200,$G64)&gt;0,
     COUNTIFS($AK$2:$AK$200,$G64)&gt;0,
     COUNTIFS($AL$2:$AL$200,$G64)&gt;0,
     COUNTIFS($AM$2:$AM$200,$G64)&gt;0,
     COUNTIFS($AN$2:$AN$200,$G64)&gt;0,
     COUNTIFS($AO$2:$AO$200,$G64)&gt;0,
     COUNTIFS($AP$2:$AP$200,$G64)&gt;0,
     COUNTIFS($AQ$2:$AQ$200,$G64)&gt;0,
     COUNTIFS($AR$2:$AR$200,$G64)&gt;0,
     COUNTIFS($AS$2:$AS$200,$G64)&gt;0,
     COUNTIFS($AT$2:$AT$200,$G64)&gt;0,
     COUNTIFS($AU$2:$AU$200,$G64)&gt;0,
     COUNTIFS($AV$2:$AV$200,$G64)&gt;0,
     COUNTIFS($AW$2:$AW$200,$G64)&gt;0,
     COUNTIFS($AX$2:$AX$200,$G64)&gt;0
   )),
  ),
  3
 ),
"")</f>
        <v/>
      </c>
      <c r="F64" s="3" t="str" cm="1">
        <f t="array" aca="1" ref="F64" ca="1">IFERROR(
 INDEX(
  _xlfn._xlws.FILTER($U$1:$AX$1,
   TRANSPOSE(
    CHOOSE({1;2;3;4;5;6;7;8;9;10;11;12;13;14;15;16;17;18;19;20;21;22;23;24;25;26;27;28;29;30},
     COUNTIFS($U$2:$U$200,$G64)&gt;0,
     COUNTIFS($V$2:$V$200,$G64)&gt;0,
     COUNTIFS($W$2:$W$200,$G64)&gt;0,
     COUNTIFS($X$2:$X$200,$G64)&gt;0,
     COUNTIFS($Y$2:$Y$200,$G64)&gt;0,
     COUNTIFS($Z$2:$Z$200,$G64)&gt;0,
     COUNTIFS($AA$2:$AA$200,$G64)&gt;0,
     COUNTIFS($AB$2:$AB$200,$G64)&gt;0,
     COUNTIFS($AC$2:$AC$200,$G64)&gt;0,
     COUNTIFS($AD$2:$AD$200,$G64)&gt;0,
     COUNTIFS($AE$2:$AE$200,$G64)&gt;0,
     COUNTIFS($AF$2:$AF$200,$G64)&gt;0,
     COUNTIFS($AG$2:$AG$200,$G64)&gt;0,
     COUNTIFS($AH$2:$AH$200,$G64)&gt;0,
     COUNTIFS($AI$2:$AI$200,$G64)&gt;0,
     COUNTIFS($AJ$2:$AJ$200,$G64)&gt;0,
     COUNTIFS($AK$2:$AK$200,$G64)&gt;0,
     COUNTIFS($AL$2:$AL$200,$G64)&gt;0,
     COUNTIFS($AM$2:$AM$200,$G64)&gt;0,
     COUNTIFS($AN$2:$AN$200,$G64)&gt;0,
     COUNTIFS($AO$2:$AO$200,$G64)&gt;0,
     COUNTIFS($AP$2:$AP$200,$G64)&gt;0,
     COUNTIFS($AQ$2:$AQ$200,$G64)&gt;0,
     COUNTIFS($AR$2:$AR$200,$G64)&gt;0,
     COUNTIFS($AS$2:$AS$200,$G64)&gt;0,
     COUNTIFS($AT$2:$AT$200,$G64)&gt;0,
     COUNTIFS($AU$2:$AU$200,$G64)&gt;0,
     COUNTIFS($AV$2:$AV$200,$G64)&gt;0,
     COUNTIFS($AW$2:$AW$200,$G64)&gt;0,
     COUNTIFS($AX$2:$AX$200,$G64)&gt;0
   )),
  ),
  4
 ),
"")</f>
        <v/>
      </c>
      <c r="G64" t="str">
        <f ca="1"/>
        <v>Chimil, o Sol Interior</v>
      </c>
      <c r="AX64" t="str">
        <v>Plains</v>
      </c>
      <c r="BG64" t="str">
        <f ca="1"/>
        <v>Zagoth Triome</v>
      </c>
      <c r="BH64" t="str">
        <f ca="1"/>
        <v>Sphere Grid</v>
      </c>
      <c r="BI64" t="str">
        <f ca="1"/>
        <v>Lotus Field</v>
      </c>
      <c r="BN64" t="str">
        <f ca="1"/>
        <v>Sea of Clouds</v>
      </c>
      <c r="BO64" t="str">
        <f ca="1"/>
        <v>Gavony Township</v>
      </c>
      <c r="BQ64" t="str">
        <f ca="1"/>
        <v>Sonic Screwdriver</v>
      </c>
      <c r="BR64" t="str">
        <f ca="1"/>
        <v>Jidoor, Aristocratic Capital // Overture</v>
      </c>
      <c r="BT64" t="str">
        <f ca="1"/>
        <v>Fabled Passage</v>
      </c>
    </row>
    <row r="65" spans="1:72" x14ac:dyDescent="0.25">
      <c r="A65" s="3" t="str">
        <f t="shared" ca="1" si="0"/>
        <v>3</v>
      </c>
      <c r="B65" s="3">
        <f t="shared" ca="1" si="1"/>
        <v>1</v>
      </c>
      <c r="C65" s="3" t="str">
        <f ca="1">IFERROR(
 INDEX($U$1:$AX$1,
  MATCH(TRUE,
   CHOOSE({1;2;3;4;5;6;7;8;9;10;11;12;13;14;15;16;17;18;19;20;21;22;23;24;25;26;27;28;29;30;31;32},
    COUNTIFS($U$2:$U$200,$G65)&gt;0,
    COUNTIFS($V$2:$V$200,$G65)&gt;0,
    COUNTIFS($W$2:$W$200,$G65)&gt;0,
    COUNTIFS($X$2:$X$200,$G65)&gt;0,
    COUNTIFS($Y$2:$Y$200,$G65)&gt;0,
    COUNTIFS($Z$2:$Z$200,$G65)&gt;0,
    COUNTIFS($AA$2:$AA$200,$G65)&gt;0,
    COUNTIFS($AB$2:$AB$200,$G65)&gt;0,
    COUNTIFS($AC$2:$AC$200,$G65)&gt;0,
    COUNTIFS($AD$2:$AD$200,$G65)&gt;0,
    COUNTIFS($AE$2:$AE$200,$G65)&gt;0,
    COUNTIFS($AF$2:$AF$200,$G65)&gt;0,
    COUNTIFS($AG$2:$AG$200,$G65)&gt;0,
    COUNTIFS($AH$2:$AH$200,$G65)&gt;0,
    COUNTIFS($AI$2:$AI$200,$G65)&gt;0,
    COUNTIFS($AJ$2:$AJ$200,$G65)&gt;0,
    COUNTIFS($AK$2:$AK$200,$G65)&gt;0,
    COUNTIFS($AL$2:$AL$200,$G65)&gt;0,
    COUNTIFS($AM$2:$AM$200,$G65)&gt;0,
    COUNTIFS($AN$2:$AN$200,$G65)&gt;0,
    COUNTIFS($AO$2:$AO$200,$G65)&gt;0,
    COUNTIFS($AP$2:$AP$200,$G65)&gt;0,
    COUNTIFS($AQ$2:$AQ$200,$G65)&gt;0,
    COUNTIFS($AR$2:$AR$200,$G65)&gt;0,
    COUNTIFS($AS$2:$AS$200,$G65)&gt;0,
    COUNTIFS($AT$2:$AT$200,$G65)&gt;0,
    COUNTIFS($AU$2:$AU$200,$G65)&gt;0,
    COUNTIFS($AV$2:$AV$200,$G65)&gt;0,
    COUNTIFS($AW$2:$AW$200,$G65)&gt;0,
    COUNTIFS($AX$2:$AX$200,$G65)&gt;0
   ),
  0)
 ),
"")</f>
        <v>VialIshai</v>
      </c>
      <c r="D65" s="3" t="str" cm="1">
        <f t="array" aca="1" ref="D65" ca="1">IFERROR(
 INDEX(
  _xlfn._xlws.FILTER($U$1:$AX$1,
   TRANSPOSE(
    CHOOSE({1;2;3;4;5;6;7;8;9;10;11;12;13;14;15;16;17;18;19;20;21;22;23;24;25;26;27;28;29;30},
     COUNTIFS($U$2:$U$200,$G65)&gt;0,
     COUNTIFS($V$2:$V$200,$G65)&gt;0,
     COUNTIFS($W$2:$W$200,$G65)&gt;0,
     COUNTIFS($X$2:$X$200,$G65)&gt;0,
     COUNTIFS($Y$2:$Y$200,$G65)&gt;0,
     COUNTIFS($Z$2:$Z$200,$G65)&gt;0,
     COUNTIFS($AA$2:$AA$200,$G65)&gt;0,
     COUNTIFS($AB$2:$AB$200,$G65)&gt;0,
     COUNTIFS($AC$2:$AC$200,$G65)&gt;0,
     COUNTIFS($AD$2:$AD$200,$G65)&gt;0,
     COUNTIFS($AE$2:$AE$200,$G65)&gt;0,
     COUNTIFS($AF$2:$AF$200,$G65)&gt;0,
     COUNTIFS($AG$2:$AG$200,$G65)&gt;0,
     COUNTIFS($AH$2:$AH$200,$G65)&gt;0,
     COUNTIFS($AI$2:$AI$200,$G65)&gt;0,
     COUNTIFS($AJ$2:$AJ$200,$G65)&gt;0,
     COUNTIFS($AK$2:$AK$200,$G65)&gt;0,
     COUNTIFS($AL$2:$AL$200,$G65)&gt;0,
     COUNTIFS($AM$2:$AM$200,$G65)&gt;0,
     COUNTIFS($AN$2:$AN$200,$G65)&gt;0,
     COUNTIFS($AO$2:$AO$200,$G65)&gt;0,
     COUNTIFS($AP$2:$AP$200,$G65)&gt;0,
     COUNTIFS($AQ$2:$AQ$200,$G65)&gt;0,
     COUNTIFS($AR$2:$AR$200,$G65)&gt;0,
     COUNTIFS($AS$2:$AS$200,$G65)&gt;0,
     COUNTIFS($AT$2:$AT$200,$G65)&gt;0,
     COUNTIFS($AU$2:$AU$200,$G65)&gt;0,
     COUNTIFS($AV$2:$AV$200,$G65)&gt;0,
     COUNTIFS($AW$2:$AW$200,$G65)&gt;0,
     COUNTIFS($AX$2:$AX$200,$G65)&gt;0
   )),
  ),
  2
 ),
"")</f>
        <v/>
      </c>
      <c r="E65" s="3" t="str" cm="1">
        <f t="array" aca="1" ref="E65" ca="1">IFERROR(
 INDEX(
  _xlfn._xlws.FILTER($U$1:$AX$1,
   TRANSPOSE(
    CHOOSE({1;2;3;4;5;6;7;8;9;10;11;12;13;14;15;16;17;18;19;20;21;22;23;24;25;26;27;28;29;30},
     COUNTIFS($U$2:$U$200,$G65)&gt;0,
     COUNTIFS($V$2:$V$200,$G65)&gt;0,
     COUNTIFS($W$2:$W$200,$G65)&gt;0,
     COUNTIFS($X$2:$X$200,$G65)&gt;0,
     COUNTIFS($Y$2:$Y$200,$G65)&gt;0,
     COUNTIFS($Z$2:$Z$200,$G65)&gt;0,
     COUNTIFS($AA$2:$AA$200,$G65)&gt;0,
     COUNTIFS($AB$2:$AB$200,$G65)&gt;0,
     COUNTIFS($AC$2:$AC$200,$G65)&gt;0,
     COUNTIFS($AD$2:$AD$200,$G65)&gt;0,
     COUNTIFS($AE$2:$AE$200,$G65)&gt;0,
     COUNTIFS($AF$2:$AF$200,$G65)&gt;0,
     COUNTIFS($AG$2:$AG$200,$G65)&gt;0,
     COUNTIFS($AH$2:$AH$200,$G65)&gt;0,
     COUNTIFS($AI$2:$AI$200,$G65)&gt;0,
     COUNTIFS($AJ$2:$AJ$200,$G65)&gt;0,
     COUNTIFS($AK$2:$AK$200,$G65)&gt;0,
     COUNTIFS($AL$2:$AL$200,$G65)&gt;0,
     COUNTIFS($AM$2:$AM$200,$G65)&gt;0,
     COUNTIFS($AN$2:$AN$200,$G65)&gt;0,
     COUNTIFS($AO$2:$AO$200,$G65)&gt;0,
     COUNTIFS($AP$2:$AP$200,$G65)&gt;0,
     COUNTIFS($AQ$2:$AQ$200,$G65)&gt;0,
     COUNTIFS($AR$2:$AR$200,$G65)&gt;0,
     COUNTIFS($AS$2:$AS$200,$G65)&gt;0,
     COUNTIFS($AT$2:$AT$200,$G65)&gt;0,
     COUNTIFS($AU$2:$AU$200,$G65)&gt;0,
     COUNTIFS($AV$2:$AV$200,$G65)&gt;0,
     COUNTIFS($AW$2:$AW$200,$G65)&gt;0,
     COUNTIFS($AX$2:$AX$200,$G65)&gt;0
   )),
  ),
  3
 ),
"")</f>
        <v/>
      </c>
      <c r="F65" s="3" t="str" cm="1">
        <f t="array" aca="1" ref="F65" ca="1">IFERROR(
 INDEX(
  _xlfn._xlws.FILTER($U$1:$AX$1,
   TRANSPOSE(
    CHOOSE({1;2;3;4;5;6;7;8;9;10;11;12;13;14;15;16;17;18;19;20;21;22;23;24;25;26;27;28;29;30},
     COUNTIFS($U$2:$U$200,$G65)&gt;0,
     COUNTIFS($V$2:$V$200,$G65)&gt;0,
     COUNTIFS($W$2:$W$200,$G65)&gt;0,
     COUNTIFS($X$2:$X$200,$G65)&gt;0,
     COUNTIFS($Y$2:$Y$200,$G65)&gt;0,
     COUNTIFS($Z$2:$Z$200,$G65)&gt;0,
     COUNTIFS($AA$2:$AA$200,$G65)&gt;0,
     COUNTIFS($AB$2:$AB$200,$G65)&gt;0,
     COUNTIFS($AC$2:$AC$200,$G65)&gt;0,
     COUNTIFS($AD$2:$AD$200,$G65)&gt;0,
     COUNTIFS($AE$2:$AE$200,$G65)&gt;0,
     COUNTIFS($AF$2:$AF$200,$G65)&gt;0,
     COUNTIFS($AG$2:$AG$200,$G65)&gt;0,
     COUNTIFS($AH$2:$AH$200,$G65)&gt;0,
     COUNTIFS($AI$2:$AI$200,$G65)&gt;0,
     COUNTIFS($AJ$2:$AJ$200,$G65)&gt;0,
     COUNTIFS($AK$2:$AK$200,$G65)&gt;0,
     COUNTIFS($AL$2:$AL$200,$G65)&gt;0,
     COUNTIFS($AM$2:$AM$200,$G65)&gt;0,
     COUNTIFS($AN$2:$AN$200,$G65)&gt;0,
     COUNTIFS($AO$2:$AO$200,$G65)&gt;0,
     COUNTIFS($AP$2:$AP$200,$G65)&gt;0,
     COUNTIFS($AQ$2:$AQ$200,$G65)&gt;0,
     COUNTIFS($AR$2:$AR$200,$G65)&gt;0,
     COUNTIFS($AS$2:$AS$200,$G65)&gt;0,
     COUNTIFS($AT$2:$AT$200,$G65)&gt;0,
     COUNTIFS($AU$2:$AU$200,$G65)&gt;0,
     COUNTIFS($AV$2:$AV$200,$G65)&gt;0,
     COUNTIFS($AW$2:$AW$200,$G65)&gt;0,
     COUNTIFS($AX$2:$AX$200,$G65)&gt;0
   )),
  ),
  4
 ),
"")</f>
        <v/>
      </c>
      <c r="G65" t="str">
        <f ca="1"/>
        <v>Chronomantic Escape</v>
      </c>
      <c r="AX65" t="str">
        <v>Plains</v>
      </c>
      <c r="BG65" t="str">
        <f ca="1"/>
        <v>Zellix, Sanity Flayer</v>
      </c>
      <c r="BH65" t="str">
        <f ca="1"/>
        <v>Stocking the Pantry</v>
      </c>
      <c r="BI65" t="str">
        <f ca="1"/>
        <v>Malcolm, Alluring Scoundrel</v>
      </c>
      <c r="BN65" t="str">
        <f ca="1"/>
        <v>Seahunter</v>
      </c>
      <c r="BO65" t="str">
        <f ca="1"/>
        <v>Generous Gift</v>
      </c>
      <c r="BQ65" t="str">
        <f ca="1"/>
        <v>Spectator Seating</v>
      </c>
      <c r="BR65" t="str">
        <f ca="1"/>
        <v>Jitte Perdida</v>
      </c>
      <c r="BT65" t="str">
        <f ca="1"/>
        <v>Faerie Slumber Party</v>
      </c>
    </row>
    <row r="66" spans="1:72" x14ac:dyDescent="0.25">
      <c r="A66" s="3" t="str">
        <f t="shared" ca="1" si="0"/>
        <v>3</v>
      </c>
      <c r="B66" s="3">
        <f t="shared" ca="1" si="1"/>
        <v>1</v>
      </c>
      <c r="C66" s="3" t="str">
        <f ca="1">IFERROR(
 INDEX($U$1:$AX$1,
  MATCH(TRUE,
   CHOOSE({1;2;3;4;5;6;7;8;9;10;11;12;13;14;15;16;17;18;19;20;21;22;23;24;25;26;27;28;29;30;31;32},
    COUNTIFS($U$2:$U$200,$G66)&gt;0,
    COUNTIFS($V$2:$V$200,$G66)&gt;0,
    COUNTIFS($W$2:$W$200,$G66)&gt;0,
    COUNTIFS($X$2:$X$200,$G66)&gt;0,
    COUNTIFS($Y$2:$Y$200,$G66)&gt;0,
    COUNTIFS($Z$2:$Z$200,$G66)&gt;0,
    COUNTIFS($AA$2:$AA$200,$G66)&gt;0,
    COUNTIFS($AB$2:$AB$200,$G66)&gt;0,
    COUNTIFS($AC$2:$AC$200,$G66)&gt;0,
    COUNTIFS($AD$2:$AD$200,$G66)&gt;0,
    COUNTIFS($AE$2:$AE$200,$G66)&gt;0,
    COUNTIFS($AF$2:$AF$200,$G66)&gt;0,
    COUNTIFS($AG$2:$AG$200,$G66)&gt;0,
    COUNTIFS($AH$2:$AH$200,$G66)&gt;0,
    COUNTIFS($AI$2:$AI$200,$G66)&gt;0,
    COUNTIFS($AJ$2:$AJ$200,$G66)&gt;0,
    COUNTIFS($AK$2:$AK$200,$G66)&gt;0,
    COUNTIFS($AL$2:$AL$200,$G66)&gt;0,
    COUNTIFS($AM$2:$AM$200,$G66)&gt;0,
    COUNTIFS($AN$2:$AN$200,$G66)&gt;0,
    COUNTIFS($AO$2:$AO$200,$G66)&gt;0,
    COUNTIFS($AP$2:$AP$200,$G66)&gt;0,
    COUNTIFS($AQ$2:$AQ$200,$G66)&gt;0,
    COUNTIFS($AR$2:$AR$200,$G66)&gt;0,
    COUNTIFS($AS$2:$AS$200,$G66)&gt;0,
    COUNTIFS($AT$2:$AT$200,$G66)&gt;0,
    COUNTIFS($AU$2:$AU$200,$G66)&gt;0,
    COUNTIFS($AV$2:$AV$200,$G66)&gt;0,
    COUNTIFS($AW$2:$AW$200,$G66)&gt;0,
    COUNTIFS($AX$2:$AX$200,$G66)&gt;0
   ),
  0)
 ),
"")</f>
        <v>Akiri</v>
      </c>
      <c r="D66" s="3" t="str" cm="1">
        <f t="array" aca="1" ref="D66" ca="1">IFERROR(
 INDEX(
  _xlfn._xlws.FILTER($U$1:$AX$1,
   TRANSPOSE(
    CHOOSE({1;2;3;4;5;6;7;8;9;10;11;12;13;14;15;16;17;18;19;20;21;22;23;24;25;26;27;28;29;30},
     COUNTIFS($U$2:$U$200,$G66)&gt;0,
     COUNTIFS($V$2:$V$200,$G66)&gt;0,
     COUNTIFS($W$2:$W$200,$G66)&gt;0,
     COUNTIFS($X$2:$X$200,$G66)&gt;0,
     COUNTIFS($Y$2:$Y$200,$G66)&gt;0,
     COUNTIFS($Z$2:$Z$200,$G66)&gt;0,
     COUNTIFS($AA$2:$AA$200,$G66)&gt;0,
     COUNTIFS($AB$2:$AB$200,$G66)&gt;0,
     COUNTIFS($AC$2:$AC$200,$G66)&gt;0,
     COUNTIFS($AD$2:$AD$200,$G66)&gt;0,
     COUNTIFS($AE$2:$AE$200,$G66)&gt;0,
     COUNTIFS($AF$2:$AF$200,$G66)&gt;0,
     COUNTIFS($AG$2:$AG$200,$G66)&gt;0,
     COUNTIFS($AH$2:$AH$200,$G66)&gt;0,
     COUNTIFS($AI$2:$AI$200,$G66)&gt;0,
     COUNTIFS($AJ$2:$AJ$200,$G66)&gt;0,
     COUNTIFS($AK$2:$AK$200,$G66)&gt;0,
     COUNTIFS($AL$2:$AL$200,$G66)&gt;0,
     COUNTIFS($AM$2:$AM$200,$G66)&gt;0,
     COUNTIFS($AN$2:$AN$200,$G66)&gt;0,
     COUNTIFS($AO$2:$AO$200,$G66)&gt;0,
     COUNTIFS($AP$2:$AP$200,$G66)&gt;0,
     COUNTIFS($AQ$2:$AQ$200,$G66)&gt;0,
     COUNTIFS($AR$2:$AR$200,$G66)&gt;0,
     COUNTIFS($AS$2:$AS$200,$G66)&gt;0,
     COUNTIFS($AT$2:$AT$200,$G66)&gt;0,
     COUNTIFS($AU$2:$AU$200,$G66)&gt;0,
     COUNTIFS($AV$2:$AV$200,$G66)&gt;0,
     COUNTIFS($AW$2:$AW$200,$G66)&gt;0,
     COUNTIFS($AX$2:$AX$200,$G66)&gt;0
   )),
  ),
  2
 ),
"")</f>
        <v/>
      </c>
      <c r="E66" s="3" t="str" cm="1">
        <f t="array" aca="1" ref="E66" ca="1">IFERROR(
 INDEX(
  _xlfn._xlws.FILTER($U$1:$AX$1,
   TRANSPOSE(
    CHOOSE({1;2;3;4;5;6;7;8;9;10;11;12;13;14;15;16;17;18;19;20;21;22;23;24;25;26;27;28;29;30},
     COUNTIFS($U$2:$U$200,$G66)&gt;0,
     COUNTIFS($V$2:$V$200,$G66)&gt;0,
     COUNTIFS($W$2:$W$200,$G66)&gt;0,
     COUNTIFS($X$2:$X$200,$G66)&gt;0,
     COUNTIFS($Y$2:$Y$200,$G66)&gt;0,
     COUNTIFS($Z$2:$Z$200,$G66)&gt;0,
     COUNTIFS($AA$2:$AA$200,$G66)&gt;0,
     COUNTIFS($AB$2:$AB$200,$G66)&gt;0,
     COUNTIFS($AC$2:$AC$200,$G66)&gt;0,
     COUNTIFS($AD$2:$AD$200,$G66)&gt;0,
     COUNTIFS($AE$2:$AE$200,$G66)&gt;0,
     COUNTIFS($AF$2:$AF$200,$G66)&gt;0,
     COUNTIFS($AG$2:$AG$200,$G66)&gt;0,
     COUNTIFS($AH$2:$AH$200,$G66)&gt;0,
     COUNTIFS($AI$2:$AI$200,$G66)&gt;0,
     COUNTIFS($AJ$2:$AJ$200,$G66)&gt;0,
     COUNTIFS($AK$2:$AK$200,$G66)&gt;0,
     COUNTIFS($AL$2:$AL$200,$G66)&gt;0,
     COUNTIFS($AM$2:$AM$200,$G66)&gt;0,
     COUNTIFS($AN$2:$AN$200,$G66)&gt;0,
     COUNTIFS($AO$2:$AO$200,$G66)&gt;0,
     COUNTIFS($AP$2:$AP$200,$G66)&gt;0,
     COUNTIFS($AQ$2:$AQ$200,$G66)&gt;0,
     COUNTIFS($AR$2:$AR$200,$G66)&gt;0,
     COUNTIFS($AS$2:$AS$200,$G66)&gt;0,
     COUNTIFS($AT$2:$AT$200,$G66)&gt;0,
     COUNTIFS($AU$2:$AU$200,$G66)&gt;0,
     COUNTIFS($AV$2:$AV$200,$G66)&gt;0,
     COUNTIFS($AW$2:$AW$200,$G66)&gt;0,
     COUNTIFS($AX$2:$AX$200,$G66)&gt;0
   )),
  ),
  3
 ),
"")</f>
        <v/>
      </c>
      <c r="F66" s="3" t="str" cm="1">
        <f t="array" aca="1" ref="F66" ca="1">IFERROR(
 INDEX(
  _xlfn._xlws.FILTER($U$1:$AX$1,
   TRANSPOSE(
    CHOOSE({1;2;3;4;5;6;7;8;9;10;11;12;13;14;15;16;17;18;19;20;21;22;23;24;25;26;27;28;29;30},
     COUNTIFS($U$2:$U$200,$G66)&gt;0,
     COUNTIFS($V$2:$V$200,$G66)&gt;0,
     COUNTIFS($W$2:$W$200,$G66)&gt;0,
     COUNTIFS($X$2:$X$200,$G66)&gt;0,
     COUNTIFS($Y$2:$Y$200,$G66)&gt;0,
     COUNTIFS($Z$2:$Z$200,$G66)&gt;0,
     COUNTIFS($AA$2:$AA$200,$G66)&gt;0,
     COUNTIFS($AB$2:$AB$200,$G66)&gt;0,
     COUNTIFS($AC$2:$AC$200,$G66)&gt;0,
     COUNTIFS($AD$2:$AD$200,$G66)&gt;0,
     COUNTIFS($AE$2:$AE$200,$G66)&gt;0,
     COUNTIFS($AF$2:$AF$200,$G66)&gt;0,
     COUNTIFS($AG$2:$AG$200,$G66)&gt;0,
     COUNTIFS($AH$2:$AH$200,$G66)&gt;0,
     COUNTIFS($AI$2:$AI$200,$G66)&gt;0,
     COUNTIFS($AJ$2:$AJ$200,$G66)&gt;0,
     COUNTIFS($AK$2:$AK$200,$G66)&gt;0,
     COUNTIFS($AL$2:$AL$200,$G66)&gt;0,
     COUNTIFS($AM$2:$AM$200,$G66)&gt;0,
     COUNTIFS($AN$2:$AN$200,$G66)&gt;0,
     COUNTIFS($AO$2:$AO$200,$G66)&gt;0,
     COUNTIFS($AP$2:$AP$200,$G66)&gt;0,
     COUNTIFS($AQ$2:$AQ$200,$G66)&gt;0,
     COUNTIFS($AR$2:$AR$200,$G66)&gt;0,
     COUNTIFS($AS$2:$AS$200,$G66)&gt;0,
     COUNTIFS($AT$2:$AT$200,$G66)&gt;0,
     COUNTIFS($AU$2:$AU$200,$G66)&gt;0,
     COUNTIFS($AV$2:$AV$200,$G66)&gt;0,
     COUNTIFS($AW$2:$AW$200,$G66)&gt;0,
     COUNTIFS($AX$2:$AX$200,$G66)&gt;0
   )),
  ),
  4
 ),
"")</f>
        <v/>
      </c>
      <c r="G66" t="str">
        <f ca="1"/>
        <v>Cid, Freeflier Pilot</v>
      </c>
      <c r="AX66" t="str">
        <v>Plains</v>
      </c>
      <c r="BH66" t="str">
        <f ca="1"/>
        <v>Summon: Fenrir</v>
      </c>
      <c r="BI66" t="str">
        <f ca="1"/>
        <v>Marketback Walker</v>
      </c>
      <c r="BN66" t="str">
        <f ca="1"/>
        <v>Simic Charm</v>
      </c>
      <c r="BO66" t="str">
        <f ca="1"/>
        <v>Glint-Horn Buccaneer</v>
      </c>
      <c r="BQ66" t="str">
        <f ca="1"/>
        <v>Takenuma, Charco Abandonado</v>
      </c>
      <c r="BR66" t="str">
        <f ca="1"/>
        <v>Karn Liberated</v>
      </c>
      <c r="BT66" t="str">
        <f ca="1"/>
        <v>Fellwar Stone</v>
      </c>
    </row>
    <row r="67" spans="1:72" x14ac:dyDescent="0.25">
      <c r="A67" s="3" t="str">
        <f t="shared" ref="A67:A130" ca="1" si="4">IFERROR(INDEX($S$3:$S$200, MATCH($C67, $I$3:$I$200, 0)), "")</f>
        <v>1</v>
      </c>
      <c r="B67" s="3">
        <f t="shared" ref="B67:B130" ca="1" si="5">COUNTIF(U:AX,G67)</f>
        <v>1</v>
      </c>
      <c r="C67" s="3" t="str">
        <f ca="1">IFERROR(
 INDEX($U$1:$AX$1,
  MATCH(TRUE,
   CHOOSE({1;2;3;4;5;6;7;8;9;10;11;12;13;14;15;16;17;18;19;20;21;22;23;24;25;26;27;28;29;30;31;32},
    COUNTIFS($U$2:$U$200,$G67)&gt;0,
    COUNTIFS($V$2:$V$200,$G67)&gt;0,
    COUNTIFS($W$2:$W$200,$G67)&gt;0,
    COUNTIFS($X$2:$X$200,$G67)&gt;0,
    COUNTIFS($Y$2:$Y$200,$G67)&gt;0,
    COUNTIFS($Z$2:$Z$200,$G67)&gt;0,
    COUNTIFS($AA$2:$AA$200,$G67)&gt;0,
    COUNTIFS($AB$2:$AB$200,$G67)&gt;0,
    COUNTIFS($AC$2:$AC$200,$G67)&gt;0,
    COUNTIFS($AD$2:$AD$200,$G67)&gt;0,
    COUNTIFS($AE$2:$AE$200,$G67)&gt;0,
    COUNTIFS($AF$2:$AF$200,$G67)&gt;0,
    COUNTIFS($AG$2:$AG$200,$G67)&gt;0,
    COUNTIFS($AH$2:$AH$200,$G67)&gt;0,
    COUNTIFS($AI$2:$AI$200,$G67)&gt;0,
    COUNTIFS($AJ$2:$AJ$200,$G67)&gt;0,
    COUNTIFS($AK$2:$AK$200,$G67)&gt;0,
    COUNTIFS($AL$2:$AL$200,$G67)&gt;0,
    COUNTIFS($AM$2:$AM$200,$G67)&gt;0,
    COUNTIFS($AN$2:$AN$200,$G67)&gt;0,
    COUNTIFS($AO$2:$AO$200,$G67)&gt;0,
    COUNTIFS($AP$2:$AP$200,$G67)&gt;0,
    COUNTIFS($AQ$2:$AQ$200,$G67)&gt;0,
    COUNTIFS($AR$2:$AR$200,$G67)&gt;0,
    COUNTIFS($AS$2:$AS$200,$G67)&gt;0,
    COUNTIFS($AT$2:$AT$200,$G67)&gt;0,
    COUNTIFS($AU$2:$AU$200,$G67)&gt;0,
    COUNTIFS($AV$2:$AV$200,$G67)&gt;0,
    COUNTIFS($AW$2:$AW$200,$G67)&gt;0,
    COUNTIFS($AX$2:$AX$200,$G67)&gt;0
   ),
  0)
 ),
"")</f>
        <v>Baylen</v>
      </c>
      <c r="D67" s="3" t="str" cm="1">
        <f t="array" aca="1" ref="D67" ca="1">IFERROR(
 INDEX(
  _xlfn._xlws.FILTER($U$1:$AX$1,
   TRANSPOSE(
    CHOOSE({1;2;3;4;5;6;7;8;9;10;11;12;13;14;15;16;17;18;19;20;21;22;23;24;25;26;27;28;29;30},
     COUNTIFS($U$2:$U$200,$G67)&gt;0,
     COUNTIFS($V$2:$V$200,$G67)&gt;0,
     COUNTIFS($W$2:$W$200,$G67)&gt;0,
     COUNTIFS($X$2:$X$200,$G67)&gt;0,
     COUNTIFS($Y$2:$Y$200,$G67)&gt;0,
     COUNTIFS($Z$2:$Z$200,$G67)&gt;0,
     COUNTIFS($AA$2:$AA$200,$G67)&gt;0,
     COUNTIFS($AB$2:$AB$200,$G67)&gt;0,
     COUNTIFS($AC$2:$AC$200,$G67)&gt;0,
     COUNTIFS($AD$2:$AD$200,$G67)&gt;0,
     COUNTIFS($AE$2:$AE$200,$G67)&gt;0,
     COUNTIFS($AF$2:$AF$200,$G67)&gt;0,
     COUNTIFS($AG$2:$AG$200,$G67)&gt;0,
     COUNTIFS($AH$2:$AH$200,$G67)&gt;0,
     COUNTIFS($AI$2:$AI$200,$G67)&gt;0,
     COUNTIFS($AJ$2:$AJ$200,$G67)&gt;0,
     COUNTIFS($AK$2:$AK$200,$G67)&gt;0,
     COUNTIFS($AL$2:$AL$200,$G67)&gt;0,
     COUNTIFS($AM$2:$AM$200,$G67)&gt;0,
     COUNTIFS($AN$2:$AN$200,$G67)&gt;0,
     COUNTIFS($AO$2:$AO$200,$G67)&gt;0,
     COUNTIFS($AP$2:$AP$200,$G67)&gt;0,
     COUNTIFS($AQ$2:$AQ$200,$G67)&gt;0,
     COUNTIFS($AR$2:$AR$200,$G67)&gt;0,
     COUNTIFS($AS$2:$AS$200,$G67)&gt;0,
     COUNTIFS($AT$2:$AT$200,$G67)&gt;0,
     COUNTIFS($AU$2:$AU$200,$G67)&gt;0,
     COUNTIFS($AV$2:$AV$200,$G67)&gt;0,
     COUNTIFS($AW$2:$AW$200,$G67)&gt;0,
     COUNTIFS($AX$2:$AX$200,$G67)&gt;0
   )),
  ),
  2
 ),
"")</f>
        <v/>
      </c>
      <c r="E67" s="3" t="str" cm="1">
        <f t="array" aca="1" ref="E67" ca="1">IFERROR(
 INDEX(
  _xlfn._xlws.FILTER($U$1:$AX$1,
   TRANSPOSE(
    CHOOSE({1;2;3;4;5;6;7;8;9;10;11;12;13;14;15;16;17;18;19;20;21;22;23;24;25;26;27;28;29;30},
     COUNTIFS($U$2:$U$200,$G67)&gt;0,
     COUNTIFS($V$2:$V$200,$G67)&gt;0,
     COUNTIFS($W$2:$W$200,$G67)&gt;0,
     COUNTIFS($X$2:$X$200,$G67)&gt;0,
     COUNTIFS($Y$2:$Y$200,$G67)&gt;0,
     COUNTIFS($Z$2:$Z$200,$G67)&gt;0,
     COUNTIFS($AA$2:$AA$200,$G67)&gt;0,
     COUNTIFS($AB$2:$AB$200,$G67)&gt;0,
     COUNTIFS($AC$2:$AC$200,$G67)&gt;0,
     COUNTIFS($AD$2:$AD$200,$G67)&gt;0,
     COUNTIFS($AE$2:$AE$200,$G67)&gt;0,
     COUNTIFS($AF$2:$AF$200,$G67)&gt;0,
     COUNTIFS($AG$2:$AG$200,$G67)&gt;0,
     COUNTIFS($AH$2:$AH$200,$G67)&gt;0,
     COUNTIFS($AI$2:$AI$200,$G67)&gt;0,
     COUNTIFS($AJ$2:$AJ$200,$G67)&gt;0,
     COUNTIFS($AK$2:$AK$200,$G67)&gt;0,
     COUNTIFS($AL$2:$AL$200,$G67)&gt;0,
     COUNTIFS($AM$2:$AM$200,$G67)&gt;0,
     COUNTIFS($AN$2:$AN$200,$G67)&gt;0,
     COUNTIFS($AO$2:$AO$200,$G67)&gt;0,
     COUNTIFS($AP$2:$AP$200,$G67)&gt;0,
     COUNTIFS($AQ$2:$AQ$200,$G67)&gt;0,
     COUNTIFS($AR$2:$AR$200,$G67)&gt;0,
     COUNTIFS($AS$2:$AS$200,$G67)&gt;0,
     COUNTIFS($AT$2:$AT$200,$G67)&gt;0,
     COUNTIFS($AU$2:$AU$200,$G67)&gt;0,
     COUNTIFS($AV$2:$AV$200,$G67)&gt;0,
     COUNTIFS($AW$2:$AW$200,$G67)&gt;0,
     COUNTIFS($AX$2:$AX$200,$G67)&gt;0
   )),
  ),
  3
 ),
"")</f>
        <v/>
      </c>
      <c r="F67" s="3" t="str" cm="1">
        <f t="array" aca="1" ref="F67" ca="1">IFERROR(
 INDEX(
  _xlfn._xlws.FILTER($U$1:$AX$1,
   TRANSPOSE(
    CHOOSE({1;2;3;4;5;6;7;8;9;10;11;12;13;14;15;16;17;18;19;20;21;22;23;24;25;26;27;28;29;30},
     COUNTIFS($U$2:$U$200,$G67)&gt;0,
     COUNTIFS($V$2:$V$200,$G67)&gt;0,
     COUNTIFS($W$2:$W$200,$G67)&gt;0,
     COUNTIFS($X$2:$X$200,$G67)&gt;0,
     COUNTIFS($Y$2:$Y$200,$G67)&gt;0,
     COUNTIFS($Z$2:$Z$200,$G67)&gt;0,
     COUNTIFS($AA$2:$AA$200,$G67)&gt;0,
     COUNTIFS($AB$2:$AB$200,$G67)&gt;0,
     COUNTIFS($AC$2:$AC$200,$G67)&gt;0,
     COUNTIFS($AD$2:$AD$200,$G67)&gt;0,
     COUNTIFS($AE$2:$AE$200,$G67)&gt;0,
     COUNTIFS($AF$2:$AF$200,$G67)&gt;0,
     COUNTIFS($AG$2:$AG$200,$G67)&gt;0,
     COUNTIFS($AH$2:$AH$200,$G67)&gt;0,
     COUNTIFS($AI$2:$AI$200,$G67)&gt;0,
     COUNTIFS($AJ$2:$AJ$200,$G67)&gt;0,
     COUNTIFS($AK$2:$AK$200,$G67)&gt;0,
     COUNTIFS($AL$2:$AL$200,$G67)&gt;0,
     COUNTIFS($AM$2:$AM$200,$G67)&gt;0,
     COUNTIFS($AN$2:$AN$200,$G67)&gt;0,
     COUNTIFS($AO$2:$AO$200,$G67)&gt;0,
     COUNTIFS($AP$2:$AP$200,$G67)&gt;0,
     COUNTIFS($AQ$2:$AQ$200,$G67)&gt;0,
     COUNTIFS($AR$2:$AR$200,$G67)&gt;0,
     COUNTIFS($AS$2:$AS$200,$G67)&gt;0,
     COUNTIFS($AT$2:$AT$200,$G67)&gt;0,
     COUNTIFS($AU$2:$AU$200,$G67)&gt;0,
     COUNTIFS($AV$2:$AV$200,$G67)&gt;0,
     COUNTIFS($AW$2:$AW$200,$G67)&gt;0,
     COUNTIFS($AX$2:$AX$200,$G67)&gt;0
   )),
  ),
  4
 ),
"")</f>
        <v/>
      </c>
      <c r="G67" t="str">
        <f ca="1"/>
        <v>Cinder Glade</v>
      </c>
      <c r="AX67" t="str">
        <v>Rogue's Passage</v>
      </c>
      <c r="BH67" t="str">
        <f ca="1"/>
        <v>Summon: Ixion</v>
      </c>
      <c r="BI67" t="str">
        <f ca="1"/>
        <v>Mindless Automaton</v>
      </c>
      <c r="BN67" t="str">
        <f ca="1"/>
        <v>Singer of Swift Rivers</v>
      </c>
      <c r="BO67" t="str">
        <f ca="1"/>
        <v>Go for the Throat</v>
      </c>
      <c r="BQ67" t="str">
        <f ca="1"/>
        <v>Temporal Manipulation</v>
      </c>
      <c r="BR67" t="str">
        <f ca="1"/>
        <v>Kaya the Inexorable</v>
      </c>
      <c r="BT67" t="str">
        <f ca="1"/>
        <v>Firion, Wild Rose Warrior</v>
      </c>
    </row>
    <row r="68" spans="1:72" x14ac:dyDescent="0.25">
      <c r="A68" s="3" t="str">
        <f t="shared" ca="1" si="4"/>
        <v>2</v>
      </c>
      <c r="B68" s="3">
        <f t="shared" ca="1" si="5"/>
        <v>1</v>
      </c>
      <c r="C68" s="3" t="str">
        <f ca="1">IFERROR(
 INDEX($U$1:$AX$1,
  MATCH(TRUE,
   CHOOSE({1;2;3;4;5;6;7;8;9;10;11;12;13;14;15;16;17;18;19;20;21;22;23;24;25;26;27;28;29;30;31;32},
    COUNTIFS($U$2:$U$200,$G68)&gt;0,
    COUNTIFS($V$2:$V$200,$G68)&gt;0,
    COUNTIFS($W$2:$W$200,$G68)&gt;0,
    COUNTIFS($X$2:$X$200,$G68)&gt;0,
    COUNTIFS($Y$2:$Y$200,$G68)&gt;0,
    COUNTIFS($Z$2:$Z$200,$G68)&gt;0,
    COUNTIFS($AA$2:$AA$200,$G68)&gt;0,
    COUNTIFS($AB$2:$AB$200,$G68)&gt;0,
    COUNTIFS($AC$2:$AC$200,$G68)&gt;0,
    COUNTIFS($AD$2:$AD$200,$G68)&gt;0,
    COUNTIFS($AE$2:$AE$200,$G68)&gt;0,
    COUNTIFS($AF$2:$AF$200,$G68)&gt;0,
    COUNTIFS($AG$2:$AG$200,$G68)&gt;0,
    COUNTIFS($AH$2:$AH$200,$G68)&gt;0,
    COUNTIFS($AI$2:$AI$200,$G68)&gt;0,
    COUNTIFS($AJ$2:$AJ$200,$G68)&gt;0,
    COUNTIFS($AK$2:$AK$200,$G68)&gt;0,
    COUNTIFS($AL$2:$AL$200,$G68)&gt;0,
    COUNTIFS($AM$2:$AM$200,$G68)&gt;0,
    COUNTIFS($AN$2:$AN$200,$G68)&gt;0,
    COUNTIFS($AO$2:$AO$200,$G68)&gt;0,
    COUNTIFS($AP$2:$AP$200,$G68)&gt;0,
    COUNTIFS($AQ$2:$AQ$200,$G68)&gt;0,
    COUNTIFS($AR$2:$AR$200,$G68)&gt;0,
    COUNTIFS($AS$2:$AS$200,$G68)&gt;0,
    COUNTIFS($AT$2:$AT$200,$G68)&gt;0,
    COUNTIFS($AU$2:$AU$200,$G68)&gt;0,
    COUNTIFS($AV$2:$AV$200,$G68)&gt;0,
    COUNTIFS($AW$2:$AW$200,$G68)&gt;0,
    COUNTIFS($AX$2:$AX$200,$G68)&gt;0
   ),
  0)
 ),
"")</f>
        <v>Narset</v>
      </c>
      <c r="D68" s="3" t="str" cm="1">
        <f t="array" aca="1" ref="D68" ca="1">IFERROR(
 INDEX(
  _xlfn._xlws.FILTER($U$1:$AX$1,
   TRANSPOSE(
    CHOOSE({1;2;3;4;5;6;7;8;9;10;11;12;13;14;15;16;17;18;19;20;21;22;23;24;25;26;27;28;29;30},
     COUNTIFS($U$2:$U$200,$G68)&gt;0,
     COUNTIFS($V$2:$V$200,$G68)&gt;0,
     COUNTIFS($W$2:$W$200,$G68)&gt;0,
     COUNTIFS($X$2:$X$200,$G68)&gt;0,
     COUNTIFS($Y$2:$Y$200,$G68)&gt;0,
     COUNTIFS($Z$2:$Z$200,$G68)&gt;0,
     COUNTIFS($AA$2:$AA$200,$G68)&gt;0,
     COUNTIFS($AB$2:$AB$200,$G68)&gt;0,
     COUNTIFS($AC$2:$AC$200,$G68)&gt;0,
     COUNTIFS($AD$2:$AD$200,$G68)&gt;0,
     COUNTIFS($AE$2:$AE$200,$G68)&gt;0,
     COUNTIFS($AF$2:$AF$200,$G68)&gt;0,
     COUNTIFS($AG$2:$AG$200,$G68)&gt;0,
     COUNTIFS($AH$2:$AH$200,$G68)&gt;0,
     COUNTIFS($AI$2:$AI$200,$G68)&gt;0,
     COUNTIFS($AJ$2:$AJ$200,$G68)&gt;0,
     COUNTIFS($AK$2:$AK$200,$G68)&gt;0,
     COUNTIFS($AL$2:$AL$200,$G68)&gt;0,
     COUNTIFS($AM$2:$AM$200,$G68)&gt;0,
     COUNTIFS($AN$2:$AN$200,$G68)&gt;0,
     COUNTIFS($AO$2:$AO$200,$G68)&gt;0,
     COUNTIFS($AP$2:$AP$200,$G68)&gt;0,
     COUNTIFS($AQ$2:$AQ$200,$G68)&gt;0,
     COUNTIFS($AR$2:$AR$200,$G68)&gt;0,
     COUNTIFS($AS$2:$AS$200,$G68)&gt;0,
     COUNTIFS($AT$2:$AT$200,$G68)&gt;0,
     COUNTIFS($AU$2:$AU$200,$G68)&gt;0,
     COUNTIFS($AV$2:$AV$200,$G68)&gt;0,
     COUNTIFS($AW$2:$AW$200,$G68)&gt;0,
     COUNTIFS($AX$2:$AX$200,$G68)&gt;0
   )),
  ),
  2
 ),
"")</f>
        <v/>
      </c>
      <c r="E68" s="3" t="str" cm="1">
        <f t="array" aca="1" ref="E68" ca="1">IFERROR(
 INDEX(
  _xlfn._xlws.FILTER($U$1:$AX$1,
   TRANSPOSE(
    CHOOSE({1;2;3;4;5;6;7;8;9;10;11;12;13;14;15;16;17;18;19;20;21;22;23;24;25;26;27;28;29;30},
     COUNTIFS($U$2:$U$200,$G68)&gt;0,
     COUNTIFS($V$2:$V$200,$G68)&gt;0,
     COUNTIFS($W$2:$W$200,$G68)&gt;0,
     COUNTIFS($X$2:$X$200,$G68)&gt;0,
     COUNTIFS($Y$2:$Y$200,$G68)&gt;0,
     COUNTIFS($Z$2:$Z$200,$G68)&gt;0,
     COUNTIFS($AA$2:$AA$200,$G68)&gt;0,
     COUNTIFS($AB$2:$AB$200,$G68)&gt;0,
     COUNTIFS($AC$2:$AC$200,$G68)&gt;0,
     COUNTIFS($AD$2:$AD$200,$G68)&gt;0,
     COUNTIFS($AE$2:$AE$200,$G68)&gt;0,
     COUNTIFS($AF$2:$AF$200,$G68)&gt;0,
     COUNTIFS($AG$2:$AG$200,$G68)&gt;0,
     COUNTIFS($AH$2:$AH$200,$G68)&gt;0,
     COUNTIFS($AI$2:$AI$200,$G68)&gt;0,
     COUNTIFS($AJ$2:$AJ$200,$G68)&gt;0,
     COUNTIFS($AK$2:$AK$200,$G68)&gt;0,
     COUNTIFS($AL$2:$AL$200,$G68)&gt;0,
     COUNTIFS($AM$2:$AM$200,$G68)&gt;0,
     COUNTIFS($AN$2:$AN$200,$G68)&gt;0,
     COUNTIFS($AO$2:$AO$200,$G68)&gt;0,
     COUNTIFS($AP$2:$AP$200,$G68)&gt;0,
     COUNTIFS($AQ$2:$AQ$200,$G68)&gt;0,
     COUNTIFS($AR$2:$AR$200,$G68)&gt;0,
     COUNTIFS($AS$2:$AS$200,$G68)&gt;0,
     COUNTIFS($AT$2:$AT$200,$G68)&gt;0,
     COUNTIFS($AU$2:$AU$200,$G68)&gt;0,
     COUNTIFS($AV$2:$AV$200,$G68)&gt;0,
     COUNTIFS($AW$2:$AW$200,$G68)&gt;0,
     COUNTIFS($AX$2:$AX$200,$G68)&gt;0
   )),
  ),
  3
 ),
"")</f>
        <v/>
      </c>
      <c r="F68" s="3" t="str" cm="1">
        <f t="array" aca="1" ref="F68" ca="1">IFERROR(
 INDEX(
  _xlfn._xlws.FILTER($U$1:$AX$1,
   TRANSPOSE(
    CHOOSE({1;2;3;4;5;6;7;8;9;10;11;12;13;14;15;16;17;18;19;20;21;22;23;24;25;26;27;28;29;30},
     COUNTIFS($U$2:$U$200,$G68)&gt;0,
     COUNTIFS($V$2:$V$200,$G68)&gt;0,
     COUNTIFS($W$2:$W$200,$G68)&gt;0,
     COUNTIFS($X$2:$X$200,$G68)&gt;0,
     COUNTIFS($Y$2:$Y$200,$G68)&gt;0,
     COUNTIFS($Z$2:$Z$200,$G68)&gt;0,
     COUNTIFS($AA$2:$AA$200,$G68)&gt;0,
     COUNTIFS($AB$2:$AB$200,$G68)&gt;0,
     COUNTIFS($AC$2:$AC$200,$G68)&gt;0,
     COUNTIFS($AD$2:$AD$200,$G68)&gt;0,
     COUNTIFS($AE$2:$AE$200,$G68)&gt;0,
     COUNTIFS($AF$2:$AF$200,$G68)&gt;0,
     COUNTIFS($AG$2:$AG$200,$G68)&gt;0,
     COUNTIFS($AH$2:$AH$200,$G68)&gt;0,
     COUNTIFS($AI$2:$AI$200,$G68)&gt;0,
     COUNTIFS($AJ$2:$AJ$200,$G68)&gt;0,
     COUNTIFS($AK$2:$AK$200,$G68)&gt;0,
     COUNTIFS($AL$2:$AL$200,$G68)&gt;0,
     COUNTIFS($AM$2:$AM$200,$G68)&gt;0,
     COUNTIFS($AN$2:$AN$200,$G68)&gt;0,
     COUNTIFS($AO$2:$AO$200,$G68)&gt;0,
     COUNTIFS($AP$2:$AP$200,$G68)&gt;0,
     COUNTIFS($AQ$2:$AQ$200,$G68)&gt;0,
     COUNTIFS($AR$2:$AR$200,$G68)&gt;0,
     COUNTIFS($AS$2:$AS$200,$G68)&gt;0,
     COUNTIFS($AT$2:$AT$200,$G68)&gt;0,
     COUNTIFS($AU$2:$AU$200,$G68)&gt;0,
     COUNTIFS($AV$2:$AV$200,$G68)&gt;0,
     COUNTIFS($AW$2:$AW$200,$G68)&gt;0,
     COUNTIFS($AX$2:$AX$200,$G68)&gt;0
   )),
  ),
  4
 ),
"")</f>
        <v/>
      </c>
      <c r="G68" t="str">
        <f ca="1"/>
        <v>Clifftop Retreat</v>
      </c>
      <c r="AX68" t="str">
        <v>Rustvale Bridge</v>
      </c>
      <c r="BH68" t="str">
        <f ca="1"/>
        <v>Sunscorched Divide</v>
      </c>
      <c r="BI68" t="str">
        <f ca="1"/>
        <v>Mines of Moria</v>
      </c>
      <c r="BN68" t="str">
        <f ca="1"/>
        <v>Slash the Ranks</v>
      </c>
      <c r="BO68" t="str">
        <f ca="1"/>
        <v>Goblin Engineer</v>
      </c>
      <c r="BQ68" t="str">
        <f ca="1"/>
        <v>Temporal Trespass</v>
      </c>
      <c r="BR68" t="str">
        <f ca="1"/>
        <v>Keen Duelist</v>
      </c>
      <c r="BT68" t="str">
        <f ca="1"/>
        <v>Frenzied Gorespawn</v>
      </c>
    </row>
    <row r="69" spans="1:72" x14ac:dyDescent="0.25">
      <c r="A69" s="3" t="str">
        <f t="shared" ca="1" si="4"/>
        <v>3</v>
      </c>
      <c r="B69" s="3">
        <f t="shared" ca="1" si="5"/>
        <v>1</v>
      </c>
      <c r="C69" s="3" t="str">
        <f ca="1">IFERROR(
 INDEX($U$1:$AX$1,
  MATCH(TRUE,
   CHOOSE({1;2;3;4;5;6;7;8;9;10;11;12;13;14;15;16;17;18;19;20;21;22;23;24;25;26;27;28;29;30;31;32},
    COUNTIFS($U$2:$U$200,$G69)&gt;0,
    COUNTIFS($V$2:$V$200,$G69)&gt;0,
    COUNTIFS($W$2:$W$200,$G69)&gt;0,
    COUNTIFS($X$2:$X$200,$G69)&gt;0,
    COUNTIFS($Y$2:$Y$200,$G69)&gt;0,
    COUNTIFS($Z$2:$Z$200,$G69)&gt;0,
    COUNTIFS($AA$2:$AA$200,$G69)&gt;0,
    COUNTIFS($AB$2:$AB$200,$G69)&gt;0,
    COUNTIFS($AC$2:$AC$200,$G69)&gt;0,
    COUNTIFS($AD$2:$AD$200,$G69)&gt;0,
    COUNTIFS($AE$2:$AE$200,$G69)&gt;0,
    COUNTIFS($AF$2:$AF$200,$G69)&gt;0,
    COUNTIFS($AG$2:$AG$200,$G69)&gt;0,
    COUNTIFS($AH$2:$AH$200,$G69)&gt;0,
    COUNTIFS($AI$2:$AI$200,$G69)&gt;0,
    COUNTIFS($AJ$2:$AJ$200,$G69)&gt;0,
    COUNTIFS($AK$2:$AK$200,$G69)&gt;0,
    COUNTIFS($AL$2:$AL$200,$G69)&gt;0,
    COUNTIFS($AM$2:$AM$200,$G69)&gt;0,
    COUNTIFS($AN$2:$AN$200,$G69)&gt;0,
    COUNTIFS($AO$2:$AO$200,$G69)&gt;0,
    COUNTIFS($AP$2:$AP$200,$G69)&gt;0,
    COUNTIFS($AQ$2:$AQ$200,$G69)&gt;0,
    COUNTIFS($AR$2:$AR$200,$G69)&gt;0,
    COUNTIFS($AS$2:$AS$200,$G69)&gt;0,
    COUNTIFS($AT$2:$AT$200,$G69)&gt;0,
    COUNTIFS($AU$2:$AU$200,$G69)&gt;0,
    COUNTIFS($AV$2:$AV$200,$G69)&gt;0,
    COUNTIFS($AW$2:$AW$200,$G69)&gt;0,
    COUNTIFS($AX$2:$AX$200,$G69)&gt;0
   ),
  0)
 ),
"")</f>
        <v>Akiri</v>
      </c>
      <c r="D69" s="3" t="str" cm="1">
        <f t="array" aca="1" ref="D69" ca="1">IFERROR(
 INDEX(
  _xlfn._xlws.FILTER($U$1:$AX$1,
   TRANSPOSE(
    CHOOSE({1;2;3;4;5;6;7;8;9;10;11;12;13;14;15;16;17;18;19;20;21;22;23;24;25;26;27;28;29;30},
     COUNTIFS($U$2:$U$200,$G69)&gt;0,
     COUNTIFS($V$2:$V$200,$G69)&gt;0,
     COUNTIFS($W$2:$W$200,$G69)&gt;0,
     COUNTIFS($X$2:$X$200,$G69)&gt;0,
     COUNTIFS($Y$2:$Y$200,$G69)&gt;0,
     COUNTIFS($Z$2:$Z$200,$G69)&gt;0,
     COUNTIFS($AA$2:$AA$200,$G69)&gt;0,
     COUNTIFS($AB$2:$AB$200,$G69)&gt;0,
     COUNTIFS($AC$2:$AC$200,$G69)&gt;0,
     COUNTIFS($AD$2:$AD$200,$G69)&gt;0,
     COUNTIFS($AE$2:$AE$200,$G69)&gt;0,
     COUNTIFS($AF$2:$AF$200,$G69)&gt;0,
     COUNTIFS($AG$2:$AG$200,$G69)&gt;0,
     COUNTIFS($AH$2:$AH$200,$G69)&gt;0,
     COUNTIFS($AI$2:$AI$200,$G69)&gt;0,
     COUNTIFS($AJ$2:$AJ$200,$G69)&gt;0,
     COUNTIFS($AK$2:$AK$200,$G69)&gt;0,
     COUNTIFS($AL$2:$AL$200,$G69)&gt;0,
     COUNTIFS($AM$2:$AM$200,$G69)&gt;0,
     COUNTIFS($AN$2:$AN$200,$G69)&gt;0,
     COUNTIFS($AO$2:$AO$200,$G69)&gt;0,
     COUNTIFS($AP$2:$AP$200,$G69)&gt;0,
     COUNTIFS($AQ$2:$AQ$200,$G69)&gt;0,
     COUNTIFS($AR$2:$AR$200,$G69)&gt;0,
     COUNTIFS($AS$2:$AS$200,$G69)&gt;0,
     COUNTIFS($AT$2:$AT$200,$G69)&gt;0,
     COUNTIFS($AU$2:$AU$200,$G69)&gt;0,
     COUNTIFS($AV$2:$AV$200,$G69)&gt;0,
     COUNTIFS($AW$2:$AW$200,$G69)&gt;0,
     COUNTIFS($AX$2:$AX$200,$G69)&gt;0
   )),
  ),
  2
 ),
"")</f>
        <v/>
      </c>
      <c r="E69" s="3" t="str" cm="1">
        <f t="array" aca="1" ref="E69" ca="1">IFERROR(
 INDEX(
  _xlfn._xlws.FILTER($U$1:$AX$1,
   TRANSPOSE(
    CHOOSE({1;2;3;4;5;6;7;8;9;10;11;12;13;14;15;16;17;18;19;20;21;22;23;24;25;26;27;28;29;30},
     COUNTIFS($U$2:$U$200,$G69)&gt;0,
     COUNTIFS($V$2:$V$200,$G69)&gt;0,
     COUNTIFS($W$2:$W$200,$G69)&gt;0,
     COUNTIFS($X$2:$X$200,$G69)&gt;0,
     COUNTIFS($Y$2:$Y$200,$G69)&gt;0,
     COUNTIFS($Z$2:$Z$200,$G69)&gt;0,
     COUNTIFS($AA$2:$AA$200,$G69)&gt;0,
     COUNTIFS($AB$2:$AB$200,$G69)&gt;0,
     COUNTIFS($AC$2:$AC$200,$G69)&gt;0,
     COUNTIFS($AD$2:$AD$200,$G69)&gt;0,
     COUNTIFS($AE$2:$AE$200,$G69)&gt;0,
     COUNTIFS($AF$2:$AF$200,$G69)&gt;0,
     COUNTIFS($AG$2:$AG$200,$G69)&gt;0,
     COUNTIFS($AH$2:$AH$200,$G69)&gt;0,
     COUNTIFS($AI$2:$AI$200,$G69)&gt;0,
     COUNTIFS($AJ$2:$AJ$200,$G69)&gt;0,
     COUNTIFS($AK$2:$AK$200,$G69)&gt;0,
     COUNTIFS($AL$2:$AL$200,$G69)&gt;0,
     COUNTIFS($AM$2:$AM$200,$G69)&gt;0,
     COUNTIFS($AN$2:$AN$200,$G69)&gt;0,
     COUNTIFS($AO$2:$AO$200,$G69)&gt;0,
     COUNTIFS($AP$2:$AP$200,$G69)&gt;0,
     COUNTIFS($AQ$2:$AQ$200,$G69)&gt;0,
     COUNTIFS($AR$2:$AR$200,$G69)&gt;0,
     COUNTIFS($AS$2:$AS$200,$G69)&gt;0,
     COUNTIFS($AT$2:$AT$200,$G69)&gt;0,
     COUNTIFS($AU$2:$AU$200,$G69)&gt;0,
     COUNTIFS($AV$2:$AV$200,$G69)&gt;0,
     COUNTIFS($AW$2:$AW$200,$G69)&gt;0,
     COUNTIFS($AX$2:$AX$200,$G69)&gt;0
   )),
  ),
  3
 ),
"")</f>
        <v/>
      </c>
      <c r="F69" s="3" t="str" cm="1">
        <f t="array" aca="1" ref="F69" ca="1">IFERROR(
 INDEX(
  _xlfn._xlws.FILTER($U$1:$AX$1,
   TRANSPOSE(
    CHOOSE({1;2;3;4;5;6;7;8;9;10;11;12;13;14;15;16;17;18;19;20;21;22;23;24;25;26;27;28;29;30},
     COUNTIFS($U$2:$U$200,$G69)&gt;0,
     COUNTIFS($V$2:$V$200,$G69)&gt;0,
     COUNTIFS($W$2:$W$200,$G69)&gt;0,
     COUNTIFS($X$2:$X$200,$G69)&gt;0,
     COUNTIFS($Y$2:$Y$200,$G69)&gt;0,
     COUNTIFS($Z$2:$Z$200,$G69)&gt;0,
     COUNTIFS($AA$2:$AA$200,$G69)&gt;0,
     COUNTIFS($AB$2:$AB$200,$G69)&gt;0,
     COUNTIFS($AC$2:$AC$200,$G69)&gt;0,
     COUNTIFS($AD$2:$AD$200,$G69)&gt;0,
     COUNTIFS($AE$2:$AE$200,$G69)&gt;0,
     COUNTIFS($AF$2:$AF$200,$G69)&gt;0,
     COUNTIFS($AG$2:$AG$200,$G69)&gt;0,
     COUNTIFS($AH$2:$AH$200,$G69)&gt;0,
     COUNTIFS($AI$2:$AI$200,$G69)&gt;0,
     COUNTIFS($AJ$2:$AJ$200,$G69)&gt;0,
     COUNTIFS($AK$2:$AK$200,$G69)&gt;0,
     COUNTIFS($AL$2:$AL$200,$G69)&gt;0,
     COUNTIFS($AM$2:$AM$200,$G69)&gt;0,
     COUNTIFS($AN$2:$AN$200,$G69)&gt;0,
     COUNTIFS($AO$2:$AO$200,$G69)&gt;0,
     COUNTIFS($AP$2:$AP$200,$G69)&gt;0,
     COUNTIFS($AQ$2:$AQ$200,$G69)&gt;0,
     COUNTIFS($AR$2:$AR$200,$G69)&gt;0,
     COUNTIFS($AS$2:$AS$200,$G69)&gt;0,
     COUNTIFS($AT$2:$AT$200,$G69)&gt;0,
     COUNTIFS($AU$2:$AU$200,$G69)&gt;0,
     COUNTIFS($AV$2:$AV$200,$G69)&gt;0,
     COUNTIFS($AW$2:$AW$200,$G69)&gt;0,
     COUNTIFS($AX$2:$AX$200,$G69)&gt;0
   )),
  ),
  4
 ),
"")</f>
        <v/>
      </c>
      <c r="G69" t="str">
        <f ca="1"/>
        <v>Cloud, Midgar Mercenary</v>
      </c>
      <c r="AX69" t="str">
        <v>Sacred Ground</v>
      </c>
      <c r="BH69" t="str">
        <f ca="1"/>
        <v>Syr Vondam, Sunstar Exemplar</v>
      </c>
      <c r="BI69" t="str">
        <f ca="1"/>
        <v>Monumental Henge</v>
      </c>
      <c r="BN69" t="str">
        <f ca="1"/>
        <v>Slayers' Stronghold</v>
      </c>
      <c r="BO69" t="str">
        <f ca="1"/>
        <v>Goblin Welder</v>
      </c>
      <c r="BQ69" t="str">
        <f ca="1"/>
        <v>Teyo, Geometric Tactician</v>
      </c>
      <c r="BR69" t="str">
        <f ca="1"/>
        <v>Kellan, the Fae-Blooded // Birthright Boon</v>
      </c>
      <c r="BT69" t="str">
        <f ca="1"/>
        <v>Freyalise, Llanowar's Fury</v>
      </c>
    </row>
    <row r="70" spans="1:72" x14ac:dyDescent="0.25">
      <c r="A70" s="3" t="str">
        <f t="shared" ca="1" si="4"/>
        <v>2</v>
      </c>
      <c r="B70" s="3">
        <f t="shared" ca="1" si="5"/>
        <v>1</v>
      </c>
      <c r="C70" s="3" t="str">
        <f ca="1">IFERROR(
 INDEX($U$1:$AX$1,
  MATCH(TRUE,
   CHOOSE({1;2;3;4;5;6;7;8;9;10;11;12;13;14;15;16;17;18;19;20;21;22;23;24;25;26;27;28;29;30;31;32},
    COUNTIFS($U$2:$U$200,$G70)&gt;0,
    COUNTIFS($V$2:$V$200,$G70)&gt;0,
    COUNTIFS($W$2:$W$200,$G70)&gt;0,
    COUNTIFS($X$2:$X$200,$G70)&gt;0,
    COUNTIFS($Y$2:$Y$200,$G70)&gt;0,
    COUNTIFS($Z$2:$Z$200,$G70)&gt;0,
    COUNTIFS($AA$2:$AA$200,$G70)&gt;0,
    COUNTIFS($AB$2:$AB$200,$G70)&gt;0,
    COUNTIFS($AC$2:$AC$200,$G70)&gt;0,
    COUNTIFS($AD$2:$AD$200,$G70)&gt;0,
    COUNTIFS($AE$2:$AE$200,$G70)&gt;0,
    COUNTIFS($AF$2:$AF$200,$G70)&gt;0,
    COUNTIFS($AG$2:$AG$200,$G70)&gt;0,
    COUNTIFS($AH$2:$AH$200,$G70)&gt;0,
    COUNTIFS($AI$2:$AI$200,$G70)&gt;0,
    COUNTIFS($AJ$2:$AJ$200,$G70)&gt;0,
    COUNTIFS($AK$2:$AK$200,$G70)&gt;0,
    COUNTIFS($AL$2:$AL$200,$G70)&gt;0,
    COUNTIFS($AM$2:$AM$200,$G70)&gt;0,
    COUNTIFS($AN$2:$AN$200,$G70)&gt;0,
    COUNTIFS($AO$2:$AO$200,$G70)&gt;0,
    COUNTIFS($AP$2:$AP$200,$G70)&gt;0,
    COUNTIFS($AQ$2:$AQ$200,$G70)&gt;0,
    COUNTIFS($AR$2:$AR$200,$G70)&gt;0,
    COUNTIFS($AS$2:$AS$200,$G70)&gt;0,
    COUNTIFS($AT$2:$AT$200,$G70)&gt;0,
    COUNTIFS($AU$2:$AU$200,$G70)&gt;0,
    COUNTIFS($AV$2:$AV$200,$G70)&gt;0,
    COUNTIFS($AW$2:$AW$200,$G70)&gt;0,
    COUNTIFS($AX$2:$AX$200,$G70)&gt;0
   ),
  0)
 ),
"")</f>
        <v>Piratas</v>
      </c>
      <c r="D70" s="3" t="str" cm="1">
        <f t="array" aca="1" ref="D70" ca="1">IFERROR(
 INDEX(
  _xlfn._xlws.FILTER($U$1:$AX$1,
   TRANSPOSE(
    CHOOSE({1;2;3;4;5;6;7;8;9;10;11;12;13;14;15;16;17;18;19;20;21;22;23;24;25;26;27;28;29;30},
     COUNTIFS($U$2:$U$200,$G70)&gt;0,
     COUNTIFS($V$2:$V$200,$G70)&gt;0,
     COUNTIFS($W$2:$W$200,$G70)&gt;0,
     COUNTIFS($X$2:$X$200,$G70)&gt;0,
     COUNTIFS($Y$2:$Y$200,$G70)&gt;0,
     COUNTIFS($Z$2:$Z$200,$G70)&gt;0,
     COUNTIFS($AA$2:$AA$200,$G70)&gt;0,
     COUNTIFS($AB$2:$AB$200,$G70)&gt;0,
     COUNTIFS($AC$2:$AC$200,$G70)&gt;0,
     COUNTIFS($AD$2:$AD$200,$G70)&gt;0,
     COUNTIFS($AE$2:$AE$200,$G70)&gt;0,
     COUNTIFS($AF$2:$AF$200,$G70)&gt;0,
     COUNTIFS($AG$2:$AG$200,$G70)&gt;0,
     COUNTIFS($AH$2:$AH$200,$G70)&gt;0,
     COUNTIFS($AI$2:$AI$200,$G70)&gt;0,
     COUNTIFS($AJ$2:$AJ$200,$G70)&gt;0,
     COUNTIFS($AK$2:$AK$200,$G70)&gt;0,
     COUNTIFS($AL$2:$AL$200,$G70)&gt;0,
     COUNTIFS($AM$2:$AM$200,$G70)&gt;0,
     COUNTIFS($AN$2:$AN$200,$G70)&gt;0,
     COUNTIFS($AO$2:$AO$200,$G70)&gt;0,
     COUNTIFS($AP$2:$AP$200,$G70)&gt;0,
     COUNTIFS($AQ$2:$AQ$200,$G70)&gt;0,
     COUNTIFS($AR$2:$AR$200,$G70)&gt;0,
     COUNTIFS($AS$2:$AS$200,$G70)&gt;0,
     COUNTIFS($AT$2:$AT$200,$G70)&gt;0,
     COUNTIFS($AU$2:$AU$200,$G70)&gt;0,
     COUNTIFS($AV$2:$AV$200,$G70)&gt;0,
     COUNTIFS($AW$2:$AW$200,$G70)&gt;0,
     COUNTIFS($AX$2:$AX$200,$G70)&gt;0
   )),
  ),
  2
 ),
"")</f>
        <v/>
      </c>
      <c r="E70" s="3" t="str" cm="1">
        <f t="array" aca="1" ref="E70" ca="1">IFERROR(
 INDEX(
  _xlfn._xlws.FILTER($U$1:$AX$1,
   TRANSPOSE(
    CHOOSE({1;2;3;4;5;6;7;8;9;10;11;12;13;14;15;16;17;18;19;20;21;22;23;24;25;26;27;28;29;30},
     COUNTIFS($U$2:$U$200,$G70)&gt;0,
     COUNTIFS($V$2:$V$200,$G70)&gt;0,
     COUNTIFS($W$2:$W$200,$G70)&gt;0,
     COUNTIFS($X$2:$X$200,$G70)&gt;0,
     COUNTIFS($Y$2:$Y$200,$G70)&gt;0,
     COUNTIFS($Z$2:$Z$200,$G70)&gt;0,
     COUNTIFS($AA$2:$AA$200,$G70)&gt;0,
     COUNTIFS($AB$2:$AB$200,$G70)&gt;0,
     COUNTIFS($AC$2:$AC$200,$G70)&gt;0,
     COUNTIFS($AD$2:$AD$200,$G70)&gt;0,
     COUNTIFS($AE$2:$AE$200,$G70)&gt;0,
     COUNTIFS($AF$2:$AF$200,$G70)&gt;0,
     COUNTIFS($AG$2:$AG$200,$G70)&gt;0,
     COUNTIFS($AH$2:$AH$200,$G70)&gt;0,
     COUNTIFS($AI$2:$AI$200,$G70)&gt;0,
     COUNTIFS($AJ$2:$AJ$200,$G70)&gt;0,
     COUNTIFS($AK$2:$AK$200,$G70)&gt;0,
     COUNTIFS($AL$2:$AL$200,$G70)&gt;0,
     COUNTIFS($AM$2:$AM$200,$G70)&gt;0,
     COUNTIFS($AN$2:$AN$200,$G70)&gt;0,
     COUNTIFS($AO$2:$AO$200,$G70)&gt;0,
     COUNTIFS($AP$2:$AP$200,$G70)&gt;0,
     COUNTIFS($AQ$2:$AQ$200,$G70)&gt;0,
     COUNTIFS($AR$2:$AR$200,$G70)&gt;0,
     COUNTIFS($AS$2:$AS$200,$G70)&gt;0,
     COUNTIFS($AT$2:$AT$200,$G70)&gt;0,
     COUNTIFS($AU$2:$AU$200,$G70)&gt;0,
     COUNTIFS($AV$2:$AV$200,$G70)&gt;0,
     COUNTIFS($AW$2:$AW$200,$G70)&gt;0,
     COUNTIFS($AX$2:$AX$200,$G70)&gt;0
   )),
  ),
  3
 ),
"")</f>
        <v/>
      </c>
      <c r="F70" s="3" t="str" cm="1">
        <f t="array" aca="1" ref="F70" ca="1">IFERROR(
 INDEX(
  _xlfn._xlws.FILTER($U$1:$AX$1,
   TRANSPOSE(
    CHOOSE({1;2;3;4;5;6;7;8;9;10;11;12;13;14;15;16;17;18;19;20;21;22;23;24;25;26;27;28;29;30},
     COUNTIFS($U$2:$U$200,$G70)&gt;0,
     COUNTIFS($V$2:$V$200,$G70)&gt;0,
     COUNTIFS($W$2:$W$200,$G70)&gt;0,
     COUNTIFS($X$2:$X$200,$G70)&gt;0,
     COUNTIFS($Y$2:$Y$200,$G70)&gt;0,
     COUNTIFS($Z$2:$Z$200,$G70)&gt;0,
     COUNTIFS($AA$2:$AA$200,$G70)&gt;0,
     COUNTIFS($AB$2:$AB$200,$G70)&gt;0,
     COUNTIFS($AC$2:$AC$200,$G70)&gt;0,
     COUNTIFS($AD$2:$AD$200,$G70)&gt;0,
     COUNTIFS($AE$2:$AE$200,$G70)&gt;0,
     COUNTIFS($AF$2:$AF$200,$G70)&gt;0,
     COUNTIFS($AG$2:$AG$200,$G70)&gt;0,
     COUNTIFS($AH$2:$AH$200,$G70)&gt;0,
     COUNTIFS($AI$2:$AI$200,$G70)&gt;0,
     COUNTIFS($AJ$2:$AJ$200,$G70)&gt;0,
     COUNTIFS($AK$2:$AK$200,$G70)&gt;0,
     COUNTIFS($AL$2:$AL$200,$G70)&gt;0,
     COUNTIFS($AM$2:$AM$200,$G70)&gt;0,
     COUNTIFS($AN$2:$AN$200,$G70)&gt;0,
     COUNTIFS($AO$2:$AO$200,$G70)&gt;0,
     COUNTIFS($AP$2:$AP$200,$G70)&gt;0,
     COUNTIFS($AQ$2:$AQ$200,$G70)&gt;0,
     COUNTIFS($AR$2:$AR$200,$G70)&gt;0,
     COUNTIFS($AS$2:$AS$200,$G70)&gt;0,
     COUNTIFS($AT$2:$AT$200,$G70)&gt;0,
     COUNTIFS($AU$2:$AU$200,$G70)&gt;0,
     COUNTIFS($AV$2:$AV$200,$G70)&gt;0,
     COUNTIFS($AW$2:$AW$200,$G70)&gt;0,
     COUNTIFS($AX$2:$AX$200,$G70)&gt;0
   )),
  ),
  4
 ),
"")</f>
        <v/>
      </c>
      <c r="G70" t="str">
        <f ca="1"/>
        <v>Coastline Marauders</v>
      </c>
      <c r="AX70" t="str">
        <v>Scrapyard Recombiner</v>
      </c>
      <c r="BH70" t="str">
        <f ca="1"/>
        <v>Tayam, Luminous Enigma</v>
      </c>
      <c r="BI70" t="str">
        <f ca="1"/>
        <v>Mountain</v>
      </c>
      <c r="BN70" t="str">
        <f ca="1"/>
        <v>Smuggler's Share</v>
      </c>
      <c r="BO70" t="str">
        <f ca="1"/>
        <v>Great Furnace</v>
      </c>
      <c r="BQ70" t="str">
        <f ca="1"/>
        <v>The Mycosynth Gardens</v>
      </c>
      <c r="BR70" t="str">
        <f ca="1"/>
        <v>Khorvath's Fury</v>
      </c>
      <c r="BT70" t="str">
        <f ca="1"/>
        <v>Full Throttle</v>
      </c>
    </row>
    <row r="71" spans="1:72" x14ac:dyDescent="0.25">
      <c r="A71" s="3" t="str">
        <f t="shared" ca="1" si="4"/>
        <v>4</v>
      </c>
      <c r="B71" s="3">
        <f t="shared" ca="1" si="5"/>
        <v>1</v>
      </c>
      <c r="C71" s="3" t="str">
        <f ca="1">IFERROR(
 INDEX($U$1:$AX$1,
  MATCH(TRUE,
   CHOOSE({1;2;3;4;5;6;7;8;9;10;11;12;13;14;15;16;17;18;19;20;21;22;23;24;25;26;27;28;29;30;31;32},
    COUNTIFS($U$2:$U$200,$G71)&gt;0,
    COUNTIFS($V$2:$V$200,$G71)&gt;0,
    COUNTIFS($W$2:$W$200,$G71)&gt;0,
    COUNTIFS($X$2:$X$200,$G71)&gt;0,
    COUNTIFS($Y$2:$Y$200,$G71)&gt;0,
    COUNTIFS($Z$2:$Z$200,$G71)&gt;0,
    COUNTIFS($AA$2:$AA$200,$G71)&gt;0,
    COUNTIFS($AB$2:$AB$200,$G71)&gt;0,
    COUNTIFS($AC$2:$AC$200,$G71)&gt;0,
    COUNTIFS($AD$2:$AD$200,$G71)&gt;0,
    COUNTIFS($AE$2:$AE$200,$G71)&gt;0,
    COUNTIFS($AF$2:$AF$200,$G71)&gt;0,
    COUNTIFS($AG$2:$AG$200,$G71)&gt;0,
    COUNTIFS($AH$2:$AH$200,$G71)&gt;0,
    COUNTIFS($AI$2:$AI$200,$G71)&gt;0,
    COUNTIFS($AJ$2:$AJ$200,$G71)&gt;0,
    COUNTIFS($AK$2:$AK$200,$G71)&gt;0,
    COUNTIFS($AL$2:$AL$200,$G71)&gt;0,
    COUNTIFS($AM$2:$AM$200,$G71)&gt;0,
    COUNTIFS($AN$2:$AN$200,$G71)&gt;0,
    COUNTIFS($AO$2:$AO$200,$G71)&gt;0,
    COUNTIFS($AP$2:$AP$200,$G71)&gt;0,
    COUNTIFS($AQ$2:$AQ$200,$G71)&gt;0,
    COUNTIFS($AR$2:$AR$200,$G71)&gt;0,
    COUNTIFS($AS$2:$AS$200,$G71)&gt;0,
    COUNTIFS($AT$2:$AT$200,$G71)&gt;0,
    COUNTIFS($AU$2:$AU$200,$G71)&gt;0,
    COUNTIFS($AV$2:$AV$200,$G71)&gt;0,
    COUNTIFS($AW$2:$AW$200,$G71)&gt;0,
    COUNTIFS($AX$2:$AX$200,$G71)&gt;0
   ),
  0)
 ),
"")</f>
        <v>Rielle</v>
      </c>
      <c r="D71" s="3" t="str" cm="1">
        <f t="array" aca="1" ref="D71" ca="1">IFERROR(
 INDEX(
  _xlfn._xlws.FILTER($U$1:$AX$1,
   TRANSPOSE(
    CHOOSE({1;2;3;4;5;6;7;8;9;10;11;12;13;14;15;16;17;18;19;20;21;22;23;24;25;26;27;28;29;30},
     COUNTIFS($U$2:$U$200,$G71)&gt;0,
     COUNTIFS($V$2:$V$200,$G71)&gt;0,
     COUNTIFS($W$2:$W$200,$G71)&gt;0,
     COUNTIFS($X$2:$X$200,$G71)&gt;0,
     COUNTIFS($Y$2:$Y$200,$G71)&gt;0,
     COUNTIFS($Z$2:$Z$200,$G71)&gt;0,
     COUNTIFS($AA$2:$AA$200,$G71)&gt;0,
     COUNTIFS($AB$2:$AB$200,$G71)&gt;0,
     COUNTIFS($AC$2:$AC$200,$G71)&gt;0,
     COUNTIFS($AD$2:$AD$200,$G71)&gt;0,
     COUNTIFS($AE$2:$AE$200,$G71)&gt;0,
     COUNTIFS($AF$2:$AF$200,$G71)&gt;0,
     COUNTIFS($AG$2:$AG$200,$G71)&gt;0,
     COUNTIFS($AH$2:$AH$200,$G71)&gt;0,
     COUNTIFS($AI$2:$AI$200,$G71)&gt;0,
     COUNTIFS($AJ$2:$AJ$200,$G71)&gt;0,
     COUNTIFS($AK$2:$AK$200,$G71)&gt;0,
     COUNTIFS($AL$2:$AL$200,$G71)&gt;0,
     COUNTIFS($AM$2:$AM$200,$G71)&gt;0,
     COUNTIFS($AN$2:$AN$200,$G71)&gt;0,
     COUNTIFS($AO$2:$AO$200,$G71)&gt;0,
     COUNTIFS($AP$2:$AP$200,$G71)&gt;0,
     COUNTIFS($AQ$2:$AQ$200,$G71)&gt;0,
     COUNTIFS($AR$2:$AR$200,$G71)&gt;0,
     COUNTIFS($AS$2:$AS$200,$G71)&gt;0,
     COUNTIFS($AT$2:$AT$200,$G71)&gt;0,
     COUNTIFS($AU$2:$AU$200,$G71)&gt;0,
     COUNTIFS($AV$2:$AV$200,$G71)&gt;0,
     COUNTIFS($AW$2:$AW$200,$G71)&gt;0,
     COUNTIFS($AX$2:$AX$200,$G71)&gt;0
   )),
  ),
  2
 ),
"")</f>
        <v/>
      </c>
      <c r="E71" s="3" t="str" cm="1">
        <f t="array" aca="1" ref="E71" ca="1">IFERROR(
 INDEX(
  _xlfn._xlws.FILTER($U$1:$AX$1,
   TRANSPOSE(
    CHOOSE({1;2;3;4;5;6;7;8;9;10;11;12;13;14;15;16;17;18;19;20;21;22;23;24;25;26;27;28;29;30},
     COUNTIFS($U$2:$U$200,$G71)&gt;0,
     COUNTIFS($V$2:$V$200,$G71)&gt;0,
     COUNTIFS($W$2:$W$200,$G71)&gt;0,
     COUNTIFS($X$2:$X$200,$G71)&gt;0,
     COUNTIFS($Y$2:$Y$200,$G71)&gt;0,
     COUNTIFS($Z$2:$Z$200,$G71)&gt;0,
     COUNTIFS($AA$2:$AA$200,$G71)&gt;0,
     COUNTIFS($AB$2:$AB$200,$G71)&gt;0,
     COUNTIFS($AC$2:$AC$200,$G71)&gt;0,
     COUNTIFS($AD$2:$AD$200,$G71)&gt;0,
     COUNTIFS($AE$2:$AE$200,$G71)&gt;0,
     COUNTIFS($AF$2:$AF$200,$G71)&gt;0,
     COUNTIFS($AG$2:$AG$200,$G71)&gt;0,
     COUNTIFS($AH$2:$AH$200,$G71)&gt;0,
     COUNTIFS($AI$2:$AI$200,$G71)&gt;0,
     COUNTIFS($AJ$2:$AJ$200,$G71)&gt;0,
     COUNTIFS($AK$2:$AK$200,$G71)&gt;0,
     COUNTIFS($AL$2:$AL$200,$G71)&gt;0,
     COUNTIFS($AM$2:$AM$200,$G71)&gt;0,
     COUNTIFS($AN$2:$AN$200,$G71)&gt;0,
     COUNTIFS($AO$2:$AO$200,$G71)&gt;0,
     COUNTIFS($AP$2:$AP$200,$G71)&gt;0,
     COUNTIFS($AQ$2:$AQ$200,$G71)&gt;0,
     COUNTIFS($AR$2:$AR$200,$G71)&gt;0,
     COUNTIFS($AS$2:$AS$200,$G71)&gt;0,
     COUNTIFS($AT$2:$AT$200,$G71)&gt;0,
     COUNTIFS($AU$2:$AU$200,$G71)&gt;0,
     COUNTIFS($AV$2:$AV$200,$G71)&gt;0,
     COUNTIFS($AW$2:$AW$200,$G71)&gt;0,
     COUNTIFS($AX$2:$AX$200,$G71)&gt;0
   )),
  ),
  3
 ),
"")</f>
        <v/>
      </c>
      <c r="F71" s="3" t="str" cm="1">
        <f t="array" aca="1" ref="F71" ca="1">IFERROR(
 INDEX(
  _xlfn._xlws.FILTER($U$1:$AX$1,
   TRANSPOSE(
    CHOOSE({1;2;3;4;5;6;7;8;9;10;11;12;13;14;15;16;17;18;19;20;21;22;23;24;25;26;27;28;29;30},
     COUNTIFS($U$2:$U$200,$G71)&gt;0,
     COUNTIFS($V$2:$V$200,$G71)&gt;0,
     COUNTIFS($W$2:$W$200,$G71)&gt;0,
     COUNTIFS($X$2:$X$200,$G71)&gt;0,
     COUNTIFS($Y$2:$Y$200,$G71)&gt;0,
     COUNTIFS($Z$2:$Z$200,$G71)&gt;0,
     COUNTIFS($AA$2:$AA$200,$G71)&gt;0,
     COUNTIFS($AB$2:$AB$200,$G71)&gt;0,
     COUNTIFS($AC$2:$AC$200,$G71)&gt;0,
     COUNTIFS($AD$2:$AD$200,$G71)&gt;0,
     COUNTIFS($AE$2:$AE$200,$G71)&gt;0,
     COUNTIFS($AF$2:$AF$200,$G71)&gt;0,
     COUNTIFS($AG$2:$AG$200,$G71)&gt;0,
     COUNTIFS($AH$2:$AH$200,$G71)&gt;0,
     COUNTIFS($AI$2:$AI$200,$G71)&gt;0,
     COUNTIFS($AJ$2:$AJ$200,$G71)&gt;0,
     COUNTIFS($AK$2:$AK$200,$G71)&gt;0,
     COUNTIFS($AL$2:$AL$200,$G71)&gt;0,
     COUNTIFS($AM$2:$AM$200,$G71)&gt;0,
     COUNTIFS($AN$2:$AN$200,$G71)&gt;0,
     COUNTIFS($AO$2:$AO$200,$G71)&gt;0,
     COUNTIFS($AP$2:$AP$200,$G71)&gt;0,
     COUNTIFS($AQ$2:$AQ$200,$G71)&gt;0,
     COUNTIFS($AR$2:$AR$200,$G71)&gt;0,
     COUNTIFS($AS$2:$AS$200,$G71)&gt;0,
     COUNTIFS($AT$2:$AT$200,$G71)&gt;0,
     COUNTIFS($AU$2:$AU$200,$G71)&gt;0,
     COUNTIFS($AV$2:$AV$200,$G71)&gt;0,
     COUNTIFS($AW$2:$AW$200,$G71)&gt;0,
     COUNTIFS($AX$2:$AX$200,$G71)&gt;0
   )),
  ),
  4
 ),
"")</f>
        <v/>
      </c>
      <c r="G71" t="str">
        <f ca="1"/>
        <v>Collector's Vault</v>
      </c>
      <c r="AX71" t="str">
        <v>Selesnya Signet</v>
      </c>
      <c r="BH71" t="str">
        <f ca="1"/>
        <v>Teferi's Protection</v>
      </c>
      <c r="BI71" t="str">
        <f ca="1"/>
        <v>Mountain</v>
      </c>
      <c r="BN71" t="str">
        <f ca="1"/>
        <v>Sokenzan, Crucible of Defiance</v>
      </c>
      <c r="BO71" t="str">
        <f ca="1"/>
        <v>Gruul Signet</v>
      </c>
      <c r="BQ71" t="str">
        <f ca="1"/>
        <v>Three Tree City</v>
      </c>
      <c r="BR71" t="str">
        <f ca="1"/>
        <v>Kodama's Reach</v>
      </c>
      <c r="BT71" t="str">
        <f ca="1"/>
        <v>Gallifrey Council Chamber</v>
      </c>
    </row>
    <row r="72" spans="1:72" x14ac:dyDescent="0.25">
      <c r="A72" s="3" t="str">
        <f t="shared" ca="1" si="4"/>
        <v>3</v>
      </c>
      <c r="B72" s="3">
        <f t="shared" ca="1" si="5"/>
        <v>1</v>
      </c>
      <c r="C72" s="3" t="str">
        <f ca="1">IFERROR(
 INDEX($U$1:$AX$1,
  MATCH(TRUE,
   CHOOSE({1;2;3;4;5;6;7;8;9;10;11;12;13;14;15;16;17;18;19;20;21;22;23;24;25;26;27;28;29;30;31;32},
    COUNTIFS($U$2:$U$200,$G72)&gt;0,
    COUNTIFS($V$2:$V$200,$G72)&gt;0,
    COUNTIFS($W$2:$W$200,$G72)&gt;0,
    COUNTIFS($X$2:$X$200,$G72)&gt;0,
    COUNTIFS($Y$2:$Y$200,$G72)&gt;0,
    COUNTIFS($Z$2:$Z$200,$G72)&gt;0,
    COUNTIFS($AA$2:$AA$200,$G72)&gt;0,
    COUNTIFS($AB$2:$AB$200,$G72)&gt;0,
    COUNTIFS($AC$2:$AC$200,$G72)&gt;0,
    COUNTIFS($AD$2:$AD$200,$G72)&gt;0,
    COUNTIFS($AE$2:$AE$200,$G72)&gt;0,
    COUNTIFS($AF$2:$AF$200,$G72)&gt;0,
    COUNTIFS($AG$2:$AG$200,$G72)&gt;0,
    COUNTIFS($AH$2:$AH$200,$G72)&gt;0,
    COUNTIFS($AI$2:$AI$200,$G72)&gt;0,
    COUNTIFS($AJ$2:$AJ$200,$G72)&gt;0,
    COUNTIFS($AK$2:$AK$200,$G72)&gt;0,
    COUNTIFS($AL$2:$AL$200,$G72)&gt;0,
    COUNTIFS($AM$2:$AM$200,$G72)&gt;0,
    COUNTIFS($AN$2:$AN$200,$G72)&gt;0,
    COUNTIFS($AO$2:$AO$200,$G72)&gt;0,
    COUNTIFS($AP$2:$AP$200,$G72)&gt;0,
    COUNTIFS($AQ$2:$AQ$200,$G72)&gt;0,
    COUNTIFS($AR$2:$AR$200,$G72)&gt;0,
    COUNTIFS($AS$2:$AS$200,$G72)&gt;0,
    COUNTIFS($AT$2:$AT$200,$G72)&gt;0,
    COUNTIFS($AU$2:$AU$200,$G72)&gt;0,
    COUNTIFS($AV$2:$AV$200,$G72)&gt;0,
    COUNTIFS($AW$2:$AW$200,$G72)&gt;0,
    COUNTIFS($AX$2:$AX$200,$G72)&gt;0
   ),
  0)
 ),
"")</f>
        <v>Sisay</v>
      </c>
      <c r="D72" s="3" t="str" cm="1">
        <f t="array" aca="1" ref="D72" ca="1">IFERROR(
 INDEX(
  _xlfn._xlws.FILTER($U$1:$AX$1,
   TRANSPOSE(
    CHOOSE({1;2;3;4;5;6;7;8;9;10;11;12;13;14;15;16;17;18;19;20;21;22;23;24;25;26;27;28;29;30},
     COUNTIFS($U$2:$U$200,$G72)&gt;0,
     COUNTIFS($V$2:$V$200,$G72)&gt;0,
     COUNTIFS($W$2:$W$200,$G72)&gt;0,
     COUNTIFS($X$2:$X$200,$G72)&gt;0,
     COUNTIFS($Y$2:$Y$200,$G72)&gt;0,
     COUNTIFS($Z$2:$Z$200,$G72)&gt;0,
     COUNTIFS($AA$2:$AA$200,$G72)&gt;0,
     COUNTIFS($AB$2:$AB$200,$G72)&gt;0,
     COUNTIFS($AC$2:$AC$200,$G72)&gt;0,
     COUNTIFS($AD$2:$AD$200,$G72)&gt;0,
     COUNTIFS($AE$2:$AE$200,$G72)&gt;0,
     COUNTIFS($AF$2:$AF$200,$G72)&gt;0,
     COUNTIFS($AG$2:$AG$200,$G72)&gt;0,
     COUNTIFS($AH$2:$AH$200,$G72)&gt;0,
     COUNTIFS($AI$2:$AI$200,$G72)&gt;0,
     COUNTIFS($AJ$2:$AJ$200,$G72)&gt;0,
     COUNTIFS($AK$2:$AK$200,$G72)&gt;0,
     COUNTIFS($AL$2:$AL$200,$G72)&gt;0,
     COUNTIFS($AM$2:$AM$200,$G72)&gt;0,
     COUNTIFS($AN$2:$AN$200,$G72)&gt;0,
     COUNTIFS($AO$2:$AO$200,$G72)&gt;0,
     COUNTIFS($AP$2:$AP$200,$G72)&gt;0,
     COUNTIFS($AQ$2:$AQ$200,$G72)&gt;0,
     COUNTIFS($AR$2:$AR$200,$G72)&gt;0,
     COUNTIFS($AS$2:$AS$200,$G72)&gt;0,
     COUNTIFS($AT$2:$AT$200,$G72)&gt;0,
     COUNTIFS($AU$2:$AU$200,$G72)&gt;0,
     COUNTIFS($AV$2:$AV$200,$G72)&gt;0,
     COUNTIFS($AW$2:$AW$200,$G72)&gt;0,
     COUNTIFS($AX$2:$AX$200,$G72)&gt;0
   )),
  ),
  2
 ),
"")</f>
        <v/>
      </c>
      <c r="E72" s="3" t="str" cm="1">
        <f t="array" aca="1" ref="E72" ca="1">IFERROR(
 INDEX(
  _xlfn._xlws.FILTER($U$1:$AX$1,
   TRANSPOSE(
    CHOOSE({1;2;3;4;5;6;7;8;9;10;11;12;13;14;15;16;17;18;19;20;21;22;23;24;25;26;27;28;29;30},
     COUNTIFS($U$2:$U$200,$G72)&gt;0,
     COUNTIFS($V$2:$V$200,$G72)&gt;0,
     COUNTIFS($W$2:$W$200,$G72)&gt;0,
     COUNTIFS($X$2:$X$200,$G72)&gt;0,
     COUNTIFS($Y$2:$Y$200,$G72)&gt;0,
     COUNTIFS($Z$2:$Z$200,$G72)&gt;0,
     COUNTIFS($AA$2:$AA$200,$G72)&gt;0,
     COUNTIFS($AB$2:$AB$200,$G72)&gt;0,
     COUNTIFS($AC$2:$AC$200,$G72)&gt;0,
     COUNTIFS($AD$2:$AD$200,$G72)&gt;0,
     COUNTIFS($AE$2:$AE$200,$G72)&gt;0,
     COUNTIFS($AF$2:$AF$200,$G72)&gt;0,
     COUNTIFS($AG$2:$AG$200,$G72)&gt;0,
     COUNTIFS($AH$2:$AH$200,$G72)&gt;0,
     COUNTIFS($AI$2:$AI$200,$G72)&gt;0,
     COUNTIFS($AJ$2:$AJ$200,$G72)&gt;0,
     COUNTIFS($AK$2:$AK$200,$G72)&gt;0,
     COUNTIFS($AL$2:$AL$200,$G72)&gt;0,
     COUNTIFS($AM$2:$AM$200,$G72)&gt;0,
     COUNTIFS($AN$2:$AN$200,$G72)&gt;0,
     COUNTIFS($AO$2:$AO$200,$G72)&gt;0,
     COUNTIFS($AP$2:$AP$200,$G72)&gt;0,
     COUNTIFS($AQ$2:$AQ$200,$G72)&gt;0,
     COUNTIFS($AR$2:$AR$200,$G72)&gt;0,
     COUNTIFS($AS$2:$AS$200,$G72)&gt;0,
     COUNTIFS($AT$2:$AT$200,$G72)&gt;0,
     COUNTIFS($AU$2:$AU$200,$G72)&gt;0,
     COUNTIFS($AV$2:$AV$200,$G72)&gt;0,
     COUNTIFS($AW$2:$AW$200,$G72)&gt;0,
     COUNTIFS($AX$2:$AX$200,$G72)&gt;0
   )),
  ),
  3
 ),
"")</f>
        <v/>
      </c>
      <c r="F72" s="3" t="str" cm="1">
        <f t="array" aca="1" ref="F72" ca="1">IFERROR(
 INDEX(
  _xlfn._xlws.FILTER($U$1:$AX$1,
   TRANSPOSE(
    CHOOSE({1;2;3;4;5;6;7;8;9;10;11;12;13;14;15;16;17;18;19;20;21;22;23;24;25;26;27;28;29;30},
     COUNTIFS($U$2:$U$200,$G72)&gt;0,
     COUNTIFS($V$2:$V$200,$G72)&gt;0,
     COUNTIFS($W$2:$W$200,$G72)&gt;0,
     COUNTIFS($X$2:$X$200,$G72)&gt;0,
     COUNTIFS($Y$2:$Y$200,$G72)&gt;0,
     COUNTIFS($Z$2:$Z$200,$G72)&gt;0,
     COUNTIFS($AA$2:$AA$200,$G72)&gt;0,
     COUNTIFS($AB$2:$AB$200,$G72)&gt;0,
     COUNTIFS($AC$2:$AC$200,$G72)&gt;0,
     COUNTIFS($AD$2:$AD$200,$G72)&gt;0,
     COUNTIFS($AE$2:$AE$200,$G72)&gt;0,
     COUNTIFS($AF$2:$AF$200,$G72)&gt;0,
     COUNTIFS($AG$2:$AG$200,$G72)&gt;0,
     COUNTIFS($AH$2:$AH$200,$G72)&gt;0,
     COUNTIFS($AI$2:$AI$200,$G72)&gt;0,
     COUNTIFS($AJ$2:$AJ$200,$G72)&gt;0,
     COUNTIFS($AK$2:$AK$200,$G72)&gt;0,
     COUNTIFS($AL$2:$AL$200,$G72)&gt;0,
     COUNTIFS($AM$2:$AM$200,$G72)&gt;0,
     COUNTIFS($AN$2:$AN$200,$G72)&gt;0,
     COUNTIFS($AO$2:$AO$200,$G72)&gt;0,
     COUNTIFS($AP$2:$AP$200,$G72)&gt;0,
     COUNTIFS($AQ$2:$AQ$200,$G72)&gt;0,
     COUNTIFS($AR$2:$AR$200,$G72)&gt;0,
     COUNTIFS($AS$2:$AS$200,$G72)&gt;0,
     COUNTIFS($AT$2:$AT$200,$G72)&gt;0,
     COUNTIFS($AU$2:$AU$200,$G72)&gt;0,
     COUNTIFS($AV$2:$AV$200,$G72)&gt;0,
     COUNTIFS($AW$2:$AW$200,$G72)&gt;0,
     COUNTIFS($AX$2:$AX$200,$G72)&gt;0
   )),
  ),
  4
 ),
"")</f>
        <v/>
      </c>
      <c r="G72" t="str">
        <f ca="1"/>
        <v>Commodore Guff</v>
      </c>
      <c r="AX72" t="str">
        <v>Slagwoods Bridge</v>
      </c>
      <c r="BH72" t="str">
        <f ca="1"/>
        <v>Terrasymbiosis</v>
      </c>
      <c r="BI72" t="str">
        <f ca="1"/>
        <v>Mountain</v>
      </c>
      <c r="BN72" t="str">
        <f ca="1"/>
        <v>Sol Ring</v>
      </c>
      <c r="BO72" t="str">
        <f ca="1"/>
        <v>Gyre Sage</v>
      </c>
      <c r="BQ72" t="str">
        <f ca="1"/>
        <v>Thrumming Hivepool</v>
      </c>
      <c r="BR72" t="str">
        <f ca="1"/>
        <v>Life of the Party</v>
      </c>
      <c r="BT72" t="str">
        <f ca="1"/>
        <v>Genji Glove</v>
      </c>
    </row>
    <row r="73" spans="1:72" x14ac:dyDescent="0.25">
      <c r="A73" s="3" t="str">
        <f t="shared" ca="1" si="4"/>
        <v>1</v>
      </c>
      <c r="B73" s="3">
        <f t="shared" ca="1" si="5"/>
        <v>1</v>
      </c>
      <c r="C73" s="3" t="str">
        <f ca="1">IFERROR(
 INDEX($U$1:$AX$1,
  MATCH(TRUE,
   CHOOSE({1;2;3;4;5;6;7;8;9;10;11;12;13;14;15;16;17;18;19;20;21;22;23;24;25;26;27;28;29;30;31;32},
    COUNTIFS($U$2:$U$200,$G73)&gt;0,
    COUNTIFS($V$2:$V$200,$G73)&gt;0,
    COUNTIFS($W$2:$W$200,$G73)&gt;0,
    COUNTIFS($X$2:$X$200,$G73)&gt;0,
    COUNTIFS($Y$2:$Y$200,$G73)&gt;0,
    COUNTIFS($Z$2:$Z$200,$G73)&gt;0,
    COUNTIFS($AA$2:$AA$200,$G73)&gt;0,
    COUNTIFS($AB$2:$AB$200,$G73)&gt;0,
    COUNTIFS($AC$2:$AC$200,$G73)&gt;0,
    COUNTIFS($AD$2:$AD$200,$G73)&gt;0,
    COUNTIFS($AE$2:$AE$200,$G73)&gt;0,
    COUNTIFS($AF$2:$AF$200,$G73)&gt;0,
    COUNTIFS($AG$2:$AG$200,$G73)&gt;0,
    COUNTIFS($AH$2:$AH$200,$G73)&gt;0,
    COUNTIFS($AI$2:$AI$200,$G73)&gt;0,
    COUNTIFS($AJ$2:$AJ$200,$G73)&gt;0,
    COUNTIFS($AK$2:$AK$200,$G73)&gt;0,
    COUNTIFS($AL$2:$AL$200,$G73)&gt;0,
    COUNTIFS($AM$2:$AM$200,$G73)&gt;0,
    COUNTIFS($AN$2:$AN$200,$G73)&gt;0,
    COUNTIFS($AO$2:$AO$200,$G73)&gt;0,
    COUNTIFS($AP$2:$AP$200,$G73)&gt;0,
    COUNTIFS($AQ$2:$AQ$200,$G73)&gt;0,
    COUNTIFS($AR$2:$AR$200,$G73)&gt;0,
    COUNTIFS($AS$2:$AS$200,$G73)&gt;0,
    COUNTIFS($AT$2:$AT$200,$G73)&gt;0,
    COUNTIFS($AU$2:$AU$200,$G73)&gt;0,
    COUNTIFS($AV$2:$AV$200,$G73)&gt;0,
    COUNTIFS($AW$2:$AW$200,$G73)&gt;0,
    COUNTIFS($AX$2:$AX$200,$G73)&gt;0
   ),
  0)
 ),
"")</f>
        <v>Tayam</v>
      </c>
      <c r="D73" s="3" t="str" cm="1">
        <f t="array" aca="1" ref="D73" ca="1">IFERROR(
 INDEX(
  _xlfn._xlws.FILTER($U$1:$AX$1,
   TRANSPOSE(
    CHOOSE({1;2;3;4;5;6;7;8;9;10;11;12;13;14;15;16;17;18;19;20;21;22;23;24;25;26;27;28;29;30},
     COUNTIFS($U$2:$U$200,$G73)&gt;0,
     COUNTIFS($V$2:$V$200,$G73)&gt;0,
     COUNTIFS($W$2:$W$200,$G73)&gt;0,
     COUNTIFS($X$2:$X$200,$G73)&gt;0,
     COUNTIFS($Y$2:$Y$200,$G73)&gt;0,
     COUNTIFS($Z$2:$Z$200,$G73)&gt;0,
     COUNTIFS($AA$2:$AA$200,$G73)&gt;0,
     COUNTIFS($AB$2:$AB$200,$G73)&gt;0,
     COUNTIFS($AC$2:$AC$200,$G73)&gt;0,
     COUNTIFS($AD$2:$AD$200,$G73)&gt;0,
     COUNTIFS($AE$2:$AE$200,$G73)&gt;0,
     COUNTIFS($AF$2:$AF$200,$G73)&gt;0,
     COUNTIFS($AG$2:$AG$200,$G73)&gt;0,
     COUNTIFS($AH$2:$AH$200,$G73)&gt;0,
     COUNTIFS($AI$2:$AI$200,$G73)&gt;0,
     COUNTIFS($AJ$2:$AJ$200,$G73)&gt;0,
     COUNTIFS($AK$2:$AK$200,$G73)&gt;0,
     COUNTIFS($AL$2:$AL$200,$G73)&gt;0,
     COUNTIFS($AM$2:$AM$200,$G73)&gt;0,
     COUNTIFS($AN$2:$AN$200,$G73)&gt;0,
     COUNTIFS($AO$2:$AO$200,$G73)&gt;0,
     COUNTIFS($AP$2:$AP$200,$G73)&gt;0,
     COUNTIFS($AQ$2:$AQ$200,$G73)&gt;0,
     COUNTIFS($AR$2:$AR$200,$G73)&gt;0,
     COUNTIFS($AS$2:$AS$200,$G73)&gt;0,
     COUNTIFS($AT$2:$AT$200,$G73)&gt;0,
     COUNTIFS($AU$2:$AU$200,$G73)&gt;0,
     COUNTIFS($AV$2:$AV$200,$G73)&gt;0,
     COUNTIFS($AW$2:$AW$200,$G73)&gt;0,
     COUNTIFS($AX$2:$AX$200,$G73)&gt;0
   )),
  ),
  2
 ),
"")</f>
        <v/>
      </c>
      <c r="E73" s="3" t="str" cm="1">
        <f t="array" aca="1" ref="E73" ca="1">IFERROR(
 INDEX(
  _xlfn._xlws.FILTER($U$1:$AX$1,
   TRANSPOSE(
    CHOOSE({1;2;3;4;5;6;7;8;9;10;11;12;13;14;15;16;17;18;19;20;21;22;23;24;25;26;27;28;29;30},
     COUNTIFS($U$2:$U$200,$G73)&gt;0,
     COUNTIFS($V$2:$V$200,$G73)&gt;0,
     COUNTIFS($W$2:$W$200,$G73)&gt;0,
     COUNTIFS($X$2:$X$200,$G73)&gt;0,
     COUNTIFS($Y$2:$Y$200,$G73)&gt;0,
     COUNTIFS($Z$2:$Z$200,$G73)&gt;0,
     COUNTIFS($AA$2:$AA$200,$G73)&gt;0,
     COUNTIFS($AB$2:$AB$200,$G73)&gt;0,
     COUNTIFS($AC$2:$AC$200,$G73)&gt;0,
     COUNTIFS($AD$2:$AD$200,$G73)&gt;0,
     COUNTIFS($AE$2:$AE$200,$G73)&gt;0,
     COUNTIFS($AF$2:$AF$200,$G73)&gt;0,
     COUNTIFS($AG$2:$AG$200,$G73)&gt;0,
     COUNTIFS($AH$2:$AH$200,$G73)&gt;0,
     COUNTIFS($AI$2:$AI$200,$G73)&gt;0,
     COUNTIFS($AJ$2:$AJ$200,$G73)&gt;0,
     COUNTIFS($AK$2:$AK$200,$G73)&gt;0,
     COUNTIFS($AL$2:$AL$200,$G73)&gt;0,
     COUNTIFS($AM$2:$AM$200,$G73)&gt;0,
     COUNTIFS($AN$2:$AN$200,$G73)&gt;0,
     COUNTIFS($AO$2:$AO$200,$G73)&gt;0,
     COUNTIFS($AP$2:$AP$200,$G73)&gt;0,
     COUNTIFS($AQ$2:$AQ$200,$G73)&gt;0,
     COUNTIFS($AR$2:$AR$200,$G73)&gt;0,
     COUNTIFS($AS$2:$AS$200,$G73)&gt;0,
     COUNTIFS($AT$2:$AT$200,$G73)&gt;0,
     COUNTIFS($AU$2:$AU$200,$G73)&gt;0,
     COUNTIFS($AV$2:$AV$200,$G73)&gt;0,
     COUNTIFS($AW$2:$AW$200,$G73)&gt;0,
     COUNTIFS($AX$2:$AX$200,$G73)&gt;0
   )),
  ),
  3
 ),
"")</f>
        <v/>
      </c>
      <c r="F73" s="3" t="str" cm="1">
        <f t="array" aca="1" ref="F73" ca="1">IFERROR(
 INDEX(
  _xlfn._xlws.FILTER($U$1:$AX$1,
   TRANSPOSE(
    CHOOSE({1;2;3;4;5;6;7;8;9;10;11;12;13;14;15;16;17;18;19;20;21;22;23;24;25;26;27;28;29;30},
     COUNTIFS($U$2:$U$200,$G73)&gt;0,
     COUNTIFS($V$2:$V$200,$G73)&gt;0,
     COUNTIFS($W$2:$W$200,$G73)&gt;0,
     COUNTIFS($X$2:$X$200,$G73)&gt;0,
     COUNTIFS($Y$2:$Y$200,$G73)&gt;0,
     COUNTIFS($Z$2:$Z$200,$G73)&gt;0,
     COUNTIFS($AA$2:$AA$200,$G73)&gt;0,
     COUNTIFS($AB$2:$AB$200,$G73)&gt;0,
     COUNTIFS($AC$2:$AC$200,$G73)&gt;0,
     COUNTIFS($AD$2:$AD$200,$G73)&gt;0,
     COUNTIFS($AE$2:$AE$200,$G73)&gt;0,
     COUNTIFS($AF$2:$AF$200,$G73)&gt;0,
     COUNTIFS($AG$2:$AG$200,$G73)&gt;0,
     COUNTIFS($AH$2:$AH$200,$G73)&gt;0,
     COUNTIFS($AI$2:$AI$200,$G73)&gt;0,
     COUNTIFS($AJ$2:$AJ$200,$G73)&gt;0,
     COUNTIFS($AK$2:$AK$200,$G73)&gt;0,
     COUNTIFS($AL$2:$AL$200,$G73)&gt;0,
     COUNTIFS($AM$2:$AM$200,$G73)&gt;0,
     COUNTIFS($AN$2:$AN$200,$G73)&gt;0,
     COUNTIFS($AO$2:$AO$200,$G73)&gt;0,
     COUNTIFS($AP$2:$AP$200,$G73)&gt;0,
     COUNTIFS($AQ$2:$AQ$200,$G73)&gt;0,
     COUNTIFS($AR$2:$AR$200,$G73)&gt;0,
     COUNTIFS($AS$2:$AS$200,$G73)&gt;0,
     COUNTIFS($AT$2:$AT$200,$G73)&gt;0,
     COUNTIFS($AU$2:$AU$200,$G73)&gt;0,
     COUNTIFS($AV$2:$AV$200,$G73)&gt;0,
     COUNTIFS($AW$2:$AW$200,$G73)&gt;0,
     COUNTIFS($AX$2:$AX$200,$G73)&gt;0
   )),
  ),
  4
 ),
"")</f>
        <v/>
      </c>
      <c r="G73" t="str">
        <f ca="1"/>
        <v>Conclave Mentor</v>
      </c>
      <c r="AX73" t="str">
        <v>Sol Ring</v>
      </c>
      <c r="BH73" t="str">
        <f ca="1"/>
        <v>The Shire</v>
      </c>
      <c r="BI73" t="str">
        <f ca="1"/>
        <v>Mystic Forge</v>
      </c>
      <c r="BN73" t="str">
        <f ca="1"/>
        <v>Sothera, the Supervoid</v>
      </c>
      <c r="BO73" t="str">
        <f ca="1"/>
        <v>Hangarback Walker</v>
      </c>
      <c r="BQ73" t="str">
        <f ca="1"/>
        <v>Titania, Voice of Gaea</v>
      </c>
      <c r="BR73" t="str">
        <f ca="1"/>
        <v>Lightning Greaves</v>
      </c>
      <c r="BT73" t="str">
        <f ca="1"/>
        <v>Gerrard's Hourglass Pendant</v>
      </c>
    </row>
    <row r="74" spans="1:72" x14ac:dyDescent="0.25">
      <c r="A74" s="3" t="str">
        <f t="shared" ca="1" si="4"/>
        <v>2</v>
      </c>
      <c r="B74" s="3">
        <f t="shared" ca="1" si="5"/>
        <v>1</v>
      </c>
      <c r="C74" s="3" t="str">
        <f ca="1">IFERROR(
 INDEX($U$1:$AX$1,
  MATCH(TRUE,
   CHOOSE({1;2;3;4;5;6;7;8;9;10;11;12;13;14;15;16;17;18;19;20;21;22;23;24;25;26;27;28;29;30;31;32},
    COUNTIFS($U$2:$U$200,$G74)&gt;0,
    COUNTIFS($V$2:$V$200,$G74)&gt;0,
    COUNTIFS($W$2:$W$200,$G74)&gt;0,
    COUNTIFS($X$2:$X$200,$G74)&gt;0,
    COUNTIFS($Y$2:$Y$200,$G74)&gt;0,
    COUNTIFS($Z$2:$Z$200,$G74)&gt;0,
    COUNTIFS($AA$2:$AA$200,$G74)&gt;0,
    COUNTIFS($AB$2:$AB$200,$G74)&gt;0,
    COUNTIFS($AC$2:$AC$200,$G74)&gt;0,
    COUNTIFS($AD$2:$AD$200,$G74)&gt;0,
    COUNTIFS($AE$2:$AE$200,$G74)&gt;0,
    COUNTIFS($AF$2:$AF$200,$G74)&gt;0,
    COUNTIFS($AG$2:$AG$200,$G74)&gt;0,
    COUNTIFS($AH$2:$AH$200,$G74)&gt;0,
    COUNTIFS($AI$2:$AI$200,$G74)&gt;0,
    COUNTIFS($AJ$2:$AJ$200,$G74)&gt;0,
    COUNTIFS($AK$2:$AK$200,$G74)&gt;0,
    COUNTIFS($AL$2:$AL$200,$G74)&gt;0,
    COUNTIFS($AM$2:$AM$200,$G74)&gt;0,
    COUNTIFS($AN$2:$AN$200,$G74)&gt;0,
    COUNTIFS($AO$2:$AO$200,$G74)&gt;0,
    COUNTIFS($AP$2:$AP$200,$G74)&gt;0,
    COUNTIFS($AQ$2:$AQ$200,$G74)&gt;0,
    COUNTIFS($AR$2:$AR$200,$G74)&gt;0,
    COUNTIFS($AS$2:$AS$200,$G74)&gt;0,
    COUNTIFS($AT$2:$AT$200,$G74)&gt;0,
    COUNTIFS($AU$2:$AU$200,$G74)&gt;0,
    COUNTIFS($AV$2:$AV$200,$G74)&gt;0,
    COUNTIFS($AW$2:$AW$200,$G74)&gt;0,
    COUNTIFS($AX$2:$AX$200,$G74)&gt;0
   ),
  0)
 ),
"")</f>
        <v>Rani</v>
      </c>
      <c r="D74" s="3" t="str" cm="1">
        <f t="array" aca="1" ref="D74" ca="1">IFERROR(
 INDEX(
  _xlfn._xlws.FILTER($U$1:$AX$1,
   TRANSPOSE(
    CHOOSE({1;2;3;4;5;6;7;8;9;10;11;12;13;14;15;16;17;18;19;20;21;22;23;24;25;26;27;28;29;30},
     COUNTIFS($U$2:$U$200,$G74)&gt;0,
     COUNTIFS($V$2:$V$200,$G74)&gt;0,
     COUNTIFS($W$2:$W$200,$G74)&gt;0,
     COUNTIFS($X$2:$X$200,$G74)&gt;0,
     COUNTIFS($Y$2:$Y$200,$G74)&gt;0,
     COUNTIFS($Z$2:$Z$200,$G74)&gt;0,
     COUNTIFS($AA$2:$AA$200,$G74)&gt;0,
     COUNTIFS($AB$2:$AB$200,$G74)&gt;0,
     COUNTIFS($AC$2:$AC$200,$G74)&gt;0,
     COUNTIFS($AD$2:$AD$200,$G74)&gt;0,
     COUNTIFS($AE$2:$AE$200,$G74)&gt;0,
     COUNTIFS($AF$2:$AF$200,$G74)&gt;0,
     COUNTIFS($AG$2:$AG$200,$G74)&gt;0,
     COUNTIFS($AH$2:$AH$200,$G74)&gt;0,
     COUNTIFS($AI$2:$AI$200,$G74)&gt;0,
     COUNTIFS($AJ$2:$AJ$200,$G74)&gt;0,
     COUNTIFS($AK$2:$AK$200,$G74)&gt;0,
     COUNTIFS($AL$2:$AL$200,$G74)&gt;0,
     COUNTIFS($AM$2:$AM$200,$G74)&gt;0,
     COUNTIFS($AN$2:$AN$200,$G74)&gt;0,
     COUNTIFS($AO$2:$AO$200,$G74)&gt;0,
     COUNTIFS($AP$2:$AP$200,$G74)&gt;0,
     COUNTIFS($AQ$2:$AQ$200,$G74)&gt;0,
     COUNTIFS($AR$2:$AR$200,$G74)&gt;0,
     COUNTIFS($AS$2:$AS$200,$G74)&gt;0,
     COUNTIFS($AT$2:$AT$200,$G74)&gt;0,
     COUNTIFS($AU$2:$AU$200,$G74)&gt;0,
     COUNTIFS($AV$2:$AV$200,$G74)&gt;0,
     COUNTIFS($AW$2:$AW$200,$G74)&gt;0,
     COUNTIFS($AX$2:$AX$200,$G74)&gt;0
   )),
  ),
  2
 ),
"")</f>
        <v/>
      </c>
      <c r="E74" s="3" t="str" cm="1">
        <f t="array" aca="1" ref="E74" ca="1">IFERROR(
 INDEX(
  _xlfn._xlws.FILTER($U$1:$AX$1,
   TRANSPOSE(
    CHOOSE({1;2;3;4;5;6;7;8;9;10;11;12;13;14;15;16;17;18;19;20;21;22;23;24;25;26;27;28;29;30},
     COUNTIFS($U$2:$U$200,$G74)&gt;0,
     COUNTIFS($V$2:$V$200,$G74)&gt;0,
     COUNTIFS($W$2:$W$200,$G74)&gt;0,
     COUNTIFS($X$2:$X$200,$G74)&gt;0,
     COUNTIFS($Y$2:$Y$200,$G74)&gt;0,
     COUNTIFS($Z$2:$Z$200,$G74)&gt;0,
     COUNTIFS($AA$2:$AA$200,$G74)&gt;0,
     COUNTIFS($AB$2:$AB$200,$G74)&gt;0,
     COUNTIFS($AC$2:$AC$200,$G74)&gt;0,
     COUNTIFS($AD$2:$AD$200,$G74)&gt;0,
     COUNTIFS($AE$2:$AE$200,$G74)&gt;0,
     COUNTIFS($AF$2:$AF$200,$G74)&gt;0,
     COUNTIFS($AG$2:$AG$200,$G74)&gt;0,
     COUNTIFS($AH$2:$AH$200,$G74)&gt;0,
     COUNTIFS($AI$2:$AI$200,$G74)&gt;0,
     COUNTIFS($AJ$2:$AJ$200,$G74)&gt;0,
     COUNTIFS($AK$2:$AK$200,$G74)&gt;0,
     COUNTIFS($AL$2:$AL$200,$G74)&gt;0,
     COUNTIFS($AM$2:$AM$200,$G74)&gt;0,
     COUNTIFS($AN$2:$AN$200,$G74)&gt;0,
     COUNTIFS($AO$2:$AO$200,$G74)&gt;0,
     COUNTIFS($AP$2:$AP$200,$G74)&gt;0,
     COUNTIFS($AQ$2:$AQ$200,$G74)&gt;0,
     COUNTIFS($AR$2:$AR$200,$G74)&gt;0,
     COUNTIFS($AS$2:$AS$200,$G74)&gt;0,
     COUNTIFS($AT$2:$AT$200,$G74)&gt;0,
     COUNTIFS($AU$2:$AU$200,$G74)&gt;0,
     COUNTIFS($AV$2:$AV$200,$G74)&gt;0,
     COUNTIFS($AW$2:$AW$200,$G74)&gt;0,
     COUNTIFS($AX$2:$AX$200,$G74)&gt;0
   )),
  ),
  3
 ),
"")</f>
        <v/>
      </c>
      <c r="F74" s="3" t="str" cm="1">
        <f t="array" aca="1" ref="F74" ca="1">IFERROR(
 INDEX(
  _xlfn._xlws.FILTER($U$1:$AX$1,
   TRANSPOSE(
    CHOOSE({1;2;3;4;5;6;7;8;9;10;11;12;13;14;15;16;17;18;19;20;21;22;23;24;25;26;27;28;29;30},
     COUNTIFS($U$2:$U$200,$G74)&gt;0,
     COUNTIFS($V$2:$V$200,$G74)&gt;0,
     COUNTIFS($W$2:$W$200,$G74)&gt;0,
     COUNTIFS($X$2:$X$200,$G74)&gt;0,
     COUNTIFS($Y$2:$Y$200,$G74)&gt;0,
     COUNTIFS($Z$2:$Z$200,$G74)&gt;0,
     COUNTIFS($AA$2:$AA$200,$G74)&gt;0,
     COUNTIFS($AB$2:$AB$200,$G74)&gt;0,
     COUNTIFS($AC$2:$AC$200,$G74)&gt;0,
     COUNTIFS($AD$2:$AD$200,$G74)&gt;0,
     COUNTIFS($AE$2:$AE$200,$G74)&gt;0,
     COUNTIFS($AF$2:$AF$200,$G74)&gt;0,
     COUNTIFS($AG$2:$AG$200,$G74)&gt;0,
     COUNTIFS($AH$2:$AH$200,$G74)&gt;0,
     COUNTIFS($AI$2:$AI$200,$G74)&gt;0,
     COUNTIFS($AJ$2:$AJ$200,$G74)&gt;0,
     COUNTIFS($AK$2:$AK$200,$G74)&gt;0,
     COUNTIFS($AL$2:$AL$200,$G74)&gt;0,
     COUNTIFS($AM$2:$AM$200,$G74)&gt;0,
     COUNTIFS($AN$2:$AN$200,$G74)&gt;0,
     COUNTIFS($AO$2:$AO$200,$G74)&gt;0,
     COUNTIFS($AP$2:$AP$200,$G74)&gt;0,
     COUNTIFS($AQ$2:$AQ$200,$G74)&gt;0,
     COUNTIFS($AR$2:$AR$200,$G74)&gt;0,
     COUNTIFS($AS$2:$AS$200,$G74)&gt;0,
     COUNTIFS($AT$2:$AT$200,$G74)&gt;0,
     COUNTIFS($AU$2:$AU$200,$G74)&gt;0,
     COUNTIFS($AV$2:$AV$200,$G74)&gt;0,
     COUNTIFS($AW$2:$AW$200,$G74)&gt;0,
     COUNTIFS($AX$2:$AX$200,$G74)&gt;0
   )),
  ),
  4
 ),
"")</f>
        <v/>
      </c>
      <c r="G74" t="str">
        <f ca="1"/>
        <v>Counterspell</v>
      </c>
      <c r="AX74" t="str">
        <v>Solemn Simulacrum</v>
      </c>
      <c r="BH74" t="str">
        <f ca="1"/>
        <v>The Tenth Doctor</v>
      </c>
      <c r="BI74" t="str">
        <f ca="1"/>
        <v>Ozolith, the Shattered Spire</v>
      </c>
      <c r="BN74" t="str">
        <f ca="1"/>
        <v>Spark Double</v>
      </c>
      <c r="BO74" t="str">
        <f ca="1"/>
        <v>Hanza, Guardian of Arashin</v>
      </c>
      <c r="BQ74" t="str">
        <f ca="1"/>
        <v>Trioma de Indatha</v>
      </c>
      <c r="BR74" t="str">
        <f ca="1"/>
        <v>Lolth, Rainha Aranha</v>
      </c>
      <c r="BT74" t="str">
        <f ca="1"/>
        <v>Ghostly Prison</v>
      </c>
    </row>
    <row r="75" spans="1:72" x14ac:dyDescent="0.25">
      <c r="A75" s="3" t="str">
        <f t="shared" ca="1" si="4"/>
        <v>3</v>
      </c>
      <c r="B75" s="3">
        <f t="shared" ca="1" si="5"/>
        <v>1</v>
      </c>
      <c r="C75" s="3" t="str">
        <f ca="1">IFERROR(
 INDEX($U$1:$AX$1,
  MATCH(TRUE,
   CHOOSE({1;2;3;4;5;6;7;8;9;10;11;12;13;14;15;16;17;18;19;20;21;22;23;24;25;26;27;28;29;30;31;32},
    COUNTIFS($U$2:$U$200,$G75)&gt;0,
    COUNTIFS($V$2:$V$200,$G75)&gt;0,
    COUNTIFS($W$2:$W$200,$G75)&gt;0,
    COUNTIFS($X$2:$X$200,$G75)&gt;0,
    COUNTIFS($Y$2:$Y$200,$G75)&gt;0,
    COUNTIFS($Z$2:$Z$200,$G75)&gt;0,
    COUNTIFS($AA$2:$AA$200,$G75)&gt;0,
    COUNTIFS($AB$2:$AB$200,$G75)&gt;0,
    COUNTIFS($AC$2:$AC$200,$G75)&gt;0,
    COUNTIFS($AD$2:$AD$200,$G75)&gt;0,
    COUNTIFS($AE$2:$AE$200,$G75)&gt;0,
    COUNTIFS($AF$2:$AF$200,$G75)&gt;0,
    COUNTIFS($AG$2:$AG$200,$G75)&gt;0,
    COUNTIFS($AH$2:$AH$200,$G75)&gt;0,
    COUNTIFS($AI$2:$AI$200,$G75)&gt;0,
    COUNTIFS($AJ$2:$AJ$200,$G75)&gt;0,
    COUNTIFS($AK$2:$AK$200,$G75)&gt;0,
    COUNTIFS($AL$2:$AL$200,$G75)&gt;0,
    COUNTIFS($AM$2:$AM$200,$G75)&gt;0,
    COUNTIFS($AN$2:$AN$200,$G75)&gt;0,
    COUNTIFS($AO$2:$AO$200,$G75)&gt;0,
    COUNTIFS($AP$2:$AP$200,$G75)&gt;0,
    COUNTIFS($AQ$2:$AQ$200,$G75)&gt;0,
    COUNTIFS($AR$2:$AR$200,$G75)&gt;0,
    COUNTIFS($AS$2:$AS$200,$G75)&gt;0,
    COUNTIFS($AT$2:$AT$200,$G75)&gt;0,
    COUNTIFS($AU$2:$AU$200,$G75)&gt;0,
    COUNTIFS($AV$2:$AV$200,$G75)&gt;0,
    COUNTIFS($AW$2:$AW$200,$G75)&gt;0,
    COUNTIFS($AX$2:$AX$200,$G75)&gt;0
   ),
  0)
 ),
"")</f>
        <v>Yuriko</v>
      </c>
      <c r="D75" s="3" t="str" cm="1">
        <f t="array" aca="1" ref="D75" ca="1">IFERROR(
 INDEX(
  _xlfn._xlws.FILTER($U$1:$AX$1,
   TRANSPOSE(
    CHOOSE({1;2;3;4;5;6;7;8;9;10;11;12;13;14;15;16;17;18;19;20;21;22;23;24;25;26;27;28;29;30},
     COUNTIFS($U$2:$U$200,$G75)&gt;0,
     COUNTIFS($V$2:$V$200,$G75)&gt;0,
     COUNTIFS($W$2:$W$200,$G75)&gt;0,
     COUNTIFS($X$2:$X$200,$G75)&gt;0,
     COUNTIFS($Y$2:$Y$200,$G75)&gt;0,
     COUNTIFS($Z$2:$Z$200,$G75)&gt;0,
     COUNTIFS($AA$2:$AA$200,$G75)&gt;0,
     COUNTIFS($AB$2:$AB$200,$G75)&gt;0,
     COUNTIFS($AC$2:$AC$200,$G75)&gt;0,
     COUNTIFS($AD$2:$AD$200,$G75)&gt;0,
     COUNTIFS($AE$2:$AE$200,$G75)&gt;0,
     COUNTIFS($AF$2:$AF$200,$G75)&gt;0,
     COUNTIFS($AG$2:$AG$200,$G75)&gt;0,
     COUNTIFS($AH$2:$AH$200,$G75)&gt;0,
     COUNTIFS($AI$2:$AI$200,$G75)&gt;0,
     COUNTIFS($AJ$2:$AJ$200,$G75)&gt;0,
     COUNTIFS($AK$2:$AK$200,$G75)&gt;0,
     COUNTIFS($AL$2:$AL$200,$G75)&gt;0,
     COUNTIFS($AM$2:$AM$200,$G75)&gt;0,
     COUNTIFS($AN$2:$AN$200,$G75)&gt;0,
     COUNTIFS($AO$2:$AO$200,$G75)&gt;0,
     COUNTIFS($AP$2:$AP$200,$G75)&gt;0,
     COUNTIFS($AQ$2:$AQ$200,$G75)&gt;0,
     COUNTIFS($AR$2:$AR$200,$G75)&gt;0,
     COUNTIFS($AS$2:$AS$200,$G75)&gt;0,
     COUNTIFS($AT$2:$AT$200,$G75)&gt;0,
     COUNTIFS($AU$2:$AU$200,$G75)&gt;0,
     COUNTIFS($AV$2:$AV$200,$G75)&gt;0,
     COUNTIFS($AW$2:$AW$200,$G75)&gt;0,
     COUNTIFS($AX$2:$AX$200,$G75)&gt;0
   )),
  ),
  2
 ),
"")</f>
        <v/>
      </c>
      <c r="E75" s="3" t="str" cm="1">
        <f t="array" aca="1" ref="E75" ca="1">IFERROR(
 INDEX(
  _xlfn._xlws.FILTER($U$1:$AX$1,
   TRANSPOSE(
    CHOOSE({1;2;3;4;5;6;7;8;9;10;11;12;13;14;15;16;17;18;19;20;21;22;23;24;25;26;27;28;29;30},
     COUNTIFS($U$2:$U$200,$G75)&gt;0,
     COUNTIFS($V$2:$V$200,$G75)&gt;0,
     COUNTIFS($W$2:$W$200,$G75)&gt;0,
     COUNTIFS($X$2:$X$200,$G75)&gt;0,
     COUNTIFS($Y$2:$Y$200,$G75)&gt;0,
     COUNTIFS($Z$2:$Z$200,$G75)&gt;0,
     COUNTIFS($AA$2:$AA$200,$G75)&gt;0,
     COUNTIFS($AB$2:$AB$200,$G75)&gt;0,
     COUNTIFS($AC$2:$AC$200,$G75)&gt;0,
     COUNTIFS($AD$2:$AD$200,$G75)&gt;0,
     COUNTIFS($AE$2:$AE$200,$G75)&gt;0,
     COUNTIFS($AF$2:$AF$200,$G75)&gt;0,
     COUNTIFS($AG$2:$AG$200,$G75)&gt;0,
     COUNTIFS($AH$2:$AH$200,$G75)&gt;0,
     COUNTIFS($AI$2:$AI$200,$G75)&gt;0,
     COUNTIFS($AJ$2:$AJ$200,$G75)&gt;0,
     COUNTIFS($AK$2:$AK$200,$G75)&gt;0,
     COUNTIFS($AL$2:$AL$200,$G75)&gt;0,
     COUNTIFS($AM$2:$AM$200,$G75)&gt;0,
     COUNTIFS($AN$2:$AN$200,$G75)&gt;0,
     COUNTIFS($AO$2:$AO$200,$G75)&gt;0,
     COUNTIFS($AP$2:$AP$200,$G75)&gt;0,
     COUNTIFS($AQ$2:$AQ$200,$G75)&gt;0,
     COUNTIFS($AR$2:$AR$200,$G75)&gt;0,
     COUNTIFS($AS$2:$AS$200,$G75)&gt;0,
     COUNTIFS($AT$2:$AT$200,$G75)&gt;0,
     COUNTIFS($AU$2:$AU$200,$G75)&gt;0,
     COUNTIFS($AV$2:$AV$200,$G75)&gt;0,
     COUNTIFS($AW$2:$AW$200,$G75)&gt;0,
     COUNTIFS($AX$2:$AX$200,$G75)&gt;0
   )),
  ),
  3
 ),
"")</f>
        <v/>
      </c>
      <c r="F75" s="3" t="str" cm="1">
        <f t="array" aca="1" ref="F75" ca="1">IFERROR(
 INDEX(
  _xlfn._xlws.FILTER($U$1:$AX$1,
   TRANSPOSE(
    CHOOSE({1;2;3;4;5;6;7;8;9;10;11;12;13;14;15;16;17;18;19;20;21;22;23;24;25;26;27;28;29;30},
     COUNTIFS($U$2:$U$200,$G75)&gt;0,
     COUNTIFS($V$2:$V$200,$G75)&gt;0,
     COUNTIFS($W$2:$W$200,$G75)&gt;0,
     COUNTIFS($X$2:$X$200,$G75)&gt;0,
     COUNTIFS($Y$2:$Y$200,$G75)&gt;0,
     COUNTIFS($Z$2:$Z$200,$G75)&gt;0,
     COUNTIFS($AA$2:$AA$200,$G75)&gt;0,
     COUNTIFS($AB$2:$AB$200,$G75)&gt;0,
     COUNTIFS($AC$2:$AC$200,$G75)&gt;0,
     COUNTIFS($AD$2:$AD$200,$G75)&gt;0,
     COUNTIFS($AE$2:$AE$200,$G75)&gt;0,
     COUNTIFS($AF$2:$AF$200,$G75)&gt;0,
     COUNTIFS($AG$2:$AG$200,$G75)&gt;0,
     COUNTIFS($AH$2:$AH$200,$G75)&gt;0,
     COUNTIFS($AI$2:$AI$200,$G75)&gt;0,
     COUNTIFS($AJ$2:$AJ$200,$G75)&gt;0,
     COUNTIFS($AK$2:$AK$200,$G75)&gt;0,
     COUNTIFS($AL$2:$AL$200,$G75)&gt;0,
     COUNTIFS($AM$2:$AM$200,$G75)&gt;0,
     COUNTIFS($AN$2:$AN$200,$G75)&gt;0,
     COUNTIFS($AO$2:$AO$200,$G75)&gt;0,
     COUNTIFS($AP$2:$AP$200,$G75)&gt;0,
     COUNTIFS($AQ$2:$AQ$200,$G75)&gt;0,
     COUNTIFS($AR$2:$AR$200,$G75)&gt;0,
     COUNTIFS($AS$2:$AS$200,$G75)&gt;0,
     COUNTIFS($AT$2:$AT$200,$G75)&gt;0,
     COUNTIFS($AU$2:$AU$200,$G75)&gt;0,
     COUNTIFS($AV$2:$AV$200,$G75)&gt;0,
     COUNTIFS($AW$2:$AW$200,$G75)&gt;0,
     COUNTIFS($AX$2:$AX$200,$G75)&gt;0
   )),
  ),
  4
 ),
"")</f>
        <v/>
      </c>
      <c r="G75" t="str">
        <f ca="1"/>
        <v>Creeping Tar Pit</v>
      </c>
      <c r="AX75" t="str">
        <v>Steel Overseer</v>
      </c>
      <c r="BH75" t="str">
        <f ca="1"/>
        <v>Thought Vessel</v>
      </c>
      <c r="BI75" t="str">
        <f ca="1"/>
        <v>Patrolling Peacemaker</v>
      </c>
      <c r="BN75" t="str">
        <f ca="1"/>
        <v>Spectator Seating</v>
      </c>
      <c r="BO75" t="str">
        <f ca="1"/>
        <v>Haru, Hidden Talent</v>
      </c>
      <c r="BQ75" t="str">
        <f ca="1"/>
        <v>Trioma de Raugrin</v>
      </c>
      <c r="BR75" t="str">
        <f ca="1"/>
        <v>Lord of Atlantis</v>
      </c>
      <c r="BT75" t="str">
        <f ca="1"/>
        <v>Giver of Runes</v>
      </c>
    </row>
    <row r="76" spans="1:72" x14ac:dyDescent="0.25">
      <c r="A76" s="3" t="str">
        <f t="shared" ca="1" si="4"/>
        <v>3</v>
      </c>
      <c r="B76" s="3">
        <f t="shared" ca="1" si="5"/>
        <v>1</v>
      </c>
      <c r="C76" s="3" t="str">
        <f ca="1">IFERROR(
 INDEX($U$1:$AX$1,
  MATCH(TRUE,
   CHOOSE({1;2;3;4;5;6;7;8;9;10;11;12;13;14;15;16;17;18;19;20;21;22;23;24;25;26;27;28;29;30;31;32},
    COUNTIFS($U$2:$U$200,$G76)&gt;0,
    COUNTIFS($V$2:$V$200,$G76)&gt;0,
    COUNTIFS($W$2:$W$200,$G76)&gt;0,
    COUNTIFS($X$2:$X$200,$G76)&gt;0,
    COUNTIFS($Y$2:$Y$200,$G76)&gt;0,
    COUNTIFS($Z$2:$Z$200,$G76)&gt;0,
    COUNTIFS($AA$2:$AA$200,$G76)&gt;0,
    COUNTIFS($AB$2:$AB$200,$G76)&gt;0,
    COUNTIFS($AC$2:$AC$200,$G76)&gt;0,
    COUNTIFS($AD$2:$AD$200,$G76)&gt;0,
    COUNTIFS($AE$2:$AE$200,$G76)&gt;0,
    COUNTIFS($AF$2:$AF$200,$G76)&gt;0,
    COUNTIFS($AG$2:$AG$200,$G76)&gt;0,
    COUNTIFS($AH$2:$AH$200,$G76)&gt;0,
    COUNTIFS($AI$2:$AI$200,$G76)&gt;0,
    COUNTIFS($AJ$2:$AJ$200,$G76)&gt;0,
    COUNTIFS($AK$2:$AK$200,$G76)&gt;0,
    COUNTIFS($AL$2:$AL$200,$G76)&gt;0,
    COUNTIFS($AM$2:$AM$200,$G76)&gt;0,
    COUNTIFS($AN$2:$AN$200,$G76)&gt;0,
    COUNTIFS($AO$2:$AO$200,$G76)&gt;0,
    COUNTIFS($AP$2:$AP$200,$G76)&gt;0,
    COUNTIFS($AQ$2:$AQ$200,$G76)&gt;0,
    COUNTIFS($AR$2:$AR$200,$G76)&gt;0,
    COUNTIFS($AS$2:$AS$200,$G76)&gt;0,
    COUNTIFS($AT$2:$AT$200,$G76)&gt;0,
    COUNTIFS($AU$2:$AU$200,$G76)&gt;0,
    COUNTIFS($AV$2:$AV$200,$G76)&gt;0,
    COUNTIFS($AW$2:$AW$200,$G76)&gt;0,
    COUNTIFS($AX$2:$AX$200,$G76)&gt;0
   ),
  0)
 ),
"")</f>
        <v>Gritrog</v>
      </c>
      <c r="D76" s="3" t="str" cm="1">
        <f t="array" aca="1" ref="D76" ca="1">IFERROR(
 INDEX(
  _xlfn._xlws.FILTER($U$1:$AX$1,
   TRANSPOSE(
    CHOOSE({1;2;3;4;5;6;7;8;9;10;11;12;13;14;15;16;17;18;19;20;21;22;23;24;25;26;27;28;29;30},
     COUNTIFS($U$2:$U$200,$G76)&gt;0,
     COUNTIFS($V$2:$V$200,$G76)&gt;0,
     COUNTIFS($W$2:$W$200,$G76)&gt;0,
     COUNTIFS($X$2:$X$200,$G76)&gt;0,
     COUNTIFS($Y$2:$Y$200,$G76)&gt;0,
     COUNTIFS($Z$2:$Z$200,$G76)&gt;0,
     COUNTIFS($AA$2:$AA$200,$G76)&gt;0,
     COUNTIFS($AB$2:$AB$200,$G76)&gt;0,
     COUNTIFS($AC$2:$AC$200,$G76)&gt;0,
     COUNTIFS($AD$2:$AD$200,$G76)&gt;0,
     COUNTIFS($AE$2:$AE$200,$G76)&gt;0,
     COUNTIFS($AF$2:$AF$200,$G76)&gt;0,
     COUNTIFS($AG$2:$AG$200,$G76)&gt;0,
     COUNTIFS($AH$2:$AH$200,$G76)&gt;0,
     COUNTIFS($AI$2:$AI$200,$G76)&gt;0,
     COUNTIFS($AJ$2:$AJ$200,$G76)&gt;0,
     COUNTIFS($AK$2:$AK$200,$G76)&gt;0,
     COUNTIFS($AL$2:$AL$200,$G76)&gt;0,
     COUNTIFS($AM$2:$AM$200,$G76)&gt;0,
     COUNTIFS($AN$2:$AN$200,$G76)&gt;0,
     COUNTIFS($AO$2:$AO$200,$G76)&gt;0,
     COUNTIFS($AP$2:$AP$200,$G76)&gt;0,
     COUNTIFS($AQ$2:$AQ$200,$G76)&gt;0,
     COUNTIFS($AR$2:$AR$200,$G76)&gt;0,
     COUNTIFS($AS$2:$AS$200,$G76)&gt;0,
     COUNTIFS($AT$2:$AT$200,$G76)&gt;0,
     COUNTIFS($AU$2:$AU$200,$G76)&gt;0,
     COUNTIFS($AV$2:$AV$200,$G76)&gt;0,
     COUNTIFS($AW$2:$AW$200,$G76)&gt;0,
     COUNTIFS($AX$2:$AX$200,$G76)&gt;0
   )),
  ),
  2
 ),
"")</f>
        <v/>
      </c>
      <c r="E76" s="3" t="str" cm="1">
        <f t="array" aca="1" ref="E76" ca="1">IFERROR(
 INDEX(
  _xlfn._xlws.FILTER($U$1:$AX$1,
   TRANSPOSE(
    CHOOSE({1;2;3;4;5;6;7;8;9;10;11;12;13;14;15;16;17;18;19;20;21;22;23;24;25;26;27;28;29;30},
     COUNTIFS($U$2:$U$200,$G76)&gt;0,
     COUNTIFS($V$2:$V$200,$G76)&gt;0,
     COUNTIFS($W$2:$W$200,$G76)&gt;0,
     COUNTIFS($X$2:$X$200,$G76)&gt;0,
     COUNTIFS($Y$2:$Y$200,$G76)&gt;0,
     COUNTIFS($Z$2:$Z$200,$G76)&gt;0,
     COUNTIFS($AA$2:$AA$200,$G76)&gt;0,
     COUNTIFS($AB$2:$AB$200,$G76)&gt;0,
     COUNTIFS($AC$2:$AC$200,$G76)&gt;0,
     COUNTIFS($AD$2:$AD$200,$G76)&gt;0,
     COUNTIFS($AE$2:$AE$200,$G76)&gt;0,
     COUNTIFS($AF$2:$AF$200,$G76)&gt;0,
     COUNTIFS($AG$2:$AG$200,$G76)&gt;0,
     COUNTIFS($AH$2:$AH$200,$G76)&gt;0,
     COUNTIFS($AI$2:$AI$200,$G76)&gt;0,
     COUNTIFS($AJ$2:$AJ$200,$G76)&gt;0,
     COUNTIFS($AK$2:$AK$200,$G76)&gt;0,
     COUNTIFS($AL$2:$AL$200,$G76)&gt;0,
     COUNTIFS($AM$2:$AM$200,$G76)&gt;0,
     COUNTIFS($AN$2:$AN$200,$G76)&gt;0,
     COUNTIFS($AO$2:$AO$200,$G76)&gt;0,
     COUNTIFS($AP$2:$AP$200,$G76)&gt;0,
     COUNTIFS($AQ$2:$AQ$200,$G76)&gt;0,
     COUNTIFS($AR$2:$AR$200,$G76)&gt;0,
     COUNTIFS($AS$2:$AS$200,$G76)&gt;0,
     COUNTIFS($AT$2:$AT$200,$G76)&gt;0,
     COUNTIFS($AU$2:$AU$200,$G76)&gt;0,
     COUNTIFS($AV$2:$AV$200,$G76)&gt;0,
     COUNTIFS($AW$2:$AW$200,$G76)&gt;0,
     COUNTIFS($AX$2:$AX$200,$G76)&gt;0
   )),
  ),
  3
 ),
"")</f>
        <v/>
      </c>
      <c r="F76" s="3" t="str" cm="1">
        <f t="array" aca="1" ref="F76" ca="1">IFERROR(
 INDEX(
  _xlfn._xlws.FILTER($U$1:$AX$1,
   TRANSPOSE(
    CHOOSE({1;2;3;4;5;6;7;8;9;10;11;12;13;14;15;16;17;18;19;20;21;22;23;24;25;26;27;28;29;30},
     COUNTIFS($U$2:$U$200,$G76)&gt;0,
     COUNTIFS($V$2:$V$200,$G76)&gt;0,
     COUNTIFS($W$2:$W$200,$G76)&gt;0,
     COUNTIFS($X$2:$X$200,$G76)&gt;0,
     COUNTIFS($Y$2:$Y$200,$G76)&gt;0,
     COUNTIFS($Z$2:$Z$200,$G76)&gt;0,
     COUNTIFS($AA$2:$AA$200,$G76)&gt;0,
     COUNTIFS($AB$2:$AB$200,$G76)&gt;0,
     COUNTIFS($AC$2:$AC$200,$G76)&gt;0,
     COUNTIFS($AD$2:$AD$200,$G76)&gt;0,
     COUNTIFS($AE$2:$AE$200,$G76)&gt;0,
     COUNTIFS($AF$2:$AF$200,$G76)&gt;0,
     COUNTIFS($AG$2:$AG$200,$G76)&gt;0,
     COUNTIFS($AH$2:$AH$200,$G76)&gt;0,
     COUNTIFS($AI$2:$AI$200,$G76)&gt;0,
     COUNTIFS($AJ$2:$AJ$200,$G76)&gt;0,
     COUNTIFS($AK$2:$AK$200,$G76)&gt;0,
     COUNTIFS($AL$2:$AL$200,$G76)&gt;0,
     COUNTIFS($AM$2:$AM$200,$G76)&gt;0,
     COUNTIFS($AN$2:$AN$200,$G76)&gt;0,
     COUNTIFS($AO$2:$AO$200,$G76)&gt;0,
     COUNTIFS($AP$2:$AP$200,$G76)&gt;0,
     COUNTIFS($AQ$2:$AQ$200,$G76)&gt;0,
     COUNTIFS($AR$2:$AR$200,$G76)&gt;0,
     COUNTIFS($AS$2:$AS$200,$G76)&gt;0,
     COUNTIFS($AT$2:$AT$200,$G76)&gt;0,
     COUNTIFS($AU$2:$AU$200,$G76)&gt;0,
     COUNTIFS($AV$2:$AV$200,$G76)&gt;0,
     COUNTIFS($AW$2:$AW$200,$G76)&gt;0,
     COUNTIFS($AX$2:$AX$200,$G76)&gt;0
   )),
  ),
  4
 ),
"")</f>
        <v/>
      </c>
      <c r="G76" t="str">
        <f ca="1"/>
        <v>Crisol dos Mundos</v>
      </c>
      <c r="AX76" t="str">
        <v>Strionic Resonator</v>
      </c>
      <c r="BH76" t="str">
        <f ca="1"/>
        <v>Thran Dynamo</v>
      </c>
      <c r="BI76" t="str">
        <f ca="1"/>
        <v>Phyrexia's Core</v>
      </c>
      <c r="BN76" t="str">
        <f ca="1"/>
        <v>Stonybrook Banneret</v>
      </c>
      <c r="BO76" t="str">
        <f ca="1"/>
        <v>Haywire Mite</v>
      </c>
      <c r="BQ76" t="str">
        <f ca="1"/>
        <v>Trioma de Zagoth</v>
      </c>
      <c r="BR76" t="str">
        <f ca="1"/>
        <v>Lullmage Mentor</v>
      </c>
      <c r="BT76" t="str">
        <f ca="1"/>
        <v>Glasspool Mimic</v>
      </c>
    </row>
    <row r="77" spans="1:72" x14ac:dyDescent="0.25">
      <c r="A77" s="3" t="str">
        <f t="shared" ca="1" si="4"/>
        <v>2</v>
      </c>
      <c r="B77" s="3">
        <f t="shared" ca="1" si="5"/>
        <v>1</v>
      </c>
      <c r="C77" s="3" t="str">
        <f ca="1">IFERROR(
 INDEX($U$1:$AX$1,
  MATCH(TRUE,
   CHOOSE({1;2;3;4;5;6;7;8;9;10;11;12;13;14;15;16;17;18;19;20;21;22;23;24;25;26;27;28;29;30;31;32},
    COUNTIFS($U$2:$U$200,$G77)&gt;0,
    COUNTIFS($V$2:$V$200,$G77)&gt;0,
    COUNTIFS($W$2:$W$200,$G77)&gt;0,
    COUNTIFS($X$2:$X$200,$G77)&gt;0,
    COUNTIFS($Y$2:$Y$200,$G77)&gt;0,
    COUNTIFS($Z$2:$Z$200,$G77)&gt;0,
    COUNTIFS($AA$2:$AA$200,$G77)&gt;0,
    COUNTIFS($AB$2:$AB$200,$G77)&gt;0,
    COUNTIFS($AC$2:$AC$200,$G77)&gt;0,
    COUNTIFS($AD$2:$AD$200,$G77)&gt;0,
    COUNTIFS($AE$2:$AE$200,$G77)&gt;0,
    COUNTIFS($AF$2:$AF$200,$G77)&gt;0,
    COUNTIFS($AG$2:$AG$200,$G77)&gt;0,
    COUNTIFS($AH$2:$AH$200,$G77)&gt;0,
    COUNTIFS($AI$2:$AI$200,$G77)&gt;0,
    COUNTIFS($AJ$2:$AJ$200,$G77)&gt;0,
    COUNTIFS($AK$2:$AK$200,$G77)&gt;0,
    COUNTIFS($AL$2:$AL$200,$G77)&gt;0,
    COUNTIFS($AM$2:$AM$200,$G77)&gt;0,
    COUNTIFS($AN$2:$AN$200,$G77)&gt;0,
    COUNTIFS($AO$2:$AO$200,$G77)&gt;0,
    COUNTIFS($AP$2:$AP$200,$G77)&gt;0,
    COUNTIFS($AQ$2:$AQ$200,$G77)&gt;0,
    COUNTIFS($AR$2:$AR$200,$G77)&gt;0,
    COUNTIFS($AS$2:$AS$200,$G77)&gt;0,
    COUNTIFS($AT$2:$AT$200,$G77)&gt;0,
    COUNTIFS($AU$2:$AU$200,$G77)&gt;0,
    COUNTIFS($AV$2:$AV$200,$G77)&gt;0,
    COUNTIFS($AW$2:$AW$200,$G77)&gt;0,
    COUNTIFS($AX$2:$AX$200,$G77)&gt;0
   ),
  0)
 ),
"")</f>
        <v>Rani</v>
      </c>
      <c r="D77" s="3" t="str" cm="1">
        <f t="array" aca="1" ref="D77" ca="1">IFERROR(
 INDEX(
  _xlfn._xlws.FILTER($U$1:$AX$1,
   TRANSPOSE(
    CHOOSE({1;2;3;4;5;6;7;8;9;10;11;12;13;14;15;16;17;18;19;20;21;22;23;24;25;26;27;28;29;30},
     COUNTIFS($U$2:$U$200,$G77)&gt;0,
     COUNTIFS($V$2:$V$200,$G77)&gt;0,
     COUNTIFS($W$2:$W$200,$G77)&gt;0,
     COUNTIFS($X$2:$X$200,$G77)&gt;0,
     COUNTIFS($Y$2:$Y$200,$G77)&gt;0,
     COUNTIFS($Z$2:$Z$200,$G77)&gt;0,
     COUNTIFS($AA$2:$AA$200,$G77)&gt;0,
     COUNTIFS($AB$2:$AB$200,$G77)&gt;0,
     COUNTIFS($AC$2:$AC$200,$G77)&gt;0,
     COUNTIFS($AD$2:$AD$200,$G77)&gt;0,
     COUNTIFS($AE$2:$AE$200,$G77)&gt;0,
     COUNTIFS($AF$2:$AF$200,$G77)&gt;0,
     COUNTIFS($AG$2:$AG$200,$G77)&gt;0,
     COUNTIFS($AH$2:$AH$200,$G77)&gt;0,
     COUNTIFS($AI$2:$AI$200,$G77)&gt;0,
     COUNTIFS($AJ$2:$AJ$200,$G77)&gt;0,
     COUNTIFS($AK$2:$AK$200,$G77)&gt;0,
     COUNTIFS($AL$2:$AL$200,$G77)&gt;0,
     COUNTIFS($AM$2:$AM$200,$G77)&gt;0,
     COUNTIFS($AN$2:$AN$200,$G77)&gt;0,
     COUNTIFS($AO$2:$AO$200,$G77)&gt;0,
     COUNTIFS($AP$2:$AP$200,$G77)&gt;0,
     COUNTIFS($AQ$2:$AQ$200,$G77)&gt;0,
     COUNTIFS($AR$2:$AR$200,$G77)&gt;0,
     COUNTIFS($AS$2:$AS$200,$G77)&gt;0,
     COUNTIFS($AT$2:$AT$200,$G77)&gt;0,
     COUNTIFS($AU$2:$AU$200,$G77)&gt;0,
     COUNTIFS($AV$2:$AV$200,$G77)&gt;0,
     COUNTIFS($AW$2:$AW$200,$G77)&gt;0,
     COUNTIFS($AX$2:$AX$200,$G77)&gt;0
   )),
  ),
  2
 ),
"")</f>
        <v/>
      </c>
      <c r="E77" s="3" t="str" cm="1">
        <f t="array" aca="1" ref="E77" ca="1">IFERROR(
 INDEX(
  _xlfn._xlws.FILTER($U$1:$AX$1,
   TRANSPOSE(
    CHOOSE({1;2;3;4;5;6;7;8;9;10;11;12;13;14;15;16;17;18;19;20;21;22;23;24;25;26;27;28;29;30},
     COUNTIFS($U$2:$U$200,$G77)&gt;0,
     COUNTIFS($V$2:$V$200,$G77)&gt;0,
     COUNTIFS($W$2:$W$200,$G77)&gt;0,
     COUNTIFS($X$2:$X$200,$G77)&gt;0,
     COUNTIFS($Y$2:$Y$200,$G77)&gt;0,
     COUNTIFS($Z$2:$Z$200,$G77)&gt;0,
     COUNTIFS($AA$2:$AA$200,$G77)&gt;0,
     COUNTIFS($AB$2:$AB$200,$G77)&gt;0,
     COUNTIFS($AC$2:$AC$200,$G77)&gt;0,
     COUNTIFS($AD$2:$AD$200,$G77)&gt;0,
     COUNTIFS($AE$2:$AE$200,$G77)&gt;0,
     COUNTIFS($AF$2:$AF$200,$G77)&gt;0,
     COUNTIFS($AG$2:$AG$200,$G77)&gt;0,
     COUNTIFS($AH$2:$AH$200,$G77)&gt;0,
     COUNTIFS($AI$2:$AI$200,$G77)&gt;0,
     COUNTIFS($AJ$2:$AJ$200,$G77)&gt;0,
     COUNTIFS($AK$2:$AK$200,$G77)&gt;0,
     COUNTIFS($AL$2:$AL$200,$G77)&gt;0,
     COUNTIFS($AM$2:$AM$200,$G77)&gt;0,
     COUNTIFS($AN$2:$AN$200,$G77)&gt;0,
     COUNTIFS($AO$2:$AO$200,$G77)&gt;0,
     COUNTIFS($AP$2:$AP$200,$G77)&gt;0,
     COUNTIFS($AQ$2:$AQ$200,$G77)&gt;0,
     COUNTIFS($AR$2:$AR$200,$G77)&gt;0,
     COUNTIFS($AS$2:$AS$200,$G77)&gt;0,
     COUNTIFS($AT$2:$AT$200,$G77)&gt;0,
     COUNTIFS($AU$2:$AU$200,$G77)&gt;0,
     COUNTIFS($AV$2:$AV$200,$G77)&gt;0,
     COUNTIFS($AW$2:$AW$200,$G77)&gt;0,
     COUNTIFS($AX$2:$AX$200,$G77)&gt;0
   )),
  ),
  3
 ),
"")</f>
        <v/>
      </c>
      <c r="F77" s="3" t="str" cm="1">
        <f t="array" aca="1" ref="F77" ca="1">IFERROR(
 INDEX(
  _xlfn._xlws.FILTER($U$1:$AX$1,
   TRANSPOSE(
    CHOOSE({1;2;3;4;5;6;7;8;9;10;11;12;13;14;15;16;17;18;19;20;21;22;23;24;25;26;27;28;29;30},
     COUNTIFS($U$2:$U$200,$G77)&gt;0,
     COUNTIFS($V$2:$V$200,$G77)&gt;0,
     COUNTIFS($W$2:$W$200,$G77)&gt;0,
     COUNTIFS($X$2:$X$200,$G77)&gt;0,
     COUNTIFS($Y$2:$Y$200,$G77)&gt;0,
     COUNTIFS($Z$2:$Z$200,$G77)&gt;0,
     COUNTIFS($AA$2:$AA$200,$G77)&gt;0,
     COUNTIFS($AB$2:$AB$200,$G77)&gt;0,
     COUNTIFS($AC$2:$AC$200,$G77)&gt;0,
     COUNTIFS($AD$2:$AD$200,$G77)&gt;0,
     COUNTIFS($AE$2:$AE$200,$G77)&gt;0,
     COUNTIFS($AF$2:$AF$200,$G77)&gt;0,
     COUNTIFS($AG$2:$AG$200,$G77)&gt;0,
     COUNTIFS($AH$2:$AH$200,$G77)&gt;0,
     COUNTIFS($AI$2:$AI$200,$G77)&gt;0,
     COUNTIFS($AJ$2:$AJ$200,$G77)&gt;0,
     COUNTIFS($AK$2:$AK$200,$G77)&gt;0,
     COUNTIFS($AL$2:$AL$200,$G77)&gt;0,
     COUNTIFS($AM$2:$AM$200,$G77)&gt;0,
     COUNTIFS($AN$2:$AN$200,$G77)&gt;0,
     COUNTIFS($AO$2:$AO$200,$G77)&gt;0,
     COUNTIFS($AP$2:$AP$200,$G77)&gt;0,
     COUNTIFS($AQ$2:$AQ$200,$G77)&gt;0,
     COUNTIFS($AR$2:$AR$200,$G77)&gt;0,
     COUNTIFS($AS$2:$AS$200,$G77)&gt;0,
     COUNTIFS($AT$2:$AT$200,$G77)&gt;0,
     COUNTIFS($AU$2:$AU$200,$G77)&gt;0,
     COUNTIFS($AV$2:$AV$200,$G77)&gt;0,
     COUNTIFS($AW$2:$AW$200,$G77)&gt;0,
     COUNTIFS($AX$2:$AX$200,$G77)&gt;0
   )),
  ),
  4
 ),
"")</f>
        <v/>
      </c>
      <c r="G77" t="str">
        <f ca="1"/>
        <v>Cyber Conversion</v>
      </c>
      <c r="AX77" t="str">
        <v>Sunhome, Fortress of the Legion</v>
      </c>
      <c r="BH77" t="str">
        <f ca="1"/>
        <v>Time of Need</v>
      </c>
      <c r="BI77" t="str">
        <f ca="1"/>
        <v>Plains</v>
      </c>
      <c r="BN77" t="str">
        <f ca="1"/>
        <v>Stridehangar Automaton</v>
      </c>
      <c r="BO77" t="str">
        <f ca="1"/>
        <v>Hedron Detonator</v>
      </c>
      <c r="BQ77" t="str">
        <f ca="1"/>
        <v>Ulamog, o Profanador</v>
      </c>
      <c r="BR77" t="str">
        <f ca="1"/>
        <v>Maddening Cacophony</v>
      </c>
      <c r="BT77" t="str">
        <f ca="1"/>
        <v>Grave Pact</v>
      </c>
    </row>
    <row r="78" spans="1:72" x14ac:dyDescent="0.25">
      <c r="A78" s="3" t="str">
        <f t="shared" ca="1" si="4"/>
        <v>5</v>
      </c>
      <c r="B78" s="3">
        <f t="shared" ca="1" si="5"/>
        <v>1</v>
      </c>
      <c r="C78" s="3" t="str">
        <f ca="1">IFERROR(
 INDEX($U$1:$AX$1,
  MATCH(TRUE,
   CHOOSE({1;2;3;4;5;6;7;8;9;10;11;12;13;14;15;16;17;18;19;20;21;22;23;24;25;26;27;28;29;30;31;32},
    COUNTIFS($U$2:$U$200,$G78)&gt;0,
    COUNTIFS($V$2:$V$200,$G78)&gt;0,
    COUNTIFS($W$2:$W$200,$G78)&gt;0,
    COUNTIFS($X$2:$X$200,$G78)&gt;0,
    COUNTIFS($Y$2:$Y$200,$G78)&gt;0,
    COUNTIFS($Z$2:$Z$200,$G78)&gt;0,
    COUNTIFS($AA$2:$AA$200,$G78)&gt;0,
    COUNTIFS($AB$2:$AB$200,$G78)&gt;0,
    COUNTIFS($AC$2:$AC$200,$G78)&gt;0,
    COUNTIFS($AD$2:$AD$200,$G78)&gt;0,
    COUNTIFS($AE$2:$AE$200,$G78)&gt;0,
    COUNTIFS($AF$2:$AF$200,$G78)&gt;0,
    COUNTIFS($AG$2:$AG$200,$G78)&gt;0,
    COUNTIFS($AH$2:$AH$200,$G78)&gt;0,
    COUNTIFS($AI$2:$AI$200,$G78)&gt;0,
    COUNTIFS($AJ$2:$AJ$200,$G78)&gt;0,
    COUNTIFS($AK$2:$AK$200,$G78)&gt;0,
    COUNTIFS($AL$2:$AL$200,$G78)&gt;0,
    COUNTIFS($AM$2:$AM$200,$G78)&gt;0,
    COUNTIFS($AN$2:$AN$200,$G78)&gt;0,
    COUNTIFS($AO$2:$AO$200,$G78)&gt;0,
    COUNTIFS($AP$2:$AP$200,$G78)&gt;0,
    COUNTIFS($AQ$2:$AQ$200,$G78)&gt;0,
    COUNTIFS($AR$2:$AR$200,$G78)&gt;0,
    COUNTIFS($AS$2:$AS$200,$G78)&gt;0,
    COUNTIFS($AT$2:$AT$200,$G78)&gt;0,
    COUNTIFS($AU$2:$AU$200,$G78)&gt;0,
    COUNTIFS($AV$2:$AV$200,$G78)&gt;0,
    COUNTIFS($AW$2:$AW$200,$G78)&gt;0,
    COUNTIFS($AX$2:$AX$200,$G78)&gt;0
   ),
  0)
 ),
"")</f>
        <v>Breya</v>
      </c>
      <c r="D78" s="3" t="str" cm="1">
        <f t="array" aca="1" ref="D78" ca="1">IFERROR(
 INDEX(
  _xlfn._xlws.FILTER($U$1:$AX$1,
   TRANSPOSE(
    CHOOSE({1;2;3;4;5;6;7;8;9;10;11;12;13;14;15;16;17;18;19;20;21;22;23;24;25;26;27;28;29;30},
     COUNTIFS($U$2:$U$200,$G78)&gt;0,
     COUNTIFS($V$2:$V$200,$G78)&gt;0,
     COUNTIFS($W$2:$W$200,$G78)&gt;0,
     COUNTIFS($X$2:$X$200,$G78)&gt;0,
     COUNTIFS($Y$2:$Y$200,$G78)&gt;0,
     COUNTIFS($Z$2:$Z$200,$G78)&gt;0,
     COUNTIFS($AA$2:$AA$200,$G78)&gt;0,
     COUNTIFS($AB$2:$AB$200,$G78)&gt;0,
     COUNTIFS($AC$2:$AC$200,$G78)&gt;0,
     COUNTIFS($AD$2:$AD$200,$G78)&gt;0,
     COUNTIFS($AE$2:$AE$200,$G78)&gt;0,
     COUNTIFS($AF$2:$AF$200,$G78)&gt;0,
     COUNTIFS($AG$2:$AG$200,$G78)&gt;0,
     COUNTIFS($AH$2:$AH$200,$G78)&gt;0,
     COUNTIFS($AI$2:$AI$200,$G78)&gt;0,
     COUNTIFS($AJ$2:$AJ$200,$G78)&gt;0,
     COUNTIFS($AK$2:$AK$200,$G78)&gt;0,
     COUNTIFS($AL$2:$AL$200,$G78)&gt;0,
     COUNTIFS($AM$2:$AM$200,$G78)&gt;0,
     COUNTIFS($AN$2:$AN$200,$G78)&gt;0,
     COUNTIFS($AO$2:$AO$200,$G78)&gt;0,
     COUNTIFS($AP$2:$AP$200,$G78)&gt;0,
     COUNTIFS($AQ$2:$AQ$200,$G78)&gt;0,
     COUNTIFS($AR$2:$AR$200,$G78)&gt;0,
     COUNTIFS($AS$2:$AS$200,$G78)&gt;0,
     COUNTIFS($AT$2:$AT$200,$G78)&gt;0,
     COUNTIFS($AU$2:$AU$200,$G78)&gt;0,
     COUNTIFS($AV$2:$AV$200,$G78)&gt;0,
     COUNTIFS($AW$2:$AW$200,$G78)&gt;0,
     COUNTIFS($AX$2:$AX$200,$G78)&gt;0
   )),
  ),
  2
 ),
"")</f>
        <v/>
      </c>
      <c r="E78" s="3" t="str" cm="1">
        <f t="array" aca="1" ref="E78" ca="1">IFERROR(
 INDEX(
  _xlfn._xlws.FILTER($U$1:$AX$1,
   TRANSPOSE(
    CHOOSE({1;2;3;4;5;6;7;8;9;10;11;12;13;14;15;16;17;18;19;20;21;22;23;24;25;26;27;28;29;30},
     COUNTIFS($U$2:$U$200,$G78)&gt;0,
     COUNTIFS($V$2:$V$200,$G78)&gt;0,
     COUNTIFS($W$2:$W$200,$G78)&gt;0,
     COUNTIFS($X$2:$X$200,$G78)&gt;0,
     COUNTIFS($Y$2:$Y$200,$G78)&gt;0,
     COUNTIFS($Z$2:$Z$200,$G78)&gt;0,
     COUNTIFS($AA$2:$AA$200,$G78)&gt;0,
     COUNTIFS($AB$2:$AB$200,$G78)&gt;0,
     COUNTIFS($AC$2:$AC$200,$G78)&gt;0,
     COUNTIFS($AD$2:$AD$200,$G78)&gt;0,
     COUNTIFS($AE$2:$AE$200,$G78)&gt;0,
     COUNTIFS($AF$2:$AF$200,$G78)&gt;0,
     COUNTIFS($AG$2:$AG$200,$G78)&gt;0,
     COUNTIFS($AH$2:$AH$200,$G78)&gt;0,
     COUNTIFS($AI$2:$AI$200,$G78)&gt;0,
     COUNTIFS($AJ$2:$AJ$200,$G78)&gt;0,
     COUNTIFS($AK$2:$AK$200,$G78)&gt;0,
     COUNTIFS($AL$2:$AL$200,$G78)&gt;0,
     COUNTIFS($AM$2:$AM$200,$G78)&gt;0,
     COUNTIFS($AN$2:$AN$200,$G78)&gt;0,
     COUNTIFS($AO$2:$AO$200,$G78)&gt;0,
     COUNTIFS($AP$2:$AP$200,$G78)&gt;0,
     COUNTIFS($AQ$2:$AQ$200,$G78)&gt;0,
     COUNTIFS($AR$2:$AR$200,$G78)&gt;0,
     COUNTIFS($AS$2:$AS$200,$G78)&gt;0,
     COUNTIFS($AT$2:$AT$200,$G78)&gt;0,
     COUNTIFS($AU$2:$AU$200,$G78)&gt;0,
     COUNTIFS($AV$2:$AV$200,$G78)&gt;0,
     COUNTIFS($AW$2:$AW$200,$G78)&gt;0,
     COUNTIFS($AX$2:$AX$200,$G78)&gt;0
   )),
  ),
  3
 ),
"")</f>
        <v/>
      </c>
      <c r="F78" s="3" t="str" cm="1">
        <f t="array" aca="1" ref="F78" ca="1">IFERROR(
 INDEX(
  _xlfn._xlws.FILTER($U$1:$AX$1,
   TRANSPOSE(
    CHOOSE({1;2;3;4;5;6;7;8;9;10;11;12;13;14;15;16;17;18;19;20;21;22;23;24;25;26;27;28;29;30},
     COUNTIFS($U$2:$U$200,$G78)&gt;0,
     COUNTIFS($V$2:$V$200,$G78)&gt;0,
     COUNTIFS($W$2:$W$200,$G78)&gt;0,
     COUNTIFS($X$2:$X$200,$G78)&gt;0,
     COUNTIFS($Y$2:$Y$200,$G78)&gt;0,
     COUNTIFS($Z$2:$Z$200,$G78)&gt;0,
     COUNTIFS($AA$2:$AA$200,$G78)&gt;0,
     COUNTIFS($AB$2:$AB$200,$G78)&gt;0,
     COUNTIFS($AC$2:$AC$200,$G78)&gt;0,
     COUNTIFS($AD$2:$AD$200,$G78)&gt;0,
     COUNTIFS($AE$2:$AE$200,$G78)&gt;0,
     COUNTIFS($AF$2:$AF$200,$G78)&gt;0,
     COUNTIFS($AG$2:$AG$200,$G78)&gt;0,
     COUNTIFS($AH$2:$AH$200,$G78)&gt;0,
     COUNTIFS($AI$2:$AI$200,$G78)&gt;0,
     COUNTIFS($AJ$2:$AJ$200,$G78)&gt;0,
     COUNTIFS($AK$2:$AK$200,$G78)&gt;0,
     COUNTIFS($AL$2:$AL$200,$G78)&gt;0,
     COUNTIFS($AM$2:$AM$200,$G78)&gt;0,
     COUNTIFS($AN$2:$AN$200,$G78)&gt;0,
     COUNTIFS($AO$2:$AO$200,$G78)&gt;0,
     COUNTIFS($AP$2:$AP$200,$G78)&gt;0,
     COUNTIFS($AQ$2:$AQ$200,$G78)&gt;0,
     COUNTIFS($AR$2:$AR$200,$G78)&gt;0,
     COUNTIFS($AS$2:$AS$200,$G78)&gt;0,
     COUNTIFS($AT$2:$AT$200,$G78)&gt;0,
     COUNTIFS($AU$2:$AU$200,$G78)&gt;0,
     COUNTIFS($AV$2:$AV$200,$G78)&gt;0,
     COUNTIFS($AW$2:$AW$200,$G78)&gt;0,
     COUNTIFS($AX$2:$AX$200,$G78)&gt;0
   )),
  ),
  4
 ),
"")</f>
        <v/>
      </c>
      <c r="G78" t="str">
        <f ca="1"/>
        <v>Daretti, Ingenious Iconoclast</v>
      </c>
      <c r="AX78" t="str">
        <v>Surge Conductor</v>
      </c>
      <c r="BH78" t="str">
        <f ca="1"/>
        <v>Tromell, Seymour's Butler</v>
      </c>
      <c r="BI78" t="str">
        <f ca="1"/>
        <v>Plains</v>
      </c>
      <c r="BN78" t="str">
        <f ca="1"/>
        <v>Sulfur Falls</v>
      </c>
      <c r="BO78" t="str">
        <f ca="1"/>
        <v>High Market</v>
      </c>
      <c r="BQ78" t="str">
        <f ca="1"/>
        <v>Ulamog, the Infinite Gyre</v>
      </c>
      <c r="BR78" t="str">
        <f ca="1"/>
        <v>Memory Erosion</v>
      </c>
      <c r="BT78" t="str">
        <f ca="1"/>
        <v>Guia das Almas</v>
      </c>
    </row>
    <row r="79" spans="1:72" x14ac:dyDescent="0.25">
      <c r="A79" s="3" t="str">
        <f t="shared" ca="1" si="4"/>
        <v>1</v>
      </c>
      <c r="B79" s="3">
        <f t="shared" ca="1" si="5"/>
        <v>1</v>
      </c>
      <c r="C79" s="3" t="str">
        <f ca="1">IFERROR(
 INDEX($U$1:$AX$1,
  MATCH(TRUE,
   CHOOSE({1;2;3;4;5;6;7;8;9;10;11;12;13;14;15;16;17;18;19;20;21;22;23;24;25;26;27;28;29;30;31;32},
    COUNTIFS($U$2:$U$200,$G79)&gt;0,
    COUNTIFS($V$2:$V$200,$G79)&gt;0,
    COUNTIFS($W$2:$W$200,$G79)&gt;0,
    COUNTIFS($X$2:$X$200,$G79)&gt;0,
    COUNTIFS($Y$2:$Y$200,$G79)&gt;0,
    COUNTIFS($Z$2:$Z$200,$G79)&gt;0,
    COUNTIFS($AA$2:$AA$200,$G79)&gt;0,
    COUNTIFS($AB$2:$AB$200,$G79)&gt;0,
    COUNTIFS($AC$2:$AC$200,$G79)&gt;0,
    COUNTIFS($AD$2:$AD$200,$G79)&gt;0,
    COUNTIFS($AE$2:$AE$200,$G79)&gt;0,
    COUNTIFS($AF$2:$AF$200,$G79)&gt;0,
    COUNTIFS($AG$2:$AG$200,$G79)&gt;0,
    COUNTIFS($AH$2:$AH$200,$G79)&gt;0,
    COUNTIFS($AI$2:$AI$200,$G79)&gt;0,
    COUNTIFS($AJ$2:$AJ$200,$G79)&gt;0,
    COUNTIFS($AK$2:$AK$200,$G79)&gt;0,
    COUNTIFS($AL$2:$AL$200,$G79)&gt;0,
    COUNTIFS($AM$2:$AM$200,$G79)&gt;0,
    COUNTIFS($AN$2:$AN$200,$G79)&gt;0,
    COUNTIFS($AO$2:$AO$200,$G79)&gt;0,
    COUNTIFS($AP$2:$AP$200,$G79)&gt;0,
    COUNTIFS($AQ$2:$AQ$200,$G79)&gt;0,
    COUNTIFS($AR$2:$AR$200,$G79)&gt;0,
    COUNTIFS($AS$2:$AS$200,$G79)&gt;0,
    COUNTIFS($AT$2:$AT$200,$G79)&gt;0,
    COUNTIFS($AU$2:$AU$200,$G79)&gt;0,
    COUNTIFS($AV$2:$AV$200,$G79)&gt;0,
    COUNTIFS($AW$2:$AW$200,$G79)&gt;0,
    COUNTIFS($AX$2:$AX$200,$G79)&gt;0
   ),
  0)
 ),
"")</f>
        <v>Modular</v>
      </c>
      <c r="D79" s="3" t="str" cm="1">
        <f t="array" aca="1" ref="D79" ca="1">IFERROR(
 INDEX(
  _xlfn._xlws.FILTER($U$1:$AX$1,
   TRANSPOSE(
    CHOOSE({1;2;3;4;5;6;7;8;9;10;11;12;13;14;15;16;17;18;19;20;21;22;23;24;25;26;27;28;29;30},
     COUNTIFS($U$2:$U$200,$G79)&gt;0,
     COUNTIFS($V$2:$V$200,$G79)&gt;0,
     COUNTIFS($W$2:$W$200,$G79)&gt;0,
     COUNTIFS($X$2:$X$200,$G79)&gt;0,
     COUNTIFS($Y$2:$Y$200,$G79)&gt;0,
     COUNTIFS($Z$2:$Z$200,$G79)&gt;0,
     COUNTIFS($AA$2:$AA$200,$G79)&gt;0,
     COUNTIFS($AB$2:$AB$200,$G79)&gt;0,
     COUNTIFS($AC$2:$AC$200,$G79)&gt;0,
     COUNTIFS($AD$2:$AD$200,$G79)&gt;0,
     COUNTIFS($AE$2:$AE$200,$G79)&gt;0,
     COUNTIFS($AF$2:$AF$200,$G79)&gt;0,
     COUNTIFS($AG$2:$AG$200,$G79)&gt;0,
     COUNTIFS($AH$2:$AH$200,$G79)&gt;0,
     COUNTIFS($AI$2:$AI$200,$G79)&gt;0,
     COUNTIFS($AJ$2:$AJ$200,$G79)&gt;0,
     COUNTIFS($AK$2:$AK$200,$G79)&gt;0,
     COUNTIFS($AL$2:$AL$200,$G79)&gt;0,
     COUNTIFS($AM$2:$AM$200,$G79)&gt;0,
     COUNTIFS($AN$2:$AN$200,$G79)&gt;0,
     COUNTIFS($AO$2:$AO$200,$G79)&gt;0,
     COUNTIFS($AP$2:$AP$200,$G79)&gt;0,
     COUNTIFS($AQ$2:$AQ$200,$G79)&gt;0,
     COUNTIFS($AR$2:$AR$200,$G79)&gt;0,
     COUNTIFS($AS$2:$AS$200,$G79)&gt;0,
     COUNTIFS($AT$2:$AT$200,$G79)&gt;0,
     COUNTIFS($AU$2:$AU$200,$G79)&gt;0,
     COUNTIFS($AV$2:$AV$200,$G79)&gt;0,
     COUNTIFS($AW$2:$AW$200,$G79)&gt;0,
     COUNTIFS($AX$2:$AX$200,$G79)&gt;0
   )),
  ),
  2
 ),
"")</f>
        <v/>
      </c>
      <c r="E79" s="3" t="str" cm="1">
        <f t="array" aca="1" ref="E79" ca="1">IFERROR(
 INDEX(
  _xlfn._xlws.FILTER($U$1:$AX$1,
   TRANSPOSE(
    CHOOSE({1;2;3;4;5;6;7;8;9;10;11;12;13;14;15;16;17;18;19;20;21;22;23;24;25;26;27;28;29;30},
     COUNTIFS($U$2:$U$200,$G79)&gt;0,
     COUNTIFS($V$2:$V$200,$G79)&gt;0,
     COUNTIFS($W$2:$W$200,$G79)&gt;0,
     COUNTIFS($X$2:$X$200,$G79)&gt;0,
     COUNTIFS($Y$2:$Y$200,$G79)&gt;0,
     COUNTIFS($Z$2:$Z$200,$G79)&gt;0,
     COUNTIFS($AA$2:$AA$200,$G79)&gt;0,
     COUNTIFS($AB$2:$AB$200,$G79)&gt;0,
     COUNTIFS($AC$2:$AC$200,$G79)&gt;0,
     COUNTIFS($AD$2:$AD$200,$G79)&gt;0,
     COUNTIFS($AE$2:$AE$200,$G79)&gt;0,
     COUNTIFS($AF$2:$AF$200,$G79)&gt;0,
     COUNTIFS($AG$2:$AG$200,$G79)&gt;0,
     COUNTIFS($AH$2:$AH$200,$G79)&gt;0,
     COUNTIFS($AI$2:$AI$200,$G79)&gt;0,
     COUNTIFS($AJ$2:$AJ$200,$G79)&gt;0,
     COUNTIFS($AK$2:$AK$200,$G79)&gt;0,
     COUNTIFS($AL$2:$AL$200,$G79)&gt;0,
     COUNTIFS($AM$2:$AM$200,$G79)&gt;0,
     COUNTIFS($AN$2:$AN$200,$G79)&gt;0,
     COUNTIFS($AO$2:$AO$200,$G79)&gt;0,
     COUNTIFS($AP$2:$AP$200,$G79)&gt;0,
     COUNTIFS($AQ$2:$AQ$200,$G79)&gt;0,
     COUNTIFS($AR$2:$AR$200,$G79)&gt;0,
     COUNTIFS($AS$2:$AS$200,$G79)&gt;0,
     COUNTIFS($AT$2:$AT$200,$G79)&gt;0,
     COUNTIFS($AU$2:$AU$200,$G79)&gt;0,
     COUNTIFS($AV$2:$AV$200,$G79)&gt;0,
     COUNTIFS($AW$2:$AW$200,$G79)&gt;0,
     COUNTIFS($AX$2:$AX$200,$G79)&gt;0
   )),
  ),
  3
 ),
"")</f>
        <v/>
      </c>
      <c r="F79" s="3" t="str" cm="1">
        <f t="array" aca="1" ref="F79" ca="1">IFERROR(
 INDEX(
  _xlfn._xlws.FILTER($U$1:$AX$1,
   TRANSPOSE(
    CHOOSE({1;2;3;4;5;6;7;8;9;10;11;12;13;14;15;16;17;18;19;20;21;22;23;24;25;26;27;28;29;30},
     COUNTIFS($U$2:$U$200,$G79)&gt;0,
     COUNTIFS($V$2:$V$200,$G79)&gt;0,
     COUNTIFS($W$2:$W$200,$G79)&gt;0,
     COUNTIFS($X$2:$X$200,$G79)&gt;0,
     COUNTIFS($Y$2:$Y$200,$G79)&gt;0,
     COUNTIFS($Z$2:$Z$200,$G79)&gt;0,
     COUNTIFS($AA$2:$AA$200,$G79)&gt;0,
     COUNTIFS($AB$2:$AB$200,$G79)&gt;0,
     COUNTIFS($AC$2:$AC$200,$G79)&gt;0,
     COUNTIFS($AD$2:$AD$200,$G79)&gt;0,
     COUNTIFS($AE$2:$AE$200,$G79)&gt;0,
     COUNTIFS($AF$2:$AF$200,$G79)&gt;0,
     COUNTIFS($AG$2:$AG$200,$G79)&gt;0,
     COUNTIFS($AH$2:$AH$200,$G79)&gt;0,
     COUNTIFS($AI$2:$AI$200,$G79)&gt;0,
     COUNTIFS($AJ$2:$AJ$200,$G79)&gt;0,
     COUNTIFS($AK$2:$AK$200,$G79)&gt;0,
     COUNTIFS($AL$2:$AL$200,$G79)&gt;0,
     COUNTIFS($AM$2:$AM$200,$G79)&gt;0,
     COUNTIFS($AN$2:$AN$200,$G79)&gt;0,
     COUNTIFS($AO$2:$AO$200,$G79)&gt;0,
     COUNTIFS($AP$2:$AP$200,$G79)&gt;0,
     COUNTIFS($AQ$2:$AQ$200,$G79)&gt;0,
     COUNTIFS($AR$2:$AR$200,$G79)&gt;0,
     COUNTIFS($AS$2:$AS$200,$G79)&gt;0,
     COUNTIFS($AT$2:$AT$200,$G79)&gt;0,
     COUNTIFS($AU$2:$AU$200,$G79)&gt;0,
     COUNTIFS($AV$2:$AV$200,$G79)&gt;0,
     COUNTIFS($AW$2:$AW$200,$G79)&gt;0,
     COUNTIFS($AX$2:$AX$200,$G79)&gt;0
   )),
  ),
  4
 ),
"")</f>
        <v/>
      </c>
      <c r="G79" t="str">
        <f ca="1"/>
        <v>Darksteel Citadel</v>
      </c>
      <c r="AX79" t="str">
        <v>Swords to Plowshares</v>
      </c>
      <c r="BH79" t="str">
        <f ca="1"/>
        <v>Ulamog, o Profanador</v>
      </c>
      <c r="BI79" t="str">
        <f ca="1"/>
        <v>Plains</v>
      </c>
      <c r="BN79" t="str">
        <f ca="1"/>
        <v>Summon: Leviathan</v>
      </c>
      <c r="BO79" t="str">
        <f ca="1"/>
        <v>Hydraw's Growth</v>
      </c>
      <c r="BQ79" t="str">
        <f ca="1"/>
        <v>Uthros, Titanic Godcore</v>
      </c>
      <c r="BR79" t="str">
        <f ca="1"/>
        <v>Merchant of Secrets</v>
      </c>
      <c r="BT79" t="str">
        <f ca="1"/>
        <v>Harvest Season</v>
      </c>
    </row>
    <row r="80" spans="1:72" x14ac:dyDescent="0.25">
      <c r="A80" s="3" t="str">
        <f t="shared" ca="1" si="4"/>
        <v>2</v>
      </c>
      <c r="B80" s="3">
        <f t="shared" ca="1" si="5"/>
        <v>1</v>
      </c>
      <c r="C80" s="3" t="str">
        <f ca="1">IFERROR(
 INDEX($U$1:$AX$1,
  MATCH(TRUE,
   CHOOSE({1;2;3;4;5;6;7;8;9;10;11;12;13;14;15;16;17;18;19;20;21;22;23;24;25;26;27;28;29;30;31;32},
    COUNTIFS($U$2:$U$200,$G80)&gt;0,
    COUNTIFS($V$2:$V$200,$G80)&gt;0,
    COUNTIFS($W$2:$W$200,$G80)&gt;0,
    COUNTIFS($X$2:$X$200,$G80)&gt;0,
    COUNTIFS($Y$2:$Y$200,$G80)&gt;0,
    COUNTIFS($Z$2:$Z$200,$G80)&gt;0,
    COUNTIFS($AA$2:$AA$200,$G80)&gt;0,
    COUNTIFS($AB$2:$AB$200,$G80)&gt;0,
    COUNTIFS($AC$2:$AC$200,$G80)&gt;0,
    COUNTIFS($AD$2:$AD$200,$G80)&gt;0,
    COUNTIFS($AE$2:$AE$200,$G80)&gt;0,
    COUNTIFS($AF$2:$AF$200,$G80)&gt;0,
    COUNTIFS($AG$2:$AG$200,$G80)&gt;0,
    COUNTIFS($AH$2:$AH$200,$G80)&gt;0,
    COUNTIFS($AI$2:$AI$200,$G80)&gt;0,
    COUNTIFS($AJ$2:$AJ$200,$G80)&gt;0,
    COUNTIFS($AK$2:$AK$200,$G80)&gt;0,
    COUNTIFS($AL$2:$AL$200,$G80)&gt;0,
    COUNTIFS($AM$2:$AM$200,$G80)&gt;0,
    COUNTIFS($AN$2:$AN$200,$G80)&gt;0,
    COUNTIFS($AO$2:$AO$200,$G80)&gt;0,
    COUNTIFS($AP$2:$AP$200,$G80)&gt;0,
    COUNTIFS($AQ$2:$AQ$200,$G80)&gt;0,
    COUNTIFS($AR$2:$AR$200,$G80)&gt;0,
    COUNTIFS($AS$2:$AS$200,$G80)&gt;0,
    COUNTIFS($AT$2:$AT$200,$G80)&gt;0,
    COUNTIFS($AU$2:$AU$200,$G80)&gt;0,
    COUNTIFS($AV$2:$AV$200,$G80)&gt;0,
    COUNTIFS($AW$2:$AW$200,$G80)&gt;0,
    COUNTIFS($AX$2:$AX$200,$G80)&gt;0
   ),
  0)
 ),
"")</f>
        <v>Piratas</v>
      </c>
      <c r="D80" s="3" t="str" cm="1">
        <f t="array" aca="1" ref="D80" ca="1">IFERROR(
 INDEX(
  _xlfn._xlws.FILTER($U$1:$AX$1,
   TRANSPOSE(
    CHOOSE({1;2;3;4;5;6;7;8;9;10;11;12;13;14;15;16;17;18;19;20;21;22;23;24;25;26;27;28;29;30},
     COUNTIFS($U$2:$U$200,$G80)&gt;0,
     COUNTIFS($V$2:$V$200,$G80)&gt;0,
     COUNTIFS($W$2:$W$200,$G80)&gt;0,
     COUNTIFS($X$2:$X$200,$G80)&gt;0,
     COUNTIFS($Y$2:$Y$200,$G80)&gt;0,
     COUNTIFS($Z$2:$Z$200,$G80)&gt;0,
     COUNTIFS($AA$2:$AA$200,$G80)&gt;0,
     COUNTIFS($AB$2:$AB$200,$G80)&gt;0,
     COUNTIFS($AC$2:$AC$200,$G80)&gt;0,
     COUNTIFS($AD$2:$AD$200,$G80)&gt;0,
     COUNTIFS($AE$2:$AE$200,$G80)&gt;0,
     COUNTIFS($AF$2:$AF$200,$G80)&gt;0,
     COUNTIFS($AG$2:$AG$200,$G80)&gt;0,
     COUNTIFS($AH$2:$AH$200,$G80)&gt;0,
     COUNTIFS($AI$2:$AI$200,$G80)&gt;0,
     COUNTIFS($AJ$2:$AJ$200,$G80)&gt;0,
     COUNTIFS($AK$2:$AK$200,$G80)&gt;0,
     COUNTIFS($AL$2:$AL$200,$G80)&gt;0,
     COUNTIFS($AM$2:$AM$200,$G80)&gt;0,
     COUNTIFS($AN$2:$AN$200,$G80)&gt;0,
     COUNTIFS($AO$2:$AO$200,$G80)&gt;0,
     COUNTIFS($AP$2:$AP$200,$G80)&gt;0,
     COUNTIFS($AQ$2:$AQ$200,$G80)&gt;0,
     COUNTIFS($AR$2:$AR$200,$G80)&gt;0,
     COUNTIFS($AS$2:$AS$200,$G80)&gt;0,
     COUNTIFS($AT$2:$AT$200,$G80)&gt;0,
     COUNTIFS($AU$2:$AU$200,$G80)&gt;0,
     COUNTIFS($AV$2:$AV$200,$G80)&gt;0,
     COUNTIFS($AW$2:$AW$200,$G80)&gt;0,
     COUNTIFS($AX$2:$AX$200,$G80)&gt;0
   )),
  ),
  2
 ),
"")</f>
        <v/>
      </c>
      <c r="E80" s="3" t="str" cm="1">
        <f t="array" aca="1" ref="E80" ca="1">IFERROR(
 INDEX(
  _xlfn._xlws.FILTER($U$1:$AX$1,
   TRANSPOSE(
    CHOOSE({1;2;3;4;5;6;7;8;9;10;11;12;13;14;15;16;17;18;19;20;21;22;23;24;25;26;27;28;29;30},
     COUNTIFS($U$2:$U$200,$G80)&gt;0,
     COUNTIFS($V$2:$V$200,$G80)&gt;0,
     COUNTIFS($W$2:$W$200,$G80)&gt;0,
     COUNTIFS($X$2:$X$200,$G80)&gt;0,
     COUNTIFS($Y$2:$Y$200,$G80)&gt;0,
     COUNTIFS($Z$2:$Z$200,$G80)&gt;0,
     COUNTIFS($AA$2:$AA$200,$G80)&gt;0,
     COUNTIFS($AB$2:$AB$200,$G80)&gt;0,
     COUNTIFS($AC$2:$AC$200,$G80)&gt;0,
     COUNTIFS($AD$2:$AD$200,$G80)&gt;0,
     COUNTIFS($AE$2:$AE$200,$G80)&gt;0,
     COUNTIFS($AF$2:$AF$200,$G80)&gt;0,
     COUNTIFS($AG$2:$AG$200,$G80)&gt;0,
     COUNTIFS($AH$2:$AH$200,$G80)&gt;0,
     COUNTIFS($AI$2:$AI$200,$G80)&gt;0,
     COUNTIFS($AJ$2:$AJ$200,$G80)&gt;0,
     COUNTIFS($AK$2:$AK$200,$G80)&gt;0,
     COUNTIFS($AL$2:$AL$200,$G80)&gt;0,
     COUNTIFS($AM$2:$AM$200,$G80)&gt;0,
     COUNTIFS($AN$2:$AN$200,$G80)&gt;0,
     COUNTIFS($AO$2:$AO$200,$G80)&gt;0,
     COUNTIFS($AP$2:$AP$200,$G80)&gt;0,
     COUNTIFS($AQ$2:$AQ$200,$G80)&gt;0,
     COUNTIFS($AR$2:$AR$200,$G80)&gt;0,
     COUNTIFS($AS$2:$AS$200,$G80)&gt;0,
     COUNTIFS($AT$2:$AT$200,$G80)&gt;0,
     COUNTIFS($AU$2:$AU$200,$G80)&gt;0,
     COUNTIFS($AV$2:$AV$200,$G80)&gt;0,
     COUNTIFS($AW$2:$AW$200,$G80)&gt;0,
     COUNTIFS($AX$2:$AX$200,$G80)&gt;0
   )),
  ),
  3
 ),
"")</f>
        <v/>
      </c>
      <c r="F80" s="3" t="str" cm="1">
        <f t="array" aca="1" ref="F80" ca="1">IFERROR(
 INDEX(
  _xlfn._xlws.FILTER($U$1:$AX$1,
   TRANSPOSE(
    CHOOSE({1;2;3;4;5;6;7;8;9;10;11;12;13;14;15;16;17;18;19;20;21;22;23;24;25;26;27;28;29;30},
     COUNTIFS($U$2:$U$200,$G80)&gt;0,
     COUNTIFS($V$2:$V$200,$G80)&gt;0,
     COUNTIFS($W$2:$W$200,$G80)&gt;0,
     COUNTIFS($X$2:$X$200,$G80)&gt;0,
     COUNTIFS($Y$2:$Y$200,$G80)&gt;0,
     COUNTIFS($Z$2:$Z$200,$G80)&gt;0,
     COUNTIFS($AA$2:$AA$200,$G80)&gt;0,
     COUNTIFS($AB$2:$AB$200,$G80)&gt;0,
     COUNTIFS($AC$2:$AC$200,$G80)&gt;0,
     COUNTIFS($AD$2:$AD$200,$G80)&gt;0,
     COUNTIFS($AE$2:$AE$200,$G80)&gt;0,
     COUNTIFS($AF$2:$AF$200,$G80)&gt;0,
     COUNTIFS($AG$2:$AG$200,$G80)&gt;0,
     COUNTIFS($AH$2:$AH$200,$G80)&gt;0,
     COUNTIFS($AI$2:$AI$200,$G80)&gt;0,
     COUNTIFS($AJ$2:$AJ$200,$G80)&gt;0,
     COUNTIFS($AK$2:$AK$200,$G80)&gt;0,
     COUNTIFS($AL$2:$AL$200,$G80)&gt;0,
     COUNTIFS($AM$2:$AM$200,$G80)&gt;0,
     COUNTIFS($AN$2:$AN$200,$G80)&gt;0,
     COUNTIFS($AO$2:$AO$200,$G80)&gt;0,
     COUNTIFS($AP$2:$AP$200,$G80)&gt;0,
     COUNTIFS($AQ$2:$AQ$200,$G80)&gt;0,
     COUNTIFS($AR$2:$AR$200,$G80)&gt;0,
     COUNTIFS($AS$2:$AS$200,$G80)&gt;0,
     COUNTIFS($AT$2:$AT$200,$G80)&gt;0,
     COUNTIFS($AU$2:$AU$200,$G80)&gt;0,
     COUNTIFS($AV$2:$AV$200,$G80)&gt;0,
     COUNTIFS($AW$2:$AW$200,$G80)&gt;0,
     COUNTIFS($AX$2:$AX$200,$G80)&gt;0
   )),
  ),
  4
 ),
"")</f>
        <v/>
      </c>
      <c r="G80" t="str">
        <f ca="1"/>
        <v>Deadeye Tracker</v>
      </c>
      <c r="AX80" t="str">
        <v>Tannuk, Memorial Ensign</v>
      </c>
      <c r="BH80" t="str">
        <f ca="1"/>
        <v>Ulamog's Dreadsire</v>
      </c>
      <c r="BI80" t="str">
        <f ca="1"/>
        <v>Reckless Fireweaver</v>
      </c>
      <c r="BN80" t="str">
        <f ca="1"/>
        <v>Surgespanner</v>
      </c>
      <c r="BO80" t="str">
        <f ca="1"/>
        <v>Incubation Druid</v>
      </c>
      <c r="BQ80" t="str">
        <f ca="1"/>
        <v>Valfenda</v>
      </c>
      <c r="BR80" t="str">
        <f ca="1"/>
        <v>Merrow Commerce</v>
      </c>
      <c r="BT80" t="str">
        <f ca="1"/>
        <v>Havengul Laboratory</v>
      </c>
    </row>
    <row r="81" spans="1:72" x14ac:dyDescent="0.25">
      <c r="A81" s="3" t="str">
        <f t="shared" ca="1" si="4"/>
        <v>1</v>
      </c>
      <c r="B81" s="3">
        <f t="shared" ca="1" si="5"/>
        <v>1</v>
      </c>
      <c r="C81" s="3" t="str">
        <f ca="1">IFERROR(
 INDEX($U$1:$AX$1,
  MATCH(TRUE,
   CHOOSE({1;2;3;4;5;6;7;8;9;10;11;12;13;14;15;16;17;18;19;20;21;22;23;24;25;26;27;28;29;30;31;32},
    COUNTIFS($U$2:$U$200,$G81)&gt;0,
    COUNTIFS($V$2:$V$200,$G81)&gt;0,
    COUNTIFS($W$2:$W$200,$G81)&gt;0,
    COUNTIFS($X$2:$X$200,$G81)&gt;0,
    COUNTIFS($Y$2:$Y$200,$G81)&gt;0,
    COUNTIFS($Z$2:$Z$200,$G81)&gt;0,
    COUNTIFS($AA$2:$AA$200,$G81)&gt;0,
    COUNTIFS($AB$2:$AB$200,$G81)&gt;0,
    COUNTIFS($AC$2:$AC$200,$G81)&gt;0,
    COUNTIFS($AD$2:$AD$200,$G81)&gt;0,
    COUNTIFS($AE$2:$AE$200,$G81)&gt;0,
    COUNTIFS($AF$2:$AF$200,$G81)&gt;0,
    COUNTIFS($AG$2:$AG$200,$G81)&gt;0,
    COUNTIFS($AH$2:$AH$200,$G81)&gt;0,
    COUNTIFS($AI$2:$AI$200,$G81)&gt;0,
    COUNTIFS($AJ$2:$AJ$200,$G81)&gt;0,
    COUNTIFS($AK$2:$AK$200,$G81)&gt;0,
    COUNTIFS($AL$2:$AL$200,$G81)&gt;0,
    COUNTIFS($AM$2:$AM$200,$G81)&gt;0,
    COUNTIFS($AN$2:$AN$200,$G81)&gt;0,
    COUNTIFS($AO$2:$AO$200,$G81)&gt;0,
    COUNTIFS($AP$2:$AP$200,$G81)&gt;0,
    COUNTIFS($AQ$2:$AQ$200,$G81)&gt;0,
    COUNTIFS($AR$2:$AR$200,$G81)&gt;0,
    COUNTIFS($AS$2:$AS$200,$G81)&gt;0,
    COUNTIFS($AT$2:$AT$200,$G81)&gt;0,
    COUNTIFS($AU$2:$AU$200,$G81)&gt;0,
    COUNTIFS($AV$2:$AV$200,$G81)&gt;0,
    COUNTIFS($AW$2:$AW$200,$G81)&gt;0,
    COUNTIFS($AX$2:$AX$200,$G81)&gt;0
   ),
  0)
 ),
"")</f>
        <v>Tayam</v>
      </c>
      <c r="D81" s="3" t="str" cm="1">
        <f t="array" aca="1" ref="D81" ca="1">IFERROR(
 INDEX(
  _xlfn._xlws.FILTER($U$1:$AX$1,
   TRANSPOSE(
    CHOOSE({1;2;3;4;5;6;7;8;9;10;11;12;13;14;15;16;17;18;19;20;21;22;23;24;25;26;27;28;29;30},
     COUNTIFS($U$2:$U$200,$G81)&gt;0,
     COUNTIFS($V$2:$V$200,$G81)&gt;0,
     COUNTIFS($W$2:$W$200,$G81)&gt;0,
     COUNTIFS($X$2:$X$200,$G81)&gt;0,
     COUNTIFS($Y$2:$Y$200,$G81)&gt;0,
     COUNTIFS($Z$2:$Z$200,$G81)&gt;0,
     COUNTIFS($AA$2:$AA$200,$G81)&gt;0,
     COUNTIFS($AB$2:$AB$200,$G81)&gt;0,
     COUNTIFS($AC$2:$AC$200,$G81)&gt;0,
     COUNTIFS($AD$2:$AD$200,$G81)&gt;0,
     COUNTIFS($AE$2:$AE$200,$G81)&gt;0,
     COUNTIFS($AF$2:$AF$200,$G81)&gt;0,
     COUNTIFS($AG$2:$AG$200,$G81)&gt;0,
     COUNTIFS($AH$2:$AH$200,$G81)&gt;0,
     COUNTIFS($AI$2:$AI$200,$G81)&gt;0,
     COUNTIFS($AJ$2:$AJ$200,$G81)&gt;0,
     COUNTIFS($AK$2:$AK$200,$G81)&gt;0,
     COUNTIFS($AL$2:$AL$200,$G81)&gt;0,
     COUNTIFS($AM$2:$AM$200,$G81)&gt;0,
     COUNTIFS($AN$2:$AN$200,$G81)&gt;0,
     COUNTIFS($AO$2:$AO$200,$G81)&gt;0,
     COUNTIFS($AP$2:$AP$200,$G81)&gt;0,
     COUNTIFS($AQ$2:$AQ$200,$G81)&gt;0,
     COUNTIFS($AR$2:$AR$200,$G81)&gt;0,
     COUNTIFS($AS$2:$AS$200,$G81)&gt;0,
     COUNTIFS($AT$2:$AT$200,$G81)&gt;0,
     COUNTIFS($AU$2:$AU$200,$G81)&gt;0,
     COUNTIFS($AV$2:$AV$200,$G81)&gt;0,
     COUNTIFS($AW$2:$AW$200,$G81)&gt;0,
     COUNTIFS($AX$2:$AX$200,$G81)&gt;0
   )),
  ),
  2
 ),
"")</f>
        <v/>
      </c>
      <c r="E81" s="3" t="str" cm="1">
        <f t="array" aca="1" ref="E81" ca="1">IFERROR(
 INDEX(
  _xlfn._xlws.FILTER($U$1:$AX$1,
   TRANSPOSE(
    CHOOSE({1;2;3;4;5;6;7;8;9;10;11;12;13;14;15;16;17;18;19;20;21;22;23;24;25;26;27;28;29;30},
     COUNTIFS($U$2:$U$200,$G81)&gt;0,
     COUNTIFS($V$2:$V$200,$G81)&gt;0,
     COUNTIFS($W$2:$W$200,$G81)&gt;0,
     COUNTIFS($X$2:$X$200,$G81)&gt;0,
     COUNTIFS($Y$2:$Y$200,$G81)&gt;0,
     COUNTIFS($Z$2:$Z$200,$G81)&gt;0,
     COUNTIFS($AA$2:$AA$200,$G81)&gt;0,
     COUNTIFS($AB$2:$AB$200,$G81)&gt;0,
     COUNTIFS($AC$2:$AC$200,$G81)&gt;0,
     COUNTIFS($AD$2:$AD$200,$G81)&gt;0,
     COUNTIFS($AE$2:$AE$200,$G81)&gt;0,
     COUNTIFS($AF$2:$AF$200,$G81)&gt;0,
     COUNTIFS($AG$2:$AG$200,$G81)&gt;0,
     COUNTIFS($AH$2:$AH$200,$G81)&gt;0,
     COUNTIFS($AI$2:$AI$200,$G81)&gt;0,
     COUNTIFS($AJ$2:$AJ$200,$G81)&gt;0,
     COUNTIFS($AK$2:$AK$200,$G81)&gt;0,
     COUNTIFS($AL$2:$AL$200,$G81)&gt;0,
     COUNTIFS($AM$2:$AM$200,$G81)&gt;0,
     COUNTIFS($AN$2:$AN$200,$G81)&gt;0,
     COUNTIFS($AO$2:$AO$200,$G81)&gt;0,
     COUNTIFS($AP$2:$AP$200,$G81)&gt;0,
     COUNTIFS($AQ$2:$AQ$200,$G81)&gt;0,
     COUNTIFS($AR$2:$AR$200,$G81)&gt;0,
     COUNTIFS($AS$2:$AS$200,$G81)&gt;0,
     COUNTIFS($AT$2:$AT$200,$G81)&gt;0,
     COUNTIFS($AU$2:$AU$200,$G81)&gt;0,
     COUNTIFS($AV$2:$AV$200,$G81)&gt;0,
     COUNTIFS($AW$2:$AW$200,$G81)&gt;0,
     COUNTIFS($AX$2:$AX$200,$G81)&gt;0
   )),
  ),
  3
 ),
"")</f>
        <v/>
      </c>
      <c r="F81" s="3" t="str" cm="1">
        <f t="array" aca="1" ref="F81" ca="1">IFERROR(
 INDEX(
  _xlfn._xlws.FILTER($U$1:$AX$1,
   TRANSPOSE(
    CHOOSE({1;2;3;4;5;6;7;8;9;10;11;12;13;14;15;16;17;18;19;20;21;22;23;24;25;26;27;28;29;30},
     COUNTIFS($U$2:$U$200,$G81)&gt;0,
     COUNTIFS($V$2:$V$200,$G81)&gt;0,
     COUNTIFS($W$2:$W$200,$G81)&gt;0,
     COUNTIFS($X$2:$X$200,$G81)&gt;0,
     COUNTIFS($Y$2:$Y$200,$G81)&gt;0,
     COUNTIFS($Z$2:$Z$200,$G81)&gt;0,
     COUNTIFS($AA$2:$AA$200,$G81)&gt;0,
     COUNTIFS($AB$2:$AB$200,$G81)&gt;0,
     COUNTIFS($AC$2:$AC$200,$G81)&gt;0,
     COUNTIFS($AD$2:$AD$200,$G81)&gt;0,
     COUNTIFS($AE$2:$AE$200,$G81)&gt;0,
     COUNTIFS($AF$2:$AF$200,$G81)&gt;0,
     COUNTIFS($AG$2:$AG$200,$G81)&gt;0,
     COUNTIFS($AH$2:$AH$200,$G81)&gt;0,
     COUNTIFS($AI$2:$AI$200,$G81)&gt;0,
     COUNTIFS($AJ$2:$AJ$200,$G81)&gt;0,
     COUNTIFS($AK$2:$AK$200,$G81)&gt;0,
     COUNTIFS($AL$2:$AL$200,$G81)&gt;0,
     COUNTIFS($AM$2:$AM$200,$G81)&gt;0,
     COUNTIFS($AN$2:$AN$200,$G81)&gt;0,
     COUNTIFS($AO$2:$AO$200,$G81)&gt;0,
     COUNTIFS($AP$2:$AP$200,$G81)&gt;0,
     COUNTIFS($AQ$2:$AQ$200,$G81)&gt;0,
     COUNTIFS($AR$2:$AR$200,$G81)&gt;0,
     COUNTIFS($AS$2:$AS$200,$G81)&gt;0,
     COUNTIFS($AT$2:$AT$200,$G81)&gt;0,
     COUNTIFS($AU$2:$AU$200,$G81)&gt;0,
     COUNTIFS($AV$2:$AV$200,$G81)&gt;0,
     COUNTIFS($AW$2:$AW$200,$G81)&gt;0,
     COUNTIFS($AX$2:$AX$200,$G81)&gt;0
   )),
  ),
  4
 ),
"")</f>
        <v/>
      </c>
      <c r="G81" t="str">
        <f ca="1"/>
        <v>Deceptive Landscape</v>
      </c>
      <c r="AX81" t="str">
        <v>Terra Eternal</v>
      </c>
      <c r="BH81" t="str">
        <f ca="1"/>
        <v>Unbreakable Formation</v>
      </c>
      <c r="BI81" t="str">
        <f ca="1"/>
        <v>Reliquary Tower</v>
      </c>
      <c r="BN81" t="str">
        <f ca="1"/>
        <v>Susur Secundi, Void Altar</v>
      </c>
      <c r="BO81" t="str">
        <f ca="1"/>
        <v>Inkmoth Nexus</v>
      </c>
      <c r="BQ81" t="str">
        <f ca="1"/>
        <v>Vexing Puzzlebox</v>
      </c>
      <c r="BR81" t="str">
        <f ca="1"/>
        <v>Merrow Harbinger</v>
      </c>
      <c r="BT81" t="str">
        <f ca="1"/>
        <v>Hedge Shredder</v>
      </c>
    </row>
    <row r="82" spans="1:72" x14ac:dyDescent="0.25">
      <c r="A82" s="3" t="str">
        <f t="shared" ca="1" si="4"/>
        <v>2</v>
      </c>
      <c r="B82" s="3">
        <f t="shared" ca="1" si="5"/>
        <v>1</v>
      </c>
      <c r="C82" s="3" t="str">
        <f ca="1">IFERROR(
 INDEX($U$1:$AX$1,
  MATCH(TRUE,
   CHOOSE({1;2;3;4;5;6;7;8;9;10;11;12;13;14;15;16;17;18;19;20;21;22;23;24;25;26;27;28;29;30;31;32},
    COUNTIFS($U$2:$U$200,$G82)&gt;0,
    COUNTIFS($V$2:$V$200,$G82)&gt;0,
    COUNTIFS($W$2:$W$200,$G82)&gt;0,
    COUNTIFS($X$2:$X$200,$G82)&gt;0,
    COUNTIFS($Y$2:$Y$200,$G82)&gt;0,
    COUNTIFS($Z$2:$Z$200,$G82)&gt;0,
    COUNTIFS($AA$2:$AA$200,$G82)&gt;0,
    COUNTIFS($AB$2:$AB$200,$G82)&gt;0,
    COUNTIFS($AC$2:$AC$200,$G82)&gt;0,
    COUNTIFS($AD$2:$AD$200,$G82)&gt;0,
    COUNTIFS($AE$2:$AE$200,$G82)&gt;0,
    COUNTIFS($AF$2:$AF$200,$G82)&gt;0,
    COUNTIFS($AG$2:$AG$200,$G82)&gt;0,
    COUNTIFS($AH$2:$AH$200,$G82)&gt;0,
    COUNTIFS($AI$2:$AI$200,$G82)&gt;0,
    COUNTIFS($AJ$2:$AJ$200,$G82)&gt;0,
    COUNTIFS($AK$2:$AK$200,$G82)&gt;0,
    COUNTIFS($AL$2:$AL$200,$G82)&gt;0,
    COUNTIFS($AM$2:$AM$200,$G82)&gt;0,
    COUNTIFS($AN$2:$AN$200,$G82)&gt;0,
    COUNTIFS($AO$2:$AO$200,$G82)&gt;0,
    COUNTIFS($AP$2:$AP$200,$G82)&gt;0,
    COUNTIFS($AQ$2:$AQ$200,$G82)&gt;0,
    COUNTIFS($AR$2:$AR$200,$G82)&gt;0,
    COUNTIFS($AS$2:$AS$200,$G82)&gt;0,
    COUNTIFS($AT$2:$AT$200,$G82)&gt;0,
    COUNTIFS($AU$2:$AU$200,$G82)&gt;0,
    COUNTIFS($AV$2:$AV$200,$G82)&gt;0,
    COUNTIFS($AW$2:$AW$200,$G82)&gt;0,
    COUNTIFS($AX$2:$AX$200,$G82)&gt;0
   ),
  0)
 ),
"")</f>
        <v>Kumena</v>
      </c>
      <c r="D82" s="3" t="str" cm="1">
        <f t="array" aca="1" ref="D82" ca="1">IFERROR(
 INDEX(
  _xlfn._xlws.FILTER($U$1:$AX$1,
   TRANSPOSE(
    CHOOSE({1;2;3;4;5;6;7;8;9;10;11;12;13;14;15;16;17;18;19;20;21;22;23;24;25;26;27;28;29;30},
     COUNTIFS($U$2:$U$200,$G82)&gt;0,
     COUNTIFS($V$2:$V$200,$G82)&gt;0,
     COUNTIFS($W$2:$W$200,$G82)&gt;0,
     COUNTIFS($X$2:$X$200,$G82)&gt;0,
     COUNTIFS($Y$2:$Y$200,$G82)&gt;0,
     COUNTIFS($Z$2:$Z$200,$G82)&gt;0,
     COUNTIFS($AA$2:$AA$200,$G82)&gt;0,
     COUNTIFS($AB$2:$AB$200,$G82)&gt;0,
     COUNTIFS($AC$2:$AC$200,$G82)&gt;0,
     COUNTIFS($AD$2:$AD$200,$G82)&gt;0,
     COUNTIFS($AE$2:$AE$200,$G82)&gt;0,
     COUNTIFS($AF$2:$AF$200,$G82)&gt;0,
     COUNTIFS($AG$2:$AG$200,$G82)&gt;0,
     COUNTIFS($AH$2:$AH$200,$G82)&gt;0,
     COUNTIFS($AI$2:$AI$200,$G82)&gt;0,
     COUNTIFS($AJ$2:$AJ$200,$G82)&gt;0,
     COUNTIFS($AK$2:$AK$200,$G82)&gt;0,
     COUNTIFS($AL$2:$AL$200,$G82)&gt;0,
     COUNTIFS($AM$2:$AM$200,$G82)&gt;0,
     COUNTIFS($AN$2:$AN$200,$G82)&gt;0,
     COUNTIFS($AO$2:$AO$200,$G82)&gt;0,
     COUNTIFS($AP$2:$AP$200,$G82)&gt;0,
     COUNTIFS($AQ$2:$AQ$200,$G82)&gt;0,
     COUNTIFS($AR$2:$AR$200,$G82)&gt;0,
     COUNTIFS($AS$2:$AS$200,$G82)&gt;0,
     COUNTIFS($AT$2:$AT$200,$G82)&gt;0,
     COUNTIFS($AU$2:$AU$200,$G82)&gt;0,
     COUNTIFS($AV$2:$AV$200,$G82)&gt;0,
     COUNTIFS($AW$2:$AW$200,$G82)&gt;0,
     COUNTIFS($AX$2:$AX$200,$G82)&gt;0
   )),
  ),
  2
 ),
"")</f>
        <v/>
      </c>
      <c r="E82" s="3" t="str" cm="1">
        <f t="array" aca="1" ref="E82" ca="1">IFERROR(
 INDEX(
  _xlfn._xlws.FILTER($U$1:$AX$1,
   TRANSPOSE(
    CHOOSE({1;2;3;4;5;6;7;8;9;10;11;12;13;14;15;16;17;18;19;20;21;22;23;24;25;26;27;28;29;30},
     COUNTIFS($U$2:$U$200,$G82)&gt;0,
     COUNTIFS($V$2:$V$200,$G82)&gt;0,
     COUNTIFS($W$2:$W$200,$G82)&gt;0,
     COUNTIFS($X$2:$X$200,$G82)&gt;0,
     COUNTIFS($Y$2:$Y$200,$G82)&gt;0,
     COUNTIFS($Z$2:$Z$200,$G82)&gt;0,
     COUNTIFS($AA$2:$AA$200,$G82)&gt;0,
     COUNTIFS($AB$2:$AB$200,$G82)&gt;0,
     COUNTIFS($AC$2:$AC$200,$G82)&gt;0,
     COUNTIFS($AD$2:$AD$200,$G82)&gt;0,
     COUNTIFS($AE$2:$AE$200,$G82)&gt;0,
     COUNTIFS($AF$2:$AF$200,$G82)&gt;0,
     COUNTIFS($AG$2:$AG$200,$G82)&gt;0,
     COUNTIFS($AH$2:$AH$200,$G82)&gt;0,
     COUNTIFS($AI$2:$AI$200,$G82)&gt;0,
     COUNTIFS($AJ$2:$AJ$200,$G82)&gt;0,
     COUNTIFS($AK$2:$AK$200,$G82)&gt;0,
     COUNTIFS($AL$2:$AL$200,$G82)&gt;0,
     COUNTIFS($AM$2:$AM$200,$G82)&gt;0,
     COUNTIFS($AN$2:$AN$200,$G82)&gt;0,
     COUNTIFS($AO$2:$AO$200,$G82)&gt;0,
     COUNTIFS($AP$2:$AP$200,$G82)&gt;0,
     COUNTIFS($AQ$2:$AQ$200,$G82)&gt;0,
     COUNTIFS($AR$2:$AR$200,$G82)&gt;0,
     COUNTIFS($AS$2:$AS$200,$G82)&gt;0,
     COUNTIFS($AT$2:$AT$200,$G82)&gt;0,
     COUNTIFS($AU$2:$AU$200,$G82)&gt;0,
     COUNTIFS($AV$2:$AV$200,$G82)&gt;0,
     COUNTIFS($AW$2:$AW$200,$G82)&gt;0,
     COUNTIFS($AX$2:$AX$200,$G82)&gt;0
   )),
  ),
  3
 ),
"")</f>
        <v/>
      </c>
      <c r="F82" s="3" t="str" cm="1">
        <f t="array" aca="1" ref="F82" ca="1">IFERROR(
 INDEX(
  _xlfn._xlws.FILTER($U$1:$AX$1,
   TRANSPOSE(
    CHOOSE({1;2;3;4;5;6;7;8;9;10;11;12;13;14;15;16;17;18;19;20;21;22;23;24;25;26;27;28;29;30},
     COUNTIFS($U$2:$U$200,$G82)&gt;0,
     COUNTIFS($V$2:$V$200,$G82)&gt;0,
     COUNTIFS($W$2:$W$200,$G82)&gt;0,
     COUNTIFS($X$2:$X$200,$G82)&gt;0,
     COUNTIFS($Y$2:$Y$200,$G82)&gt;0,
     COUNTIFS($Z$2:$Z$200,$G82)&gt;0,
     COUNTIFS($AA$2:$AA$200,$G82)&gt;0,
     COUNTIFS($AB$2:$AB$200,$G82)&gt;0,
     COUNTIFS($AC$2:$AC$200,$G82)&gt;0,
     COUNTIFS($AD$2:$AD$200,$G82)&gt;0,
     COUNTIFS($AE$2:$AE$200,$G82)&gt;0,
     COUNTIFS($AF$2:$AF$200,$G82)&gt;0,
     COUNTIFS($AG$2:$AG$200,$G82)&gt;0,
     COUNTIFS($AH$2:$AH$200,$G82)&gt;0,
     COUNTIFS($AI$2:$AI$200,$G82)&gt;0,
     COUNTIFS($AJ$2:$AJ$200,$G82)&gt;0,
     COUNTIFS($AK$2:$AK$200,$G82)&gt;0,
     COUNTIFS($AL$2:$AL$200,$G82)&gt;0,
     COUNTIFS($AM$2:$AM$200,$G82)&gt;0,
     COUNTIFS($AN$2:$AN$200,$G82)&gt;0,
     COUNTIFS($AO$2:$AO$200,$G82)&gt;0,
     COUNTIFS($AP$2:$AP$200,$G82)&gt;0,
     COUNTIFS($AQ$2:$AQ$200,$G82)&gt;0,
     COUNTIFS($AR$2:$AR$200,$G82)&gt;0,
     COUNTIFS($AS$2:$AS$200,$G82)&gt;0,
     COUNTIFS($AT$2:$AT$200,$G82)&gt;0,
     COUNTIFS($AU$2:$AU$200,$G82)&gt;0,
     COUNTIFS($AV$2:$AV$200,$G82)&gt;0,
     COUNTIFS($AW$2:$AW$200,$G82)&gt;0,
     COUNTIFS($AX$2:$AX$200,$G82)&gt;0
   )),
  ),
  4
 ),
"")</f>
        <v/>
      </c>
      <c r="G82" t="str">
        <f ca="1"/>
        <v>Deeproot Historian</v>
      </c>
      <c r="AX82" t="str">
        <v>Terrasymbiosis</v>
      </c>
      <c r="BH82" t="str">
        <f ca="1"/>
        <v>Valfenda</v>
      </c>
      <c r="BI82" t="str">
        <f ca="1"/>
        <v>Rogue's Passage</v>
      </c>
      <c r="BN82" t="str">
        <f ca="1"/>
        <v>Teferi's Ageless Insight</v>
      </c>
      <c r="BO82" t="str">
        <f ca="1"/>
        <v>Jacked Rabbit</v>
      </c>
      <c r="BQ82" t="str">
        <f ca="1"/>
        <v>Vontade Dominadora</v>
      </c>
      <c r="BR82" t="str">
        <f ca="1"/>
        <v>Mistbind Clique</v>
      </c>
      <c r="BT82" t="str">
        <f ca="1"/>
        <v>Herald of Secret Streams</v>
      </c>
    </row>
    <row r="83" spans="1:72" x14ac:dyDescent="0.25">
      <c r="A83" s="3" t="str">
        <f t="shared" ca="1" si="4"/>
        <v>3</v>
      </c>
      <c r="B83" s="3">
        <f t="shared" ca="1" si="5"/>
        <v>1</v>
      </c>
      <c r="C83" s="3" t="str">
        <f ca="1">IFERROR(
 INDEX($U$1:$AX$1,
  MATCH(TRUE,
   CHOOSE({1;2;3;4;5;6;7;8;9;10;11;12;13;14;15;16;17;18;19;20;21;22;23;24;25;26;27;28;29;30;31;32},
    COUNTIFS($U$2:$U$200,$G83)&gt;0,
    COUNTIFS($V$2:$V$200,$G83)&gt;0,
    COUNTIFS($W$2:$W$200,$G83)&gt;0,
    COUNTIFS($X$2:$X$200,$G83)&gt;0,
    COUNTIFS($Y$2:$Y$200,$G83)&gt;0,
    COUNTIFS($Z$2:$Z$200,$G83)&gt;0,
    COUNTIFS($AA$2:$AA$200,$G83)&gt;0,
    COUNTIFS($AB$2:$AB$200,$G83)&gt;0,
    COUNTIFS($AC$2:$AC$200,$G83)&gt;0,
    COUNTIFS($AD$2:$AD$200,$G83)&gt;0,
    COUNTIFS($AE$2:$AE$200,$G83)&gt;0,
    COUNTIFS($AF$2:$AF$200,$G83)&gt;0,
    COUNTIFS($AG$2:$AG$200,$G83)&gt;0,
    COUNTIFS($AH$2:$AH$200,$G83)&gt;0,
    COUNTIFS($AI$2:$AI$200,$G83)&gt;0,
    COUNTIFS($AJ$2:$AJ$200,$G83)&gt;0,
    COUNTIFS($AK$2:$AK$200,$G83)&gt;0,
    COUNTIFS($AL$2:$AL$200,$G83)&gt;0,
    COUNTIFS($AM$2:$AM$200,$G83)&gt;0,
    COUNTIFS($AN$2:$AN$200,$G83)&gt;0,
    COUNTIFS($AO$2:$AO$200,$G83)&gt;0,
    COUNTIFS($AP$2:$AP$200,$G83)&gt;0,
    COUNTIFS($AQ$2:$AQ$200,$G83)&gt;0,
    COUNTIFS($AR$2:$AR$200,$G83)&gt;0,
    COUNTIFS($AS$2:$AS$200,$G83)&gt;0,
    COUNTIFS($AT$2:$AT$200,$G83)&gt;0,
    COUNTIFS($AU$2:$AU$200,$G83)&gt;0,
    COUNTIFS($AV$2:$AV$200,$G83)&gt;0,
    COUNTIFS($AW$2:$AW$200,$G83)&gt;0,
    COUNTIFS($AX$2:$AX$200,$G83)&gt;0
   ),
  0)
 ),
"")</f>
        <v>Gritrog</v>
      </c>
      <c r="D83" s="3" t="str" cm="1">
        <f t="array" aca="1" ref="D83" ca="1">IFERROR(
 INDEX(
  _xlfn._xlws.FILTER($U$1:$AX$1,
   TRANSPOSE(
    CHOOSE({1;2;3;4;5;6;7;8;9;10;11;12;13;14;15;16;17;18;19;20;21;22;23;24;25;26;27;28;29;30},
     COUNTIFS($U$2:$U$200,$G83)&gt;0,
     COUNTIFS($V$2:$V$200,$G83)&gt;0,
     COUNTIFS($W$2:$W$200,$G83)&gt;0,
     COUNTIFS($X$2:$X$200,$G83)&gt;0,
     COUNTIFS($Y$2:$Y$200,$G83)&gt;0,
     COUNTIFS($Z$2:$Z$200,$G83)&gt;0,
     COUNTIFS($AA$2:$AA$200,$G83)&gt;0,
     COUNTIFS($AB$2:$AB$200,$G83)&gt;0,
     COUNTIFS($AC$2:$AC$200,$G83)&gt;0,
     COUNTIFS($AD$2:$AD$200,$G83)&gt;0,
     COUNTIFS($AE$2:$AE$200,$G83)&gt;0,
     COUNTIFS($AF$2:$AF$200,$G83)&gt;0,
     COUNTIFS($AG$2:$AG$200,$G83)&gt;0,
     COUNTIFS($AH$2:$AH$200,$G83)&gt;0,
     COUNTIFS($AI$2:$AI$200,$G83)&gt;0,
     COUNTIFS($AJ$2:$AJ$200,$G83)&gt;0,
     COUNTIFS($AK$2:$AK$200,$G83)&gt;0,
     COUNTIFS($AL$2:$AL$200,$G83)&gt;0,
     COUNTIFS($AM$2:$AM$200,$G83)&gt;0,
     COUNTIFS($AN$2:$AN$200,$G83)&gt;0,
     COUNTIFS($AO$2:$AO$200,$G83)&gt;0,
     COUNTIFS($AP$2:$AP$200,$G83)&gt;0,
     COUNTIFS($AQ$2:$AQ$200,$G83)&gt;0,
     COUNTIFS($AR$2:$AR$200,$G83)&gt;0,
     COUNTIFS($AS$2:$AS$200,$G83)&gt;0,
     COUNTIFS($AT$2:$AT$200,$G83)&gt;0,
     COUNTIFS($AU$2:$AU$200,$G83)&gt;0,
     COUNTIFS($AV$2:$AV$200,$G83)&gt;0,
     COUNTIFS($AW$2:$AW$200,$G83)&gt;0,
     COUNTIFS($AX$2:$AX$200,$G83)&gt;0
   )),
  ),
  2
 ),
"")</f>
        <v/>
      </c>
      <c r="E83" s="3" t="str" cm="1">
        <f t="array" aca="1" ref="E83" ca="1">IFERROR(
 INDEX(
  _xlfn._xlws.FILTER($U$1:$AX$1,
   TRANSPOSE(
    CHOOSE({1;2;3;4;5;6;7;8;9;10;11;12;13;14;15;16;17;18;19;20;21;22;23;24;25;26;27;28;29;30},
     COUNTIFS($U$2:$U$200,$G83)&gt;0,
     COUNTIFS($V$2:$V$200,$G83)&gt;0,
     COUNTIFS($W$2:$W$200,$G83)&gt;0,
     COUNTIFS($X$2:$X$200,$G83)&gt;0,
     COUNTIFS($Y$2:$Y$200,$G83)&gt;0,
     COUNTIFS($Z$2:$Z$200,$G83)&gt;0,
     COUNTIFS($AA$2:$AA$200,$G83)&gt;0,
     COUNTIFS($AB$2:$AB$200,$G83)&gt;0,
     COUNTIFS($AC$2:$AC$200,$G83)&gt;0,
     COUNTIFS($AD$2:$AD$200,$G83)&gt;0,
     COUNTIFS($AE$2:$AE$200,$G83)&gt;0,
     COUNTIFS($AF$2:$AF$200,$G83)&gt;0,
     COUNTIFS($AG$2:$AG$200,$G83)&gt;0,
     COUNTIFS($AH$2:$AH$200,$G83)&gt;0,
     COUNTIFS($AI$2:$AI$200,$G83)&gt;0,
     COUNTIFS($AJ$2:$AJ$200,$G83)&gt;0,
     COUNTIFS($AK$2:$AK$200,$G83)&gt;0,
     COUNTIFS($AL$2:$AL$200,$G83)&gt;0,
     COUNTIFS($AM$2:$AM$200,$G83)&gt;0,
     COUNTIFS($AN$2:$AN$200,$G83)&gt;0,
     COUNTIFS($AO$2:$AO$200,$G83)&gt;0,
     COUNTIFS($AP$2:$AP$200,$G83)&gt;0,
     COUNTIFS($AQ$2:$AQ$200,$G83)&gt;0,
     COUNTIFS($AR$2:$AR$200,$G83)&gt;0,
     COUNTIFS($AS$2:$AS$200,$G83)&gt;0,
     COUNTIFS($AT$2:$AT$200,$G83)&gt;0,
     COUNTIFS($AU$2:$AU$200,$G83)&gt;0,
     COUNTIFS($AV$2:$AV$200,$G83)&gt;0,
     COUNTIFS($AW$2:$AW$200,$G83)&gt;0,
     COUNTIFS($AX$2:$AX$200,$G83)&gt;0
   )),
  ),
  3
 ),
"")</f>
        <v/>
      </c>
      <c r="F83" s="3" t="str" cm="1">
        <f t="array" aca="1" ref="F83" ca="1">IFERROR(
 INDEX(
  _xlfn._xlws.FILTER($U$1:$AX$1,
   TRANSPOSE(
    CHOOSE({1;2;3;4;5;6;7;8;9;10;11;12;13;14;15;16;17;18;19;20;21;22;23;24;25;26;27;28;29;30},
     COUNTIFS($U$2:$U$200,$G83)&gt;0,
     COUNTIFS($V$2:$V$200,$G83)&gt;0,
     COUNTIFS($W$2:$W$200,$G83)&gt;0,
     COUNTIFS($X$2:$X$200,$G83)&gt;0,
     COUNTIFS($Y$2:$Y$200,$G83)&gt;0,
     COUNTIFS($Z$2:$Z$200,$G83)&gt;0,
     COUNTIFS($AA$2:$AA$200,$G83)&gt;0,
     COUNTIFS($AB$2:$AB$200,$G83)&gt;0,
     COUNTIFS($AC$2:$AC$200,$G83)&gt;0,
     COUNTIFS($AD$2:$AD$200,$G83)&gt;0,
     COUNTIFS($AE$2:$AE$200,$G83)&gt;0,
     COUNTIFS($AF$2:$AF$200,$G83)&gt;0,
     COUNTIFS($AG$2:$AG$200,$G83)&gt;0,
     COUNTIFS($AH$2:$AH$200,$G83)&gt;0,
     COUNTIFS($AI$2:$AI$200,$G83)&gt;0,
     COUNTIFS($AJ$2:$AJ$200,$G83)&gt;0,
     COUNTIFS($AK$2:$AK$200,$G83)&gt;0,
     COUNTIFS($AL$2:$AL$200,$G83)&gt;0,
     COUNTIFS($AM$2:$AM$200,$G83)&gt;0,
     COUNTIFS($AN$2:$AN$200,$G83)&gt;0,
     COUNTIFS($AO$2:$AO$200,$G83)&gt;0,
     COUNTIFS($AP$2:$AP$200,$G83)&gt;0,
     COUNTIFS($AQ$2:$AQ$200,$G83)&gt;0,
     COUNTIFS($AR$2:$AR$200,$G83)&gt;0,
     COUNTIFS($AS$2:$AS$200,$G83)&gt;0,
     COUNTIFS($AT$2:$AT$200,$G83)&gt;0,
     COUNTIFS($AU$2:$AU$200,$G83)&gt;0,
     COUNTIFS($AV$2:$AV$200,$G83)&gt;0,
     COUNTIFS($AW$2:$AW$200,$G83)&gt;0,
     COUNTIFS($AX$2:$AX$200,$G83)&gt;0
   )),
  ),
  4
 ),
"")</f>
        <v/>
      </c>
      <c r="G83" t="str">
        <f ca="1"/>
        <v>Delighted Halfling</v>
      </c>
      <c r="AX83" t="str">
        <v>The Great Henge</v>
      </c>
      <c r="BH83" t="str">
        <f ca="1"/>
        <v>Virtue of Loyalty // Ardenvale Fealty</v>
      </c>
      <c r="BI83" t="str">
        <f ca="1"/>
        <v>Rustvale Bridge</v>
      </c>
      <c r="BN83" t="str">
        <f ca="1"/>
        <v>The Water Crystal</v>
      </c>
      <c r="BO83" t="str">
        <f ca="1"/>
        <v>Jetmir, Nexus of Revels</v>
      </c>
      <c r="BQ83" t="str">
        <f ca="1"/>
        <v>Watery Grave</v>
      </c>
      <c r="BR83" t="str">
        <f ca="1"/>
        <v>Misty Rainforest</v>
      </c>
      <c r="BT83" t="str">
        <f ca="1"/>
        <v>Hierofante de Elenda</v>
      </c>
    </row>
    <row r="84" spans="1:72" x14ac:dyDescent="0.25">
      <c r="A84" s="3" t="str">
        <f t="shared" ca="1" si="4"/>
        <v>1</v>
      </c>
      <c r="B84" s="3">
        <f t="shared" ca="1" si="5"/>
        <v>1</v>
      </c>
      <c r="C84" s="3" t="str">
        <f ca="1">IFERROR(
 INDEX($U$1:$AX$1,
  MATCH(TRUE,
   CHOOSE({1;2;3;4;5;6;7;8;9;10;11;12;13;14;15;16;17;18;19;20;21;22;23;24;25;26;27;28;29;30;31;32},
    COUNTIFS($U$2:$U$200,$G84)&gt;0,
    COUNTIFS($V$2:$V$200,$G84)&gt;0,
    COUNTIFS($W$2:$W$200,$G84)&gt;0,
    COUNTIFS($X$2:$X$200,$G84)&gt;0,
    COUNTIFS($Y$2:$Y$200,$G84)&gt;0,
    COUNTIFS($Z$2:$Z$200,$G84)&gt;0,
    COUNTIFS($AA$2:$AA$200,$G84)&gt;0,
    COUNTIFS($AB$2:$AB$200,$G84)&gt;0,
    COUNTIFS($AC$2:$AC$200,$G84)&gt;0,
    COUNTIFS($AD$2:$AD$200,$G84)&gt;0,
    COUNTIFS($AE$2:$AE$200,$G84)&gt;0,
    COUNTIFS($AF$2:$AF$200,$G84)&gt;0,
    COUNTIFS($AG$2:$AG$200,$G84)&gt;0,
    COUNTIFS($AH$2:$AH$200,$G84)&gt;0,
    COUNTIFS($AI$2:$AI$200,$G84)&gt;0,
    COUNTIFS($AJ$2:$AJ$200,$G84)&gt;0,
    COUNTIFS($AK$2:$AK$200,$G84)&gt;0,
    COUNTIFS($AL$2:$AL$200,$G84)&gt;0,
    COUNTIFS($AM$2:$AM$200,$G84)&gt;0,
    COUNTIFS($AN$2:$AN$200,$G84)&gt;0,
    COUNTIFS($AO$2:$AO$200,$G84)&gt;0,
    COUNTIFS($AP$2:$AP$200,$G84)&gt;0,
    COUNTIFS($AQ$2:$AQ$200,$G84)&gt;0,
    COUNTIFS($AR$2:$AR$200,$G84)&gt;0,
    COUNTIFS($AS$2:$AS$200,$G84)&gt;0,
    COUNTIFS($AT$2:$AT$200,$G84)&gt;0,
    COUNTIFS($AU$2:$AU$200,$G84)&gt;0,
    COUNTIFS($AV$2:$AV$200,$G84)&gt;0,
    COUNTIFS($AW$2:$AW$200,$G84)&gt;0,
    COUNTIFS($AX$2:$AX$200,$G84)&gt;0
   ),
  0)
 ),
"")</f>
        <v>Tayam</v>
      </c>
      <c r="D84" s="3" t="str" cm="1">
        <f t="array" aca="1" ref="D84" ca="1">IFERROR(
 INDEX(
  _xlfn._xlws.FILTER($U$1:$AX$1,
   TRANSPOSE(
    CHOOSE({1;2;3;4;5;6;7;8;9;10;11;12;13;14;15;16;17;18;19;20;21;22;23;24;25;26;27;28;29;30},
     COUNTIFS($U$2:$U$200,$G84)&gt;0,
     COUNTIFS($V$2:$V$200,$G84)&gt;0,
     COUNTIFS($W$2:$W$200,$G84)&gt;0,
     COUNTIFS($X$2:$X$200,$G84)&gt;0,
     COUNTIFS($Y$2:$Y$200,$G84)&gt;0,
     COUNTIFS($Z$2:$Z$200,$G84)&gt;0,
     COUNTIFS($AA$2:$AA$200,$G84)&gt;0,
     COUNTIFS($AB$2:$AB$200,$G84)&gt;0,
     COUNTIFS($AC$2:$AC$200,$G84)&gt;0,
     COUNTIFS($AD$2:$AD$200,$G84)&gt;0,
     COUNTIFS($AE$2:$AE$200,$G84)&gt;0,
     COUNTIFS($AF$2:$AF$200,$G84)&gt;0,
     COUNTIFS($AG$2:$AG$200,$G84)&gt;0,
     COUNTIFS($AH$2:$AH$200,$G84)&gt;0,
     COUNTIFS($AI$2:$AI$200,$G84)&gt;0,
     COUNTIFS($AJ$2:$AJ$200,$G84)&gt;0,
     COUNTIFS($AK$2:$AK$200,$G84)&gt;0,
     COUNTIFS($AL$2:$AL$200,$G84)&gt;0,
     COUNTIFS($AM$2:$AM$200,$G84)&gt;0,
     COUNTIFS($AN$2:$AN$200,$G84)&gt;0,
     COUNTIFS($AO$2:$AO$200,$G84)&gt;0,
     COUNTIFS($AP$2:$AP$200,$G84)&gt;0,
     COUNTIFS($AQ$2:$AQ$200,$G84)&gt;0,
     COUNTIFS($AR$2:$AR$200,$G84)&gt;0,
     COUNTIFS($AS$2:$AS$200,$G84)&gt;0,
     COUNTIFS($AT$2:$AT$200,$G84)&gt;0,
     COUNTIFS($AU$2:$AU$200,$G84)&gt;0,
     COUNTIFS($AV$2:$AV$200,$G84)&gt;0,
     COUNTIFS($AW$2:$AW$200,$G84)&gt;0,
     COUNTIFS($AX$2:$AX$200,$G84)&gt;0
   )),
  ),
  2
 ),
"")</f>
        <v/>
      </c>
      <c r="E84" s="3" t="str" cm="1">
        <f t="array" aca="1" ref="E84" ca="1">IFERROR(
 INDEX(
  _xlfn._xlws.FILTER($U$1:$AX$1,
   TRANSPOSE(
    CHOOSE({1;2;3;4;5;6;7;8;9;10;11;12;13;14;15;16;17;18;19;20;21;22;23;24;25;26;27;28;29;30},
     COUNTIFS($U$2:$U$200,$G84)&gt;0,
     COUNTIFS($V$2:$V$200,$G84)&gt;0,
     COUNTIFS($W$2:$W$200,$G84)&gt;0,
     COUNTIFS($X$2:$X$200,$G84)&gt;0,
     COUNTIFS($Y$2:$Y$200,$G84)&gt;0,
     COUNTIFS($Z$2:$Z$200,$G84)&gt;0,
     COUNTIFS($AA$2:$AA$200,$G84)&gt;0,
     COUNTIFS($AB$2:$AB$200,$G84)&gt;0,
     COUNTIFS($AC$2:$AC$200,$G84)&gt;0,
     COUNTIFS($AD$2:$AD$200,$G84)&gt;0,
     COUNTIFS($AE$2:$AE$200,$G84)&gt;0,
     COUNTIFS($AF$2:$AF$200,$G84)&gt;0,
     COUNTIFS($AG$2:$AG$200,$G84)&gt;0,
     COUNTIFS($AH$2:$AH$200,$G84)&gt;0,
     COUNTIFS($AI$2:$AI$200,$G84)&gt;0,
     COUNTIFS($AJ$2:$AJ$200,$G84)&gt;0,
     COUNTIFS($AK$2:$AK$200,$G84)&gt;0,
     COUNTIFS($AL$2:$AL$200,$G84)&gt;0,
     COUNTIFS($AM$2:$AM$200,$G84)&gt;0,
     COUNTIFS($AN$2:$AN$200,$G84)&gt;0,
     COUNTIFS($AO$2:$AO$200,$G84)&gt;0,
     COUNTIFS($AP$2:$AP$200,$G84)&gt;0,
     COUNTIFS($AQ$2:$AQ$200,$G84)&gt;0,
     COUNTIFS($AR$2:$AR$200,$G84)&gt;0,
     COUNTIFS($AS$2:$AS$200,$G84)&gt;0,
     COUNTIFS($AT$2:$AT$200,$G84)&gt;0,
     COUNTIFS($AU$2:$AU$200,$G84)&gt;0,
     COUNTIFS($AV$2:$AV$200,$G84)&gt;0,
     COUNTIFS($AW$2:$AW$200,$G84)&gt;0,
     COUNTIFS($AX$2:$AX$200,$G84)&gt;0
   )),
  ),
  3
 ),
"")</f>
        <v/>
      </c>
      <c r="F84" s="3" t="str" cm="1">
        <f t="array" aca="1" ref="F84" ca="1">IFERROR(
 INDEX(
  _xlfn._xlws.FILTER($U$1:$AX$1,
   TRANSPOSE(
    CHOOSE({1;2;3;4;5;6;7;8;9;10;11;12;13;14;15;16;17;18;19;20;21;22;23;24;25;26;27;28;29;30},
     COUNTIFS($U$2:$U$200,$G84)&gt;0,
     COUNTIFS($V$2:$V$200,$G84)&gt;0,
     COUNTIFS($W$2:$W$200,$G84)&gt;0,
     COUNTIFS($X$2:$X$200,$G84)&gt;0,
     COUNTIFS($Y$2:$Y$200,$G84)&gt;0,
     COUNTIFS($Z$2:$Z$200,$G84)&gt;0,
     COUNTIFS($AA$2:$AA$200,$G84)&gt;0,
     COUNTIFS($AB$2:$AB$200,$G84)&gt;0,
     COUNTIFS($AC$2:$AC$200,$G84)&gt;0,
     COUNTIFS($AD$2:$AD$200,$G84)&gt;0,
     COUNTIFS($AE$2:$AE$200,$G84)&gt;0,
     COUNTIFS($AF$2:$AF$200,$G84)&gt;0,
     COUNTIFS($AG$2:$AG$200,$G84)&gt;0,
     COUNTIFS($AH$2:$AH$200,$G84)&gt;0,
     COUNTIFS($AI$2:$AI$200,$G84)&gt;0,
     COUNTIFS($AJ$2:$AJ$200,$G84)&gt;0,
     COUNTIFS($AK$2:$AK$200,$G84)&gt;0,
     COUNTIFS($AL$2:$AL$200,$G84)&gt;0,
     COUNTIFS($AM$2:$AM$200,$G84)&gt;0,
     COUNTIFS($AN$2:$AN$200,$G84)&gt;0,
     COUNTIFS($AO$2:$AO$200,$G84)&gt;0,
     COUNTIFS($AP$2:$AP$200,$G84)&gt;0,
     COUNTIFS($AQ$2:$AQ$200,$G84)&gt;0,
     COUNTIFS($AR$2:$AR$200,$G84)&gt;0,
     COUNTIFS($AS$2:$AS$200,$G84)&gt;0,
     COUNTIFS($AT$2:$AT$200,$G84)&gt;0,
     COUNTIFS($AU$2:$AU$200,$G84)&gt;0,
     COUNTIFS($AV$2:$AV$200,$G84)&gt;0,
     COUNTIFS($AW$2:$AW$200,$G84)&gt;0,
     COUNTIFS($AX$2:$AX$200,$G84)&gt;0
   )),
  ),
  4
 ),
"")</f>
        <v/>
      </c>
      <c r="G84" t="str">
        <f ca="1"/>
        <v>Dever Além da Morte</v>
      </c>
      <c r="AX84" t="str">
        <v>The Jolly Balloon Man</v>
      </c>
      <c r="BH84" t="str">
        <f ca="1"/>
        <v>Warden of the Grove</v>
      </c>
      <c r="BI84" t="str">
        <f ca="1"/>
        <v>Sacred Ground</v>
      </c>
      <c r="BN84" t="str">
        <f ca="1"/>
        <v>Thought Vessel</v>
      </c>
      <c r="BO84" t="str">
        <f ca="1"/>
        <v>Karn's Bastion</v>
      </c>
      <c r="BQ84" t="str">
        <f ca="1"/>
        <v>Westvale Abbey</v>
      </c>
      <c r="BR84" t="str">
        <f ca="1"/>
        <v>Molten Echoes</v>
      </c>
      <c r="BT84" t="str">
        <f ca="1"/>
        <v>High-Society Hunter</v>
      </c>
    </row>
    <row r="85" spans="1:72" x14ac:dyDescent="0.25">
      <c r="A85" s="3" t="str">
        <f t="shared" ca="1" si="4"/>
        <v>1</v>
      </c>
      <c r="B85" s="3">
        <f t="shared" ca="1" si="5"/>
        <v>1</v>
      </c>
      <c r="C85" s="3" t="str">
        <f ca="1">IFERROR(
 INDEX($U$1:$AX$1,
  MATCH(TRUE,
   CHOOSE({1;2;3;4;5;6;7;8;9;10;11;12;13;14;15;16;17;18;19;20;21;22;23;24;25;26;27;28;29;30;31;32},
    COUNTIFS($U$2:$U$200,$G85)&gt;0,
    COUNTIFS($V$2:$V$200,$G85)&gt;0,
    COUNTIFS($W$2:$W$200,$G85)&gt;0,
    COUNTIFS($X$2:$X$200,$G85)&gt;0,
    COUNTIFS($Y$2:$Y$200,$G85)&gt;0,
    COUNTIFS($Z$2:$Z$200,$G85)&gt;0,
    COUNTIFS($AA$2:$AA$200,$G85)&gt;0,
    COUNTIFS($AB$2:$AB$200,$G85)&gt;0,
    COUNTIFS($AC$2:$AC$200,$G85)&gt;0,
    COUNTIFS($AD$2:$AD$200,$G85)&gt;0,
    COUNTIFS($AE$2:$AE$200,$G85)&gt;0,
    COUNTIFS($AF$2:$AF$200,$G85)&gt;0,
    COUNTIFS($AG$2:$AG$200,$G85)&gt;0,
    COUNTIFS($AH$2:$AH$200,$G85)&gt;0,
    COUNTIFS($AI$2:$AI$200,$G85)&gt;0,
    COUNTIFS($AJ$2:$AJ$200,$G85)&gt;0,
    COUNTIFS($AK$2:$AK$200,$G85)&gt;0,
    COUNTIFS($AL$2:$AL$200,$G85)&gt;0,
    COUNTIFS($AM$2:$AM$200,$G85)&gt;0,
    COUNTIFS($AN$2:$AN$200,$G85)&gt;0,
    COUNTIFS($AO$2:$AO$200,$G85)&gt;0,
    COUNTIFS($AP$2:$AP$200,$G85)&gt;0,
    COUNTIFS($AQ$2:$AQ$200,$G85)&gt;0,
    COUNTIFS($AR$2:$AR$200,$G85)&gt;0,
    COUNTIFS($AS$2:$AS$200,$G85)&gt;0,
    COUNTIFS($AT$2:$AT$200,$G85)&gt;0,
    COUNTIFS($AU$2:$AU$200,$G85)&gt;0,
    COUNTIFS($AV$2:$AV$200,$G85)&gt;0,
    COUNTIFS($AW$2:$AW$200,$G85)&gt;0,
    COUNTIFS($AX$2:$AX$200,$G85)&gt;0
   ),
  0)
 ),
"")</f>
        <v>Tayam</v>
      </c>
      <c r="D85" s="3" t="str" cm="1">
        <f t="array" aca="1" ref="D85" ca="1">IFERROR(
 INDEX(
  _xlfn._xlws.FILTER($U$1:$AX$1,
   TRANSPOSE(
    CHOOSE({1;2;3;4;5;6;7;8;9;10;11;12;13;14;15;16;17;18;19;20;21;22;23;24;25;26;27;28;29;30},
     COUNTIFS($U$2:$U$200,$G85)&gt;0,
     COUNTIFS($V$2:$V$200,$G85)&gt;0,
     COUNTIFS($W$2:$W$200,$G85)&gt;0,
     COUNTIFS($X$2:$X$200,$G85)&gt;0,
     COUNTIFS($Y$2:$Y$200,$G85)&gt;0,
     COUNTIFS($Z$2:$Z$200,$G85)&gt;0,
     COUNTIFS($AA$2:$AA$200,$G85)&gt;0,
     COUNTIFS($AB$2:$AB$200,$G85)&gt;0,
     COUNTIFS($AC$2:$AC$200,$G85)&gt;0,
     COUNTIFS($AD$2:$AD$200,$G85)&gt;0,
     COUNTIFS($AE$2:$AE$200,$G85)&gt;0,
     COUNTIFS($AF$2:$AF$200,$G85)&gt;0,
     COUNTIFS($AG$2:$AG$200,$G85)&gt;0,
     COUNTIFS($AH$2:$AH$200,$G85)&gt;0,
     COUNTIFS($AI$2:$AI$200,$G85)&gt;0,
     COUNTIFS($AJ$2:$AJ$200,$G85)&gt;0,
     COUNTIFS($AK$2:$AK$200,$G85)&gt;0,
     COUNTIFS($AL$2:$AL$200,$G85)&gt;0,
     COUNTIFS($AM$2:$AM$200,$G85)&gt;0,
     COUNTIFS($AN$2:$AN$200,$G85)&gt;0,
     COUNTIFS($AO$2:$AO$200,$G85)&gt;0,
     COUNTIFS($AP$2:$AP$200,$G85)&gt;0,
     COUNTIFS($AQ$2:$AQ$200,$G85)&gt;0,
     COUNTIFS($AR$2:$AR$200,$G85)&gt;0,
     COUNTIFS($AS$2:$AS$200,$G85)&gt;0,
     COUNTIFS($AT$2:$AT$200,$G85)&gt;0,
     COUNTIFS($AU$2:$AU$200,$G85)&gt;0,
     COUNTIFS($AV$2:$AV$200,$G85)&gt;0,
     COUNTIFS($AW$2:$AW$200,$G85)&gt;0,
     COUNTIFS($AX$2:$AX$200,$G85)&gt;0
   )),
  ),
  2
 ),
"")</f>
        <v/>
      </c>
      <c r="E85" s="3" t="str" cm="1">
        <f t="array" aca="1" ref="E85" ca="1">IFERROR(
 INDEX(
  _xlfn._xlws.FILTER($U$1:$AX$1,
   TRANSPOSE(
    CHOOSE({1;2;3;4;5;6;7;8;9;10;11;12;13;14;15;16;17;18;19;20;21;22;23;24;25;26;27;28;29;30},
     COUNTIFS($U$2:$U$200,$G85)&gt;0,
     COUNTIFS($V$2:$V$200,$G85)&gt;0,
     COUNTIFS($W$2:$W$200,$G85)&gt;0,
     COUNTIFS($X$2:$X$200,$G85)&gt;0,
     COUNTIFS($Y$2:$Y$200,$G85)&gt;0,
     COUNTIFS($Z$2:$Z$200,$G85)&gt;0,
     COUNTIFS($AA$2:$AA$200,$G85)&gt;0,
     COUNTIFS($AB$2:$AB$200,$G85)&gt;0,
     COUNTIFS($AC$2:$AC$200,$G85)&gt;0,
     COUNTIFS($AD$2:$AD$200,$G85)&gt;0,
     COUNTIFS($AE$2:$AE$200,$G85)&gt;0,
     COUNTIFS($AF$2:$AF$200,$G85)&gt;0,
     COUNTIFS($AG$2:$AG$200,$G85)&gt;0,
     COUNTIFS($AH$2:$AH$200,$G85)&gt;0,
     COUNTIFS($AI$2:$AI$200,$G85)&gt;0,
     COUNTIFS($AJ$2:$AJ$200,$G85)&gt;0,
     COUNTIFS($AK$2:$AK$200,$G85)&gt;0,
     COUNTIFS($AL$2:$AL$200,$G85)&gt;0,
     COUNTIFS($AM$2:$AM$200,$G85)&gt;0,
     COUNTIFS($AN$2:$AN$200,$G85)&gt;0,
     COUNTIFS($AO$2:$AO$200,$G85)&gt;0,
     COUNTIFS($AP$2:$AP$200,$G85)&gt;0,
     COUNTIFS($AQ$2:$AQ$200,$G85)&gt;0,
     COUNTIFS($AR$2:$AR$200,$G85)&gt;0,
     COUNTIFS($AS$2:$AS$200,$G85)&gt;0,
     COUNTIFS($AT$2:$AT$200,$G85)&gt;0,
     COUNTIFS($AU$2:$AU$200,$G85)&gt;0,
     COUNTIFS($AV$2:$AV$200,$G85)&gt;0,
     COUNTIFS($AW$2:$AW$200,$G85)&gt;0,
     COUNTIFS($AX$2:$AX$200,$G85)&gt;0
   )),
  ),
  3
 ),
"")</f>
        <v/>
      </c>
      <c r="F85" s="3" t="str" cm="1">
        <f t="array" aca="1" ref="F85" ca="1">IFERROR(
 INDEX(
  _xlfn._xlws.FILTER($U$1:$AX$1,
   TRANSPOSE(
    CHOOSE({1;2;3;4;5;6;7;8;9;10;11;12;13;14;15;16;17;18;19;20;21;22;23;24;25;26;27;28;29;30},
     COUNTIFS($U$2:$U$200,$G85)&gt;0,
     COUNTIFS($V$2:$V$200,$G85)&gt;0,
     COUNTIFS($W$2:$W$200,$G85)&gt;0,
     COUNTIFS($X$2:$X$200,$G85)&gt;0,
     COUNTIFS($Y$2:$Y$200,$G85)&gt;0,
     COUNTIFS($Z$2:$Z$200,$G85)&gt;0,
     COUNTIFS($AA$2:$AA$200,$G85)&gt;0,
     COUNTIFS($AB$2:$AB$200,$G85)&gt;0,
     COUNTIFS($AC$2:$AC$200,$G85)&gt;0,
     COUNTIFS($AD$2:$AD$200,$G85)&gt;0,
     COUNTIFS($AE$2:$AE$200,$G85)&gt;0,
     COUNTIFS($AF$2:$AF$200,$G85)&gt;0,
     COUNTIFS($AG$2:$AG$200,$G85)&gt;0,
     COUNTIFS($AH$2:$AH$200,$G85)&gt;0,
     COUNTIFS($AI$2:$AI$200,$G85)&gt;0,
     COUNTIFS($AJ$2:$AJ$200,$G85)&gt;0,
     COUNTIFS($AK$2:$AK$200,$G85)&gt;0,
     COUNTIFS($AL$2:$AL$200,$G85)&gt;0,
     COUNTIFS($AM$2:$AM$200,$G85)&gt;0,
     COUNTIFS($AN$2:$AN$200,$G85)&gt;0,
     COUNTIFS($AO$2:$AO$200,$G85)&gt;0,
     COUNTIFS($AP$2:$AP$200,$G85)&gt;0,
     COUNTIFS($AQ$2:$AQ$200,$G85)&gt;0,
     COUNTIFS($AR$2:$AR$200,$G85)&gt;0,
     COUNTIFS($AS$2:$AS$200,$G85)&gt;0,
     COUNTIFS($AT$2:$AT$200,$G85)&gt;0,
     COUNTIFS($AU$2:$AU$200,$G85)&gt;0,
     COUNTIFS($AV$2:$AV$200,$G85)&gt;0,
     COUNTIFS($AW$2:$AW$200,$G85)&gt;0,
     COUNTIFS($AX$2:$AX$200,$G85)&gt;0
   )),
  ),
  4
 ),
"")</f>
        <v/>
      </c>
      <c r="G85" t="str">
        <f ca="1"/>
        <v>Devoted Druid</v>
      </c>
      <c r="AX85" t="str">
        <v>The Ozolith</v>
      </c>
      <c r="BH85" t="str">
        <f ca="1"/>
        <v>Warleader's Call</v>
      </c>
      <c r="BI85" t="str">
        <f ca="1"/>
        <v>Scrapyard Recombiner</v>
      </c>
      <c r="BN85" t="str">
        <f ca="1"/>
        <v>Thousand-Year Elixir</v>
      </c>
      <c r="BO85" t="str">
        <f ca="1"/>
        <v>Karplusan Forest</v>
      </c>
      <c r="BQ85" t="str">
        <f ca="1"/>
        <v>Zagoth Triome</v>
      </c>
      <c r="BR85" t="str">
        <f ca="1"/>
        <v>Monastery Siege</v>
      </c>
      <c r="BT85" t="str">
        <f ca="1"/>
        <v>Homeward Path</v>
      </c>
    </row>
    <row r="86" spans="1:72" x14ac:dyDescent="0.25">
      <c r="A86" s="3" t="str">
        <f t="shared" ca="1" si="4"/>
        <v>3</v>
      </c>
      <c r="B86" s="3">
        <f t="shared" ca="1" si="5"/>
        <v>1</v>
      </c>
      <c r="C86" s="3" t="str">
        <f ca="1">IFERROR(
 INDEX($U$1:$AX$1,
  MATCH(TRUE,
   CHOOSE({1;2;3;4;5;6;7;8;9;10;11;12;13;14;15;16;17;18;19;20;21;22;23;24;25;26;27;28;29;30;31;32},
    COUNTIFS($U$2:$U$200,$G86)&gt;0,
    COUNTIFS($V$2:$V$200,$G86)&gt;0,
    COUNTIFS($W$2:$W$200,$G86)&gt;0,
    COUNTIFS($X$2:$X$200,$G86)&gt;0,
    COUNTIFS($Y$2:$Y$200,$G86)&gt;0,
    COUNTIFS($Z$2:$Z$200,$G86)&gt;0,
    COUNTIFS($AA$2:$AA$200,$G86)&gt;0,
    COUNTIFS($AB$2:$AB$200,$G86)&gt;0,
    COUNTIFS($AC$2:$AC$200,$G86)&gt;0,
    COUNTIFS($AD$2:$AD$200,$G86)&gt;0,
    COUNTIFS($AE$2:$AE$200,$G86)&gt;0,
    COUNTIFS($AF$2:$AF$200,$G86)&gt;0,
    COUNTIFS($AG$2:$AG$200,$G86)&gt;0,
    COUNTIFS($AH$2:$AH$200,$G86)&gt;0,
    COUNTIFS($AI$2:$AI$200,$G86)&gt;0,
    COUNTIFS($AJ$2:$AJ$200,$G86)&gt;0,
    COUNTIFS($AK$2:$AK$200,$G86)&gt;0,
    COUNTIFS($AL$2:$AL$200,$G86)&gt;0,
    COUNTIFS($AM$2:$AM$200,$G86)&gt;0,
    COUNTIFS($AN$2:$AN$200,$G86)&gt;0,
    COUNTIFS($AO$2:$AO$200,$G86)&gt;0,
    COUNTIFS($AP$2:$AP$200,$G86)&gt;0,
    COUNTIFS($AQ$2:$AQ$200,$G86)&gt;0,
    COUNTIFS($AR$2:$AR$200,$G86)&gt;0,
    COUNTIFS($AS$2:$AS$200,$G86)&gt;0,
    COUNTIFS($AT$2:$AT$200,$G86)&gt;0,
    COUNTIFS($AU$2:$AU$200,$G86)&gt;0,
    COUNTIFS($AV$2:$AV$200,$G86)&gt;0,
    COUNTIFS($AW$2:$AW$200,$G86)&gt;0,
    COUNTIFS($AX$2:$AX$200,$G86)&gt;0
   ),
  0)
 ),
"")</f>
        <v>Inalla</v>
      </c>
      <c r="D86" s="3" t="str" cm="1">
        <f t="array" aca="1" ref="D86" ca="1">IFERROR(
 INDEX(
  _xlfn._xlws.FILTER($U$1:$AX$1,
   TRANSPOSE(
    CHOOSE({1;2;3;4;5;6;7;8;9;10;11;12;13;14;15;16;17;18;19;20;21;22;23;24;25;26;27;28;29;30},
     COUNTIFS($U$2:$U$200,$G86)&gt;0,
     COUNTIFS($V$2:$V$200,$G86)&gt;0,
     COUNTIFS($W$2:$W$200,$G86)&gt;0,
     COUNTIFS($X$2:$X$200,$G86)&gt;0,
     COUNTIFS($Y$2:$Y$200,$G86)&gt;0,
     COUNTIFS($Z$2:$Z$200,$G86)&gt;0,
     COUNTIFS($AA$2:$AA$200,$G86)&gt;0,
     COUNTIFS($AB$2:$AB$200,$G86)&gt;0,
     COUNTIFS($AC$2:$AC$200,$G86)&gt;0,
     COUNTIFS($AD$2:$AD$200,$G86)&gt;0,
     COUNTIFS($AE$2:$AE$200,$G86)&gt;0,
     COUNTIFS($AF$2:$AF$200,$G86)&gt;0,
     COUNTIFS($AG$2:$AG$200,$G86)&gt;0,
     COUNTIFS($AH$2:$AH$200,$G86)&gt;0,
     COUNTIFS($AI$2:$AI$200,$G86)&gt;0,
     COUNTIFS($AJ$2:$AJ$200,$G86)&gt;0,
     COUNTIFS($AK$2:$AK$200,$G86)&gt;0,
     COUNTIFS($AL$2:$AL$200,$G86)&gt;0,
     COUNTIFS($AM$2:$AM$200,$G86)&gt;0,
     COUNTIFS($AN$2:$AN$200,$G86)&gt;0,
     COUNTIFS($AO$2:$AO$200,$G86)&gt;0,
     COUNTIFS($AP$2:$AP$200,$G86)&gt;0,
     COUNTIFS($AQ$2:$AQ$200,$G86)&gt;0,
     COUNTIFS($AR$2:$AR$200,$G86)&gt;0,
     COUNTIFS($AS$2:$AS$200,$G86)&gt;0,
     COUNTIFS($AT$2:$AT$200,$G86)&gt;0,
     COUNTIFS($AU$2:$AU$200,$G86)&gt;0,
     COUNTIFS($AV$2:$AV$200,$G86)&gt;0,
     COUNTIFS($AW$2:$AW$200,$G86)&gt;0,
     COUNTIFS($AX$2:$AX$200,$G86)&gt;0
   )),
  ),
  2
 ),
"")</f>
        <v/>
      </c>
      <c r="E86" s="3" t="str" cm="1">
        <f t="array" aca="1" ref="E86" ca="1">IFERROR(
 INDEX(
  _xlfn._xlws.FILTER($U$1:$AX$1,
   TRANSPOSE(
    CHOOSE({1;2;3;4;5;6;7;8;9;10;11;12;13;14;15;16;17;18;19;20;21;22;23;24;25;26;27;28;29;30},
     COUNTIFS($U$2:$U$200,$G86)&gt;0,
     COUNTIFS($V$2:$V$200,$G86)&gt;0,
     COUNTIFS($W$2:$W$200,$G86)&gt;0,
     COUNTIFS($X$2:$X$200,$G86)&gt;0,
     COUNTIFS($Y$2:$Y$200,$G86)&gt;0,
     COUNTIFS($Z$2:$Z$200,$G86)&gt;0,
     COUNTIFS($AA$2:$AA$200,$G86)&gt;0,
     COUNTIFS($AB$2:$AB$200,$G86)&gt;0,
     COUNTIFS($AC$2:$AC$200,$G86)&gt;0,
     COUNTIFS($AD$2:$AD$200,$G86)&gt;0,
     COUNTIFS($AE$2:$AE$200,$G86)&gt;0,
     COUNTIFS($AF$2:$AF$200,$G86)&gt;0,
     COUNTIFS($AG$2:$AG$200,$G86)&gt;0,
     COUNTIFS($AH$2:$AH$200,$G86)&gt;0,
     COUNTIFS($AI$2:$AI$200,$G86)&gt;0,
     COUNTIFS($AJ$2:$AJ$200,$G86)&gt;0,
     COUNTIFS($AK$2:$AK$200,$G86)&gt;0,
     COUNTIFS($AL$2:$AL$200,$G86)&gt;0,
     COUNTIFS($AM$2:$AM$200,$G86)&gt;0,
     COUNTIFS($AN$2:$AN$200,$G86)&gt;0,
     COUNTIFS($AO$2:$AO$200,$G86)&gt;0,
     COUNTIFS($AP$2:$AP$200,$G86)&gt;0,
     COUNTIFS($AQ$2:$AQ$200,$G86)&gt;0,
     COUNTIFS($AR$2:$AR$200,$G86)&gt;0,
     COUNTIFS($AS$2:$AS$200,$G86)&gt;0,
     COUNTIFS($AT$2:$AT$200,$G86)&gt;0,
     COUNTIFS($AU$2:$AU$200,$G86)&gt;0,
     COUNTIFS($AV$2:$AV$200,$G86)&gt;0,
     COUNTIFS($AW$2:$AW$200,$G86)&gt;0,
     COUNTIFS($AX$2:$AX$200,$G86)&gt;0
   )),
  ),
  3
 ),
"")</f>
        <v/>
      </c>
      <c r="F86" s="3" t="str" cm="1">
        <f t="array" aca="1" ref="F86" ca="1">IFERROR(
 INDEX(
  _xlfn._xlws.FILTER($U$1:$AX$1,
   TRANSPOSE(
    CHOOSE({1;2;3;4;5;6;7;8;9;10;11;12;13;14;15;16;17;18;19;20;21;22;23;24;25;26;27;28;29;30},
     COUNTIFS($U$2:$U$200,$G86)&gt;0,
     COUNTIFS($V$2:$V$200,$G86)&gt;0,
     COUNTIFS($W$2:$W$200,$G86)&gt;0,
     COUNTIFS($X$2:$X$200,$G86)&gt;0,
     COUNTIFS($Y$2:$Y$200,$G86)&gt;0,
     COUNTIFS($Z$2:$Z$200,$G86)&gt;0,
     COUNTIFS($AA$2:$AA$200,$G86)&gt;0,
     COUNTIFS($AB$2:$AB$200,$G86)&gt;0,
     COUNTIFS($AC$2:$AC$200,$G86)&gt;0,
     COUNTIFS($AD$2:$AD$200,$G86)&gt;0,
     COUNTIFS($AE$2:$AE$200,$G86)&gt;0,
     COUNTIFS($AF$2:$AF$200,$G86)&gt;0,
     COUNTIFS($AG$2:$AG$200,$G86)&gt;0,
     COUNTIFS($AH$2:$AH$200,$G86)&gt;0,
     COUNTIFS($AI$2:$AI$200,$G86)&gt;0,
     COUNTIFS($AJ$2:$AJ$200,$G86)&gt;0,
     COUNTIFS($AK$2:$AK$200,$G86)&gt;0,
     COUNTIFS($AL$2:$AL$200,$G86)&gt;0,
     COUNTIFS($AM$2:$AM$200,$G86)&gt;0,
     COUNTIFS($AN$2:$AN$200,$G86)&gt;0,
     COUNTIFS($AO$2:$AO$200,$G86)&gt;0,
     COUNTIFS($AP$2:$AP$200,$G86)&gt;0,
     COUNTIFS($AQ$2:$AQ$200,$G86)&gt;0,
     COUNTIFS($AR$2:$AR$200,$G86)&gt;0,
     COUNTIFS($AS$2:$AS$200,$G86)&gt;0,
     COUNTIFS($AT$2:$AT$200,$G86)&gt;0,
     COUNTIFS($AU$2:$AU$200,$G86)&gt;0,
     COUNTIFS($AV$2:$AV$200,$G86)&gt;0,
     COUNTIFS($AW$2:$AW$200,$G86)&gt;0,
     COUNTIFS($AX$2:$AX$200,$G86)&gt;0
   )),
  ),
  4
 ),
"")</f>
        <v/>
      </c>
      <c r="G86" t="str">
        <f ca="1"/>
        <v>Diário de Tarrian</v>
      </c>
      <c r="AX86" t="str">
        <v>The Stasis Coffin</v>
      </c>
      <c r="BH86" t="str">
        <f ca="1"/>
        <v>Zack Fair</v>
      </c>
      <c r="BI86" t="str">
        <f ca="1"/>
        <v>Secluded Courtyard</v>
      </c>
      <c r="BN86" t="str">
        <f ca="1"/>
        <v>Three Visits</v>
      </c>
      <c r="BO86" t="str">
        <f ca="1"/>
        <v>Kessig Wolf Run</v>
      </c>
      <c r="BR86" t="str">
        <f ca="1"/>
        <v>Mother of runes</v>
      </c>
      <c r="BT86" t="str">
        <f ca="1"/>
        <v>Horizon Explorer</v>
      </c>
    </row>
    <row r="87" spans="1:72" x14ac:dyDescent="0.25">
      <c r="A87" s="3" t="str">
        <f t="shared" ca="1" si="4"/>
        <v>4</v>
      </c>
      <c r="B87" s="3">
        <f t="shared" ca="1" si="5"/>
        <v>1</v>
      </c>
      <c r="C87" s="3" t="str">
        <f ca="1">IFERROR(
 INDEX($U$1:$AX$1,
  MATCH(TRUE,
   CHOOSE({1;2;3;4;5;6;7;8;9;10;11;12;13;14;15;16;17;18;19;20;21;22;23;24;25;26;27;28;29;30;31;32},
    COUNTIFS($U$2:$U$200,$G87)&gt;0,
    COUNTIFS($V$2:$V$200,$G87)&gt;0,
    COUNTIFS($W$2:$W$200,$G87)&gt;0,
    COUNTIFS($X$2:$X$200,$G87)&gt;0,
    COUNTIFS($Y$2:$Y$200,$G87)&gt;0,
    COUNTIFS($Z$2:$Z$200,$G87)&gt;0,
    COUNTIFS($AA$2:$AA$200,$G87)&gt;0,
    COUNTIFS($AB$2:$AB$200,$G87)&gt;0,
    COUNTIFS($AC$2:$AC$200,$G87)&gt;0,
    COUNTIFS($AD$2:$AD$200,$G87)&gt;0,
    COUNTIFS($AE$2:$AE$200,$G87)&gt;0,
    COUNTIFS($AF$2:$AF$200,$G87)&gt;0,
    COUNTIFS($AG$2:$AG$200,$G87)&gt;0,
    COUNTIFS($AH$2:$AH$200,$G87)&gt;0,
    COUNTIFS($AI$2:$AI$200,$G87)&gt;0,
    COUNTIFS($AJ$2:$AJ$200,$G87)&gt;0,
    COUNTIFS($AK$2:$AK$200,$G87)&gt;0,
    COUNTIFS($AL$2:$AL$200,$G87)&gt;0,
    COUNTIFS($AM$2:$AM$200,$G87)&gt;0,
    COUNTIFS($AN$2:$AN$200,$G87)&gt;0,
    COUNTIFS($AO$2:$AO$200,$G87)&gt;0,
    COUNTIFS($AP$2:$AP$200,$G87)&gt;0,
    COUNTIFS($AQ$2:$AQ$200,$G87)&gt;0,
    COUNTIFS($AR$2:$AR$200,$G87)&gt;0,
    COUNTIFS($AS$2:$AS$200,$G87)&gt;0,
    COUNTIFS($AT$2:$AT$200,$G87)&gt;0,
    COUNTIFS($AU$2:$AU$200,$G87)&gt;0,
    COUNTIFS($AV$2:$AV$200,$G87)&gt;0,
    COUNTIFS($AW$2:$AW$200,$G87)&gt;0,
    COUNTIFS($AX$2:$AX$200,$G87)&gt;0
   ),
  0)
 ),
"")</f>
        <v>Elfos</v>
      </c>
      <c r="D87" s="3" t="str" cm="1">
        <f t="array" aca="1" ref="D87" ca="1">IFERROR(
 INDEX(
  _xlfn._xlws.FILTER($U$1:$AX$1,
   TRANSPOSE(
    CHOOSE({1;2;3;4;5;6;7;8;9;10;11;12;13;14;15;16;17;18;19;20;21;22;23;24;25;26;27;28;29;30},
     COUNTIFS($U$2:$U$200,$G87)&gt;0,
     COUNTIFS($V$2:$V$200,$G87)&gt;0,
     COUNTIFS($W$2:$W$200,$G87)&gt;0,
     COUNTIFS($X$2:$X$200,$G87)&gt;0,
     COUNTIFS($Y$2:$Y$200,$G87)&gt;0,
     COUNTIFS($Z$2:$Z$200,$G87)&gt;0,
     COUNTIFS($AA$2:$AA$200,$G87)&gt;0,
     COUNTIFS($AB$2:$AB$200,$G87)&gt;0,
     COUNTIFS($AC$2:$AC$200,$G87)&gt;0,
     COUNTIFS($AD$2:$AD$200,$G87)&gt;0,
     COUNTIFS($AE$2:$AE$200,$G87)&gt;0,
     COUNTIFS($AF$2:$AF$200,$G87)&gt;0,
     COUNTIFS($AG$2:$AG$200,$G87)&gt;0,
     COUNTIFS($AH$2:$AH$200,$G87)&gt;0,
     COUNTIFS($AI$2:$AI$200,$G87)&gt;0,
     COUNTIFS($AJ$2:$AJ$200,$G87)&gt;0,
     COUNTIFS($AK$2:$AK$200,$G87)&gt;0,
     COUNTIFS($AL$2:$AL$200,$G87)&gt;0,
     COUNTIFS($AM$2:$AM$200,$G87)&gt;0,
     COUNTIFS($AN$2:$AN$200,$G87)&gt;0,
     COUNTIFS($AO$2:$AO$200,$G87)&gt;0,
     COUNTIFS($AP$2:$AP$200,$G87)&gt;0,
     COUNTIFS($AQ$2:$AQ$200,$G87)&gt;0,
     COUNTIFS($AR$2:$AR$200,$G87)&gt;0,
     COUNTIFS($AS$2:$AS$200,$G87)&gt;0,
     COUNTIFS($AT$2:$AT$200,$G87)&gt;0,
     COUNTIFS($AU$2:$AU$200,$G87)&gt;0,
     COUNTIFS($AV$2:$AV$200,$G87)&gt;0,
     COUNTIFS($AW$2:$AW$200,$G87)&gt;0,
     COUNTIFS($AX$2:$AX$200,$G87)&gt;0
   )),
  ),
  2
 ),
"")</f>
        <v/>
      </c>
      <c r="E87" s="3" t="str" cm="1">
        <f t="array" aca="1" ref="E87" ca="1">IFERROR(
 INDEX(
  _xlfn._xlws.FILTER($U$1:$AX$1,
   TRANSPOSE(
    CHOOSE({1;2;3;4;5;6;7;8;9;10;11;12;13;14;15;16;17;18;19;20;21;22;23;24;25;26;27;28;29;30},
     COUNTIFS($U$2:$U$200,$G87)&gt;0,
     COUNTIFS($V$2:$V$200,$G87)&gt;0,
     COUNTIFS($W$2:$W$200,$G87)&gt;0,
     COUNTIFS($X$2:$X$200,$G87)&gt;0,
     COUNTIFS($Y$2:$Y$200,$G87)&gt;0,
     COUNTIFS($Z$2:$Z$200,$G87)&gt;0,
     COUNTIFS($AA$2:$AA$200,$G87)&gt;0,
     COUNTIFS($AB$2:$AB$200,$G87)&gt;0,
     COUNTIFS($AC$2:$AC$200,$G87)&gt;0,
     COUNTIFS($AD$2:$AD$200,$G87)&gt;0,
     COUNTIFS($AE$2:$AE$200,$G87)&gt;0,
     COUNTIFS($AF$2:$AF$200,$G87)&gt;0,
     COUNTIFS($AG$2:$AG$200,$G87)&gt;0,
     COUNTIFS($AH$2:$AH$200,$G87)&gt;0,
     COUNTIFS($AI$2:$AI$200,$G87)&gt;0,
     COUNTIFS($AJ$2:$AJ$200,$G87)&gt;0,
     COUNTIFS($AK$2:$AK$200,$G87)&gt;0,
     COUNTIFS($AL$2:$AL$200,$G87)&gt;0,
     COUNTIFS($AM$2:$AM$200,$G87)&gt;0,
     COUNTIFS($AN$2:$AN$200,$G87)&gt;0,
     COUNTIFS($AO$2:$AO$200,$G87)&gt;0,
     COUNTIFS($AP$2:$AP$200,$G87)&gt;0,
     COUNTIFS($AQ$2:$AQ$200,$G87)&gt;0,
     COUNTIFS($AR$2:$AR$200,$G87)&gt;0,
     COUNTIFS($AS$2:$AS$200,$G87)&gt;0,
     COUNTIFS($AT$2:$AT$200,$G87)&gt;0,
     COUNTIFS($AU$2:$AU$200,$G87)&gt;0,
     COUNTIFS($AV$2:$AV$200,$G87)&gt;0,
     COUNTIFS($AW$2:$AW$200,$G87)&gt;0,
     COUNTIFS($AX$2:$AX$200,$G87)&gt;0
   )),
  ),
  3
 ),
"")</f>
        <v/>
      </c>
      <c r="F87" s="3" t="str" cm="1">
        <f t="array" aca="1" ref="F87" ca="1">IFERROR(
 INDEX(
  _xlfn._xlws.FILTER($U$1:$AX$1,
   TRANSPOSE(
    CHOOSE({1;2;3;4;5;6;7;8;9;10;11;12;13;14;15;16;17;18;19;20;21;22;23;24;25;26;27;28;29;30},
     COUNTIFS($U$2:$U$200,$G87)&gt;0,
     COUNTIFS($V$2:$V$200,$G87)&gt;0,
     COUNTIFS($W$2:$W$200,$G87)&gt;0,
     COUNTIFS($X$2:$X$200,$G87)&gt;0,
     COUNTIFS($Y$2:$Y$200,$G87)&gt;0,
     COUNTIFS($Z$2:$Z$200,$G87)&gt;0,
     COUNTIFS($AA$2:$AA$200,$G87)&gt;0,
     COUNTIFS($AB$2:$AB$200,$G87)&gt;0,
     COUNTIFS($AC$2:$AC$200,$G87)&gt;0,
     COUNTIFS($AD$2:$AD$200,$G87)&gt;0,
     COUNTIFS($AE$2:$AE$200,$G87)&gt;0,
     COUNTIFS($AF$2:$AF$200,$G87)&gt;0,
     COUNTIFS($AG$2:$AG$200,$G87)&gt;0,
     COUNTIFS($AH$2:$AH$200,$G87)&gt;0,
     COUNTIFS($AI$2:$AI$200,$G87)&gt;0,
     COUNTIFS($AJ$2:$AJ$200,$G87)&gt;0,
     COUNTIFS($AK$2:$AK$200,$G87)&gt;0,
     COUNTIFS($AL$2:$AL$200,$G87)&gt;0,
     COUNTIFS($AM$2:$AM$200,$G87)&gt;0,
     COUNTIFS($AN$2:$AN$200,$G87)&gt;0,
     COUNTIFS($AO$2:$AO$200,$G87)&gt;0,
     COUNTIFS($AP$2:$AP$200,$G87)&gt;0,
     COUNTIFS($AQ$2:$AQ$200,$G87)&gt;0,
     COUNTIFS($AR$2:$AR$200,$G87)&gt;0,
     COUNTIFS($AS$2:$AS$200,$G87)&gt;0,
     COUNTIFS($AT$2:$AT$200,$G87)&gt;0,
     COUNTIFS($AU$2:$AU$200,$G87)&gt;0,
     COUNTIFS($AV$2:$AV$200,$G87)&gt;0,
     COUNTIFS($AW$2:$AW$200,$G87)&gt;0,
     COUNTIFS($AX$2:$AX$200,$G87)&gt;0
   )),
  ),
  4
 ),
"")</f>
        <v/>
      </c>
      <c r="G87" t="str">
        <f ca="1"/>
        <v>Dionus, Elvish Archdruid</v>
      </c>
      <c r="AX87" t="str">
        <v>Thornglint Bridge</v>
      </c>
      <c r="BI87" t="str">
        <f ca="1"/>
        <v>Seething Landscape</v>
      </c>
      <c r="BN87" t="str">
        <f ca="1"/>
        <v>Throne of the God-Pharaoh</v>
      </c>
      <c r="BO87" t="str">
        <f ca="1"/>
        <v>Kodama of the West Tree</v>
      </c>
      <c r="BR87" t="str">
        <f ca="1"/>
        <v>Nibelheim Aflame</v>
      </c>
      <c r="BT87" t="str">
        <f ca="1"/>
        <v>Illustrious Wanderglyph</v>
      </c>
    </row>
    <row r="88" spans="1:72" x14ac:dyDescent="0.25">
      <c r="A88" s="3" t="str">
        <f t="shared" ca="1" si="4"/>
        <v>1</v>
      </c>
      <c r="B88" s="3">
        <f t="shared" ca="1" si="5"/>
        <v>1</v>
      </c>
      <c r="C88" s="3" t="str">
        <f ca="1">IFERROR(
 INDEX($U$1:$AX$1,
  MATCH(TRUE,
   CHOOSE({1;2;3;4;5;6;7;8;9;10;11;12;13;14;15;16;17;18;19;20;21;22;23;24;25;26;27;28;29;30;31;32},
    COUNTIFS($U$2:$U$200,$G88)&gt;0,
    COUNTIFS($V$2:$V$200,$G88)&gt;0,
    COUNTIFS($W$2:$W$200,$G88)&gt;0,
    COUNTIFS($X$2:$X$200,$G88)&gt;0,
    COUNTIFS($Y$2:$Y$200,$G88)&gt;0,
    COUNTIFS($Z$2:$Z$200,$G88)&gt;0,
    COUNTIFS($AA$2:$AA$200,$G88)&gt;0,
    COUNTIFS($AB$2:$AB$200,$G88)&gt;0,
    COUNTIFS($AC$2:$AC$200,$G88)&gt;0,
    COUNTIFS($AD$2:$AD$200,$G88)&gt;0,
    COUNTIFS($AE$2:$AE$200,$G88)&gt;0,
    COUNTIFS($AF$2:$AF$200,$G88)&gt;0,
    COUNTIFS($AG$2:$AG$200,$G88)&gt;0,
    COUNTIFS($AH$2:$AH$200,$G88)&gt;0,
    COUNTIFS($AI$2:$AI$200,$G88)&gt;0,
    COUNTIFS($AJ$2:$AJ$200,$G88)&gt;0,
    COUNTIFS($AK$2:$AK$200,$G88)&gt;0,
    COUNTIFS($AL$2:$AL$200,$G88)&gt;0,
    COUNTIFS($AM$2:$AM$200,$G88)&gt;0,
    COUNTIFS($AN$2:$AN$200,$G88)&gt;0,
    COUNTIFS($AO$2:$AO$200,$G88)&gt;0,
    COUNTIFS($AP$2:$AP$200,$G88)&gt;0,
    COUNTIFS($AQ$2:$AQ$200,$G88)&gt;0,
    COUNTIFS($AR$2:$AR$200,$G88)&gt;0,
    COUNTIFS($AS$2:$AS$200,$G88)&gt;0,
    COUNTIFS($AT$2:$AT$200,$G88)&gt;0,
    COUNTIFS($AU$2:$AU$200,$G88)&gt;0,
    COUNTIFS($AV$2:$AV$200,$G88)&gt;0,
    COUNTIFS($AW$2:$AW$200,$G88)&gt;0,
    COUNTIFS($AX$2:$AX$200,$G88)&gt;0
   ),
  0)
 ),
"")</f>
        <v>Modular</v>
      </c>
      <c r="D88" s="3" t="str" cm="1">
        <f t="array" aca="1" ref="D88" ca="1">IFERROR(
 INDEX(
  _xlfn._xlws.FILTER($U$1:$AX$1,
   TRANSPOSE(
    CHOOSE({1;2;3;4;5;6;7;8;9;10;11;12;13;14;15;16;17;18;19;20;21;22;23;24;25;26;27;28;29;30},
     COUNTIFS($U$2:$U$200,$G88)&gt;0,
     COUNTIFS($V$2:$V$200,$G88)&gt;0,
     COUNTIFS($W$2:$W$200,$G88)&gt;0,
     COUNTIFS($X$2:$X$200,$G88)&gt;0,
     COUNTIFS($Y$2:$Y$200,$G88)&gt;0,
     COUNTIFS($Z$2:$Z$200,$G88)&gt;0,
     COUNTIFS($AA$2:$AA$200,$G88)&gt;0,
     COUNTIFS($AB$2:$AB$200,$G88)&gt;0,
     COUNTIFS($AC$2:$AC$200,$G88)&gt;0,
     COUNTIFS($AD$2:$AD$200,$G88)&gt;0,
     COUNTIFS($AE$2:$AE$200,$G88)&gt;0,
     COUNTIFS($AF$2:$AF$200,$G88)&gt;0,
     COUNTIFS($AG$2:$AG$200,$G88)&gt;0,
     COUNTIFS($AH$2:$AH$200,$G88)&gt;0,
     COUNTIFS($AI$2:$AI$200,$G88)&gt;0,
     COUNTIFS($AJ$2:$AJ$200,$G88)&gt;0,
     COUNTIFS($AK$2:$AK$200,$G88)&gt;0,
     COUNTIFS($AL$2:$AL$200,$G88)&gt;0,
     COUNTIFS($AM$2:$AM$200,$G88)&gt;0,
     COUNTIFS($AN$2:$AN$200,$G88)&gt;0,
     COUNTIFS($AO$2:$AO$200,$G88)&gt;0,
     COUNTIFS($AP$2:$AP$200,$G88)&gt;0,
     COUNTIFS($AQ$2:$AQ$200,$G88)&gt;0,
     COUNTIFS($AR$2:$AR$200,$G88)&gt;0,
     COUNTIFS($AS$2:$AS$200,$G88)&gt;0,
     COUNTIFS($AT$2:$AT$200,$G88)&gt;0,
     COUNTIFS($AU$2:$AU$200,$G88)&gt;0,
     COUNTIFS($AV$2:$AV$200,$G88)&gt;0,
     COUNTIFS($AW$2:$AW$200,$G88)&gt;0,
     COUNTIFS($AX$2:$AX$200,$G88)&gt;0
   )),
  ),
  2
 ),
"")</f>
        <v/>
      </c>
      <c r="E88" s="3" t="str" cm="1">
        <f t="array" aca="1" ref="E88" ca="1">IFERROR(
 INDEX(
  _xlfn._xlws.FILTER($U$1:$AX$1,
   TRANSPOSE(
    CHOOSE({1;2;3;4;5;6;7;8;9;10;11;12;13;14;15;16;17;18;19;20;21;22;23;24;25;26;27;28;29;30},
     COUNTIFS($U$2:$U$200,$G88)&gt;0,
     COUNTIFS($V$2:$V$200,$G88)&gt;0,
     COUNTIFS($W$2:$W$200,$G88)&gt;0,
     COUNTIFS($X$2:$X$200,$G88)&gt;0,
     COUNTIFS($Y$2:$Y$200,$G88)&gt;0,
     COUNTIFS($Z$2:$Z$200,$G88)&gt;0,
     COUNTIFS($AA$2:$AA$200,$G88)&gt;0,
     COUNTIFS($AB$2:$AB$200,$G88)&gt;0,
     COUNTIFS($AC$2:$AC$200,$G88)&gt;0,
     COUNTIFS($AD$2:$AD$200,$G88)&gt;0,
     COUNTIFS($AE$2:$AE$200,$G88)&gt;0,
     COUNTIFS($AF$2:$AF$200,$G88)&gt;0,
     COUNTIFS($AG$2:$AG$200,$G88)&gt;0,
     COUNTIFS($AH$2:$AH$200,$G88)&gt;0,
     COUNTIFS($AI$2:$AI$200,$G88)&gt;0,
     COUNTIFS($AJ$2:$AJ$200,$G88)&gt;0,
     COUNTIFS($AK$2:$AK$200,$G88)&gt;0,
     COUNTIFS($AL$2:$AL$200,$G88)&gt;0,
     COUNTIFS($AM$2:$AM$200,$G88)&gt;0,
     COUNTIFS($AN$2:$AN$200,$G88)&gt;0,
     COUNTIFS($AO$2:$AO$200,$G88)&gt;0,
     COUNTIFS($AP$2:$AP$200,$G88)&gt;0,
     COUNTIFS($AQ$2:$AQ$200,$G88)&gt;0,
     COUNTIFS($AR$2:$AR$200,$G88)&gt;0,
     COUNTIFS($AS$2:$AS$200,$G88)&gt;0,
     COUNTIFS($AT$2:$AT$200,$G88)&gt;0,
     COUNTIFS($AU$2:$AU$200,$G88)&gt;0,
     COUNTIFS($AV$2:$AV$200,$G88)&gt;0,
     COUNTIFS($AW$2:$AW$200,$G88)&gt;0,
     COUNTIFS($AX$2:$AX$200,$G88)&gt;0
   )),
  ),
  3
 ),
"")</f>
        <v/>
      </c>
      <c r="F88" s="3" t="str" cm="1">
        <f t="array" aca="1" ref="F88" ca="1">IFERROR(
 INDEX(
  _xlfn._xlws.FILTER($U$1:$AX$1,
   TRANSPOSE(
    CHOOSE({1;2;3;4;5;6;7;8;9;10;11;12;13;14;15;16;17;18;19;20;21;22;23;24;25;26;27;28;29;30},
     COUNTIFS($U$2:$U$200,$G88)&gt;0,
     COUNTIFS($V$2:$V$200,$G88)&gt;0,
     COUNTIFS($W$2:$W$200,$G88)&gt;0,
     COUNTIFS($X$2:$X$200,$G88)&gt;0,
     COUNTIFS($Y$2:$Y$200,$G88)&gt;0,
     COUNTIFS($Z$2:$Z$200,$G88)&gt;0,
     COUNTIFS($AA$2:$AA$200,$G88)&gt;0,
     COUNTIFS($AB$2:$AB$200,$G88)&gt;0,
     COUNTIFS($AC$2:$AC$200,$G88)&gt;0,
     COUNTIFS($AD$2:$AD$200,$G88)&gt;0,
     COUNTIFS($AE$2:$AE$200,$G88)&gt;0,
     COUNTIFS($AF$2:$AF$200,$G88)&gt;0,
     COUNTIFS($AG$2:$AG$200,$G88)&gt;0,
     COUNTIFS($AH$2:$AH$200,$G88)&gt;0,
     COUNTIFS($AI$2:$AI$200,$G88)&gt;0,
     COUNTIFS($AJ$2:$AJ$200,$G88)&gt;0,
     COUNTIFS($AK$2:$AK$200,$G88)&gt;0,
     COUNTIFS($AL$2:$AL$200,$G88)&gt;0,
     COUNTIFS($AM$2:$AM$200,$G88)&gt;0,
     COUNTIFS($AN$2:$AN$200,$G88)&gt;0,
     COUNTIFS($AO$2:$AO$200,$G88)&gt;0,
     COUNTIFS($AP$2:$AP$200,$G88)&gt;0,
     COUNTIFS($AQ$2:$AQ$200,$G88)&gt;0,
     COUNTIFS($AR$2:$AR$200,$G88)&gt;0,
     COUNTIFS($AS$2:$AS$200,$G88)&gt;0,
     COUNTIFS($AT$2:$AT$200,$G88)&gt;0,
     COUNTIFS($AU$2:$AU$200,$G88)&gt;0,
     COUNTIFS($AV$2:$AV$200,$G88)&gt;0,
     COUNTIFS($AW$2:$AW$200,$G88)&gt;0,
     COUNTIFS($AX$2:$AX$200,$G88)&gt;0
   )),
  ),
  4
 ),
"")</f>
        <v/>
      </c>
      <c r="G88" t="str">
        <f ca="1"/>
        <v>Dispatch</v>
      </c>
      <c r="AX88" t="str">
        <v>Throne of Geth</v>
      </c>
      <c r="BI88" t="str">
        <f ca="1"/>
        <v>Selesnya Signet</v>
      </c>
      <c r="BN88" t="str">
        <f ca="1"/>
        <v>Tishana, Voice of Thunder</v>
      </c>
      <c r="BO88" t="str">
        <f ca="1"/>
        <v>Kozilek, the Broken Reality</v>
      </c>
      <c r="BR88" t="str">
        <f ca="1"/>
        <v>Nicol Bolas, God-Pharaoh</v>
      </c>
      <c r="BT88" t="str">
        <f ca="1"/>
        <v>Incendiary Command</v>
      </c>
    </row>
    <row r="89" spans="1:72" x14ac:dyDescent="0.25">
      <c r="A89" s="3" t="str">
        <f t="shared" ca="1" si="4"/>
        <v>4</v>
      </c>
      <c r="B89" s="3">
        <f t="shared" ca="1" si="5"/>
        <v>1</v>
      </c>
      <c r="C89" s="3" t="str">
        <f ca="1">IFERROR(
 INDEX($U$1:$AX$1,
  MATCH(TRUE,
   CHOOSE({1;2;3;4;5;6;7;8;9;10;11;12;13;14;15;16;17;18;19;20;21;22;23;24;25;26;27;28;29;30;31;32},
    COUNTIFS($U$2:$U$200,$G89)&gt;0,
    COUNTIFS($V$2:$V$200,$G89)&gt;0,
    COUNTIFS($W$2:$W$200,$G89)&gt;0,
    COUNTIFS($X$2:$X$200,$G89)&gt;0,
    COUNTIFS($Y$2:$Y$200,$G89)&gt;0,
    COUNTIFS($Z$2:$Z$200,$G89)&gt;0,
    COUNTIFS($AA$2:$AA$200,$G89)&gt;0,
    COUNTIFS($AB$2:$AB$200,$G89)&gt;0,
    COUNTIFS($AC$2:$AC$200,$G89)&gt;0,
    COUNTIFS($AD$2:$AD$200,$G89)&gt;0,
    COUNTIFS($AE$2:$AE$200,$G89)&gt;0,
    COUNTIFS($AF$2:$AF$200,$G89)&gt;0,
    COUNTIFS($AG$2:$AG$200,$G89)&gt;0,
    COUNTIFS($AH$2:$AH$200,$G89)&gt;0,
    COUNTIFS($AI$2:$AI$200,$G89)&gt;0,
    COUNTIFS($AJ$2:$AJ$200,$G89)&gt;0,
    COUNTIFS($AK$2:$AK$200,$G89)&gt;0,
    COUNTIFS($AL$2:$AL$200,$G89)&gt;0,
    COUNTIFS($AM$2:$AM$200,$G89)&gt;0,
    COUNTIFS($AN$2:$AN$200,$G89)&gt;0,
    COUNTIFS($AO$2:$AO$200,$G89)&gt;0,
    COUNTIFS($AP$2:$AP$200,$G89)&gt;0,
    COUNTIFS($AQ$2:$AQ$200,$G89)&gt;0,
    COUNTIFS($AR$2:$AR$200,$G89)&gt;0,
    COUNTIFS($AS$2:$AS$200,$G89)&gt;0,
    COUNTIFS($AT$2:$AT$200,$G89)&gt;0,
    COUNTIFS($AU$2:$AU$200,$G89)&gt;0,
    COUNTIFS($AV$2:$AV$200,$G89)&gt;0,
    COUNTIFS($AW$2:$AW$200,$G89)&gt;0,
    COUNTIFS($AX$2:$AX$200,$G89)&gt;0
   ),
  0)
 ),
"")</f>
        <v>OWA</v>
      </c>
      <c r="D89" s="3" t="str" cm="1">
        <f t="array" aca="1" ref="D89" ca="1">IFERROR(
 INDEX(
  _xlfn._xlws.FILTER($U$1:$AX$1,
   TRANSPOSE(
    CHOOSE({1;2;3;4;5;6;7;8;9;10;11;12;13;14;15;16;17;18;19;20;21;22;23;24;25;26;27;28;29;30},
     COUNTIFS($U$2:$U$200,$G89)&gt;0,
     COUNTIFS($V$2:$V$200,$G89)&gt;0,
     COUNTIFS($W$2:$W$200,$G89)&gt;0,
     COUNTIFS($X$2:$X$200,$G89)&gt;0,
     COUNTIFS($Y$2:$Y$200,$G89)&gt;0,
     COUNTIFS($Z$2:$Z$200,$G89)&gt;0,
     COUNTIFS($AA$2:$AA$200,$G89)&gt;0,
     COUNTIFS($AB$2:$AB$200,$G89)&gt;0,
     COUNTIFS($AC$2:$AC$200,$G89)&gt;0,
     COUNTIFS($AD$2:$AD$200,$G89)&gt;0,
     COUNTIFS($AE$2:$AE$200,$G89)&gt;0,
     COUNTIFS($AF$2:$AF$200,$G89)&gt;0,
     COUNTIFS($AG$2:$AG$200,$G89)&gt;0,
     COUNTIFS($AH$2:$AH$200,$G89)&gt;0,
     COUNTIFS($AI$2:$AI$200,$G89)&gt;0,
     COUNTIFS($AJ$2:$AJ$200,$G89)&gt;0,
     COUNTIFS($AK$2:$AK$200,$G89)&gt;0,
     COUNTIFS($AL$2:$AL$200,$G89)&gt;0,
     COUNTIFS($AM$2:$AM$200,$G89)&gt;0,
     COUNTIFS($AN$2:$AN$200,$G89)&gt;0,
     COUNTIFS($AO$2:$AO$200,$G89)&gt;0,
     COUNTIFS($AP$2:$AP$200,$G89)&gt;0,
     COUNTIFS($AQ$2:$AQ$200,$G89)&gt;0,
     COUNTIFS($AR$2:$AR$200,$G89)&gt;0,
     COUNTIFS($AS$2:$AS$200,$G89)&gt;0,
     COUNTIFS($AT$2:$AT$200,$G89)&gt;0,
     COUNTIFS($AU$2:$AU$200,$G89)&gt;0,
     COUNTIFS($AV$2:$AV$200,$G89)&gt;0,
     COUNTIFS($AW$2:$AW$200,$G89)&gt;0,
     COUNTIFS($AX$2:$AX$200,$G89)&gt;0
   )),
  ),
  2
 ),
"")</f>
        <v/>
      </c>
      <c r="E89" s="3" t="str" cm="1">
        <f t="array" aca="1" ref="E89" ca="1">IFERROR(
 INDEX(
  _xlfn._xlws.FILTER($U$1:$AX$1,
   TRANSPOSE(
    CHOOSE({1;2;3;4;5;6;7;8;9;10;11;12;13;14;15;16;17;18;19;20;21;22;23;24;25;26;27;28;29;30},
     COUNTIFS($U$2:$U$200,$G89)&gt;0,
     COUNTIFS($V$2:$V$200,$G89)&gt;0,
     COUNTIFS($W$2:$W$200,$G89)&gt;0,
     COUNTIFS($X$2:$X$200,$G89)&gt;0,
     COUNTIFS($Y$2:$Y$200,$G89)&gt;0,
     COUNTIFS($Z$2:$Z$200,$G89)&gt;0,
     COUNTIFS($AA$2:$AA$200,$G89)&gt;0,
     COUNTIFS($AB$2:$AB$200,$G89)&gt;0,
     COUNTIFS($AC$2:$AC$200,$G89)&gt;0,
     COUNTIFS($AD$2:$AD$200,$G89)&gt;0,
     COUNTIFS($AE$2:$AE$200,$G89)&gt;0,
     COUNTIFS($AF$2:$AF$200,$G89)&gt;0,
     COUNTIFS($AG$2:$AG$200,$G89)&gt;0,
     COUNTIFS($AH$2:$AH$200,$G89)&gt;0,
     COUNTIFS($AI$2:$AI$200,$G89)&gt;0,
     COUNTIFS($AJ$2:$AJ$200,$G89)&gt;0,
     COUNTIFS($AK$2:$AK$200,$G89)&gt;0,
     COUNTIFS($AL$2:$AL$200,$G89)&gt;0,
     COUNTIFS($AM$2:$AM$200,$G89)&gt;0,
     COUNTIFS($AN$2:$AN$200,$G89)&gt;0,
     COUNTIFS($AO$2:$AO$200,$G89)&gt;0,
     COUNTIFS($AP$2:$AP$200,$G89)&gt;0,
     COUNTIFS($AQ$2:$AQ$200,$G89)&gt;0,
     COUNTIFS($AR$2:$AR$200,$G89)&gt;0,
     COUNTIFS($AS$2:$AS$200,$G89)&gt;0,
     COUNTIFS($AT$2:$AT$200,$G89)&gt;0,
     COUNTIFS($AU$2:$AU$200,$G89)&gt;0,
     COUNTIFS($AV$2:$AV$200,$G89)&gt;0,
     COUNTIFS($AW$2:$AW$200,$G89)&gt;0,
     COUNTIFS($AX$2:$AX$200,$G89)&gt;0
   )),
  ),
  3
 ),
"")</f>
        <v/>
      </c>
      <c r="F89" s="3" t="str" cm="1">
        <f t="array" aca="1" ref="F89" ca="1">IFERROR(
 INDEX(
  _xlfn._xlws.FILTER($U$1:$AX$1,
   TRANSPOSE(
    CHOOSE({1;2;3;4;5;6;7;8;9;10;11;12;13;14;15;16;17;18;19;20;21;22;23;24;25;26;27;28;29;30},
     COUNTIFS($U$2:$U$200,$G89)&gt;0,
     COUNTIFS($V$2:$V$200,$G89)&gt;0,
     COUNTIFS($W$2:$W$200,$G89)&gt;0,
     COUNTIFS($X$2:$X$200,$G89)&gt;0,
     COUNTIFS($Y$2:$Y$200,$G89)&gt;0,
     COUNTIFS($Z$2:$Z$200,$G89)&gt;0,
     COUNTIFS($AA$2:$AA$200,$G89)&gt;0,
     COUNTIFS($AB$2:$AB$200,$G89)&gt;0,
     COUNTIFS($AC$2:$AC$200,$G89)&gt;0,
     COUNTIFS($AD$2:$AD$200,$G89)&gt;0,
     COUNTIFS($AE$2:$AE$200,$G89)&gt;0,
     COUNTIFS($AF$2:$AF$200,$G89)&gt;0,
     COUNTIFS($AG$2:$AG$200,$G89)&gt;0,
     COUNTIFS($AH$2:$AH$200,$G89)&gt;0,
     COUNTIFS($AI$2:$AI$200,$G89)&gt;0,
     COUNTIFS($AJ$2:$AJ$200,$G89)&gt;0,
     COUNTIFS($AK$2:$AK$200,$G89)&gt;0,
     COUNTIFS($AL$2:$AL$200,$G89)&gt;0,
     COUNTIFS($AM$2:$AM$200,$G89)&gt;0,
     COUNTIFS($AN$2:$AN$200,$G89)&gt;0,
     COUNTIFS($AO$2:$AO$200,$G89)&gt;0,
     COUNTIFS($AP$2:$AP$200,$G89)&gt;0,
     COUNTIFS($AQ$2:$AQ$200,$G89)&gt;0,
     COUNTIFS($AR$2:$AR$200,$G89)&gt;0,
     COUNTIFS($AS$2:$AS$200,$G89)&gt;0,
     COUNTIFS($AT$2:$AT$200,$G89)&gt;0,
     COUNTIFS($AU$2:$AU$200,$G89)&gt;0,
     COUNTIFS($AV$2:$AV$200,$G89)&gt;0,
     COUNTIFS($AW$2:$AW$200,$G89)&gt;0,
     COUNTIFS($AX$2:$AX$200,$G89)&gt;0
   )),
  ),
  4
 ),
"")</f>
        <v/>
      </c>
      <c r="G89" t="str">
        <f ca="1"/>
        <v>Dollmaker's Shop // Porcelain Gallery</v>
      </c>
      <c r="AX89" t="str">
        <v>Tireless Provisioner</v>
      </c>
      <c r="BI89" t="str">
        <f ca="1"/>
        <v>Shoot the Sheriff</v>
      </c>
      <c r="BN89" t="str">
        <f ca="1"/>
        <v>Training Center</v>
      </c>
      <c r="BO89" t="str">
        <f ca="1"/>
        <v>Kutzil, Malamet Exemplar</v>
      </c>
      <c r="BR89" t="str">
        <f ca="1"/>
        <v>O Dínamo Peregrino</v>
      </c>
      <c r="BT89" t="str">
        <f ca="1"/>
        <v>Invasion of Segovia</v>
      </c>
    </row>
    <row r="90" spans="1:72" x14ac:dyDescent="0.25">
      <c r="A90" s="3" t="str">
        <f t="shared" ca="1" si="4"/>
        <v>3</v>
      </c>
      <c r="B90" s="3">
        <f t="shared" ca="1" si="5"/>
        <v>1</v>
      </c>
      <c r="C90" s="3" t="str">
        <f ca="1">IFERROR(
 INDEX($U$1:$AX$1,
  MATCH(TRUE,
   CHOOSE({1;2;3;4;5;6;7;8;9;10;11;12;13;14;15;16;17;18;19;20;21;22;23;24;25;26;27;28;29;30;31;32},
    COUNTIFS($U$2:$U$200,$G90)&gt;0,
    COUNTIFS($V$2:$V$200,$G90)&gt;0,
    COUNTIFS($W$2:$W$200,$G90)&gt;0,
    COUNTIFS($X$2:$X$200,$G90)&gt;0,
    COUNTIFS($Y$2:$Y$200,$G90)&gt;0,
    COUNTIFS($Z$2:$Z$200,$G90)&gt;0,
    COUNTIFS($AA$2:$AA$200,$G90)&gt;0,
    COUNTIFS($AB$2:$AB$200,$G90)&gt;0,
    COUNTIFS($AC$2:$AC$200,$G90)&gt;0,
    COUNTIFS($AD$2:$AD$200,$G90)&gt;0,
    COUNTIFS($AE$2:$AE$200,$G90)&gt;0,
    COUNTIFS($AF$2:$AF$200,$G90)&gt;0,
    COUNTIFS($AG$2:$AG$200,$G90)&gt;0,
    COUNTIFS($AH$2:$AH$200,$G90)&gt;0,
    COUNTIFS($AI$2:$AI$200,$G90)&gt;0,
    COUNTIFS($AJ$2:$AJ$200,$G90)&gt;0,
    COUNTIFS($AK$2:$AK$200,$G90)&gt;0,
    COUNTIFS($AL$2:$AL$200,$G90)&gt;0,
    COUNTIFS($AM$2:$AM$200,$G90)&gt;0,
    COUNTIFS($AN$2:$AN$200,$G90)&gt;0,
    COUNTIFS($AO$2:$AO$200,$G90)&gt;0,
    COUNTIFS($AP$2:$AP$200,$G90)&gt;0,
    COUNTIFS($AQ$2:$AQ$200,$G90)&gt;0,
    COUNTIFS($AR$2:$AR$200,$G90)&gt;0,
    COUNTIFS($AS$2:$AS$200,$G90)&gt;0,
    COUNTIFS($AT$2:$AT$200,$G90)&gt;0,
    COUNTIFS($AU$2:$AU$200,$G90)&gt;0,
    COUNTIFS($AV$2:$AV$200,$G90)&gt;0,
    COUNTIFS($AW$2:$AW$200,$G90)&gt;0,
    COUNTIFS($AX$2:$AX$200,$G90)&gt;0
   ),
  0)
 ),
"")</f>
        <v>Inalla</v>
      </c>
      <c r="D90" s="3" t="str" cm="1">
        <f t="array" aca="1" ref="D90" ca="1">IFERROR(
 INDEX(
  _xlfn._xlws.FILTER($U$1:$AX$1,
   TRANSPOSE(
    CHOOSE({1;2;3;4;5;6;7;8;9;10;11;12;13;14;15;16;17;18;19;20;21;22;23;24;25;26;27;28;29;30},
     COUNTIFS($U$2:$U$200,$G90)&gt;0,
     COUNTIFS($V$2:$V$200,$G90)&gt;0,
     COUNTIFS($W$2:$W$200,$G90)&gt;0,
     COUNTIFS($X$2:$X$200,$G90)&gt;0,
     COUNTIFS($Y$2:$Y$200,$G90)&gt;0,
     COUNTIFS($Z$2:$Z$200,$G90)&gt;0,
     COUNTIFS($AA$2:$AA$200,$G90)&gt;0,
     COUNTIFS($AB$2:$AB$200,$G90)&gt;0,
     COUNTIFS($AC$2:$AC$200,$G90)&gt;0,
     COUNTIFS($AD$2:$AD$200,$G90)&gt;0,
     COUNTIFS($AE$2:$AE$200,$G90)&gt;0,
     COUNTIFS($AF$2:$AF$200,$G90)&gt;0,
     COUNTIFS($AG$2:$AG$200,$G90)&gt;0,
     COUNTIFS($AH$2:$AH$200,$G90)&gt;0,
     COUNTIFS($AI$2:$AI$200,$G90)&gt;0,
     COUNTIFS($AJ$2:$AJ$200,$G90)&gt;0,
     COUNTIFS($AK$2:$AK$200,$G90)&gt;0,
     COUNTIFS($AL$2:$AL$200,$G90)&gt;0,
     COUNTIFS($AM$2:$AM$200,$G90)&gt;0,
     COUNTIFS($AN$2:$AN$200,$G90)&gt;0,
     COUNTIFS($AO$2:$AO$200,$G90)&gt;0,
     COUNTIFS($AP$2:$AP$200,$G90)&gt;0,
     COUNTIFS($AQ$2:$AQ$200,$G90)&gt;0,
     COUNTIFS($AR$2:$AR$200,$G90)&gt;0,
     COUNTIFS($AS$2:$AS$200,$G90)&gt;0,
     COUNTIFS($AT$2:$AT$200,$G90)&gt;0,
     COUNTIFS($AU$2:$AU$200,$G90)&gt;0,
     COUNTIFS($AV$2:$AV$200,$G90)&gt;0,
     COUNTIFS($AW$2:$AW$200,$G90)&gt;0,
     COUNTIFS($AX$2:$AX$200,$G90)&gt;0
   )),
  ),
  2
 ),
"")</f>
        <v/>
      </c>
      <c r="E90" s="3" t="str" cm="1">
        <f t="array" aca="1" ref="E90" ca="1">IFERROR(
 INDEX(
  _xlfn._xlws.FILTER($U$1:$AX$1,
   TRANSPOSE(
    CHOOSE({1;2;3;4;5;6;7;8;9;10;11;12;13;14;15;16;17;18;19;20;21;22;23;24;25;26;27;28;29;30},
     COUNTIFS($U$2:$U$200,$G90)&gt;0,
     COUNTIFS($V$2:$V$200,$G90)&gt;0,
     COUNTIFS($W$2:$W$200,$G90)&gt;0,
     COUNTIFS($X$2:$X$200,$G90)&gt;0,
     COUNTIFS($Y$2:$Y$200,$G90)&gt;0,
     COUNTIFS($Z$2:$Z$200,$G90)&gt;0,
     COUNTIFS($AA$2:$AA$200,$G90)&gt;0,
     COUNTIFS($AB$2:$AB$200,$G90)&gt;0,
     COUNTIFS($AC$2:$AC$200,$G90)&gt;0,
     COUNTIFS($AD$2:$AD$200,$G90)&gt;0,
     COUNTIFS($AE$2:$AE$200,$G90)&gt;0,
     COUNTIFS($AF$2:$AF$200,$G90)&gt;0,
     COUNTIFS($AG$2:$AG$200,$G90)&gt;0,
     COUNTIFS($AH$2:$AH$200,$G90)&gt;0,
     COUNTIFS($AI$2:$AI$200,$G90)&gt;0,
     COUNTIFS($AJ$2:$AJ$200,$G90)&gt;0,
     COUNTIFS($AK$2:$AK$200,$G90)&gt;0,
     COUNTIFS($AL$2:$AL$200,$G90)&gt;0,
     COUNTIFS($AM$2:$AM$200,$G90)&gt;0,
     COUNTIFS($AN$2:$AN$200,$G90)&gt;0,
     COUNTIFS($AO$2:$AO$200,$G90)&gt;0,
     COUNTIFS($AP$2:$AP$200,$G90)&gt;0,
     COUNTIFS($AQ$2:$AQ$200,$G90)&gt;0,
     COUNTIFS($AR$2:$AR$200,$G90)&gt;0,
     COUNTIFS($AS$2:$AS$200,$G90)&gt;0,
     COUNTIFS($AT$2:$AT$200,$G90)&gt;0,
     COUNTIFS($AU$2:$AU$200,$G90)&gt;0,
     COUNTIFS($AV$2:$AV$200,$G90)&gt;0,
     COUNTIFS($AW$2:$AW$200,$G90)&gt;0,
     COUNTIFS($AX$2:$AX$200,$G90)&gt;0
   )),
  ),
  3
 ),
"")</f>
        <v/>
      </c>
      <c r="F90" s="3" t="str" cm="1">
        <f t="array" aca="1" ref="F90" ca="1">IFERROR(
 INDEX(
  _xlfn._xlws.FILTER($U$1:$AX$1,
   TRANSPOSE(
    CHOOSE({1;2;3;4;5;6;7;8;9;10;11;12;13;14;15;16;17;18;19;20;21;22;23;24;25;26;27;28;29;30},
     COUNTIFS($U$2:$U$200,$G90)&gt;0,
     COUNTIFS($V$2:$V$200,$G90)&gt;0,
     COUNTIFS($W$2:$W$200,$G90)&gt;0,
     COUNTIFS($X$2:$X$200,$G90)&gt;0,
     COUNTIFS($Y$2:$Y$200,$G90)&gt;0,
     COUNTIFS($Z$2:$Z$200,$G90)&gt;0,
     COUNTIFS($AA$2:$AA$200,$G90)&gt;0,
     COUNTIFS($AB$2:$AB$200,$G90)&gt;0,
     COUNTIFS($AC$2:$AC$200,$G90)&gt;0,
     COUNTIFS($AD$2:$AD$200,$G90)&gt;0,
     COUNTIFS($AE$2:$AE$200,$G90)&gt;0,
     COUNTIFS($AF$2:$AF$200,$G90)&gt;0,
     COUNTIFS($AG$2:$AG$200,$G90)&gt;0,
     COUNTIFS($AH$2:$AH$200,$G90)&gt;0,
     COUNTIFS($AI$2:$AI$200,$G90)&gt;0,
     COUNTIFS($AJ$2:$AJ$200,$G90)&gt;0,
     COUNTIFS($AK$2:$AK$200,$G90)&gt;0,
     COUNTIFS($AL$2:$AL$200,$G90)&gt;0,
     COUNTIFS($AM$2:$AM$200,$G90)&gt;0,
     COUNTIFS($AN$2:$AN$200,$G90)&gt;0,
     COUNTIFS($AO$2:$AO$200,$G90)&gt;0,
     COUNTIFS($AP$2:$AP$200,$G90)&gt;0,
     COUNTIFS($AQ$2:$AQ$200,$G90)&gt;0,
     COUNTIFS($AR$2:$AR$200,$G90)&gt;0,
     COUNTIFS($AS$2:$AS$200,$G90)&gt;0,
     COUNTIFS($AT$2:$AT$200,$G90)&gt;0,
     COUNTIFS($AU$2:$AU$200,$G90)&gt;0,
     COUNTIFS($AV$2:$AV$200,$G90)&gt;0,
     COUNTIFS($AW$2:$AW$200,$G90)&gt;0,
     COUNTIFS($AX$2:$AX$200,$G90)&gt;0
   )),
  ),
  4
 ),
"")</f>
        <v/>
      </c>
      <c r="G90" t="str">
        <f ca="1"/>
        <v>Dour Port-Mage</v>
      </c>
      <c r="AX90" t="str">
        <v>Toph, the Blind Bandit</v>
      </c>
      <c r="BI90" t="str">
        <f ca="1"/>
        <v>Siren Stormtamer</v>
      </c>
      <c r="BN90" t="str">
        <f ca="1"/>
        <v>Trenzalore Clocktower</v>
      </c>
      <c r="BO90" t="str">
        <f ca="1"/>
        <v>Lae'zel, Vlaakith's Champion</v>
      </c>
      <c r="BR90" t="str">
        <f ca="1"/>
        <v>Oko, Thief of Crowns</v>
      </c>
      <c r="BT90" t="str">
        <f ca="1"/>
        <v>Inventors' Fair</v>
      </c>
    </row>
    <row r="91" spans="1:72" x14ac:dyDescent="0.25">
      <c r="A91" s="3" t="str">
        <f t="shared" ca="1" si="4"/>
        <v>2</v>
      </c>
      <c r="B91" s="3">
        <f t="shared" ca="1" si="5"/>
        <v>2</v>
      </c>
      <c r="C91" s="3" t="str">
        <f ca="1">IFERROR(
 INDEX($U$1:$AX$1,
  MATCH(TRUE,
   CHOOSE({1;2;3;4;5;6;7;8;9;10;11;12;13;14;15;16;17;18;19;20;21;22;23;24;25;26;27;28;29;30;31;32},
    COUNTIFS($U$2:$U$200,$G91)&gt;0,
    COUNTIFS($V$2:$V$200,$G91)&gt;0,
    COUNTIFS($W$2:$W$200,$G91)&gt;0,
    COUNTIFS($X$2:$X$200,$G91)&gt;0,
    COUNTIFS($Y$2:$Y$200,$G91)&gt;0,
    COUNTIFS($Z$2:$Z$200,$G91)&gt;0,
    COUNTIFS($AA$2:$AA$200,$G91)&gt;0,
    COUNTIFS($AB$2:$AB$200,$G91)&gt;0,
    COUNTIFS($AC$2:$AC$200,$G91)&gt;0,
    COUNTIFS($AD$2:$AD$200,$G91)&gt;0,
    COUNTIFS($AE$2:$AE$200,$G91)&gt;0,
    COUNTIFS($AF$2:$AF$200,$G91)&gt;0,
    COUNTIFS($AG$2:$AG$200,$G91)&gt;0,
    COUNTIFS($AH$2:$AH$200,$G91)&gt;0,
    COUNTIFS($AI$2:$AI$200,$G91)&gt;0,
    COUNTIFS($AJ$2:$AJ$200,$G91)&gt;0,
    COUNTIFS($AK$2:$AK$200,$G91)&gt;0,
    COUNTIFS($AL$2:$AL$200,$G91)&gt;0,
    COUNTIFS($AM$2:$AM$200,$G91)&gt;0,
    COUNTIFS($AN$2:$AN$200,$G91)&gt;0,
    COUNTIFS($AO$2:$AO$200,$G91)&gt;0,
    COUNTIFS($AP$2:$AP$200,$G91)&gt;0,
    COUNTIFS($AQ$2:$AQ$200,$G91)&gt;0,
    COUNTIFS($AR$2:$AR$200,$G91)&gt;0,
    COUNTIFS($AS$2:$AS$200,$G91)&gt;0,
    COUNTIFS($AT$2:$AT$200,$G91)&gt;0,
    COUNTIFS($AU$2:$AU$200,$G91)&gt;0,
    COUNTIFS($AV$2:$AV$200,$G91)&gt;0,
    COUNTIFS($AW$2:$AW$200,$G91)&gt;0,
    COUNTIFS($AX$2:$AX$200,$G91)&gt;0
   ),
  0)
 ),
"")</f>
        <v>Rani</v>
      </c>
      <c r="D91" s="3" t="str" cm="1">
        <f t="array" aca="1" ref="D91" ca="1">IFERROR(
 INDEX(
  _xlfn._xlws.FILTER($U$1:$AX$1,
   TRANSPOSE(
    CHOOSE({1;2;3;4;5;6;7;8;9;10;11;12;13;14;15;16;17;18;19;20;21;22;23;24;25;26;27;28;29;30},
     COUNTIFS($U$2:$U$200,$G91)&gt;0,
     COUNTIFS($V$2:$V$200,$G91)&gt;0,
     COUNTIFS($W$2:$W$200,$G91)&gt;0,
     COUNTIFS($X$2:$X$200,$G91)&gt;0,
     COUNTIFS($Y$2:$Y$200,$G91)&gt;0,
     COUNTIFS($Z$2:$Z$200,$G91)&gt;0,
     COUNTIFS($AA$2:$AA$200,$G91)&gt;0,
     COUNTIFS($AB$2:$AB$200,$G91)&gt;0,
     COUNTIFS($AC$2:$AC$200,$G91)&gt;0,
     COUNTIFS($AD$2:$AD$200,$G91)&gt;0,
     COUNTIFS($AE$2:$AE$200,$G91)&gt;0,
     COUNTIFS($AF$2:$AF$200,$G91)&gt;0,
     COUNTIFS($AG$2:$AG$200,$G91)&gt;0,
     COUNTIFS($AH$2:$AH$200,$G91)&gt;0,
     COUNTIFS($AI$2:$AI$200,$G91)&gt;0,
     COUNTIFS($AJ$2:$AJ$200,$G91)&gt;0,
     COUNTIFS($AK$2:$AK$200,$G91)&gt;0,
     COUNTIFS($AL$2:$AL$200,$G91)&gt;0,
     COUNTIFS($AM$2:$AM$200,$G91)&gt;0,
     COUNTIFS($AN$2:$AN$200,$G91)&gt;0,
     COUNTIFS($AO$2:$AO$200,$G91)&gt;0,
     COUNTIFS($AP$2:$AP$200,$G91)&gt;0,
     COUNTIFS($AQ$2:$AQ$200,$G91)&gt;0,
     COUNTIFS($AR$2:$AR$200,$G91)&gt;0,
     COUNTIFS($AS$2:$AS$200,$G91)&gt;0,
     COUNTIFS($AT$2:$AT$200,$G91)&gt;0,
     COUNTIFS($AU$2:$AU$200,$G91)&gt;0,
     COUNTIFS($AV$2:$AV$200,$G91)&gt;0,
     COUNTIFS($AW$2:$AW$200,$G91)&gt;0,
     COUNTIFS($AX$2:$AX$200,$G91)&gt;0
   )),
  ),
  2
 ),
"")</f>
        <v>Yuriko</v>
      </c>
      <c r="E91" s="3" t="str" cm="1">
        <f t="array" aca="1" ref="E91" ca="1">IFERROR(
 INDEX(
  _xlfn._xlws.FILTER($U$1:$AX$1,
   TRANSPOSE(
    CHOOSE({1;2;3;4;5;6;7;8;9;10;11;12;13;14;15;16;17;18;19;20;21;22;23;24;25;26;27;28;29;30},
     COUNTIFS($U$2:$U$200,$G91)&gt;0,
     COUNTIFS($V$2:$V$200,$G91)&gt;0,
     COUNTIFS($W$2:$W$200,$G91)&gt;0,
     COUNTIFS($X$2:$X$200,$G91)&gt;0,
     COUNTIFS($Y$2:$Y$200,$G91)&gt;0,
     COUNTIFS($Z$2:$Z$200,$G91)&gt;0,
     COUNTIFS($AA$2:$AA$200,$G91)&gt;0,
     COUNTIFS($AB$2:$AB$200,$G91)&gt;0,
     COUNTIFS($AC$2:$AC$200,$G91)&gt;0,
     COUNTIFS($AD$2:$AD$200,$G91)&gt;0,
     COUNTIFS($AE$2:$AE$200,$G91)&gt;0,
     COUNTIFS($AF$2:$AF$200,$G91)&gt;0,
     COUNTIFS($AG$2:$AG$200,$G91)&gt;0,
     COUNTIFS($AH$2:$AH$200,$G91)&gt;0,
     COUNTIFS($AI$2:$AI$200,$G91)&gt;0,
     COUNTIFS($AJ$2:$AJ$200,$G91)&gt;0,
     COUNTIFS($AK$2:$AK$200,$G91)&gt;0,
     COUNTIFS($AL$2:$AL$200,$G91)&gt;0,
     COUNTIFS($AM$2:$AM$200,$G91)&gt;0,
     COUNTIFS($AN$2:$AN$200,$G91)&gt;0,
     COUNTIFS($AO$2:$AO$200,$G91)&gt;0,
     COUNTIFS($AP$2:$AP$200,$G91)&gt;0,
     COUNTIFS($AQ$2:$AQ$200,$G91)&gt;0,
     COUNTIFS($AR$2:$AR$200,$G91)&gt;0,
     COUNTIFS($AS$2:$AS$200,$G91)&gt;0,
     COUNTIFS($AT$2:$AT$200,$G91)&gt;0,
     COUNTIFS($AU$2:$AU$200,$G91)&gt;0,
     COUNTIFS($AV$2:$AV$200,$G91)&gt;0,
     COUNTIFS($AW$2:$AW$200,$G91)&gt;0,
     COUNTIFS($AX$2:$AX$200,$G91)&gt;0
   )),
  ),
  3
 ),
"")</f>
        <v/>
      </c>
      <c r="F91" s="3" t="str" cm="1">
        <f t="array" aca="1" ref="F91" ca="1">IFERROR(
 INDEX(
  _xlfn._xlws.FILTER($U$1:$AX$1,
   TRANSPOSE(
    CHOOSE({1;2;3;4;5;6;7;8;9;10;11;12;13;14;15;16;17;18;19;20;21;22;23;24;25;26;27;28;29;30},
     COUNTIFS($U$2:$U$200,$G91)&gt;0,
     COUNTIFS($V$2:$V$200,$G91)&gt;0,
     COUNTIFS($W$2:$W$200,$G91)&gt;0,
     COUNTIFS($X$2:$X$200,$G91)&gt;0,
     COUNTIFS($Y$2:$Y$200,$G91)&gt;0,
     COUNTIFS($Z$2:$Z$200,$G91)&gt;0,
     COUNTIFS($AA$2:$AA$200,$G91)&gt;0,
     COUNTIFS($AB$2:$AB$200,$G91)&gt;0,
     COUNTIFS($AC$2:$AC$200,$G91)&gt;0,
     COUNTIFS($AD$2:$AD$200,$G91)&gt;0,
     COUNTIFS($AE$2:$AE$200,$G91)&gt;0,
     COUNTIFS($AF$2:$AF$200,$G91)&gt;0,
     COUNTIFS($AG$2:$AG$200,$G91)&gt;0,
     COUNTIFS($AH$2:$AH$200,$G91)&gt;0,
     COUNTIFS($AI$2:$AI$200,$G91)&gt;0,
     COUNTIFS($AJ$2:$AJ$200,$G91)&gt;0,
     COUNTIFS($AK$2:$AK$200,$G91)&gt;0,
     COUNTIFS($AL$2:$AL$200,$G91)&gt;0,
     COUNTIFS($AM$2:$AM$200,$G91)&gt;0,
     COUNTIFS($AN$2:$AN$200,$G91)&gt;0,
     COUNTIFS($AO$2:$AO$200,$G91)&gt;0,
     COUNTIFS($AP$2:$AP$200,$G91)&gt;0,
     COUNTIFS($AQ$2:$AQ$200,$G91)&gt;0,
     COUNTIFS($AR$2:$AR$200,$G91)&gt;0,
     COUNTIFS($AS$2:$AS$200,$G91)&gt;0,
     COUNTIFS($AT$2:$AT$200,$G91)&gt;0,
     COUNTIFS($AU$2:$AU$200,$G91)&gt;0,
     COUNTIFS($AV$2:$AV$200,$G91)&gt;0,
     COUNTIFS($AW$2:$AW$200,$G91)&gt;0,
     COUNTIFS($AX$2:$AX$200,$G91)&gt;0
   )),
  ),
  4
 ),
"")</f>
        <v/>
      </c>
      <c r="G91" t="str">
        <f ca="1"/>
        <v>Drowned Catacomb</v>
      </c>
      <c r="AX91" t="str">
        <v>Toph, the First Metalbender</v>
      </c>
      <c r="BI91" t="str">
        <f ca="1"/>
        <v>Slagwoods Bridge</v>
      </c>
      <c r="BN91" t="str">
        <f ca="1"/>
        <v>Vanquisher's Banner</v>
      </c>
      <c r="BO91" t="str">
        <f ca="1"/>
        <v>Lightning Greaves</v>
      </c>
      <c r="BR91" t="str">
        <f ca="1"/>
        <v>Pain for All</v>
      </c>
      <c r="BT91" t="str">
        <f ca="1"/>
        <v>Irenicus's Vile Duplication</v>
      </c>
    </row>
    <row r="92" spans="1:72" x14ac:dyDescent="0.25">
      <c r="A92" s="3" t="str">
        <f t="shared" ca="1" si="4"/>
        <v>2</v>
      </c>
      <c r="B92" s="3">
        <f t="shared" ca="1" si="5"/>
        <v>1</v>
      </c>
      <c r="C92" s="3" t="str">
        <f ca="1">IFERROR(
 INDEX($U$1:$AX$1,
  MATCH(TRUE,
   CHOOSE({1;2;3;4;5;6;7;8;9;10;11;12;13;14;15;16;17;18;19;20;21;22;23;24;25;26;27;28;29;30;31;32},
    COUNTIFS($U$2:$U$200,$G92)&gt;0,
    COUNTIFS($V$2:$V$200,$G92)&gt;0,
    COUNTIFS($W$2:$W$200,$G92)&gt;0,
    COUNTIFS($X$2:$X$200,$G92)&gt;0,
    COUNTIFS($Y$2:$Y$200,$G92)&gt;0,
    COUNTIFS($Z$2:$Z$200,$G92)&gt;0,
    COUNTIFS($AA$2:$AA$200,$G92)&gt;0,
    COUNTIFS($AB$2:$AB$200,$G92)&gt;0,
    COUNTIFS($AC$2:$AC$200,$G92)&gt;0,
    COUNTIFS($AD$2:$AD$200,$G92)&gt;0,
    COUNTIFS($AE$2:$AE$200,$G92)&gt;0,
    COUNTIFS($AF$2:$AF$200,$G92)&gt;0,
    COUNTIFS($AG$2:$AG$200,$G92)&gt;0,
    COUNTIFS($AH$2:$AH$200,$G92)&gt;0,
    COUNTIFS($AI$2:$AI$200,$G92)&gt;0,
    COUNTIFS($AJ$2:$AJ$200,$G92)&gt;0,
    COUNTIFS($AK$2:$AK$200,$G92)&gt;0,
    COUNTIFS($AL$2:$AL$200,$G92)&gt;0,
    COUNTIFS($AM$2:$AM$200,$G92)&gt;0,
    COUNTIFS($AN$2:$AN$200,$G92)&gt;0,
    COUNTIFS($AO$2:$AO$200,$G92)&gt;0,
    COUNTIFS($AP$2:$AP$200,$G92)&gt;0,
    COUNTIFS($AQ$2:$AQ$200,$G92)&gt;0,
    COUNTIFS($AR$2:$AR$200,$G92)&gt;0,
    COUNTIFS($AS$2:$AS$200,$G92)&gt;0,
    COUNTIFS($AT$2:$AT$200,$G92)&gt;0,
    COUNTIFS($AU$2:$AU$200,$G92)&gt;0,
    COUNTIFS($AV$2:$AV$200,$G92)&gt;0,
    COUNTIFS($AW$2:$AW$200,$G92)&gt;0,
    COUNTIFS($AX$2:$AX$200,$G92)&gt;0
   ),
  0)
 ),
"")</f>
        <v>Rani</v>
      </c>
      <c r="D92" s="3" t="str" cm="1">
        <f t="array" aca="1" ref="D92" ca="1">IFERROR(
 INDEX(
  _xlfn._xlws.FILTER($U$1:$AX$1,
   TRANSPOSE(
    CHOOSE({1;2;3;4;5;6;7;8;9;10;11;12;13;14;15;16;17;18;19;20;21;22;23;24;25;26;27;28;29;30},
     COUNTIFS($U$2:$U$200,$G92)&gt;0,
     COUNTIFS($V$2:$V$200,$G92)&gt;0,
     COUNTIFS($W$2:$W$200,$G92)&gt;0,
     COUNTIFS($X$2:$X$200,$G92)&gt;0,
     COUNTIFS($Y$2:$Y$200,$G92)&gt;0,
     COUNTIFS($Z$2:$Z$200,$G92)&gt;0,
     COUNTIFS($AA$2:$AA$200,$G92)&gt;0,
     COUNTIFS($AB$2:$AB$200,$G92)&gt;0,
     COUNTIFS($AC$2:$AC$200,$G92)&gt;0,
     COUNTIFS($AD$2:$AD$200,$G92)&gt;0,
     COUNTIFS($AE$2:$AE$200,$G92)&gt;0,
     COUNTIFS($AF$2:$AF$200,$G92)&gt;0,
     COUNTIFS($AG$2:$AG$200,$G92)&gt;0,
     COUNTIFS($AH$2:$AH$200,$G92)&gt;0,
     COUNTIFS($AI$2:$AI$200,$G92)&gt;0,
     COUNTIFS($AJ$2:$AJ$200,$G92)&gt;0,
     COUNTIFS($AK$2:$AK$200,$G92)&gt;0,
     COUNTIFS($AL$2:$AL$200,$G92)&gt;0,
     COUNTIFS($AM$2:$AM$200,$G92)&gt;0,
     COUNTIFS($AN$2:$AN$200,$G92)&gt;0,
     COUNTIFS($AO$2:$AO$200,$G92)&gt;0,
     COUNTIFS($AP$2:$AP$200,$G92)&gt;0,
     COUNTIFS($AQ$2:$AQ$200,$G92)&gt;0,
     COUNTIFS($AR$2:$AR$200,$G92)&gt;0,
     COUNTIFS($AS$2:$AS$200,$G92)&gt;0,
     COUNTIFS($AT$2:$AT$200,$G92)&gt;0,
     COUNTIFS($AU$2:$AU$200,$G92)&gt;0,
     COUNTIFS($AV$2:$AV$200,$G92)&gt;0,
     COUNTIFS($AW$2:$AW$200,$G92)&gt;0,
     COUNTIFS($AX$2:$AX$200,$G92)&gt;0
   )),
  ),
  2
 ),
"")</f>
        <v/>
      </c>
      <c r="E92" s="3" t="str" cm="1">
        <f t="array" aca="1" ref="E92" ca="1">IFERROR(
 INDEX(
  _xlfn._xlws.FILTER($U$1:$AX$1,
   TRANSPOSE(
    CHOOSE({1;2;3;4;5;6;7;8;9;10;11;12;13;14;15;16;17;18;19;20;21;22;23;24;25;26;27;28;29;30},
     COUNTIFS($U$2:$U$200,$G92)&gt;0,
     COUNTIFS($V$2:$V$200,$G92)&gt;0,
     COUNTIFS($W$2:$W$200,$G92)&gt;0,
     COUNTIFS($X$2:$X$200,$G92)&gt;0,
     COUNTIFS($Y$2:$Y$200,$G92)&gt;0,
     COUNTIFS($Z$2:$Z$200,$G92)&gt;0,
     COUNTIFS($AA$2:$AA$200,$G92)&gt;0,
     COUNTIFS($AB$2:$AB$200,$G92)&gt;0,
     COUNTIFS($AC$2:$AC$200,$G92)&gt;0,
     COUNTIFS($AD$2:$AD$200,$G92)&gt;0,
     COUNTIFS($AE$2:$AE$200,$G92)&gt;0,
     COUNTIFS($AF$2:$AF$200,$G92)&gt;0,
     COUNTIFS($AG$2:$AG$200,$G92)&gt;0,
     COUNTIFS($AH$2:$AH$200,$G92)&gt;0,
     COUNTIFS($AI$2:$AI$200,$G92)&gt;0,
     COUNTIFS($AJ$2:$AJ$200,$G92)&gt;0,
     COUNTIFS($AK$2:$AK$200,$G92)&gt;0,
     COUNTIFS($AL$2:$AL$200,$G92)&gt;0,
     COUNTIFS($AM$2:$AM$200,$G92)&gt;0,
     COUNTIFS($AN$2:$AN$200,$G92)&gt;0,
     COUNTIFS($AO$2:$AO$200,$G92)&gt;0,
     COUNTIFS($AP$2:$AP$200,$G92)&gt;0,
     COUNTIFS($AQ$2:$AQ$200,$G92)&gt;0,
     COUNTIFS($AR$2:$AR$200,$G92)&gt;0,
     COUNTIFS($AS$2:$AS$200,$G92)&gt;0,
     COUNTIFS($AT$2:$AT$200,$G92)&gt;0,
     COUNTIFS($AU$2:$AU$200,$G92)&gt;0,
     COUNTIFS($AV$2:$AV$200,$G92)&gt;0,
     COUNTIFS($AW$2:$AW$200,$G92)&gt;0,
     COUNTIFS($AX$2:$AX$200,$G92)&gt;0
   )),
  ),
  3
 ),
"")</f>
        <v/>
      </c>
      <c r="F92" s="3" t="str" cm="1">
        <f t="array" aca="1" ref="F92" ca="1">IFERROR(
 INDEX(
  _xlfn._xlws.FILTER($U$1:$AX$1,
   TRANSPOSE(
    CHOOSE({1;2;3;4;5;6;7;8;9;10;11;12;13;14;15;16;17;18;19;20;21;22;23;24;25;26;27;28;29;30},
     COUNTIFS($U$2:$U$200,$G92)&gt;0,
     COUNTIFS($V$2:$V$200,$G92)&gt;0,
     COUNTIFS($W$2:$W$200,$G92)&gt;0,
     COUNTIFS($X$2:$X$200,$G92)&gt;0,
     COUNTIFS($Y$2:$Y$200,$G92)&gt;0,
     COUNTIFS($Z$2:$Z$200,$G92)&gt;0,
     COUNTIFS($AA$2:$AA$200,$G92)&gt;0,
     COUNTIFS($AB$2:$AB$200,$G92)&gt;0,
     COUNTIFS($AC$2:$AC$200,$G92)&gt;0,
     COUNTIFS($AD$2:$AD$200,$G92)&gt;0,
     COUNTIFS($AE$2:$AE$200,$G92)&gt;0,
     COUNTIFS($AF$2:$AF$200,$G92)&gt;0,
     COUNTIFS($AG$2:$AG$200,$G92)&gt;0,
     COUNTIFS($AH$2:$AH$200,$G92)&gt;0,
     COUNTIFS($AI$2:$AI$200,$G92)&gt;0,
     COUNTIFS($AJ$2:$AJ$200,$G92)&gt;0,
     COUNTIFS($AK$2:$AK$200,$G92)&gt;0,
     COUNTIFS($AL$2:$AL$200,$G92)&gt;0,
     COUNTIFS($AM$2:$AM$200,$G92)&gt;0,
     COUNTIFS($AN$2:$AN$200,$G92)&gt;0,
     COUNTIFS($AO$2:$AO$200,$G92)&gt;0,
     COUNTIFS($AP$2:$AP$200,$G92)&gt;0,
     COUNTIFS($AQ$2:$AQ$200,$G92)&gt;0,
     COUNTIFS($AR$2:$AR$200,$G92)&gt;0,
     COUNTIFS($AS$2:$AS$200,$G92)&gt;0,
     COUNTIFS($AT$2:$AT$200,$G92)&gt;0,
     COUNTIFS($AU$2:$AU$200,$G92)&gt;0,
     COUNTIFS($AV$2:$AV$200,$G92)&gt;0,
     COUNTIFS($AW$2:$AW$200,$G92)&gt;0,
     COUNTIFS($AX$2:$AX$200,$G92)&gt;0
   )),
  ),
  4
 ),
"")</f>
        <v/>
      </c>
      <c r="G92" t="str">
        <f ca="1"/>
        <v>Dúplice Debochada</v>
      </c>
      <c r="AX92" t="str">
        <v>Trading Post</v>
      </c>
      <c r="BI92" t="str">
        <f ca="1"/>
        <v>Sol Ring</v>
      </c>
      <c r="BN92" t="str">
        <f ca="1"/>
        <v>Vronos, Masked Inquisitor</v>
      </c>
      <c r="BO92" t="str">
        <f ca="1"/>
        <v>Lithoform Engine</v>
      </c>
      <c r="BR92" t="str">
        <f ca="1"/>
        <v>Psychic Corrosion</v>
      </c>
      <c r="BT92" t="str">
        <f ca="1"/>
        <v>Jadar, Ghoulcaller of Nephalia</v>
      </c>
    </row>
    <row r="93" spans="1:72" x14ac:dyDescent="0.25">
      <c r="A93" s="3" t="str">
        <f t="shared" ca="1" si="4"/>
        <v>1</v>
      </c>
      <c r="B93" s="3">
        <f t="shared" ca="1" si="5"/>
        <v>1</v>
      </c>
      <c r="C93" s="3" t="str">
        <f ca="1">IFERROR(
 INDEX($U$1:$AX$1,
  MATCH(TRUE,
   CHOOSE({1;2;3;4;5;6;7;8;9;10;11;12;13;14;15;16;17;18;19;20;21;22;23;24;25;26;27;28;29;30;31;32},
    COUNTIFS($U$2:$U$200,$G93)&gt;0,
    COUNTIFS($V$2:$V$200,$G93)&gt;0,
    COUNTIFS($W$2:$W$200,$G93)&gt;0,
    COUNTIFS($X$2:$X$200,$G93)&gt;0,
    COUNTIFS($Y$2:$Y$200,$G93)&gt;0,
    COUNTIFS($Z$2:$Z$200,$G93)&gt;0,
    COUNTIFS($AA$2:$AA$200,$G93)&gt;0,
    COUNTIFS($AB$2:$AB$200,$G93)&gt;0,
    COUNTIFS($AC$2:$AC$200,$G93)&gt;0,
    COUNTIFS($AD$2:$AD$200,$G93)&gt;0,
    COUNTIFS($AE$2:$AE$200,$G93)&gt;0,
    COUNTIFS($AF$2:$AF$200,$G93)&gt;0,
    COUNTIFS($AG$2:$AG$200,$G93)&gt;0,
    COUNTIFS($AH$2:$AH$200,$G93)&gt;0,
    COUNTIFS($AI$2:$AI$200,$G93)&gt;0,
    COUNTIFS($AJ$2:$AJ$200,$G93)&gt;0,
    COUNTIFS($AK$2:$AK$200,$G93)&gt;0,
    COUNTIFS($AL$2:$AL$200,$G93)&gt;0,
    COUNTIFS($AM$2:$AM$200,$G93)&gt;0,
    COUNTIFS($AN$2:$AN$200,$G93)&gt;0,
    COUNTIFS($AO$2:$AO$200,$G93)&gt;0,
    COUNTIFS($AP$2:$AP$200,$G93)&gt;0,
    COUNTIFS($AQ$2:$AQ$200,$G93)&gt;0,
    COUNTIFS($AR$2:$AR$200,$G93)&gt;0,
    COUNTIFS($AS$2:$AS$200,$G93)&gt;0,
    COUNTIFS($AT$2:$AT$200,$G93)&gt;0,
    COUNTIFS($AU$2:$AU$200,$G93)&gt;0,
    COUNTIFS($AV$2:$AV$200,$G93)&gt;0,
    COUNTIFS($AW$2:$AW$200,$G93)&gt;0,
    COUNTIFS($AX$2:$AX$200,$G93)&gt;0
   ),
  0)
 ),
"")</f>
        <v>Modular</v>
      </c>
      <c r="D93" s="3" t="str" cm="1">
        <f t="array" aca="1" ref="D93" ca="1">IFERROR(
 INDEX(
  _xlfn._xlws.FILTER($U$1:$AX$1,
   TRANSPOSE(
    CHOOSE({1;2;3;4;5;6;7;8;9;10;11;12;13;14;15;16;17;18;19;20;21;22;23;24;25;26;27;28;29;30},
     COUNTIFS($U$2:$U$200,$G93)&gt;0,
     COUNTIFS($V$2:$V$200,$G93)&gt;0,
     COUNTIFS($W$2:$W$200,$G93)&gt;0,
     COUNTIFS($X$2:$X$200,$G93)&gt;0,
     COUNTIFS($Y$2:$Y$200,$G93)&gt;0,
     COUNTIFS($Z$2:$Z$200,$G93)&gt;0,
     COUNTIFS($AA$2:$AA$200,$G93)&gt;0,
     COUNTIFS($AB$2:$AB$200,$G93)&gt;0,
     COUNTIFS($AC$2:$AC$200,$G93)&gt;0,
     COUNTIFS($AD$2:$AD$200,$G93)&gt;0,
     COUNTIFS($AE$2:$AE$200,$G93)&gt;0,
     COUNTIFS($AF$2:$AF$200,$G93)&gt;0,
     COUNTIFS($AG$2:$AG$200,$G93)&gt;0,
     COUNTIFS($AH$2:$AH$200,$G93)&gt;0,
     COUNTIFS($AI$2:$AI$200,$G93)&gt;0,
     COUNTIFS($AJ$2:$AJ$200,$G93)&gt;0,
     COUNTIFS($AK$2:$AK$200,$G93)&gt;0,
     COUNTIFS($AL$2:$AL$200,$G93)&gt;0,
     COUNTIFS($AM$2:$AM$200,$G93)&gt;0,
     COUNTIFS($AN$2:$AN$200,$G93)&gt;0,
     COUNTIFS($AO$2:$AO$200,$G93)&gt;0,
     COUNTIFS($AP$2:$AP$200,$G93)&gt;0,
     COUNTIFS($AQ$2:$AQ$200,$G93)&gt;0,
     COUNTIFS($AR$2:$AR$200,$G93)&gt;0,
     COUNTIFS($AS$2:$AS$200,$G93)&gt;0,
     COUNTIFS($AT$2:$AT$200,$G93)&gt;0,
     COUNTIFS($AU$2:$AU$200,$G93)&gt;0,
     COUNTIFS($AV$2:$AV$200,$G93)&gt;0,
     COUNTIFS($AW$2:$AW$200,$G93)&gt;0,
     COUNTIFS($AX$2:$AX$200,$G93)&gt;0
   )),
  ),
  2
 ),
"")</f>
        <v/>
      </c>
      <c r="E93" s="3" t="str" cm="1">
        <f t="array" aca="1" ref="E93" ca="1">IFERROR(
 INDEX(
  _xlfn._xlws.FILTER($U$1:$AX$1,
   TRANSPOSE(
    CHOOSE({1;2;3;4;5;6;7;8;9;10;11;12;13;14;15;16;17;18;19;20;21;22;23;24;25;26;27;28;29;30},
     COUNTIFS($U$2:$U$200,$G93)&gt;0,
     COUNTIFS($V$2:$V$200,$G93)&gt;0,
     COUNTIFS($W$2:$W$200,$G93)&gt;0,
     COUNTIFS($X$2:$X$200,$G93)&gt;0,
     COUNTIFS($Y$2:$Y$200,$G93)&gt;0,
     COUNTIFS($Z$2:$Z$200,$G93)&gt;0,
     COUNTIFS($AA$2:$AA$200,$G93)&gt;0,
     COUNTIFS($AB$2:$AB$200,$G93)&gt;0,
     COUNTIFS($AC$2:$AC$200,$G93)&gt;0,
     COUNTIFS($AD$2:$AD$200,$G93)&gt;0,
     COUNTIFS($AE$2:$AE$200,$G93)&gt;0,
     COUNTIFS($AF$2:$AF$200,$G93)&gt;0,
     COUNTIFS($AG$2:$AG$200,$G93)&gt;0,
     COUNTIFS($AH$2:$AH$200,$G93)&gt;0,
     COUNTIFS($AI$2:$AI$200,$G93)&gt;0,
     COUNTIFS($AJ$2:$AJ$200,$G93)&gt;0,
     COUNTIFS($AK$2:$AK$200,$G93)&gt;0,
     COUNTIFS($AL$2:$AL$200,$G93)&gt;0,
     COUNTIFS($AM$2:$AM$200,$G93)&gt;0,
     COUNTIFS($AN$2:$AN$200,$G93)&gt;0,
     COUNTIFS($AO$2:$AO$200,$G93)&gt;0,
     COUNTIFS($AP$2:$AP$200,$G93)&gt;0,
     COUNTIFS($AQ$2:$AQ$200,$G93)&gt;0,
     COUNTIFS($AR$2:$AR$200,$G93)&gt;0,
     COUNTIFS($AS$2:$AS$200,$G93)&gt;0,
     COUNTIFS($AT$2:$AT$200,$G93)&gt;0,
     COUNTIFS($AU$2:$AU$200,$G93)&gt;0,
     COUNTIFS($AV$2:$AV$200,$G93)&gt;0,
     COUNTIFS($AW$2:$AW$200,$G93)&gt;0,
     COUNTIFS($AX$2:$AX$200,$G93)&gt;0
   )),
  ),
  3
 ),
"")</f>
        <v/>
      </c>
      <c r="F93" s="3" t="str" cm="1">
        <f t="array" aca="1" ref="F93" ca="1">IFERROR(
 INDEX(
  _xlfn._xlws.FILTER($U$1:$AX$1,
   TRANSPOSE(
    CHOOSE({1;2;3;4;5;6;7;8;9;10;11;12;13;14;15;16;17;18;19;20;21;22;23;24;25;26;27;28;29;30},
     COUNTIFS($U$2:$U$200,$G93)&gt;0,
     COUNTIFS($V$2:$V$200,$G93)&gt;0,
     COUNTIFS($W$2:$W$200,$G93)&gt;0,
     COUNTIFS($X$2:$X$200,$G93)&gt;0,
     COUNTIFS($Y$2:$Y$200,$G93)&gt;0,
     COUNTIFS($Z$2:$Z$200,$G93)&gt;0,
     COUNTIFS($AA$2:$AA$200,$G93)&gt;0,
     COUNTIFS($AB$2:$AB$200,$G93)&gt;0,
     COUNTIFS($AC$2:$AC$200,$G93)&gt;0,
     COUNTIFS($AD$2:$AD$200,$G93)&gt;0,
     COUNTIFS($AE$2:$AE$200,$G93)&gt;0,
     COUNTIFS($AF$2:$AF$200,$G93)&gt;0,
     COUNTIFS($AG$2:$AG$200,$G93)&gt;0,
     COUNTIFS($AH$2:$AH$200,$G93)&gt;0,
     COUNTIFS($AI$2:$AI$200,$G93)&gt;0,
     COUNTIFS($AJ$2:$AJ$200,$G93)&gt;0,
     COUNTIFS($AK$2:$AK$200,$G93)&gt;0,
     COUNTIFS($AL$2:$AL$200,$G93)&gt;0,
     COUNTIFS($AM$2:$AM$200,$G93)&gt;0,
     COUNTIFS($AN$2:$AN$200,$G93)&gt;0,
     COUNTIFS($AO$2:$AO$200,$G93)&gt;0,
     COUNTIFS($AP$2:$AP$200,$G93)&gt;0,
     COUNTIFS($AQ$2:$AQ$200,$G93)&gt;0,
     COUNTIFS($AR$2:$AR$200,$G93)&gt;0,
     COUNTIFS($AS$2:$AS$200,$G93)&gt;0,
     COUNTIFS($AT$2:$AT$200,$G93)&gt;0,
     COUNTIFS($AU$2:$AU$200,$G93)&gt;0,
     COUNTIFS($AV$2:$AV$200,$G93)&gt;0,
     COUNTIFS($AW$2:$AW$200,$G93)&gt;0,
     COUNTIFS($AX$2:$AX$200,$G93)&gt;0
   )),
  ),
  4
 ),
"")</f>
        <v/>
      </c>
      <c r="G93" t="str">
        <f ca="1"/>
        <v>Duty Beyond Death</v>
      </c>
      <c r="AX93" t="str">
        <v>Tree of Tales</v>
      </c>
      <c r="BI93" t="str">
        <f ca="1"/>
        <v>Solemn Simulacrum</v>
      </c>
      <c r="BN93" t="str">
        <f ca="1"/>
        <v>Warren Soultrader</v>
      </c>
      <c r="BO93" t="str">
        <f ca="1"/>
        <v>Llanowar Reborn</v>
      </c>
      <c r="BR93" t="str">
        <f ca="1"/>
        <v>Red XIII, Proud Warrior</v>
      </c>
      <c r="BT93" t="str">
        <f ca="1"/>
        <v>Jenova, Ancient Calamity</v>
      </c>
    </row>
    <row r="94" spans="1:72" x14ac:dyDescent="0.25">
      <c r="A94" s="3" t="str">
        <f t="shared" ca="1" si="4"/>
        <v>1</v>
      </c>
      <c r="B94" s="3">
        <f t="shared" ca="1" si="5"/>
        <v>1</v>
      </c>
      <c r="C94" s="3" t="str">
        <f ca="1">IFERROR(
 INDEX($U$1:$AX$1,
  MATCH(TRUE,
   CHOOSE({1;2;3;4;5;6;7;8;9;10;11;12;13;14;15;16;17;18;19;20;21;22;23;24;25;26;27;28;29;30;31;32},
    COUNTIFS($U$2:$U$200,$G94)&gt;0,
    COUNTIFS($V$2:$V$200,$G94)&gt;0,
    COUNTIFS($W$2:$W$200,$G94)&gt;0,
    COUNTIFS($X$2:$X$200,$G94)&gt;0,
    COUNTIFS($Y$2:$Y$200,$G94)&gt;0,
    COUNTIFS($Z$2:$Z$200,$G94)&gt;0,
    COUNTIFS($AA$2:$AA$200,$G94)&gt;0,
    COUNTIFS($AB$2:$AB$200,$G94)&gt;0,
    COUNTIFS($AC$2:$AC$200,$G94)&gt;0,
    COUNTIFS($AD$2:$AD$200,$G94)&gt;0,
    COUNTIFS($AE$2:$AE$200,$G94)&gt;0,
    COUNTIFS($AF$2:$AF$200,$G94)&gt;0,
    COUNTIFS($AG$2:$AG$200,$G94)&gt;0,
    COUNTIFS($AH$2:$AH$200,$G94)&gt;0,
    COUNTIFS($AI$2:$AI$200,$G94)&gt;0,
    COUNTIFS($AJ$2:$AJ$200,$G94)&gt;0,
    COUNTIFS($AK$2:$AK$200,$G94)&gt;0,
    COUNTIFS($AL$2:$AL$200,$G94)&gt;0,
    COUNTIFS($AM$2:$AM$200,$G94)&gt;0,
    COUNTIFS($AN$2:$AN$200,$G94)&gt;0,
    COUNTIFS($AO$2:$AO$200,$G94)&gt;0,
    COUNTIFS($AP$2:$AP$200,$G94)&gt;0,
    COUNTIFS($AQ$2:$AQ$200,$G94)&gt;0,
    COUNTIFS($AR$2:$AR$200,$G94)&gt;0,
    COUNTIFS($AS$2:$AS$200,$G94)&gt;0,
    COUNTIFS($AT$2:$AT$200,$G94)&gt;0,
    COUNTIFS($AU$2:$AU$200,$G94)&gt;0,
    COUNTIFS($AV$2:$AV$200,$G94)&gt;0,
    COUNTIFS($AW$2:$AW$200,$G94)&gt;0,
    COUNTIFS($AX$2:$AX$200,$G94)&gt;0
   ),
  0)
 ),
"")</f>
        <v>Modular</v>
      </c>
      <c r="D94" s="3" t="str" cm="1">
        <f t="array" aca="1" ref="D94" ca="1">IFERROR(
 INDEX(
  _xlfn._xlws.FILTER($U$1:$AX$1,
   TRANSPOSE(
    CHOOSE({1;2;3;4;5;6;7;8;9;10;11;12;13;14;15;16;17;18;19;20;21;22;23;24;25;26;27;28;29;30},
     COUNTIFS($U$2:$U$200,$G94)&gt;0,
     COUNTIFS($V$2:$V$200,$G94)&gt;0,
     COUNTIFS($W$2:$W$200,$G94)&gt;0,
     COUNTIFS($X$2:$X$200,$G94)&gt;0,
     COUNTIFS($Y$2:$Y$200,$G94)&gt;0,
     COUNTIFS($Z$2:$Z$200,$G94)&gt;0,
     COUNTIFS($AA$2:$AA$200,$G94)&gt;0,
     COUNTIFS($AB$2:$AB$200,$G94)&gt;0,
     COUNTIFS($AC$2:$AC$200,$G94)&gt;0,
     COUNTIFS($AD$2:$AD$200,$G94)&gt;0,
     COUNTIFS($AE$2:$AE$200,$G94)&gt;0,
     COUNTIFS($AF$2:$AF$200,$G94)&gt;0,
     COUNTIFS($AG$2:$AG$200,$G94)&gt;0,
     COUNTIFS($AH$2:$AH$200,$G94)&gt;0,
     COUNTIFS($AI$2:$AI$200,$G94)&gt;0,
     COUNTIFS($AJ$2:$AJ$200,$G94)&gt;0,
     COUNTIFS($AK$2:$AK$200,$G94)&gt;0,
     COUNTIFS($AL$2:$AL$200,$G94)&gt;0,
     COUNTIFS($AM$2:$AM$200,$G94)&gt;0,
     COUNTIFS($AN$2:$AN$200,$G94)&gt;0,
     COUNTIFS($AO$2:$AO$200,$G94)&gt;0,
     COUNTIFS($AP$2:$AP$200,$G94)&gt;0,
     COUNTIFS($AQ$2:$AQ$200,$G94)&gt;0,
     COUNTIFS($AR$2:$AR$200,$G94)&gt;0,
     COUNTIFS($AS$2:$AS$200,$G94)&gt;0,
     COUNTIFS($AT$2:$AT$200,$G94)&gt;0,
     COUNTIFS($AU$2:$AU$200,$G94)&gt;0,
     COUNTIFS($AV$2:$AV$200,$G94)&gt;0,
     COUNTIFS($AW$2:$AW$200,$G94)&gt;0,
     COUNTIFS($AX$2:$AX$200,$G94)&gt;0
   )),
  ),
  2
 ),
"")</f>
        <v/>
      </c>
      <c r="E94" s="3" t="str" cm="1">
        <f t="array" aca="1" ref="E94" ca="1">IFERROR(
 INDEX(
  _xlfn._xlws.FILTER($U$1:$AX$1,
   TRANSPOSE(
    CHOOSE({1;2;3;4;5;6;7;8;9;10;11;12;13;14;15;16;17;18;19;20;21;22;23;24;25;26;27;28;29;30},
     COUNTIFS($U$2:$U$200,$G94)&gt;0,
     COUNTIFS($V$2:$V$200,$G94)&gt;0,
     COUNTIFS($W$2:$W$200,$G94)&gt;0,
     COUNTIFS($X$2:$X$200,$G94)&gt;0,
     COUNTIFS($Y$2:$Y$200,$G94)&gt;0,
     COUNTIFS($Z$2:$Z$200,$G94)&gt;0,
     COUNTIFS($AA$2:$AA$200,$G94)&gt;0,
     COUNTIFS($AB$2:$AB$200,$G94)&gt;0,
     COUNTIFS($AC$2:$AC$200,$G94)&gt;0,
     COUNTIFS($AD$2:$AD$200,$G94)&gt;0,
     COUNTIFS($AE$2:$AE$200,$G94)&gt;0,
     COUNTIFS($AF$2:$AF$200,$G94)&gt;0,
     COUNTIFS($AG$2:$AG$200,$G94)&gt;0,
     COUNTIFS($AH$2:$AH$200,$G94)&gt;0,
     COUNTIFS($AI$2:$AI$200,$G94)&gt;0,
     COUNTIFS($AJ$2:$AJ$200,$G94)&gt;0,
     COUNTIFS($AK$2:$AK$200,$G94)&gt;0,
     COUNTIFS($AL$2:$AL$200,$G94)&gt;0,
     COUNTIFS($AM$2:$AM$200,$G94)&gt;0,
     COUNTIFS($AN$2:$AN$200,$G94)&gt;0,
     COUNTIFS($AO$2:$AO$200,$G94)&gt;0,
     COUNTIFS($AP$2:$AP$200,$G94)&gt;0,
     COUNTIFS($AQ$2:$AQ$200,$G94)&gt;0,
     COUNTIFS($AR$2:$AR$200,$G94)&gt;0,
     COUNTIFS($AS$2:$AS$200,$G94)&gt;0,
     COUNTIFS($AT$2:$AT$200,$G94)&gt;0,
     COUNTIFS($AU$2:$AU$200,$G94)&gt;0,
     COUNTIFS($AV$2:$AV$200,$G94)&gt;0,
     COUNTIFS($AW$2:$AW$200,$G94)&gt;0,
     COUNTIFS($AX$2:$AX$200,$G94)&gt;0
   )),
  ),
  3
 ),
"")</f>
        <v/>
      </c>
      <c r="F94" s="3" t="str" cm="1">
        <f t="array" aca="1" ref="F94" ca="1">IFERROR(
 INDEX(
  _xlfn._xlws.FILTER($U$1:$AX$1,
   TRANSPOSE(
    CHOOSE({1;2;3;4;5;6;7;8;9;10;11;12;13;14;15;16;17;18;19;20;21;22;23;24;25;26;27;28;29;30},
     COUNTIFS($U$2:$U$200,$G94)&gt;0,
     COUNTIFS($V$2:$V$200,$G94)&gt;0,
     COUNTIFS($W$2:$W$200,$G94)&gt;0,
     COUNTIFS($X$2:$X$200,$G94)&gt;0,
     COUNTIFS($Y$2:$Y$200,$G94)&gt;0,
     COUNTIFS($Z$2:$Z$200,$G94)&gt;0,
     COUNTIFS($AA$2:$AA$200,$G94)&gt;0,
     COUNTIFS($AB$2:$AB$200,$G94)&gt;0,
     COUNTIFS($AC$2:$AC$200,$G94)&gt;0,
     COUNTIFS($AD$2:$AD$200,$G94)&gt;0,
     COUNTIFS($AE$2:$AE$200,$G94)&gt;0,
     COUNTIFS($AF$2:$AF$200,$G94)&gt;0,
     COUNTIFS($AG$2:$AG$200,$G94)&gt;0,
     COUNTIFS($AH$2:$AH$200,$G94)&gt;0,
     COUNTIFS($AI$2:$AI$200,$G94)&gt;0,
     COUNTIFS($AJ$2:$AJ$200,$G94)&gt;0,
     COUNTIFS($AK$2:$AK$200,$G94)&gt;0,
     COUNTIFS($AL$2:$AL$200,$G94)&gt;0,
     COUNTIFS($AM$2:$AM$200,$G94)&gt;0,
     COUNTIFS($AN$2:$AN$200,$G94)&gt;0,
     COUNTIFS($AO$2:$AO$200,$G94)&gt;0,
     COUNTIFS($AP$2:$AP$200,$G94)&gt;0,
     COUNTIFS($AQ$2:$AQ$200,$G94)&gt;0,
     COUNTIFS($AR$2:$AR$200,$G94)&gt;0,
     COUNTIFS($AS$2:$AS$200,$G94)&gt;0,
     COUNTIFS($AT$2:$AT$200,$G94)&gt;0,
     COUNTIFS($AU$2:$AU$200,$G94)&gt;0,
     COUNTIFS($AV$2:$AV$200,$G94)&gt;0,
     COUNTIFS($AW$2:$AW$200,$G94)&gt;0,
     COUNTIFS($AX$2:$AX$200,$G94)&gt;0
   )),
  ),
  4
 ),
"")</f>
        <v/>
      </c>
      <c r="G94" t="str">
        <f ca="1"/>
        <v>Earth Rumble</v>
      </c>
      <c r="AX94" t="str">
        <v>Walking Ballista</v>
      </c>
      <c r="BI94" t="str">
        <f ca="1"/>
        <v>Spyglass Siren</v>
      </c>
      <c r="BN94" t="str">
        <f ca="1"/>
        <v>Windcrag Siege</v>
      </c>
      <c r="BO94" t="str">
        <f ca="1"/>
        <v>Long-Range Sensor</v>
      </c>
      <c r="BR94" t="str">
        <f ca="1"/>
        <v>Reflecting Pool</v>
      </c>
      <c r="BT94" t="str">
        <f ca="1"/>
        <v>Jetmir's Garden</v>
      </c>
    </row>
    <row r="95" spans="1:72" x14ac:dyDescent="0.25">
      <c r="A95" s="3" t="str">
        <f t="shared" ca="1" si="4"/>
        <v>1</v>
      </c>
      <c r="B95" s="3">
        <f t="shared" ca="1" si="5"/>
        <v>1</v>
      </c>
      <c r="C95" s="3" t="str">
        <f ca="1">IFERROR(
 INDEX($U$1:$AX$1,
  MATCH(TRUE,
   CHOOSE({1;2;3;4;5;6;7;8;9;10;11;12;13;14;15;16;17;18;19;20;21;22;23;24;25;26;27;28;29;30;31;32},
    COUNTIFS($U$2:$U$200,$G95)&gt;0,
    COUNTIFS($V$2:$V$200,$G95)&gt;0,
    COUNTIFS($W$2:$W$200,$G95)&gt;0,
    COUNTIFS($X$2:$X$200,$G95)&gt;0,
    COUNTIFS($Y$2:$Y$200,$G95)&gt;0,
    COUNTIFS($Z$2:$Z$200,$G95)&gt;0,
    COUNTIFS($AA$2:$AA$200,$G95)&gt;0,
    COUNTIFS($AB$2:$AB$200,$G95)&gt;0,
    COUNTIFS($AC$2:$AC$200,$G95)&gt;0,
    COUNTIFS($AD$2:$AD$200,$G95)&gt;0,
    COUNTIFS($AE$2:$AE$200,$G95)&gt;0,
    COUNTIFS($AF$2:$AF$200,$G95)&gt;0,
    COUNTIFS($AG$2:$AG$200,$G95)&gt;0,
    COUNTIFS($AH$2:$AH$200,$G95)&gt;0,
    COUNTIFS($AI$2:$AI$200,$G95)&gt;0,
    COUNTIFS($AJ$2:$AJ$200,$G95)&gt;0,
    COUNTIFS($AK$2:$AK$200,$G95)&gt;0,
    COUNTIFS($AL$2:$AL$200,$G95)&gt;0,
    COUNTIFS($AM$2:$AM$200,$G95)&gt;0,
    COUNTIFS($AN$2:$AN$200,$G95)&gt;0,
    COUNTIFS($AO$2:$AO$200,$G95)&gt;0,
    COUNTIFS($AP$2:$AP$200,$G95)&gt;0,
    COUNTIFS($AQ$2:$AQ$200,$G95)&gt;0,
    COUNTIFS($AR$2:$AR$200,$G95)&gt;0,
    COUNTIFS($AS$2:$AS$200,$G95)&gt;0,
    COUNTIFS($AT$2:$AT$200,$G95)&gt;0,
    COUNTIFS($AU$2:$AU$200,$G95)&gt;0,
    COUNTIFS($AV$2:$AV$200,$G95)&gt;0,
    COUNTIFS($AW$2:$AW$200,$G95)&gt;0,
    COUNTIFS($AX$2:$AX$200,$G95)&gt;0
   ),
  0)
 ),
"")</f>
        <v>Modular</v>
      </c>
      <c r="D95" s="3" t="str" cm="1">
        <f t="array" aca="1" ref="D95" ca="1">IFERROR(
 INDEX(
  _xlfn._xlws.FILTER($U$1:$AX$1,
   TRANSPOSE(
    CHOOSE({1;2;3;4;5;6;7;8;9;10;11;12;13;14;15;16;17;18;19;20;21;22;23;24;25;26;27;28;29;30},
     COUNTIFS($U$2:$U$200,$G95)&gt;0,
     COUNTIFS($V$2:$V$200,$G95)&gt;0,
     COUNTIFS($W$2:$W$200,$G95)&gt;0,
     COUNTIFS($X$2:$X$200,$G95)&gt;0,
     COUNTIFS($Y$2:$Y$200,$G95)&gt;0,
     COUNTIFS($Z$2:$Z$200,$G95)&gt;0,
     COUNTIFS($AA$2:$AA$200,$G95)&gt;0,
     COUNTIFS($AB$2:$AB$200,$G95)&gt;0,
     COUNTIFS($AC$2:$AC$200,$G95)&gt;0,
     COUNTIFS($AD$2:$AD$200,$G95)&gt;0,
     COUNTIFS($AE$2:$AE$200,$G95)&gt;0,
     COUNTIFS($AF$2:$AF$200,$G95)&gt;0,
     COUNTIFS($AG$2:$AG$200,$G95)&gt;0,
     COUNTIFS($AH$2:$AH$200,$G95)&gt;0,
     COUNTIFS($AI$2:$AI$200,$G95)&gt;0,
     COUNTIFS($AJ$2:$AJ$200,$G95)&gt;0,
     COUNTIFS($AK$2:$AK$200,$G95)&gt;0,
     COUNTIFS($AL$2:$AL$200,$G95)&gt;0,
     COUNTIFS($AM$2:$AM$200,$G95)&gt;0,
     COUNTIFS($AN$2:$AN$200,$G95)&gt;0,
     COUNTIFS($AO$2:$AO$200,$G95)&gt;0,
     COUNTIFS($AP$2:$AP$200,$G95)&gt;0,
     COUNTIFS($AQ$2:$AQ$200,$G95)&gt;0,
     COUNTIFS($AR$2:$AR$200,$G95)&gt;0,
     COUNTIFS($AS$2:$AS$200,$G95)&gt;0,
     COUNTIFS($AT$2:$AT$200,$G95)&gt;0,
     COUNTIFS($AU$2:$AU$200,$G95)&gt;0,
     COUNTIFS($AV$2:$AV$200,$G95)&gt;0,
     COUNTIFS($AW$2:$AW$200,$G95)&gt;0,
     COUNTIFS($AX$2:$AX$200,$G95)&gt;0
   )),
  ),
  2
 ),
"")</f>
        <v/>
      </c>
      <c r="E95" s="3" t="str" cm="1">
        <f t="array" aca="1" ref="E95" ca="1">IFERROR(
 INDEX(
  _xlfn._xlws.FILTER($U$1:$AX$1,
   TRANSPOSE(
    CHOOSE({1;2;3;4;5;6;7;8;9;10;11;12;13;14;15;16;17;18;19;20;21;22;23;24;25;26;27;28;29;30},
     COUNTIFS($U$2:$U$200,$G95)&gt;0,
     COUNTIFS($V$2:$V$200,$G95)&gt;0,
     COUNTIFS($W$2:$W$200,$G95)&gt;0,
     COUNTIFS($X$2:$X$200,$G95)&gt;0,
     COUNTIFS($Y$2:$Y$200,$G95)&gt;0,
     COUNTIFS($Z$2:$Z$200,$G95)&gt;0,
     COUNTIFS($AA$2:$AA$200,$G95)&gt;0,
     COUNTIFS($AB$2:$AB$200,$G95)&gt;0,
     COUNTIFS($AC$2:$AC$200,$G95)&gt;0,
     COUNTIFS($AD$2:$AD$200,$G95)&gt;0,
     COUNTIFS($AE$2:$AE$200,$G95)&gt;0,
     COUNTIFS($AF$2:$AF$200,$G95)&gt;0,
     COUNTIFS($AG$2:$AG$200,$G95)&gt;0,
     COUNTIFS($AH$2:$AH$200,$G95)&gt;0,
     COUNTIFS($AI$2:$AI$200,$G95)&gt;0,
     COUNTIFS($AJ$2:$AJ$200,$G95)&gt;0,
     COUNTIFS($AK$2:$AK$200,$G95)&gt;0,
     COUNTIFS($AL$2:$AL$200,$G95)&gt;0,
     COUNTIFS($AM$2:$AM$200,$G95)&gt;0,
     COUNTIFS($AN$2:$AN$200,$G95)&gt;0,
     COUNTIFS($AO$2:$AO$200,$G95)&gt;0,
     COUNTIFS($AP$2:$AP$200,$G95)&gt;0,
     COUNTIFS($AQ$2:$AQ$200,$G95)&gt;0,
     COUNTIFS($AR$2:$AR$200,$G95)&gt;0,
     COUNTIFS($AS$2:$AS$200,$G95)&gt;0,
     COUNTIFS($AT$2:$AT$200,$G95)&gt;0,
     COUNTIFS($AU$2:$AU$200,$G95)&gt;0,
     COUNTIFS($AV$2:$AV$200,$G95)&gt;0,
     COUNTIFS($AW$2:$AW$200,$G95)&gt;0,
     COUNTIFS($AX$2:$AX$200,$G95)&gt;0
   )),
  ),
  3
 ),
"")</f>
        <v/>
      </c>
      <c r="F95" s="3" t="str" cm="1">
        <f t="array" aca="1" ref="F95" ca="1">IFERROR(
 INDEX(
  _xlfn._xlws.FILTER($U$1:$AX$1,
   TRANSPOSE(
    CHOOSE({1;2;3;4;5;6;7;8;9;10;11;12;13;14;15;16;17;18;19;20;21;22;23;24;25;26;27;28;29;30},
     COUNTIFS($U$2:$U$200,$G95)&gt;0,
     COUNTIFS($V$2:$V$200,$G95)&gt;0,
     COUNTIFS($W$2:$W$200,$G95)&gt;0,
     COUNTIFS($X$2:$X$200,$G95)&gt;0,
     COUNTIFS($Y$2:$Y$200,$G95)&gt;0,
     COUNTIFS($Z$2:$Z$200,$G95)&gt;0,
     COUNTIFS($AA$2:$AA$200,$G95)&gt;0,
     COUNTIFS($AB$2:$AB$200,$G95)&gt;0,
     COUNTIFS($AC$2:$AC$200,$G95)&gt;0,
     COUNTIFS($AD$2:$AD$200,$G95)&gt;0,
     COUNTIFS($AE$2:$AE$200,$G95)&gt;0,
     COUNTIFS($AF$2:$AF$200,$G95)&gt;0,
     COUNTIFS($AG$2:$AG$200,$G95)&gt;0,
     COUNTIFS($AH$2:$AH$200,$G95)&gt;0,
     COUNTIFS($AI$2:$AI$200,$G95)&gt;0,
     COUNTIFS($AJ$2:$AJ$200,$G95)&gt;0,
     COUNTIFS($AK$2:$AK$200,$G95)&gt;0,
     COUNTIFS($AL$2:$AL$200,$G95)&gt;0,
     COUNTIFS($AM$2:$AM$200,$G95)&gt;0,
     COUNTIFS($AN$2:$AN$200,$G95)&gt;0,
     COUNTIFS($AO$2:$AO$200,$G95)&gt;0,
     COUNTIFS($AP$2:$AP$200,$G95)&gt;0,
     COUNTIFS($AQ$2:$AQ$200,$G95)&gt;0,
     COUNTIFS($AR$2:$AR$200,$G95)&gt;0,
     COUNTIFS($AS$2:$AS$200,$G95)&gt;0,
     COUNTIFS($AT$2:$AT$200,$G95)&gt;0,
     COUNTIFS($AU$2:$AU$200,$G95)&gt;0,
     COUNTIFS($AV$2:$AV$200,$G95)&gt;0,
     COUNTIFS($AW$2:$AW$200,$G95)&gt;0,
     COUNTIFS($AX$2:$AX$200,$G95)&gt;0
   )),
  ),
  4
 ),
"")</f>
        <v/>
      </c>
      <c r="G95" t="str">
        <f ca="1"/>
        <v>Earthbending Student</v>
      </c>
      <c r="AX95" t="str">
        <v>Zabaz, the Glimmerwasp</v>
      </c>
      <c r="BI95" t="str">
        <f ca="1"/>
        <v>Steel Overseer</v>
      </c>
      <c r="BN95" t="str">
        <f ca="1"/>
        <v>World at War</v>
      </c>
      <c r="BO95" t="str">
        <f ca="1"/>
        <v>Lotus Field</v>
      </c>
      <c r="BR95" t="str">
        <f ca="1"/>
        <v>Reforge the Soul</v>
      </c>
      <c r="BT95" t="str">
        <f ca="1"/>
        <v>Jidoor, Aristocratic Capital // Overture</v>
      </c>
    </row>
    <row r="96" spans="1:72" x14ac:dyDescent="0.25">
      <c r="A96" s="3" t="str">
        <f t="shared" ca="1" si="4"/>
        <v>3</v>
      </c>
      <c r="B96" s="3">
        <f t="shared" ca="1" si="5"/>
        <v>1</v>
      </c>
      <c r="C96" s="3" t="str">
        <f ca="1">IFERROR(
 INDEX($U$1:$AX$1,
  MATCH(TRUE,
   CHOOSE({1;2;3;4;5;6;7;8;9;10;11;12;13;14;15;16;17;18;19;20;21;22;23;24;25;26;27;28;29;30;31;32},
    COUNTIFS($U$2:$U$200,$G96)&gt;0,
    COUNTIFS($V$2:$V$200,$G96)&gt;0,
    COUNTIFS($W$2:$W$200,$G96)&gt;0,
    COUNTIFS($X$2:$X$200,$G96)&gt;0,
    COUNTIFS($Y$2:$Y$200,$G96)&gt;0,
    COUNTIFS($Z$2:$Z$200,$G96)&gt;0,
    COUNTIFS($AA$2:$AA$200,$G96)&gt;0,
    COUNTIFS($AB$2:$AB$200,$G96)&gt;0,
    COUNTIFS($AC$2:$AC$200,$G96)&gt;0,
    COUNTIFS($AD$2:$AD$200,$G96)&gt;0,
    COUNTIFS($AE$2:$AE$200,$G96)&gt;0,
    COUNTIFS($AF$2:$AF$200,$G96)&gt;0,
    COUNTIFS($AG$2:$AG$200,$G96)&gt;0,
    COUNTIFS($AH$2:$AH$200,$G96)&gt;0,
    COUNTIFS($AI$2:$AI$200,$G96)&gt;0,
    COUNTIFS($AJ$2:$AJ$200,$G96)&gt;0,
    COUNTIFS($AK$2:$AK$200,$G96)&gt;0,
    COUNTIFS($AL$2:$AL$200,$G96)&gt;0,
    COUNTIFS($AM$2:$AM$200,$G96)&gt;0,
    COUNTIFS($AN$2:$AN$200,$G96)&gt;0,
    COUNTIFS($AO$2:$AO$200,$G96)&gt;0,
    COUNTIFS($AP$2:$AP$200,$G96)&gt;0,
    COUNTIFS($AQ$2:$AQ$200,$G96)&gt;0,
    COUNTIFS($AR$2:$AR$200,$G96)&gt;0,
    COUNTIFS($AS$2:$AS$200,$G96)&gt;0,
    COUNTIFS($AT$2:$AT$200,$G96)&gt;0,
    COUNTIFS($AU$2:$AU$200,$G96)&gt;0,
    COUNTIFS($AV$2:$AV$200,$G96)&gt;0,
    COUNTIFS($AW$2:$AW$200,$G96)&gt;0,
    COUNTIFS($AX$2:$AX$200,$G96)&gt;0
   ),
  0)
 ),
"")</f>
        <v>Sisay</v>
      </c>
      <c r="D96" s="3" t="str" cm="1">
        <f t="array" aca="1" ref="D96" ca="1">IFERROR(
 INDEX(
  _xlfn._xlws.FILTER($U$1:$AX$1,
   TRANSPOSE(
    CHOOSE({1;2;3;4;5;6;7;8;9;10;11;12;13;14;15;16;17;18;19;20;21;22;23;24;25;26;27;28;29;30},
     COUNTIFS($U$2:$U$200,$G96)&gt;0,
     COUNTIFS($V$2:$V$200,$G96)&gt;0,
     COUNTIFS($W$2:$W$200,$G96)&gt;0,
     COUNTIFS($X$2:$X$200,$G96)&gt;0,
     COUNTIFS($Y$2:$Y$200,$G96)&gt;0,
     COUNTIFS($Z$2:$Z$200,$G96)&gt;0,
     COUNTIFS($AA$2:$AA$200,$G96)&gt;0,
     COUNTIFS($AB$2:$AB$200,$G96)&gt;0,
     COUNTIFS($AC$2:$AC$200,$G96)&gt;0,
     COUNTIFS($AD$2:$AD$200,$G96)&gt;0,
     COUNTIFS($AE$2:$AE$200,$G96)&gt;0,
     COUNTIFS($AF$2:$AF$200,$G96)&gt;0,
     COUNTIFS($AG$2:$AG$200,$G96)&gt;0,
     COUNTIFS($AH$2:$AH$200,$G96)&gt;0,
     COUNTIFS($AI$2:$AI$200,$G96)&gt;0,
     COUNTIFS($AJ$2:$AJ$200,$G96)&gt;0,
     COUNTIFS($AK$2:$AK$200,$G96)&gt;0,
     COUNTIFS($AL$2:$AL$200,$G96)&gt;0,
     COUNTIFS($AM$2:$AM$200,$G96)&gt;0,
     COUNTIFS($AN$2:$AN$200,$G96)&gt;0,
     COUNTIFS($AO$2:$AO$200,$G96)&gt;0,
     COUNTIFS($AP$2:$AP$200,$G96)&gt;0,
     COUNTIFS($AQ$2:$AQ$200,$G96)&gt;0,
     COUNTIFS($AR$2:$AR$200,$G96)&gt;0,
     COUNTIFS($AS$2:$AS$200,$G96)&gt;0,
     COUNTIFS($AT$2:$AT$200,$G96)&gt;0,
     COUNTIFS($AU$2:$AU$200,$G96)&gt;0,
     COUNTIFS($AV$2:$AV$200,$G96)&gt;0,
     COUNTIFS($AW$2:$AW$200,$G96)&gt;0,
     COUNTIFS($AX$2:$AX$200,$G96)&gt;0
   )),
  ),
  2
 ),
"")</f>
        <v/>
      </c>
      <c r="E96" s="3" t="str" cm="1">
        <f t="array" aca="1" ref="E96" ca="1">IFERROR(
 INDEX(
  _xlfn._xlws.FILTER($U$1:$AX$1,
   TRANSPOSE(
    CHOOSE({1;2;3;4;5;6;7;8;9;10;11;12;13;14;15;16;17;18;19;20;21;22;23;24;25;26;27;28;29;30},
     COUNTIFS($U$2:$U$200,$G96)&gt;0,
     COUNTIFS($V$2:$V$200,$G96)&gt;0,
     COUNTIFS($W$2:$W$200,$G96)&gt;0,
     COUNTIFS($X$2:$X$200,$G96)&gt;0,
     COUNTIFS($Y$2:$Y$200,$G96)&gt;0,
     COUNTIFS($Z$2:$Z$200,$G96)&gt;0,
     COUNTIFS($AA$2:$AA$200,$G96)&gt;0,
     COUNTIFS($AB$2:$AB$200,$G96)&gt;0,
     COUNTIFS($AC$2:$AC$200,$G96)&gt;0,
     COUNTIFS($AD$2:$AD$200,$G96)&gt;0,
     COUNTIFS($AE$2:$AE$200,$G96)&gt;0,
     COUNTIFS($AF$2:$AF$200,$G96)&gt;0,
     COUNTIFS($AG$2:$AG$200,$G96)&gt;0,
     COUNTIFS($AH$2:$AH$200,$G96)&gt;0,
     COUNTIFS($AI$2:$AI$200,$G96)&gt;0,
     COUNTIFS($AJ$2:$AJ$200,$G96)&gt;0,
     COUNTIFS($AK$2:$AK$200,$G96)&gt;0,
     COUNTIFS($AL$2:$AL$200,$G96)&gt;0,
     COUNTIFS($AM$2:$AM$200,$G96)&gt;0,
     COUNTIFS($AN$2:$AN$200,$G96)&gt;0,
     COUNTIFS($AO$2:$AO$200,$G96)&gt;0,
     COUNTIFS($AP$2:$AP$200,$G96)&gt;0,
     COUNTIFS($AQ$2:$AQ$200,$G96)&gt;0,
     COUNTIFS($AR$2:$AR$200,$G96)&gt;0,
     COUNTIFS($AS$2:$AS$200,$G96)&gt;0,
     COUNTIFS($AT$2:$AT$200,$G96)&gt;0,
     COUNTIFS($AU$2:$AU$200,$G96)&gt;0,
     COUNTIFS($AV$2:$AV$200,$G96)&gt;0,
     COUNTIFS($AW$2:$AW$200,$G96)&gt;0,
     COUNTIFS($AX$2:$AX$200,$G96)&gt;0
   )),
  ),
  3
 ),
"")</f>
        <v/>
      </c>
      <c r="F96" s="3" t="str" cm="1">
        <f t="array" aca="1" ref="F96" ca="1">IFERROR(
 INDEX(
  _xlfn._xlws.FILTER($U$1:$AX$1,
   TRANSPOSE(
    CHOOSE({1;2;3;4;5;6;7;8;9;10;11;12;13;14;15;16;17;18;19;20;21;22;23;24;25;26;27;28;29;30},
     COUNTIFS($U$2:$U$200,$G96)&gt;0,
     COUNTIFS($V$2:$V$200,$G96)&gt;0,
     COUNTIFS($W$2:$W$200,$G96)&gt;0,
     COUNTIFS($X$2:$X$200,$G96)&gt;0,
     COUNTIFS($Y$2:$Y$200,$G96)&gt;0,
     COUNTIFS($Z$2:$Z$200,$G96)&gt;0,
     COUNTIFS($AA$2:$AA$200,$G96)&gt;0,
     COUNTIFS($AB$2:$AB$200,$G96)&gt;0,
     COUNTIFS($AC$2:$AC$200,$G96)&gt;0,
     COUNTIFS($AD$2:$AD$200,$G96)&gt;0,
     COUNTIFS($AE$2:$AE$200,$G96)&gt;0,
     COUNTIFS($AF$2:$AF$200,$G96)&gt;0,
     COUNTIFS($AG$2:$AG$200,$G96)&gt;0,
     COUNTIFS($AH$2:$AH$200,$G96)&gt;0,
     COUNTIFS($AI$2:$AI$200,$G96)&gt;0,
     COUNTIFS($AJ$2:$AJ$200,$G96)&gt;0,
     COUNTIFS($AK$2:$AK$200,$G96)&gt;0,
     COUNTIFS($AL$2:$AL$200,$G96)&gt;0,
     COUNTIFS($AM$2:$AM$200,$G96)&gt;0,
     COUNTIFS($AN$2:$AN$200,$G96)&gt;0,
     COUNTIFS($AO$2:$AO$200,$G96)&gt;0,
     COUNTIFS($AP$2:$AP$200,$G96)&gt;0,
     COUNTIFS($AQ$2:$AQ$200,$G96)&gt;0,
     COUNTIFS($AR$2:$AR$200,$G96)&gt;0,
     COUNTIFS($AS$2:$AS$200,$G96)&gt;0,
     COUNTIFS($AT$2:$AT$200,$G96)&gt;0,
     COUNTIFS($AU$2:$AU$200,$G96)&gt;0,
     COUNTIFS($AV$2:$AV$200,$G96)&gt;0,
     COUNTIFS($AW$2:$AW$200,$G96)&gt;0,
     COUNTIFS($AX$2:$AX$200,$G96)&gt;0
   )),
  ),
  4
 ),
"")</f>
        <v/>
      </c>
      <c r="G96" t="str">
        <f ca="1"/>
        <v>Elspeth, Sun's Champion</v>
      </c>
      <c r="BI96" t="str">
        <f ca="1"/>
        <v>Storm the Vault</v>
      </c>
      <c r="BN96" t="str">
        <f ca="1"/>
        <v>Xantcha, Agente Adormecida</v>
      </c>
      <c r="BO96" t="str">
        <f ca="1"/>
        <v>Maester Seymour</v>
      </c>
      <c r="BR96" t="str">
        <f ca="1"/>
        <v>Relentless Assault</v>
      </c>
      <c r="BT96" t="str">
        <f ca="1"/>
        <v>Jitte Perdida</v>
      </c>
    </row>
    <row r="97" spans="1:72" x14ac:dyDescent="0.25">
      <c r="A97" s="3" t="str">
        <f t="shared" ca="1" si="4"/>
        <v>1</v>
      </c>
      <c r="B97" s="3">
        <f t="shared" ca="1" si="5"/>
        <v>1</v>
      </c>
      <c r="C97" s="3" t="str">
        <f ca="1">IFERROR(
 INDEX($U$1:$AX$1,
  MATCH(TRUE,
   CHOOSE({1;2;3;4;5;6;7;8;9;10;11;12;13;14;15;16;17;18;19;20;21;22;23;24;25;26;27;28;29;30;31;32},
    COUNTIFS($U$2:$U$200,$G97)&gt;0,
    COUNTIFS($V$2:$V$200,$G97)&gt;0,
    COUNTIFS($W$2:$W$200,$G97)&gt;0,
    COUNTIFS($X$2:$X$200,$G97)&gt;0,
    COUNTIFS($Y$2:$Y$200,$G97)&gt;0,
    COUNTIFS($Z$2:$Z$200,$G97)&gt;0,
    COUNTIFS($AA$2:$AA$200,$G97)&gt;0,
    COUNTIFS($AB$2:$AB$200,$G97)&gt;0,
    COUNTIFS($AC$2:$AC$200,$G97)&gt;0,
    COUNTIFS($AD$2:$AD$200,$G97)&gt;0,
    COUNTIFS($AE$2:$AE$200,$G97)&gt;0,
    COUNTIFS($AF$2:$AF$200,$G97)&gt;0,
    COUNTIFS($AG$2:$AG$200,$G97)&gt;0,
    COUNTIFS($AH$2:$AH$200,$G97)&gt;0,
    COUNTIFS($AI$2:$AI$200,$G97)&gt;0,
    COUNTIFS($AJ$2:$AJ$200,$G97)&gt;0,
    COUNTIFS($AK$2:$AK$200,$G97)&gt;0,
    COUNTIFS($AL$2:$AL$200,$G97)&gt;0,
    COUNTIFS($AM$2:$AM$200,$G97)&gt;0,
    COUNTIFS($AN$2:$AN$200,$G97)&gt;0,
    COUNTIFS($AO$2:$AO$200,$G97)&gt;0,
    COUNTIFS($AP$2:$AP$200,$G97)&gt;0,
    COUNTIFS($AQ$2:$AQ$200,$G97)&gt;0,
    COUNTIFS($AR$2:$AR$200,$G97)&gt;0,
    COUNTIFS($AS$2:$AS$200,$G97)&gt;0,
    COUNTIFS($AT$2:$AT$200,$G97)&gt;0,
    COUNTIFS($AU$2:$AU$200,$G97)&gt;0,
    COUNTIFS($AV$2:$AV$200,$G97)&gt;0,
    COUNTIFS($AW$2:$AW$200,$G97)&gt;0,
    COUNTIFS($AX$2:$AX$200,$G97)&gt;0
   ),
  0)
 ),
"")</f>
        <v>Modular</v>
      </c>
      <c r="D97" s="3" t="str" cm="1">
        <f t="array" aca="1" ref="D97" ca="1">IFERROR(
 INDEX(
  _xlfn._xlws.FILTER($U$1:$AX$1,
   TRANSPOSE(
    CHOOSE({1;2;3;4;5;6;7;8;9;10;11;12;13;14;15;16;17;18;19;20;21;22;23;24;25;26;27;28;29;30},
     COUNTIFS($U$2:$U$200,$G97)&gt;0,
     COUNTIFS($V$2:$V$200,$G97)&gt;0,
     COUNTIFS($W$2:$W$200,$G97)&gt;0,
     COUNTIFS($X$2:$X$200,$G97)&gt;0,
     COUNTIFS($Y$2:$Y$200,$G97)&gt;0,
     COUNTIFS($Z$2:$Z$200,$G97)&gt;0,
     COUNTIFS($AA$2:$AA$200,$G97)&gt;0,
     COUNTIFS($AB$2:$AB$200,$G97)&gt;0,
     COUNTIFS($AC$2:$AC$200,$G97)&gt;0,
     COUNTIFS($AD$2:$AD$200,$G97)&gt;0,
     COUNTIFS($AE$2:$AE$200,$G97)&gt;0,
     COUNTIFS($AF$2:$AF$200,$G97)&gt;0,
     COUNTIFS($AG$2:$AG$200,$G97)&gt;0,
     COUNTIFS($AH$2:$AH$200,$G97)&gt;0,
     COUNTIFS($AI$2:$AI$200,$G97)&gt;0,
     COUNTIFS($AJ$2:$AJ$200,$G97)&gt;0,
     COUNTIFS($AK$2:$AK$200,$G97)&gt;0,
     COUNTIFS($AL$2:$AL$200,$G97)&gt;0,
     COUNTIFS($AM$2:$AM$200,$G97)&gt;0,
     COUNTIFS($AN$2:$AN$200,$G97)&gt;0,
     COUNTIFS($AO$2:$AO$200,$G97)&gt;0,
     COUNTIFS($AP$2:$AP$200,$G97)&gt;0,
     COUNTIFS($AQ$2:$AQ$200,$G97)&gt;0,
     COUNTIFS($AR$2:$AR$200,$G97)&gt;0,
     COUNTIFS($AS$2:$AS$200,$G97)&gt;0,
     COUNTIFS($AT$2:$AT$200,$G97)&gt;0,
     COUNTIFS($AU$2:$AU$200,$G97)&gt;0,
     COUNTIFS($AV$2:$AV$200,$G97)&gt;0,
     COUNTIFS($AW$2:$AW$200,$G97)&gt;0,
     COUNTIFS($AX$2:$AX$200,$G97)&gt;0
   )),
  ),
  2
 ),
"")</f>
        <v/>
      </c>
      <c r="E97" s="3" t="str" cm="1">
        <f t="array" aca="1" ref="E97" ca="1">IFERROR(
 INDEX(
  _xlfn._xlws.FILTER($U$1:$AX$1,
   TRANSPOSE(
    CHOOSE({1;2;3;4;5;6;7;8;9;10;11;12;13;14;15;16;17;18;19;20;21;22;23;24;25;26;27;28;29;30},
     COUNTIFS($U$2:$U$200,$G97)&gt;0,
     COUNTIFS($V$2:$V$200,$G97)&gt;0,
     COUNTIFS($W$2:$W$200,$G97)&gt;0,
     COUNTIFS($X$2:$X$200,$G97)&gt;0,
     COUNTIFS($Y$2:$Y$200,$G97)&gt;0,
     COUNTIFS($Z$2:$Z$200,$G97)&gt;0,
     COUNTIFS($AA$2:$AA$200,$G97)&gt;0,
     COUNTIFS($AB$2:$AB$200,$G97)&gt;0,
     COUNTIFS($AC$2:$AC$200,$G97)&gt;0,
     COUNTIFS($AD$2:$AD$200,$G97)&gt;0,
     COUNTIFS($AE$2:$AE$200,$G97)&gt;0,
     COUNTIFS($AF$2:$AF$200,$G97)&gt;0,
     COUNTIFS($AG$2:$AG$200,$G97)&gt;0,
     COUNTIFS($AH$2:$AH$200,$G97)&gt;0,
     COUNTIFS($AI$2:$AI$200,$G97)&gt;0,
     COUNTIFS($AJ$2:$AJ$200,$G97)&gt;0,
     COUNTIFS($AK$2:$AK$200,$G97)&gt;0,
     COUNTIFS($AL$2:$AL$200,$G97)&gt;0,
     COUNTIFS($AM$2:$AM$200,$G97)&gt;0,
     COUNTIFS($AN$2:$AN$200,$G97)&gt;0,
     COUNTIFS($AO$2:$AO$200,$G97)&gt;0,
     COUNTIFS($AP$2:$AP$200,$G97)&gt;0,
     COUNTIFS($AQ$2:$AQ$200,$G97)&gt;0,
     COUNTIFS($AR$2:$AR$200,$G97)&gt;0,
     COUNTIFS($AS$2:$AS$200,$G97)&gt;0,
     COUNTIFS($AT$2:$AT$200,$G97)&gt;0,
     COUNTIFS($AU$2:$AU$200,$G97)&gt;0,
     COUNTIFS($AV$2:$AV$200,$G97)&gt;0,
     COUNTIFS($AW$2:$AW$200,$G97)&gt;0,
     COUNTIFS($AX$2:$AX$200,$G97)&gt;0
   )),
  ),
  3
 ),
"")</f>
        <v/>
      </c>
      <c r="F97" s="3" t="str" cm="1">
        <f t="array" aca="1" ref="F97" ca="1">IFERROR(
 INDEX(
  _xlfn._xlws.FILTER($U$1:$AX$1,
   TRANSPOSE(
    CHOOSE({1;2;3;4;5;6;7;8;9;10;11;12;13;14;15;16;17;18;19;20;21;22;23;24;25;26;27;28;29;30},
     COUNTIFS($U$2:$U$200,$G97)&gt;0,
     COUNTIFS($V$2:$V$200,$G97)&gt;0,
     COUNTIFS($W$2:$W$200,$G97)&gt;0,
     COUNTIFS($X$2:$X$200,$G97)&gt;0,
     COUNTIFS($Y$2:$Y$200,$G97)&gt;0,
     COUNTIFS($Z$2:$Z$200,$G97)&gt;0,
     COUNTIFS($AA$2:$AA$200,$G97)&gt;0,
     COUNTIFS($AB$2:$AB$200,$G97)&gt;0,
     COUNTIFS($AC$2:$AC$200,$G97)&gt;0,
     COUNTIFS($AD$2:$AD$200,$G97)&gt;0,
     COUNTIFS($AE$2:$AE$200,$G97)&gt;0,
     COUNTIFS($AF$2:$AF$200,$G97)&gt;0,
     COUNTIFS($AG$2:$AG$200,$G97)&gt;0,
     COUNTIFS($AH$2:$AH$200,$G97)&gt;0,
     COUNTIFS($AI$2:$AI$200,$G97)&gt;0,
     COUNTIFS($AJ$2:$AJ$200,$G97)&gt;0,
     COUNTIFS($AK$2:$AK$200,$G97)&gt;0,
     COUNTIFS($AL$2:$AL$200,$G97)&gt;0,
     COUNTIFS($AM$2:$AM$200,$G97)&gt;0,
     COUNTIFS($AN$2:$AN$200,$G97)&gt;0,
     COUNTIFS($AO$2:$AO$200,$G97)&gt;0,
     COUNTIFS($AP$2:$AP$200,$G97)&gt;0,
     COUNTIFS($AQ$2:$AQ$200,$G97)&gt;0,
     COUNTIFS($AR$2:$AR$200,$G97)&gt;0,
     COUNTIFS($AS$2:$AS$200,$G97)&gt;0,
     COUNTIFS($AT$2:$AT$200,$G97)&gt;0,
     COUNTIFS($AU$2:$AU$200,$G97)&gt;0,
     COUNTIFS($AV$2:$AV$200,$G97)&gt;0,
     COUNTIFS($AW$2:$AW$200,$G97)&gt;0,
     COUNTIFS($AX$2:$AX$200,$G97)&gt;0
   )),
  ),
  4
 ),
"")</f>
        <v/>
      </c>
      <c r="G97" t="str">
        <f ca="1"/>
        <v>Elvish Reclaimer</v>
      </c>
      <c r="BI97" t="str">
        <f ca="1"/>
        <v>Strionic Resonator</v>
      </c>
      <c r="BN97" t="str">
        <f ca="1"/>
        <v>Zagoth Triome</v>
      </c>
      <c r="BO97" t="str">
        <f ca="1"/>
        <v>Malcolm, Alluring Scoundrel</v>
      </c>
      <c r="BR97" t="str">
        <f ca="1"/>
        <v>Reliquary Tower</v>
      </c>
      <c r="BT97" t="str">
        <f ca="1"/>
        <v>Karn Liberated</v>
      </c>
    </row>
    <row r="98" spans="1:72" x14ac:dyDescent="0.25">
      <c r="A98" s="3" t="str">
        <f t="shared" ca="1" si="4"/>
        <v>2</v>
      </c>
      <c r="B98" s="3">
        <f t="shared" ca="1" si="5"/>
        <v>1</v>
      </c>
      <c r="C98" s="3" t="str">
        <f ca="1">IFERROR(
 INDEX($U$1:$AX$1,
  MATCH(TRUE,
   CHOOSE({1;2;3;4;5;6;7;8;9;10;11;12;13;14;15;16;17;18;19;20;21;22;23;24;25;26;27;28;29;30;31;32},
    COUNTIFS($U$2:$U$200,$G98)&gt;0,
    COUNTIFS($V$2:$V$200,$G98)&gt;0,
    COUNTIFS($W$2:$W$200,$G98)&gt;0,
    COUNTIFS($X$2:$X$200,$G98)&gt;0,
    COUNTIFS($Y$2:$Y$200,$G98)&gt;0,
    COUNTIFS($Z$2:$Z$200,$G98)&gt;0,
    COUNTIFS($AA$2:$AA$200,$G98)&gt;0,
    COUNTIFS($AB$2:$AB$200,$G98)&gt;0,
    COUNTIFS($AC$2:$AC$200,$G98)&gt;0,
    COUNTIFS($AD$2:$AD$200,$G98)&gt;0,
    COUNTIFS($AE$2:$AE$200,$G98)&gt;0,
    COUNTIFS($AF$2:$AF$200,$G98)&gt;0,
    COUNTIFS($AG$2:$AG$200,$G98)&gt;0,
    COUNTIFS($AH$2:$AH$200,$G98)&gt;0,
    COUNTIFS($AI$2:$AI$200,$G98)&gt;0,
    COUNTIFS($AJ$2:$AJ$200,$G98)&gt;0,
    COUNTIFS($AK$2:$AK$200,$G98)&gt;0,
    COUNTIFS($AL$2:$AL$200,$G98)&gt;0,
    COUNTIFS($AM$2:$AM$200,$G98)&gt;0,
    COUNTIFS($AN$2:$AN$200,$G98)&gt;0,
    COUNTIFS($AO$2:$AO$200,$G98)&gt;0,
    COUNTIFS($AP$2:$AP$200,$G98)&gt;0,
    COUNTIFS($AQ$2:$AQ$200,$G98)&gt;0,
    COUNTIFS($AR$2:$AR$200,$G98)&gt;0,
    COUNTIFS($AS$2:$AS$200,$G98)&gt;0,
    COUNTIFS($AT$2:$AT$200,$G98)&gt;0,
    COUNTIFS($AU$2:$AU$200,$G98)&gt;0,
    COUNTIFS($AV$2:$AV$200,$G98)&gt;0,
    COUNTIFS($AW$2:$AW$200,$G98)&gt;0,
    COUNTIFS($AX$2:$AX$200,$G98)&gt;0
   ),
  0)
 ),
"")</f>
        <v>Piratas</v>
      </c>
      <c r="D98" s="3" t="str" cm="1">
        <f t="array" aca="1" ref="D98" ca="1">IFERROR(
 INDEX(
  _xlfn._xlws.FILTER($U$1:$AX$1,
   TRANSPOSE(
    CHOOSE({1;2;3;4;5;6;7;8;9;10;11;12;13;14;15;16;17;18;19;20;21;22;23;24;25;26;27;28;29;30},
     COUNTIFS($U$2:$U$200,$G98)&gt;0,
     COUNTIFS($V$2:$V$200,$G98)&gt;0,
     COUNTIFS($W$2:$W$200,$G98)&gt;0,
     COUNTIFS($X$2:$X$200,$G98)&gt;0,
     COUNTIFS($Y$2:$Y$200,$G98)&gt;0,
     COUNTIFS($Z$2:$Z$200,$G98)&gt;0,
     COUNTIFS($AA$2:$AA$200,$G98)&gt;0,
     COUNTIFS($AB$2:$AB$200,$G98)&gt;0,
     COUNTIFS($AC$2:$AC$200,$G98)&gt;0,
     COUNTIFS($AD$2:$AD$200,$G98)&gt;0,
     COUNTIFS($AE$2:$AE$200,$G98)&gt;0,
     COUNTIFS($AF$2:$AF$200,$G98)&gt;0,
     COUNTIFS($AG$2:$AG$200,$G98)&gt;0,
     COUNTIFS($AH$2:$AH$200,$G98)&gt;0,
     COUNTIFS($AI$2:$AI$200,$G98)&gt;0,
     COUNTIFS($AJ$2:$AJ$200,$G98)&gt;0,
     COUNTIFS($AK$2:$AK$200,$G98)&gt;0,
     COUNTIFS($AL$2:$AL$200,$G98)&gt;0,
     COUNTIFS($AM$2:$AM$200,$G98)&gt;0,
     COUNTIFS($AN$2:$AN$200,$G98)&gt;0,
     COUNTIFS($AO$2:$AO$200,$G98)&gt;0,
     COUNTIFS($AP$2:$AP$200,$G98)&gt;0,
     COUNTIFS($AQ$2:$AQ$200,$G98)&gt;0,
     COUNTIFS($AR$2:$AR$200,$G98)&gt;0,
     COUNTIFS($AS$2:$AS$200,$G98)&gt;0,
     COUNTIFS($AT$2:$AT$200,$G98)&gt;0,
     COUNTIFS($AU$2:$AU$200,$G98)&gt;0,
     COUNTIFS($AV$2:$AV$200,$G98)&gt;0,
     COUNTIFS($AW$2:$AW$200,$G98)&gt;0,
     COUNTIFS($AX$2:$AX$200,$G98)&gt;0
   )),
  ),
  2
 ),
"")</f>
        <v/>
      </c>
      <c r="E98" s="3" t="str" cm="1">
        <f t="array" aca="1" ref="E98" ca="1">IFERROR(
 INDEX(
  _xlfn._xlws.FILTER($U$1:$AX$1,
   TRANSPOSE(
    CHOOSE({1;2;3;4;5;6;7;8;9;10;11;12;13;14;15;16;17;18;19;20;21;22;23;24;25;26;27;28;29;30},
     COUNTIFS($U$2:$U$200,$G98)&gt;0,
     COUNTIFS($V$2:$V$200,$G98)&gt;0,
     COUNTIFS($W$2:$W$200,$G98)&gt;0,
     COUNTIFS($X$2:$X$200,$G98)&gt;0,
     COUNTIFS($Y$2:$Y$200,$G98)&gt;0,
     COUNTIFS($Z$2:$Z$200,$G98)&gt;0,
     COUNTIFS($AA$2:$AA$200,$G98)&gt;0,
     COUNTIFS($AB$2:$AB$200,$G98)&gt;0,
     COUNTIFS($AC$2:$AC$200,$G98)&gt;0,
     COUNTIFS($AD$2:$AD$200,$G98)&gt;0,
     COUNTIFS($AE$2:$AE$200,$G98)&gt;0,
     COUNTIFS($AF$2:$AF$200,$G98)&gt;0,
     COUNTIFS($AG$2:$AG$200,$G98)&gt;0,
     COUNTIFS($AH$2:$AH$200,$G98)&gt;0,
     COUNTIFS($AI$2:$AI$200,$G98)&gt;0,
     COUNTIFS($AJ$2:$AJ$200,$G98)&gt;0,
     COUNTIFS($AK$2:$AK$200,$G98)&gt;0,
     COUNTIFS($AL$2:$AL$200,$G98)&gt;0,
     COUNTIFS($AM$2:$AM$200,$G98)&gt;0,
     COUNTIFS($AN$2:$AN$200,$G98)&gt;0,
     COUNTIFS($AO$2:$AO$200,$G98)&gt;0,
     COUNTIFS($AP$2:$AP$200,$G98)&gt;0,
     COUNTIFS($AQ$2:$AQ$200,$G98)&gt;0,
     COUNTIFS($AR$2:$AR$200,$G98)&gt;0,
     COUNTIFS($AS$2:$AS$200,$G98)&gt;0,
     COUNTIFS($AT$2:$AT$200,$G98)&gt;0,
     COUNTIFS($AU$2:$AU$200,$G98)&gt;0,
     COUNTIFS($AV$2:$AV$200,$G98)&gt;0,
     COUNTIFS($AW$2:$AW$200,$G98)&gt;0,
     COUNTIFS($AX$2:$AX$200,$G98)&gt;0
   )),
  ),
  3
 ),
"")</f>
        <v/>
      </c>
      <c r="F98" s="3" t="str" cm="1">
        <f t="array" aca="1" ref="F98" ca="1">IFERROR(
 INDEX(
  _xlfn._xlws.FILTER($U$1:$AX$1,
   TRANSPOSE(
    CHOOSE({1;2;3;4;5;6;7;8;9;10;11;12;13;14;15;16;17;18;19;20;21;22;23;24;25;26;27;28;29;30},
     COUNTIFS($U$2:$U$200,$G98)&gt;0,
     COUNTIFS($V$2:$V$200,$G98)&gt;0,
     COUNTIFS($W$2:$W$200,$G98)&gt;0,
     COUNTIFS($X$2:$X$200,$G98)&gt;0,
     COUNTIFS($Y$2:$Y$200,$G98)&gt;0,
     COUNTIFS($Z$2:$Z$200,$G98)&gt;0,
     COUNTIFS($AA$2:$AA$200,$G98)&gt;0,
     COUNTIFS($AB$2:$AB$200,$G98)&gt;0,
     COUNTIFS($AC$2:$AC$200,$G98)&gt;0,
     COUNTIFS($AD$2:$AD$200,$G98)&gt;0,
     COUNTIFS($AE$2:$AE$200,$G98)&gt;0,
     COUNTIFS($AF$2:$AF$200,$G98)&gt;0,
     COUNTIFS($AG$2:$AG$200,$G98)&gt;0,
     COUNTIFS($AH$2:$AH$200,$G98)&gt;0,
     COUNTIFS($AI$2:$AI$200,$G98)&gt;0,
     COUNTIFS($AJ$2:$AJ$200,$G98)&gt;0,
     COUNTIFS($AK$2:$AK$200,$G98)&gt;0,
     COUNTIFS($AL$2:$AL$200,$G98)&gt;0,
     COUNTIFS($AM$2:$AM$200,$G98)&gt;0,
     COUNTIFS($AN$2:$AN$200,$G98)&gt;0,
     COUNTIFS($AO$2:$AO$200,$G98)&gt;0,
     COUNTIFS($AP$2:$AP$200,$G98)&gt;0,
     COUNTIFS($AQ$2:$AQ$200,$G98)&gt;0,
     COUNTIFS($AR$2:$AR$200,$G98)&gt;0,
     COUNTIFS($AS$2:$AS$200,$G98)&gt;0,
     COUNTIFS($AT$2:$AT$200,$G98)&gt;0,
     COUNTIFS($AU$2:$AU$200,$G98)&gt;0,
     COUNTIFS($AV$2:$AV$200,$G98)&gt;0,
     COUNTIFS($AW$2:$AW$200,$G98)&gt;0,
     COUNTIFS($AX$2:$AX$200,$G98)&gt;0
   )),
  ),
  4
 ),
"")</f>
        <v/>
      </c>
      <c r="G98" t="str">
        <f ca="1"/>
        <v>Emberwilde Captain</v>
      </c>
      <c r="BI98" t="str">
        <f ca="1"/>
        <v>Sunhome, Fortress of the Legion</v>
      </c>
      <c r="BN98" t="str">
        <f ca="1"/>
        <v>Zellix, Sanity Flayer</v>
      </c>
      <c r="BO98" t="str">
        <f ca="1"/>
        <v>Managorger Hydra</v>
      </c>
      <c r="BR98" t="str">
        <f ca="1"/>
        <v>Ripples of Potential</v>
      </c>
      <c r="BT98" t="str">
        <f ca="1"/>
        <v>Kaya the Inexorable</v>
      </c>
    </row>
    <row r="99" spans="1:72" x14ac:dyDescent="0.25">
      <c r="A99" s="3" t="str">
        <f t="shared" ca="1" si="4"/>
        <v>5</v>
      </c>
      <c r="B99" s="3">
        <f t="shared" ca="1" si="5"/>
        <v>1</v>
      </c>
      <c r="C99" s="3" t="str">
        <f ca="1">IFERROR(
 INDEX($U$1:$AX$1,
  MATCH(TRUE,
   CHOOSE({1;2;3;4;5;6;7;8;9;10;11;12;13;14;15;16;17;18;19;20;21;22;23;24;25;26;27;28;29;30;31;32},
    COUNTIFS($U$2:$U$200,$G99)&gt;0,
    COUNTIFS($V$2:$V$200,$G99)&gt;0,
    COUNTIFS($W$2:$W$200,$G99)&gt;0,
    COUNTIFS($X$2:$X$200,$G99)&gt;0,
    COUNTIFS($Y$2:$Y$200,$G99)&gt;0,
    COUNTIFS($Z$2:$Z$200,$G99)&gt;0,
    COUNTIFS($AA$2:$AA$200,$G99)&gt;0,
    COUNTIFS($AB$2:$AB$200,$G99)&gt;0,
    COUNTIFS($AC$2:$AC$200,$G99)&gt;0,
    COUNTIFS($AD$2:$AD$200,$G99)&gt;0,
    COUNTIFS($AE$2:$AE$200,$G99)&gt;0,
    COUNTIFS($AF$2:$AF$200,$G99)&gt;0,
    COUNTIFS($AG$2:$AG$200,$G99)&gt;0,
    COUNTIFS($AH$2:$AH$200,$G99)&gt;0,
    COUNTIFS($AI$2:$AI$200,$G99)&gt;0,
    COUNTIFS($AJ$2:$AJ$200,$G99)&gt;0,
    COUNTIFS($AK$2:$AK$200,$G99)&gt;0,
    COUNTIFS($AL$2:$AL$200,$G99)&gt;0,
    COUNTIFS($AM$2:$AM$200,$G99)&gt;0,
    COUNTIFS($AN$2:$AN$200,$G99)&gt;0,
    COUNTIFS($AO$2:$AO$200,$G99)&gt;0,
    COUNTIFS($AP$2:$AP$200,$G99)&gt;0,
    COUNTIFS($AQ$2:$AQ$200,$G99)&gt;0,
    COUNTIFS($AR$2:$AR$200,$G99)&gt;0,
    COUNTIFS($AS$2:$AS$200,$G99)&gt;0,
    COUNTIFS($AT$2:$AT$200,$G99)&gt;0,
    COUNTIFS($AU$2:$AU$200,$G99)&gt;0,
    COUNTIFS($AV$2:$AV$200,$G99)&gt;0,
    COUNTIFS($AW$2:$AW$200,$G99)&gt;0,
    COUNTIFS($AX$2:$AX$200,$G99)&gt;0
   ),
  0)
 ),
"")</f>
        <v>Zedruu</v>
      </c>
      <c r="D99" s="3" t="str" cm="1">
        <f t="array" aca="1" ref="D99" ca="1">IFERROR(
 INDEX(
  _xlfn._xlws.FILTER($U$1:$AX$1,
   TRANSPOSE(
    CHOOSE({1;2;3;4;5;6;7;8;9;10;11;12;13;14;15;16;17;18;19;20;21;22;23;24;25;26;27;28;29;30},
     COUNTIFS($U$2:$U$200,$G99)&gt;0,
     COUNTIFS($V$2:$V$200,$G99)&gt;0,
     COUNTIFS($W$2:$W$200,$G99)&gt;0,
     COUNTIFS($X$2:$X$200,$G99)&gt;0,
     COUNTIFS($Y$2:$Y$200,$G99)&gt;0,
     COUNTIFS($Z$2:$Z$200,$G99)&gt;0,
     COUNTIFS($AA$2:$AA$200,$G99)&gt;0,
     COUNTIFS($AB$2:$AB$200,$G99)&gt;0,
     COUNTIFS($AC$2:$AC$200,$G99)&gt;0,
     COUNTIFS($AD$2:$AD$200,$G99)&gt;0,
     COUNTIFS($AE$2:$AE$200,$G99)&gt;0,
     COUNTIFS($AF$2:$AF$200,$G99)&gt;0,
     COUNTIFS($AG$2:$AG$200,$G99)&gt;0,
     COUNTIFS($AH$2:$AH$200,$G99)&gt;0,
     COUNTIFS($AI$2:$AI$200,$G99)&gt;0,
     COUNTIFS($AJ$2:$AJ$200,$G99)&gt;0,
     COUNTIFS($AK$2:$AK$200,$G99)&gt;0,
     COUNTIFS($AL$2:$AL$200,$G99)&gt;0,
     COUNTIFS($AM$2:$AM$200,$G99)&gt;0,
     COUNTIFS($AN$2:$AN$200,$G99)&gt;0,
     COUNTIFS($AO$2:$AO$200,$G99)&gt;0,
     COUNTIFS($AP$2:$AP$200,$G99)&gt;0,
     COUNTIFS($AQ$2:$AQ$200,$G99)&gt;0,
     COUNTIFS($AR$2:$AR$200,$G99)&gt;0,
     COUNTIFS($AS$2:$AS$200,$G99)&gt;0,
     COUNTIFS($AT$2:$AT$200,$G99)&gt;0,
     COUNTIFS($AU$2:$AU$200,$G99)&gt;0,
     COUNTIFS($AV$2:$AV$200,$G99)&gt;0,
     COUNTIFS($AW$2:$AW$200,$G99)&gt;0,
     COUNTIFS($AX$2:$AX$200,$G99)&gt;0
   )),
  ),
  2
 ),
"")</f>
        <v/>
      </c>
      <c r="E99" s="3" t="str" cm="1">
        <f t="array" aca="1" ref="E99" ca="1">IFERROR(
 INDEX(
  _xlfn._xlws.FILTER($U$1:$AX$1,
   TRANSPOSE(
    CHOOSE({1;2;3;4;5;6;7;8;9;10;11;12;13;14;15;16;17;18;19;20;21;22;23;24;25;26;27;28;29;30},
     COUNTIFS($U$2:$U$200,$G99)&gt;0,
     COUNTIFS($V$2:$V$200,$G99)&gt;0,
     COUNTIFS($W$2:$W$200,$G99)&gt;0,
     COUNTIFS($X$2:$X$200,$G99)&gt;0,
     COUNTIFS($Y$2:$Y$200,$G99)&gt;0,
     COUNTIFS($Z$2:$Z$200,$G99)&gt;0,
     COUNTIFS($AA$2:$AA$200,$G99)&gt;0,
     COUNTIFS($AB$2:$AB$200,$G99)&gt;0,
     COUNTIFS($AC$2:$AC$200,$G99)&gt;0,
     COUNTIFS($AD$2:$AD$200,$G99)&gt;0,
     COUNTIFS($AE$2:$AE$200,$G99)&gt;0,
     COUNTIFS($AF$2:$AF$200,$G99)&gt;0,
     COUNTIFS($AG$2:$AG$200,$G99)&gt;0,
     COUNTIFS($AH$2:$AH$200,$G99)&gt;0,
     COUNTIFS($AI$2:$AI$200,$G99)&gt;0,
     COUNTIFS($AJ$2:$AJ$200,$G99)&gt;0,
     COUNTIFS($AK$2:$AK$200,$G99)&gt;0,
     COUNTIFS($AL$2:$AL$200,$G99)&gt;0,
     COUNTIFS($AM$2:$AM$200,$G99)&gt;0,
     COUNTIFS($AN$2:$AN$200,$G99)&gt;0,
     COUNTIFS($AO$2:$AO$200,$G99)&gt;0,
     COUNTIFS($AP$2:$AP$200,$G99)&gt;0,
     COUNTIFS($AQ$2:$AQ$200,$G99)&gt;0,
     COUNTIFS($AR$2:$AR$200,$G99)&gt;0,
     COUNTIFS($AS$2:$AS$200,$G99)&gt;0,
     COUNTIFS($AT$2:$AT$200,$G99)&gt;0,
     COUNTIFS($AU$2:$AU$200,$G99)&gt;0,
     COUNTIFS($AV$2:$AV$200,$G99)&gt;0,
     COUNTIFS($AW$2:$AW$200,$G99)&gt;0,
     COUNTIFS($AX$2:$AX$200,$G99)&gt;0
   )),
  ),
  3
 ),
"")</f>
        <v/>
      </c>
      <c r="F99" s="3" t="str" cm="1">
        <f t="array" aca="1" ref="F99" ca="1">IFERROR(
 INDEX(
  _xlfn._xlws.FILTER($U$1:$AX$1,
   TRANSPOSE(
    CHOOSE({1;2;3;4;5;6;7;8;9;10;11;12;13;14;15;16;17;18;19;20;21;22;23;24;25;26;27;28;29;30},
     COUNTIFS($U$2:$U$200,$G99)&gt;0,
     COUNTIFS($V$2:$V$200,$G99)&gt;0,
     COUNTIFS($W$2:$W$200,$G99)&gt;0,
     COUNTIFS($X$2:$X$200,$G99)&gt;0,
     COUNTIFS($Y$2:$Y$200,$G99)&gt;0,
     COUNTIFS($Z$2:$Z$200,$G99)&gt;0,
     COUNTIFS($AA$2:$AA$200,$G99)&gt;0,
     COUNTIFS($AB$2:$AB$200,$G99)&gt;0,
     COUNTIFS($AC$2:$AC$200,$G99)&gt;0,
     COUNTIFS($AD$2:$AD$200,$G99)&gt;0,
     COUNTIFS($AE$2:$AE$200,$G99)&gt;0,
     COUNTIFS($AF$2:$AF$200,$G99)&gt;0,
     COUNTIFS($AG$2:$AG$200,$G99)&gt;0,
     COUNTIFS($AH$2:$AH$200,$G99)&gt;0,
     COUNTIFS($AI$2:$AI$200,$G99)&gt;0,
     COUNTIFS($AJ$2:$AJ$200,$G99)&gt;0,
     COUNTIFS($AK$2:$AK$200,$G99)&gt;0,
     COUNTIFS($AL$2:$AL$200,$G99)&gt;0,
     COUNTIFS($AM$2:$AM$200,$G99)&gt;0,
     COUNTIFS($AN$2:$AN$200,$G99)&gt;0,
     COUNTIFS($AO$2:$AO$200,$G99)&gt;0,
     COUNTIFS($AP$2:$AP$200,$G99)&gt;0,
     COUNTIFS($AQ$2:$AQ$200,$G99)&gt;0,
     COUNTIFS($AR$2:$AR$200,$G99)&gt;0,
     COUNTIFS($AS$2:$AS$200,$G99)&gt;0,
     COUNTIFS($AT$2:$AT$200,$G99)&gt;0,
     COUNTIFS($AU$2:$AU$200,$G99)&gt;0,
     COUNTIFS($AV$2:$AV$200,$G99)&gt;0,
     COUNTIFS($AW$2:$AW$200,$G99)&gt;0,
     COUNTIFS($AX$2:$AX$200,$G99)&gt;0
   )),
  ),
  4
 ),
"")</f>
        <v/>
      </c>
      <c r="G99" t="str">
        <f ca="1"/>
        <v>Emergency Eject</v>
      </c>
      <c r="BI99" t="str">
        <f ca="1"/>
        <v>Surge Conductor</v>
      </c>
      <c r="BO99" t="str">
        <f ca="1"/>
        <v>Marcha dos Canonizados</v>
      </c>
      <c r="BR99" t="str">
        <f ca="1"/>
        <v>Rogue's Passage</v>
      </c>
      <c r="BT99" t="str">
        <f ca="1"/>
        <v>Keen Duelist</v>
      </c>
    </row>
    <row r="100" spans="1:72" x14ac:dyDescent="0.25">
      <c r="A100" s="3" t="str">
        <f t="shared" ca="1" si="4"/>
        <v>3</v>
      </c>
      <c r="B100" s="3">
        <f t="shared" ca="1" si="5"/>
        <v>2</v>
      </c>
      <c r="C100" s="3" t="str">
        <f ca="1">IFERROR(
 INDEX($U$1:$AX$1,
  MATCH(TRUE,
   CHOOSE({1;2;3;4;5;6;7;8;9;10;11;12;13;14;15;16;17;18;19;20;21;22;23;24;25;26;27;28;29;30;31;32},
    COUNTIFS($U$2:$U$200,$G100)&gt;0,
    COUNTIFS($V$2:$V$200,$G100)&gt;0,
    COUNTIFS($W$2:$W$200,$G100)&gt;0,
    COUNTIFS($X$2:$X$200,$G100)&gt;0,
    COUNTIFS($Y$2:$Y$200,$G100)&gt;0,
    COUNTIFS($Z$2:$Z$200,$G100)&gt;0,
    COUNTIFS($AA$2:$AA$200,$G100)&gt;0,
    COUNTIFS($AB$2:$AB$200,$G100)&gt;0,
    COUNTIFS($AC$2:$AC$200,$G100)&gt;0,
    COUNTIFS($AD$2:$AD$200,$G100)&gt;0,
    COUNTIFS($AE$2:$AE$200,$G100)&gt;0,
    COUNTIFS($AF$2:$AF$200,$G100)&gt;0,
    COUNTIFS($AG$2:$AG$200,$G100)&gt;0,
    COUNTIFS($AH$2:$AH$200,$G100)&gt;0,
    COUNTIFS($AI$2:$AI$200,$G100)&gt;0,
    COUNTIFS($AJ$2:$AJ$200,$G100)&gt;0,
    COUNTIFS($AK$2:$AK$200,$G100)&gt;0,
    COUNTIFS($AL$2:$AL$200,$G100)&gt;0,
    COUNTIFS($AM$2:$AM$200,$G100)&gt;0,
    COUNTIFS($AN$2:$AN$200,$G100)&gt;0,
    COUNTIFS($AO$2:$AO$200,$G100)&gt;0,
    COUNTIFS($AP$2:$AP$200,$G100)&gt;0,
    COUNTIFS($AQ$2:$AQ$200,$G100)&gt;0,
    COUNTIFS($AR$2:$AR$200,$G100)&gt;0,
    COUNTIFS($AS$2:$AS$200,$G100)&gt;0,
    COUNTIFS($AT$2:$AT$200,$G100)&gt;0,
    COUNTIFS($AU$2:$AU$200,$G100)&gt;0,
    COUNTIFS($AV$2:$AV$200,$G100)&gt;0,
    COUNTIFS($AW$2:$AW$200,$G100)&gt;0,
    COUNTIFS($AX$2:$AX$200,$G100)&gt;0
   ),
  0)
 ),
"")</f>
        <v>JhoiraB</v>
      </c>
      <c r="D100" s="3" t="str" cm="1">
        <f t="array" aca="1" ref="D100" ca="1">IFERROR(
 INDEX(
  _xlfn._xlws.FILTER($U$1:$AX$1,
   TRANSPOSE(
    CHOOSE({1;2;3;4;5;6;7;8;9;10;11;12;13;14;15;16;17;18;19;20;21;22;23;24;25;26;27;28;29;30},
     COUNTIFS($U$2:$U$200,$G100)&gt;0,
     COUNTIFS($V$2:$V$200,$G100)&gt;0,
     COUNTIFS($W$2:$W$200,$G100)&gt;0,
     COUNTIFS($X$2:$X$200,$G100)&gt;0,
     COUNTIFS($Y$2:$Y$200,$G100)&gt;0,
     COUNTIFS($Z$2:$Z$200,$G100)&gt;0,
     COUNTIFS($AA$2:$AA$200,$G100)&gt;0,
     COUNTIFS($AB$2:$AB$200,$G100)&gt;0,
     COUNTIFS($AC$2:$AC$200,$G100)&gt;0,
     COUNTIFS($AD$2:$AD$200,$G100)&gt;0,
     COUNTIFS($AE$2:$AE$200,$G100)&gt;0,
     COUNTIFS($AF$2:$AF$200,$G100)&gt;0,
     COUNTIFS($AG$2:$AG$200,$G100)&gt;0,
     COUNTIFS($AH$2:$AH$200,$G100)&gt;0,
     COUNTIFS($AI$2:$AI$200,$G100)&gt;0,
     COUNTIFS($AJ$2:$AJ$200,$G100)&gt;0,
     COUNTIFS($AK$2:$AK$200,$G100)&gt;0,
     COUNTIFS($AL$2:$AL$200,$G100)&gt;0,
     COUNTIFS($AM$2:$AM$200,$G100)&gt;0,
     COUNTIFS($AN$2:$AN$200,$G100)&gt;0,
     COUNTIFS($AO$2:$AO$200,$G100)&gt;0,
     COUNTIFS($AP$2:$AP$200,$G100)&gt;0,
     COUNTIFS($AQ$2:$AQ$200,$G100)&gt;0,
     COUNTIFS($AR$2:$AR$200,$G100)&gt;0,
     COUNTIFS($AS$2:$AS$200,$G100)&gt;0,
     COUNTIFS($AT$2:$AT$200,$G100)&gt;0,
     COUNTIFS($AU$2:$AU$200,$G100)&gt;0,
     COUNTIFS($AV$2:$AV$200,$G100)&gt;0,
     COUNTIFS($AW$2:$AW$200,$G100)&gt;0,
     COUNTIFS($AX$2:$AX$200,$G100)&gt;0
   )),
  ),
  2
 ),
"")</f>
        <v>Jhoira</v>
      </c>
      <c r="E100" s="3" t="str" cm="1">
        <f t="array" aca="1" ref="E100" ca="1">IFERROR(
 INDEX(
  _xlfn._xlws.FILTER($U$1:$AX$1,
   TRANSPOSE(
    CHOOSE({1;2;3;4;5;6;7;8;9;10;11;12;13;14;15;16;17;18;19;20;21;22;23;24;25;26;27;28;29;30},
     COUNTIFS($U$2:$U$200,$G100)&gt;0,
     COUNTIFS($V$2:$V$200,$G100)&gt;0,
     COUNTIFS($W$2:$W$200,$G100)&gt;0,
     COUNTIFS($X$2:$X$200,$G100)&gt;0,
     COUNTIFS($Y$2:$Y$200,$G100)&gt;0,
     COUNTIFS($Z$2:$Z$200,$G100)&gt;0,
     COUNTIFS($AA$2:$AA$200,$G100)&gt;0,
     COUNTIFS($AB$2:$AB$200,$G100)&gt;0,
     COUNTIFS($AC$2:$AC$200,$G100)&gt;0,
     COUNTIFS($AD$2:$AD$200,$G100)&gt;0,
     COUNTIFS($AE$2:$AE$200,$G100)&gt;0,
     COUNTIFS($AF$2:$AF$200,$G100)&gt;0,
     COUNTIFS($AG$2:$AG$200,$G100)&gt;0,
     COUNTIFS($AH$2:$AH$200,$G100)&gt;0,
     COUNTIFS($AI$2:$AI$200,$G100)&gt;0,
     COUNTIFS($AJ$2:$AJ$200,$G100)&gt;0,
     COUNTIFS($AK$2:$AK$200,$G100)&gt;0,
     COUNTIFS($AL$2:$AL$200,$G100)&gt;0,
     COUNTIFS($AM$2:$AM$200,$G100)&gt;0,
     COUNTIFS($AN$2:$AN$200,$G100)&gt;0,
     COUNTIFS($AO$2:$AO$200,$G100)&gt;0,
     COUNTIFS($AP$2:$AP$200,$G100)&gt;0,
     COUNTIFS($AQ$2:$AQ$200,$G100)&gt;0,
     COUNTIFS($AR$2:$AR$200,$G100)&gt;0,
     COUNTIFS($AS$2:$AS$200,$G100)&gt;0,
     COUNTIFS($AT$2:$AT$200,$G100)&gt;0,
     COUNTIFS($AU$2:$AU$200,$G100)&gt;0,
     COUNTIFS($AV$2:$AV$200,$G100)&gt;0,
     COUNTIFS($AW$2:$AW$200,$G100)&gt;0,
     COUNTIFS($AX$2:$AX$200,$G100)&gt;0
   )),
  ),
  3
 ),
"")</f>
        <v/>
      </c>
      <c r="F100" s="3" t="str" cm="1">
        <f t="array" aca="1" ref="F100" ca="1">IFERROR(
 INDEX(
  _xlfn._xlws.FILTER($U$1:$AX$1,
   TRANSPOSE(
    CHOOSE({1;2;3;4;5;6;7;8;9;10;11;12;13;14;15;16;17;18;19;20;21;22;23;24;25;26;27;28;29;30},
     COUNTIFS($U$2:$U$200,$G100)&gt;0,
     COUNTIFS($V$2:$V$200,$G100)&gt;0,
     COUNTIFS($W$2:$W$200,$G100)&gt;0,
     COUNTIFS($X$2:$X$200,$G100)&gt;0,
     COUNTIFS($Y$2:$Y$200,$G100)&gt;0,
     COUNTIFS($Z$2:$Z$200,$G100)&gt;0,
     COUNTIFS($AA$2:$AA$200,$G100)&gt;0,
     COUNTIFS($AB$2:$AB$200,$G100)&gt;0,
     COUNTIFS($AC$2:$AC$200,$G100)&gt;0,
     COUNTIFS($AD$2:$AD$200,$G100)&gt;0,
     COUNTIFS($AE$2:$AE$200,$G100)&gt;0,
     COUNTIFS($AF$2:$AF$200,$G100)&gt;0,
     COUNTIFS($AG$2:$AG$200,$G100)&gt;0,
     COUNTIFS($AH$2:$AH$200,$G100)&gt;0,
     COUNTIFS($AI$2:$AI$200,$G100)&gt;0,
     COUNTIFS($AJ$2:$AJ$200,$G100)&gt;0,
     COUNTIFS($AK$2:$AK$200,$G100)&gt;0,
     COUNTIFS($AL$2:$AL$200,$G100)&gt;0,
     COUNTIFS($AM$2:$AM$200,$G100)&gt;0,
     COUNTIFS($AN$2:$AN$200,$G100)&gt;0,
     COUNTIFS($AO$2:$AO$200,$G100)&gt;0,
     COUNTIFS($AP$2:$AP$200,$G100)&gt;0,
     COUNTIFS($AQ$2:$AQ$200,$G100)&gt;0,
     COUNTIFS($AR$2:$AR$200,$G100)&gt;0,
     COUNTIFS($AS$2:$AS$200,$G100)&gt;0,
     COUNTIFS($AT$2:$AT$200,$G100)&gt;0,
     COUNTIFS($AU$2:$AU$200,$G100)&gt;0,
     COUNTIFS($AV$2:$AV$200,$G100)&gt;0,
     COUNTIFS($AW$2:$AW$200,$G100)&gt;0,
     COUNTIFS($AX$2:$AX$200,$G100)&gt;0
   )),
  ),
  4
 ),
"")</f>
        <v/>
      </c>
      <c r="G100" t="str">
        <f ca="1"/>
        <v>Emrakul, um Novo Mundo</v>
      </c>
      <c r="BI100" t="str">
        <f ca="1"/>
        <v>Swords to Plowshares</v>
      </c>
      <c r="BO100" t="str">
        <f ca="1"/>
        <v>Marketback Walker</v>
      </c>
      <c r="BR100" t="str">
        <f ca="1"/>
        <v>Saqueador Amaldiçoado</v>
      </c>
      <c r="BT100" t="str">
        <f ca="1"/>
        <v>Kellan, the Fae-Blooded // Birthright Boon</v>
      </c>
    </row>
    <row r="101" spans="1:72" x14ac:dyDescent="0.25">
      <c r="A101" s="3" t="str">
        <f t="shared" ca="1" si="4"/>
        <v>3</v>
      </c>
      <c r="B101" s="3">
        <f t="shared" ca="1" si="5"/>
        <v>1</v>
      </c>
      <c r="C101" s="3" t="str">
        <f ca="1">IFERROR(
 INDEX($U$1:$AX$1,
  MATCH(TRUE,
   CHOOSE({1;2;3;4;5;6;7;8;9;10;11;12;13;14;15;16;17;18;19;20;21;22;23;24;25;26;27;28;29;30;31;32},
    COUNTIFS($U$2:$U$200,$G101)&gt;0,
    COUNTIFS($V$2:$V$200,$G101)&gt;0,
    COUNTIFS($W$2:$W$200,$G101)&gt;0,
    COUNTIFS($X$2:$X$200,$G101)&gt;0,
    COUNTIFS($Y$2:$Y$200,$G101)&gt;0,
    COUNTIFS($Z$2:$Z$200,$G101)&gt;0,
    COUNTIFS($AA$2:$AA$200,$G101)&gt;0,
    COUNTIFS($AB$2:$AB$200,$G101)&gt;0,
    COUNTIFS($AC$2:$AC$200,$G101)&gt;0,
    COUNTIFS($AD$2:$AD$200,$G101)&gt;0,
    COUNTIFS($AE$2:$AE$200,$G101)&gt;0,
    COUNTIFS($AF$2:$AF$200,$G101)&gt;0,
    COUNTIFS($AG$2:$AG$200,$G101)&gt;0,
    COUNTIFS($AH$2:$AH$200,$G101)&gt;0,
    COUNTIFS($AI$2:$AI$200,$G101)&gt;0,
    COUNTIFS($AJ$2:$AJ$200,$G101)&gt;0,
    COUNTIFS($AK$2:$AK$200,$G101)&gt;0,
    COUNTIFS($AL$2:$AL$200,$G101)&gt;0,
    COUNTIFS($AM$2:$AM$200,$G101)&gt;0,
    COUNTIFS($AN$2:$AN$200,$G101)&gt;0,
    COUNTIFS($AO$2:$AO$200,$G101)&gt;0,
    COUNTIFS($AP$2:$AP$200,$G101)&gt;0,
    COUNTIFS($AQ$2:$AQ$200,$G101)&gt;0,
    COUNTIFS($AR$2:$AR$200,$G101)&gt;0,
    COUNTIFS($AS$2:$AS$200,$G101)&gt;0,
    COUNTIFS($AT$2:$AT$200,$G101)&gt;0,
    COUNTIFS($AU$2:$AU$200,$G101)&gt;0,
    COUNTIFS($AV$2:$AV$200,$G101)&gt;0,
    COUNTIFS($AW$2:$AW$200,$G101)&gt;0,
    COUNTIFS($AX$2:$AX$200,$G101)&gt;0
   ),
  0)
 ),
"")</f>
        <v>Carlos</v>
      </c>
      <c r="D101" s="3" t="str" cm="1">
        <f t="array" aca="1" ref="D101" ca="1">IFERROR(
 INDEX(
  _xlfn._xlws.FILTER($U$1:$AX$1,
   TRANSPOSE(
    CHOOSE({1;2;3;4;5;6;7;8;9;10;11;12;13;14;15;16;17;18;19;20;21;22;23;24;25;26;27;28;29;30},
     COUNTIFS($U$2:$U$200,$G101)&gt;0,
     COUNTIFS($V$2:$V$200,$G101)&gt;0,
     COUNTIFS($W$2:$W$200,$G101)&gt;0,
     COUNTIFS($X$2:$X$200,$G101)&gt;0,
     COUNTIFS($Y$2:$Y$200,$G101)&gt;0,
     COUNTIFS($Z$2:$Z$200,$G101)&gt;0,
     COUNTIFS($AA$2:$AA$200,$G101)&gt;0,
     COUNTIFS($AB$2:$AB$200,$G101)&gt;0,
     COUNTIFS($AC$2:$AC$200,$G101)&gt;0,
     COUNTIFS($AD$2:$AD$200,$G101)&gt;0,
     COUNTIFS($AE$2:$AE$200,$G101)&gt;0,
     COUNTIFS($AF$2:$AF$200,$G101)&gt;0,
     COUNTIFS($AG$2:$AG$200,$G101)&gt;0,
     COUNTIFS($AH$2:$AH$200,$G101)&gt;0,
     COUNTIFS($AI$2:$AI$200,$G101)&gt;0,
     COUNTIFS($AJ$2:$AJ$200,$G101)&gt;0,
     COUNTIFS($AK$2:$AK$200,$G101)&gt;0,
     COUNTIFS($AL$2:$AL$200,$G101)&gt;0,
     COUNTIFS($AM$2:$AM$200,$G101)&gt;0,
     COUNTIFS($AN$2:$AN$200,$G101)&gt;0,
     COUNTIFS($AO$2:$AO$200,$G101)&gt;0,
     COUNTIFS($AP$2:$AP$200,$G101)&gt;0,
     COUNTIFS($AQ$2:$AQ$200,$G101)&gt;0,
     COUNTIFS($AR$2:$AR$200,$G101)&gt;0,
     COUNTIFS($AS$2:$AS$200,$G101)&gt;0,
     COUNTIFS($AT$2:$AT$200,$G101)&gt;0,
     COUNTIFS($AU$2:$AU$200,$G101)&gt;0,
     COUNTIFS($AV$2:$AV$200,$G101)&gt;0,
     COUNTIFS($AW$2:$AW$200,$G101)&gt;0,
     COUNTIFS($AX$2:$AX$200,$G101)&gt;0
   )),
  ),
  2
 ),
"")</f>
        <v/>
      </c>
      <c r="E101" s="3" t="str" cm="1">
        <f t="array" aca="1" ref="E101" ca="1">IFERROR(
 INDEX(
  _xlfn._xlws.FILTER($U$1:$AX$1,
   TRANSPOSE(
    CHOOSE({1;2;3;4;5;6;7;8;9;10;11;12;13;14;15;16;17;18;19;20;21;22;23;24;25;26;27;28;29;30},
     COUNTIFS($U$2:$U$200,$G101)&gt;0,
     COUNTIFS($V$2:$V$200,$G101)&gt;0,
     COUNTIFS($W$2:$W$200,$G101)&gt;0,
     COUNTIFS($X$2:$X$200,$G101)&gt;0,
     COUNTIFS($Y$2:$Y$200,$G101)&gt;0,
     COUNTIFS($Z$2:$Z$200,$G101)&gt;0,
     COUNTIFS($AA$2:$AA$200,$G101)&gt;0,
     COUNTIFS($AB$2:$AB$200,$G101)&gt;0,
     COUNTIFS($AC$2:$AC$200,$G101)&gt;0,
     COUNTIFS($AD$2:$AD$200,$G101)&gt;0,
     COUNTIFS($AE$2:$AE$200,$G101)&gt;0,
     COUNTIFS($AF$2:$AF$200,$G101)&gt;0,
     COUNTIFS($AG$2:$AG$200,$G101)&gt;0,
     COUNTIFS($AH$2:$AH$200,$G101)&gt;0,
     COUNTIFS($AI$2:$AI$200,$G101)&gt;0,
     COUNTIFS($AJ$2:$AJ$200,$G101)&gt;0,
     COUNTIFS($AK$2:$AK$200,$G101)&gt;0,
     COUNTIFS($AL$2:$AL$200,$G101)&gt;0,
     COUNTIFS($AM$2:$AM$200,$G101)&gt;0,
     COUNTIFS($AN$2:$AN$200,$G101)&gt;0,
     COUNTIFS($AO$2:$AO$200,$G101)&gt;0,
     COUNTIFS($AP$2:$AP$200,$G101)&gt;0,
     COUNTIFS($AQ$2:$AQ$200,$G101)&gt;0,
     COUNTIFS($AR$2:$AR$200,$G101)&gt;0,
     COUNTIFS($AS$2:$AS$200,$G101)&gt;0,
     COUNTIFS($AT$2:$AT$200,$G101)&gt;0,
     COUNTIFS($AU$2:$AU$200,$G101)&gt;0,
     COUNTIFS($AV$2:$AV$200,$G101)&gt;0,
     COUNTIFS($AW$2:$AW$200,$G101)&gt;0,
     COUNTIFS($AX$2:$AX$200,$G101)&gt;0
   )),
  ),
  3
 ),
"")</f>
        <v/>
      </c>
      <c r="F101" s="3" t="str" cm="1">
        <f t="array" aca="1" ref="F101" ca="1">IFERROR(
 INDEX(
  _xlfn._xlws.FILTER($U$1:$AX$1,
   TRANSPOSE(
    CHOOSE({1;2;3;4;5;6;7;8;9;10;11;12;13;14;15;16;17;18;19;20;21;22;23;24;25;26;27;28;29;30},
     COUNTIFS($U$2:$U$200,$G101)&gt;0,
     COUNTIFS($V$2:$V$200,$G101)&gt;0,
     COUNTIFS($W$2:$W$200,$G101)&gt;0,
     COUNTIFS($X$2:$X$200,$G101)&gt;0,
     COUNTIFS($Y$2:$Y$200,$G101)&gt;0,
     COUNTIFS($Z$2:$Z$200,$G101)&gt;0,
     COUNTIFS($AA$2:$AA$200,$G101)&gt;0,
     COUNTIFS($AB$2:$AB$200,$G101)&gt;0,
     COUNTIFS($AC$2:$AC$200,$G101)&gt;0,
     COUNTIFS($AD$2:$AD$200,$G101)&gt;0,
     COUNTIFS($AE$2:$AE$200,$G101)&gt;0,
     COUNTIFS($AF$2:$AF$200,$G101)&gt;0,
     COUNTIFS($AG$2:$AG$200,$G101)&gt;0,
     COUNTIFS($AH$2:$AH$200,$G101)&gt;0,
     COUNTIFS($AI$2:$AI$200,$G101)&gt;0,
     COUNTIFS($AJ$2:$AJ$200,$G101)&gt;0,
     COUNTIFS($AK$2:$AK$200,$G101)&gt;0,
     COUNTIFS($AL$2:$AL$200,$G101)&gt;0,
     COUNTIFS($AM$2:$AM$200,$G101)&gt;0,
     COUNTIFS($AN$2:$AN$200,$G101)&gt;0,
     COUNTIFS($AO$2:$AO$200,$G101)&gt;0,
     COUNTIFS($AP$2:$AP$200,$G101)&gt;0,
     COUNTIFS($AQ$2:$AQ$200,$G101)&gt;0,
     COUNTIFS($AR$2:$AR$200,$G101)&gt;0,
     COUNTIFS($AS$2:$AS$200,$G101)&gt;0,
     COUNTIFS($AT$2:$AT$200,$G101)&gt;0,
     COUNTIFS($AU$2:$AU$200,$G101)&gt;0,
     COUNTIFS($AV$2:$AV$200,$G101)&gt;0,
     COUNTIFS($AW$2:$AW$200,$G101)&gt;0,
     COUNTIFS($AX$2:$AX$200,$G101)&gt;0
   )),
  ),
  4
 ),
"")</f>
        <v/>
      </c>
      <c r="G101" t="str">
        <f ca="1"/>
        <v>Enduring Innocence</v>
      </c>
      <c r="BI101" t="str">
        <f ca="1"/>
        <v>Tannuk, Memorial Ensign</v>
      </c>
      <c r="BO101" t="str">
        <f ca="1"/>
        <v>Mindless Automaton</v>
      </c>
      <c r="BR101" t="str">
        <f ca="1"/>
        <v>Saw in Half</v>
      </c>
      <c r="BT101" t="str">
        <f ca="1"/>
        <v>Khorvath's Fury</v>
      </c>
    </row>
    <row r="102" spans="1:72" x14ac:dyDescent="0.25">
      <c r="A102" s="3" t="str">
        <f t="shared" ca="1" si="4"/>
        <v>3</v>
      </c>
      <c r="B102" s="3">
        <f t="shared" ca="1" si="5"/>
        <v>1</v>
      </c>
      <c r="C102" s="3" t="str">
        <f ca="1">IFERROR(
 INDEX($U$1:$AX$1,
  MATCH(TRUE,
   CHOOSE({1;2;3;4;5;6;7;8;9;10;11;12;13;14;15;16;17;18;19;20;21;22;23;24;25;26;27;28;29;30;31;32},
    COUNTIFS($U$2:$U$200,$G102)&gt;0,
    COUNTIFS($V$2:$V$200,$G102)&gt;0,
    COUNTIFS($W$2:$W$200,$G102)&gt;0,
    COUNTIFS($X$2:$X$200,$G102)&gt;0,
    COUNTIFS($Y$2:$Y$200,$G102)&gt;0,
    COUNTIFS($Z$2:$Z$200,$G102)&gt;0,
    COUNTIFS($AA$2:$AA$200,$G102)&gt;0,
    COUNTIFS($AB$2:$AB$200,$G102)&gt;0,
    COUNTIFS($AC$2:$AC$200,$G102)&gt;0,
    COUNTIFS($AD$2:$AD$200,$G102)&gt;0,
    COUNTIFS($AE$2:$AE$200,$G102)&gt;0,
    COUNTIFS($AF$2:$AF$200,$G102)&gt;0,
    COUNTIFS($AG$2:$AG$200,$G102)&gt;0,
    COUNTIFS($AH$2:$AH$200,$G102)&gt;0,
    COUNTIFS($AI$2:$AI$200,$G102)&gt;0,
    COUNTIFS($AJ$2:$AJ$200,$G102)&gt;0,
    COUNTIFS($AK$2:$AK$200,$G102)&gt;0,
    COUNTIFS($AL$2:$AL$200,$G102)&gt;0,
    COUNTIFS($AM$2:$AM$200,$G102)&gt;0,
    COUNTIFS($AN$2:$AN$200,$G102)&gt;0,
    COUNTIFS($AO$2:$AO$200,$G102)&gt;0,
    COUNTIFS($AP$2:$AP$200,$G102)&gt;0,
    COUNTIFS($AQ$2:$AQ$200,$G102)&gt;0,
    COUNTIFS($AR$2:$AR$200,$G102)&gt;0,
    COUNTIFS($AS$2:$AS$200,$G102)&gt;0,
    COUNTIFS($AT$2:$AT$200,$G102)&gt;0,
    COUNTIFS($AU$2:$AU$200,$G102)&gt;0,
    COUNTIFS($AV$2:$AV$200,$G102)&gt;0,
    COUNTIFS($AW$2:$AW$200,$G102)&gt;0,
    COUNTIFS($AX$2:$AX$200,$G102)&gt;0
   ),
  0)
 ),
"")</f>
        <v>Gritrog</v>
      </c>
      <c r="D102" s="3" t="str" cm="1">
        <f t="array" aca="1" ref="D102" ca="1">IFERROR(
 INDEX(
  _xlfn._xlws.FILTER($U$1:$AX$1,
   TRANSPOSE(
    CHOOSE({1;2;3;4;5;6;7;8;9;10;11;12;13;14;15;16;17;18;19;20;21;22;23;24;25;26;27;28;29;30},
     COUNTIFS($U$2:$U$200,$G102)&gt;0,
     COUNTIFS($V$2:$V$200,$G102)&gt;0,
     COUNTIFS($W$2:$W$200,$G102)&gt;0,
     COUNTIFS($X$2:$X$200,$G102)&gt;0,
     COUNTIFS($Y$2:$Y$200,$G102)&gt;0,
     COUNTIFS($Z$2:$Z$200,$G102)&gt;0,
     COUNTIFS($AA$2:$AA$200,$G102)&gt;0,
     COUNTIFS($AB$2:$AB$200,$G102)&gt;0,
     COUNTIFS($AC$2:$AC$200,$G102)&gt;0,
     COUNTIFS($AD$2:$AD$200,$G102)&gt;0,
     COUNTIFS($AE$2:$AE$200,$G102)&gt;0,
     COUNTIFS($AF$2:$AF$200,$G102)&gt;0,
     COUNTIFS($AG$2:$AG$200,$G102)&gt;0,
     COUNTIFS($AH$2:$AH$200,$G102)&gt;0,
     COUNTIFS($AI$2:$AI$200,$G102)&gt;0,
     COUNTIFS($AJ$2:$AJ$200,$G102)&gt;0,
     COUNTIFS($AK$2:$AK$200,$G102)&gt;0,
     COUNTIFS($AL$2:$AL$200,$G102)&gt;0,
     COUNTIFS($AM$2:$AM$200,$G102)&gt;0,
     COUNTIFS($AN$2:$AN$200,$G102)&gt;0,
     COUNTIFS($AO$2:$AO$200,$G102)&gt;0,
     COUNTIFS($AP$2:$AP$200,$G102)&gt;0,
     COUNTIFS($AQ$2:$AQ$200,$G102)&gt;0,
     COUNTIFS($AR$2:$AR$200,$G102)&gt;0,
     COUNTIFS($AS$2:$AS$200,$G102)&gt;0,
     COUNTIFS($AT$2:$AT$200,$G102)&gt;0,
     COUNTIFS($AU$2:$AU$200,$G102)&gt;0,
     COUNTIFS($AV$2:$AV$200,$G102)&gt;0,
     COUNTIFS($AW$2:$AW$200,$G102)&gt;0,
     COUNTIFS($AX$2:$AX$200,$G102)&gt;0
   )),
  ),
  2
 ),
"")</f>
        <v/>
      </c>
      <c r="E102" s="3" t="str" cm="1">
        <f t="array" aca="1" ref="E102" ca="1">IFERROR(
 INDEX(
  _xlfn._xlws.FILTER($U$1:$AX$1,
   TRANSPOSE(
    CHOOSE({1;2;3;4;5;6;7;8;9;10;11;12;13;14;15;16;17;18;19;20;21;22;23;24;25;26;27;28;29;30},
     COUNTIFS($U$2:$U$200,$G102)&gt;0,
     COUNTIFS($V$2:$V$200,$G102)&gt;0,
     COUNTIFS($W$2:$W$200,$G102)&gt;0,
     COUNTIFS($X$2:$X$200,$G102)&gt;0,
     COUNTIFS($Y$2:$Y$200,$G102)&gt;0,
     COUNTIFS($Z$2:$Z$200,$G102)&gt;0,
     COUNTIFS($AA$2:$AA$200,$G102)&gt;0,
     COUNTIFS($AB$2:$AB$200,$G102)&gt;0,
     COUNTIFS($AC$2:$AC$200,$G102)&gt;0,
     COUNTIFS($AD$2:$AD$200,$G102)&gt;0,
     COUNTIFS($AE$2:$AE$200,$G102)&gt;0,
     COUNTIFS($AF$2:$AF$200,$G102)&gt;0,
     COUNTIFS($AG$2:$AG$200,$G102)&gt;0,
     COUNTIFS($AH$2:$AH$200,$G102)&gt;0,
     COUNTIFS($AI$2:$AI$200,$G102)&gt;0,
     COUNTIFS($AJ$2:$AJ$200,$G102)&gt;0,
     COUNTIFS($AK$2:$AK$200,$G102)&gt;0,
     COUNTIFS($AL$2:$AL$200,$G102)&gt;0,
     COUNTIFS($AM$2:$AM$200,$G102)&gt;0,
     COUNTIFS($AN$2:$AN$200,$G102)&gt;0,
     COUNTIFS($AO$2:$AO$200,$G102)&gt;0,
     COUNTIFS($AP$2:$AP$200,$G102)&gt;0,
     COUNTIFS($AQ$2:$AQ$200,$G102)&gt;0,
     COUNTIFS($AR$2:$AR$200,$G102)&gt;0,
     COUNTIFS($AS$2:$AS$200,$G102)&gt;0,
     COUNTIFS($AT$2:$AT$200,$G102)&gt;0,
     COUNTIFS($AU$2:$AU$200,$G102)&gt;0,
     COUNTIFS($AV$2:$AV$200,$G102)&gt;0,
     COUNTIFS($AW$2:$AW$200,$G102)&gt;0,
     COUNTIFS($AX$2:$AX$200,$G102)&gt;0
   )),
  ),
  3
 ),
"")</f>
        <v/>
      </c>
      <c r="F102" s="3" t="str" cm="1">
        <f t="array" aca="1" ref="F102" ca="1">IFERROR(
 INDEX(
  _xlfn._xlws.FILTER($U$1:$AX$1,
   TRANSPOSE(
    CHOOSE({1;2;3;4;5;6;7;8;9;10;11;12;13;14;15;16;17;18;19;20;21;22;23;24;25;26;27;28;29;30},
     COUNTIFS($U$2:$U$200,$G102)&gt;0,
     COUNTIFS($V$2:$V$200,$G102)&gt;0,
     COUNTIFS($W$2:$W$200,$G102)&gt;0,
     COUNTIFS($X$2:$X$200,$G102)&gt;0,
     COUNTIFS($Y$2:$Y$200,$G102)&gt;0,
     COUNTIFS($Z$2:$Z$200,$G102)&gt;0,
     COUNTIFS($AA$2:$AA$200,$G102)&gt;0,
     COUNTIFS($AB$2:$AB$200,$G102)&gt;0,
     COUNTIFS($AC$2:$AC$200,$G102)&gt;0,
     COUNTIFS($AD$2:$AD$200,$G102)&gt;0,
     COUNTIFS($AE$2:$AE$200,$G102)&gt;0,
     COUNTIFS($AF$2:$AF$200,$G102)&gt;0,
     COUNTIFS($AG$2:$AG$200,$G102)&gt;0,
     COUNTIFS($AH$2:$AH$200,$G102)&gt;0,
     COUNTIFS($AI$2:$AI$200,$G102)&gt;0,
     COUNTIFS($AJ$2:$AJ$200,$G102)&gt;0,
     COUNTIFS($AK$2:$AK$200,$G102)&gt;0,
     COUNTIFS($AL$2:$AL$200,$G102)&gt;0,
     COUNTIFS($AM$2:$AM$200,$G102)&gt;0,
     COUNTIFS($AN$2:$AN$200,$G102)&gt;0,
     COUNTIFS($AO$2:$AO$200,$G102)&gt;0,
     COUNTIFS($AP$2:$AP$200,$G102)&gt;0,
     COUNTIFS($AQ$2:$AQ$200,$G102)&gt;0,
     COUNTIFS($AR$2:$AR$200,$G102)&gt;0,
     COUNTIFS($AS$2:$AS$200,$G102)&gt;0,
     COUNTIFS($AT$2:$AT$200,$G102)&gt;0,
     COUNTIFS($AU$2:$AU$200,$G102)&gt;0,
     COUNTIFS($AV$2:$AV$200,$G102)&gt;0,
     COUNTIFS($AW$2:$AW$200,$G102)&gt;0,
     COUNTIFS($AX$2:$AX$200,$G102)&gt;0
   )),
  ),
  4
 ),
"")</f>
        <v/>
      </c>
      <c r="G102" t="str">
        <f ca="1"/>
        <v>Entomb</v>
      </c>
      <c r="BI102" t="str">
        <f ca="1"/>
        <v>Temple of Malice</v>
      </c>
      <c r="BO102" t="str">
        <f ca="1"/>
        <v>Mines of Moria</v>
      </c>
      <c r="BR102" t="str">
        <f ca="1"/>
        <v>Scalding Tarn</v>
      </c>
      <c r="BT102" t="str">
        <f ca="1"/>
        <v>Kodama's Reach</v>
      </c>
    </row>
    <row r="103" spans="1:72" x14ac:dyDescent="0.25">
      <c r="A103" s="3" t="str">
        <f t="shared" ca="1" si="4"/>
        <v>2</v>
      </c>
      <c r="B103" s="3">
        <f t="shared" ca="1" si="5"/>
        <v>1</v>
      </c>
      <c r="C103" s="3" t="str">
        <f ca="1">IFERROR(
 INDEX($U$1:$AX$1,
  MATCH(TRUE,
   CHOOSE({1;2;3;4;5;6;7;8;9;10;11;12;13;14;15;16;17;18;19;20;21;22;23;24;25;26;27;28;29;30;31;32},
    COUNTIFS($U$2:$U$200,$G103)&gt;0,
    COUNTIFS($V$2:$V$200,$G103)&gt;0,
    COUNTIFS($W$2:$W$200,$G103)&gt;0,
    COUNTIFS($X$2:$X$200,$G103)&gt;0,
    COUNTIFS($Y$2:$Y$200,$G103)&gt;0,
    COUNTIFS($Z$2:$Z$200,$G103)&gt;0,
    COUNTIFS($AA$2:$AA$200,$G103)&gt;0,
    COUNTIFS($AB$2:$AB$200,$G103)&gt;0,
    COUNTIFS($AC$2:$AC$200,$G103)&gt;0,
    COUNTIFS($AD$2:$AD$200,$G103)&gt;0,
    COUNTIFS($AE$2:$AE$200,$G103)&gt;0,
    COUNTIFS($AF$2:$AF$200,$G103)&gt;0,
    COUNTIFS($AG$2:$AG$200,$G103)&gt;0,
    COUNTIFS($AH$2:$AH$200,$G103)&gt;0,
    COUNTIFS($AI$2:$AI$200,$G103)&gt;0,
    COUNTIFS($AJ$2:$AJ$200,$G103)&gt;0,
    COUNTIFS($AK$2:$AK$200,$G103)&gt;0,
    COUNTIFS($AL$2:$AL$200,$G103)&gt;0,
    COUNTIFS($AM$2:$AM$200,$G103)&gt;0,
    COUNTIFS($AN$2:$AN$200,$G103)&gt;0,
    COUNTIFS($AO$2:$AO$200,$G103)&gt;0,
    COUNTIFS($AP$2:$AP$200,$G103)&gt;0,
    COUNTIFS($AQ$2:$AQ$200,$G103)&gt;0,
    COUNTIFS($AR$2:$AR$200,$G103)&gt;0,
    COUNTIFS($AS$2:$AS$200,$G103)&gt;0,
    COUNTIFS($AT$2:$AT$200,$G103)&gt;0,
    COUNTIFS($AU$2:$AU$200,$G103)&gt;0,
    COUNTIFS($AV$2:$AV$200,$G103)&gt;0,
    COUNTIFS($AW$2:$AW$200,$G103)&gt;0,
    COUNTIFS($AX$2:$AX$200,$G103)&gt;0
   ),
  0)
 ),
"")</f>
        <v>Rani</v>
      </c>
      <c r="D103" s="3" t="str" cm="1">
        <f t="array" aca="1" ref="D103" ca="1">IFERROR(
 INDEX(
  _xlfn._xlws.FILTER($U$1:$AX$1,
   TRANSPOSE(
    CHOOSE({1;2;3;4;5;6;7;8;9;10;11;12;13;14;15;16;17;18;19;20;21;22;23;24;25;26;27;28;29;30},
     COUNTIFS($U$2:$U$200,$G103)&gt;0,
     COUNTIFS($V$2:$V$200,$G103)&gt;0,
     COUNTIFS($W$2:$W$200,$G103)&gt;0,
     COUNTIFS($X$2:$X$200,$G103)&gt;0,
     COUNTIFS($Y$2:$Y$200,$G103)&gt;0,
     COUNTIFS($Z$2:$Z$200,$G103)&gt;0,
     COUNTIFS($AA$2:$AA$200,$G103)&gt;0,
     COUNTIFS($AB$2:$AB$200,$G103)&gt;0,
     COUNTIFS($AC$2:$AC$200,$G103)&gt;0,
     COUNTIFS($AD$2:$AD$200,$G103)&gt;0,
     COUNTIFS($AE$2:$AE$200,$G103)&gt;0,
     COUNTIFS($AF$2:$AF$200,$G103)&gt;0,
     COUNTIFS($AG$2:$AG$200,$G103)&gt;0,
     COUNTIFS($AH$2:$AH$200,$G103)&gt;0,
     COUNTIFS($AI$2:$AI$200,$G103)&gt;0,
     COUNTIFS($AJ$2:$AJ$200,$G103)&gt;0,
     COUNTIFS($AK$2:$AK$200,$G103)&gt;0,
     COUNTIFS($AL$2:$AL$200,$G103)&gt;0,
     COUNTIFS($AM$2:$AM$200,$G103)&gt;0,
     COUNTIFS($AN$2:$AN$200,$G103)&gt;0,
     COUNTIFS($AO$2:$AO$200,$G103)&gt;0,
     COUNTIFS($AP$2:$AP$200,$G103)&gt;0,
     COUNTIFS($AQ$2:$AQ$200,$G103)&gt;0,
     COUNTIFS($AR$2:$AR$200,$G103)&gt;0,
     COUNTIFS($AS$2:$AS$200,$G103)&gt;0,
     COUNTIFS($AT$2:$AT$200,$G103)&gt;0,
     COUNTIFS($AU$2:$AU$200,$G103)&gt;0,
     COUNTIFS($AV$2:$AV$200,$G103)&gt;0,
     COUNTIFS($AW$2:$AW$200,$G103)&gt;0,
     COUNTIFS($AX$2:$AX$200,$G103)&gt;0
   )),
  ),
  2
 ),
"")</f>
        <v/>
      </c>
      <c r="E103" s="3" t="str" cm="1">
        <f t="array" aca="1" ref="E103" ca="1">IFERROR(
 INDEX(
  _xlfn._xlws.FILTER($U$1:$AX$1,
   TRANSPOSE(
    CHOOSE({1;2;3;4;5;6;7;8;9;10;11;12;13;14;15;16;17;18;19;20;21;22;23;24;25;26;27;28;29;30},
     COUNTIFS($U$2:$U$200,$G103)&gt;0,
     COUNTIFS($V$2:$V$200,$G103)&gt;0,
     COUNTIFS($W$2:$W$200,$G103)&gt;0,
     COUNTIFS($X$2:$X$200,$G103)&gt;0,
     COUNTIFS($Y$2:$Y$200,$G103)&gt;0,
     COUNTIFS($Z$2:$Z$200,$G103)&gt;0,
     COUNTIFS($AA$2:$AA$200,$G103)&gt;0,
     COUNTIFS($AB$2:$AB$200,$G103)&gt;0,
     COUNTIFS($AC$2:$AC$200,$G103)&gt;0,
     COUNTIFS($AD$2:$AD$200,$G103)&gt;0,
     COUNTIFS($AE$2:$AE$200,$G103)&gt;0,
     COUNTIFS($AF$2:$AF$200,$G103)&gt;0,
     COUNTIFS($AG$2:$AG$200,$G103)&gt;0,
     COUNTIFS($AH$2:$AH$200,$G103)&gt;0,
     COUNTIFS($AI$2:$AI$200,$G103)&gt;0,
     COUNTIFS($AJ$2:$AJ$200,$G103)&gt;0,
     COUNTIFS($AK$2:$AK$200,$G103)&gt;0,
     COUNTIFS($AL$2:$AL$200,$G103)&gt;0,
     COUNTIFS($AM$2:$AM$200,$G103)&gt;0,
     COUNTIFS($AN$2:$AN$200,$G103)&gt;0,
     COUNTIFS($AO$2:$AO$200,$G103)&gt;0,
     COUNTIFS($AP$2:$AP$200,$G103)&gt;0,
     COUNTIFS($AQ$2:$AQ$200,$G103)&gt;0,
     COUNTIFS($AR$2:$AR$200,$G103)&gt;0,
     COUNTIFS($AS$2:$AS$200,$G103)&gt;0,
     COUNTIFS($AT$2:$AT$200,$G103)&gt;0,
     COUNTIFS($AU$2:$AU$200,$G103)&gt;0,
     COUNTIFS($AV$2:$AV$200,$G103)&gt;0,
     COUNTIFS($AW$2:$AW$200,$G103)&gt;0,
     COUNTIFS($AX$2:$AX$200,$G103)&gt;0
   )),
  ),
  3
 ),
"")</f>
        <v/>
      </c>
      <c r="F103" s="3" t="str" cm="1">
        <f t="array" aca="1" ref="F103" ca="1">IFERROR(
 INDEX(
  _xlfn._xlws.FILTER($U$1:$AX$1,
   TRANSPOSE(
    CHOOSE({1;2;3;4;5;6;7;8;9;10;11;12;13;14;15;16;17;18;19;20;21;22;23;24;25;26;27;28;29;30},
     COUNTIFS($U$2:$U$200,$G103)&gt;0,
     COUNTIFS($V$2:$V$200,$G103)&gt;0,
     COUNTIFS($W$2:$W$200,$G103)&gt;0,
     COUNTIFS($X$2:$X$200,$G103)&gt;0,
     COUNTIFS($Y$2:$Y$200,$G103)&gt;0,
     COUNTIFS($Z$2:$Z$200,$G103)&gt;0,
     COUNTIFS($AA$2:$AA$200,$G103)&gt;0,
     COUNTIFS($AB$2:$AB$200,$G103)&gt;0,
     COUNTIFS($AC$2:$AC$200,$G103)&gt;0,
     COUNTIFS($AD$2:$AD$200,$G103)&gt;0,
     COUNTIFS($AE$2:$AE$200,$G103)&gt;0,
     COUNTIFS($AF$2:$AF$200,$G103)&gt;0,
     COUNTIFS($AG$2:$AG$200,$G103)&gt;0,
     COUNTIFS($AH$2:$AH$200,$G103)&gt;0,
     COUNTIFS($AI$2:$AI$200,$G103)&gt;0,
     COUNTIFS($AJ$2:$AJ$200,$G103)&gt;0,
     COUNTIFS($AK$2:$AK$200,$G103)&gt;0,
     COUNTIFS($AL$2:$AL$200,$G103)&gt;0,
     COUNTIFS($AM$2:$AM$200,$G103)&gt;0,
     COUNTIFS($AN$2:$AN$200,$G103)&gt;0,
     COUNTIFS($AO$2:$AO$200,$G103)&gt;0,
     COUNTIFS($AP$2:$AP$200,$G103)&gt;0,
     COUNTIFS($AQ$2:$AQ$200,$G103)&gt;0,
     COUNTIFS($AR$2:$AR$200,$G103)&gt;0,
     COUNTIFS($AS$2:$AS$200,$G103)&gt;0,
     COUNTIFS($AT$2:$AT$200,$G103)&gt;0,
     COUNTIFS($AU$2:$AU$200,$G103)&gt;0,
     COUNTIFS($AV$2:$AV$200,$G103)&gt;0,
     COUNTIFS($AW$2:$AW$200,$G103)&gt;0,
     COUNTIFS($AX$2:$AX$200,$G103)&gt;0
   )),
  ),
  4
 ),
"")</f>
        <v/>
      </c>
      <c r="G103" t="str">
        <f ca="1"/>
        <v>Equilíbrio de Poderes</v>
      </c>
      <c r="BI103" t="str">
        <f ca="1"/>
        <v>Terra Eternal</v>
      </c>
      <c r="BO103" t="str">
        <f ca="1"/>
        <v>Mistrise Village</v>
      </c>
      <c r="BR103" t="str">
        <f ca="1"/>
        <v>Scattered Groves</v>
      </c>
      <c r="BT103" t="str">
        <f ca="1"/>
        <v>Lagoa Espelhada</v>
      </c>
    </row>
    <row r="104" spans="1:72" x14ac:dyDescent="0.25">
      <c r="A104" s="3" t="str">
        <f t="shared" ca="1" si="4"/>
        <v>3</v>
      </c>
      <c r="B104" s="3">
        <f t="shared" ca="1" si="5"/>
        <v>1</v>
      </c>
      <c r="C104" s="3" t="str">
        <f ca="1">IFERROR(
 INDEX($U$1:$AX$1,
  MATCH(TRUE,
   CHOOSE({1;2;3;4;5;6;7;8;9;10;11;12;13;14;15;16;17;18;19;20;21;22;23;24;25;26;27;28;29;30;31;32},
    COUNTIFS($U$2:$U$200,$G104)&gt;0,
    COUNTIFS($V$2:$V$200,$G104)&gt;0,
    COUNTIFS($W$2:$W$200,$G104)&gt;0,
    COUNTIFS($X$2:$X$200,$G104)&gt;0,
    COUNTIFS($Y$2:$Y$200,$G104)&gt;0,
    COUNTIFS($Z$2:$Z$200,$G104)&gt;0,
    COUNTIFS($AA$2:$AA$200,$G104)&gt;0,
    COUNTIFS($AB$2:$AB$200,$G104)&gt;0,
    COUNTIFS($AC$2:$AC$200,$G104)&gt;0,
    COUNTIFS($AD$2:$AD$200,$G104)&gt;0,
    COUNTIFS($AE$2:$AE$200,$G104)&gt;0,
    COUNTIFS($AF$2:$AF$200,$G104)&gt;0,
    COUNTIFS($AG$2:$AG$200,$G104)&gt;0,
    COUNTIFS($AH$2:$AH$200,$G104)&gt;0,
    COUNTIFS($AI$2:$AI$200,$G104)&gt;0,
    COUNTIFS($AJ$2:$AJ$200,$G104)&gt;0,
    COUNTIFS($AK$2:$AK$200,$G104)&gt;0,
    COUNTIFS($AL$2:$AL$200,$G104)&gt;0,
    COUNTIFS($AM$2:$AM$200,$G104)&gt;0,
    COUNTIFS($AN$2:$AN$200,$G104)&gt;0,
    COUNTIFS($AO$2:$AO$200,$G104)&gt;0,
    COUNTIFS($AP$2:$AP$200,$G104)&gt;0,
    COUNTIFS($AQ$2:$AQ$200,$G104)&gt;0,
    COUNTIFS($AR$2:$AR$200,$G104)&gt;0,
    COUNTIFS($AS$2:$AS$200,$G104)&gt;0,
    COUNTIFS($AT$2:$AT$200,$G104)&gt;0,
    COUNTIFS($AU$2:$AU$200,$G104)&gt;0,
    COUNTIFS($AV$2:$AV$200,$G104)&gt;0,
    COUNTIFS($AW$2:$AW$200,$G104)&gt;0,
    COUNTIFS($AX$2:$AX$200,$G104)&gt;0
   ),
  0)
 ),
"")</f>
        <v>Akiri</v>
      </c>
      <c r="D104" s="3" t="str" cm="1">
        <f t="array" aca="1" ref="D104" ca="1">IFERROR(
 INDEX(
  _xlfn._xlws.FILTER($U$1:$AX$1,
   TRANSPOSE(
    CHOOSE({1;2;3;4;5;6;7;8;9;10;11;12;13;14;15;16;17;18;19;20;21;22;23;24;25;26;27;28;29;30},
     COUNTIFS($U$2:$U$200,$G104)&gt;0,
     COUNTIFS($V$2:$V$200,$G104)&gt;0,
     COUNTIFS($W$2:$W$200,$G104)&gt;0,
     COUNTIFS($X$2:$X$200,$G104)&gt;0,
     COUNTIFS($Y$2:$Y$200,$G104)&gt;0,
     COUNTIFS($Z$2:$Z$200,$G104)&gt;0,
     COUNTIFS($AA$2:$AA$200,$G104)&gt;0,
     COUNTIFS($AB$2:$AB$200,$G104)&gt;0,
     COUNTIFS($AC$2:$AC$200,$G104)&gt;0,
     COUNTIFS($AD$2:$AD$200,$G104)&gt;0,
     COUNTIFS($AE$2:$AE$200,$G104)&gt;0,
     COUNTIFS($AF$2:$AF$200,$G104)&gt;0,
     COUNTIFS($AG$2:$AG$200,$G104)&gt;0,
     COUNTIFS($AH$2:$AH$200,$G104)&gt;0,
     COUNTIFS($AI$2:$AI$200,$G104)&gt;0,
     COUNTIFS($AJ$2:$AJ$200,$G104)&gt;0,
     COUNTIFS($AK$2:$AK$200,$G104)&gt;0,
     COUNTIFS($AL$2:$AL$200,$G104)&gt;0,
     COUNTIFS($AM$2:$AM$200,$G104)&gt;0,
     COUNTIFS($AN$2:$AN$200,$G104)&gt;0,
     COUNTIFS($AO$2:$AO$200,$G104)&gt;0,
     COUNTIFS($AP$2:$AP$200,$G104)&gt;0,
     COUNTIFS($AQ$2:$AQ$200,$G104)&gt;0,
     COUNTIFS($AR$2:$AR$200,$G104)&gt;0,
     COUNTIFS($AS$2:$AS$200,$G104)&gt;0,
     COUNTIFS($AT$2:$AT$200,$G104)&gt;0,
     COUNTIFS($AU$2:$AU$200,$G104)&gt;0,
     COUNTIFS($AV$2:$AV$200,$G104)&gt;0,
     COUNTIFS($AW$2:$AW$200,$G104)&gt;0,
     COUNTIFS($AX$2:$AX$200,$G104)&gt;0
   )),
  ),
  2
 ),
"")</f>
        <v/>
      </c>
      <c r="E104" s="3" t="str" cm="1">
        <f t="array" aca="1" ref="E104" ca="1">IFERROR(
 INDEX(
  _xlfn._xlws.FILTER($U$1:$AX$1,
   TRANSPOSE(
    CHOOSE({1;2;3;4;5;6;7;8;9;10;11;12;13;14;15;16;17;18;19;20;21;22;23;24;25;26;27;28;29;30},
     COUNTIFS($U$2:$U$200,$G104)&gt;0,
     COUNTIFS($V$2:$V$200,$G104)&gt;0,
     COUNTIFS($W$2:$W$200,$G104)&gt;0,
     COUNTIFS($X$2:$X$200,$G104)&gt;0,
     COUNTIFS($Y$2:$Y$200,$G104)&gt;0,
     COUNTIFS($Z$2:$Z$200,$G104)&gt;0,
     COUNTIFS($AA$2:$AA$200,$G104)&gt;0,
     COUNTIFS($AB$2:$AB$200,$G104)&gt;0,
     COUNTIFS($AC$2:$AC$200,$G104)&gt;0,
     COUNTIFS($AD$2:$AD$200,$G104)&gt;0,
     COUNTIFS($AE$2:$AE$200,$G104)&gt;0,
     COUNTIFS($AF$2:$AF$200,$G104)&gt;0,
     COUNTIFS($AG$2:$AG$200,$G104)&gt;0,
     COUNTIFS($AH$2:$AH$200,$G104)&gt;0,
     COUNTIFS($AI$2:$AI$200,$G104)&gt;0,
     COUNTIFS($AJ$2:$AJ$200,$G104)&gt;0,
     COUNTIFS($AK$2:$AK$200,$G104)&gt;0,
     COUNTIFS($AL$2:$AL$200,$G104)&gt;0,
     COUNTIFS($AM$2:$AM$200,$G104)&gt;0,
     COUNTIFS($AN$2:$AN$200,$G104)&gt;0,
     COUNTIFS($AO$2:$AO$200,$G104)&gt;0,
     COUNTIFS($AP$2:$AP$200,$G104)&gt;0,
     COUNTIFS($AQ$2:$AQ$200,$G104)&gt;0,
     COUNTIFS($AR$2:$AR$200,$G104)&gt;0,
     COUNTIFS($AS$2:$AS$200,$G104)&gt;0,
     COUNTIFS($AT$2:$AT$200,$G104)&gt;0,
     COUNTIFS($AU$2:$AU$200,$G104)&gt;0,
     COUNTIFS($AV$2:$AV$200,$G104)&gt;0,
     COUNTIFS($AW$2:$AW$200,$G104)&gt;0,
     COUNTIFS($AX$2:$AX$200,$G104)&gt;0
   )),
  ),
  3
 ),
"")</f>
        <v/>
      </c>
      <c r="F104" s="3" t="str" cm="1">
        <f t="array" aca="1" ref="F104" ca="1">IFERROR(
 INDEX(
  _xlfn._xlws.FILTER($U$1:$AX$1,
   TRANSPOSE(
    CHOOSE({1;2;3;4;5;6;7;8;9;10;11;12;13;14;15;16;17;18;19;20;21;22;23;24;25;26;27;28;29;30},
     COUNTIFS($U$2:$U$200,$G104)&gt;0,
     COUNTIFS($V$2:$V$200,$G104)&gt;0,
     COUNTIFS($W$2:$W$200,$G104)&gt;0,
     COUNTIFS($X$2:$X$200,$G104)&gt;0,
     COUNTIFS($Y$2:$Y$200,$G104)&gt;0,
     COUNTIFS($Z$2:$Z$200,$G104)&gt;0,
     COUNTIFS($AA$2:$AA$200,$G104)&gt;0,
     COUNTIFS($AB$2:$AB$200,$G104)&gt;0,
     COUNTIFS($AC$2:$AC$200,$G104)&gt;0,
     COUNTIFS($AD$2:$AD$200,$G104)&gt;0,
     COUNTIFS($AE$2:$AE$200,$G104)&gt;0,
     COUNTIFS($AF$2:$AF$200,$G104)&gt;0,
     COUNTIFS($AG$2:$AG$200,$G104)&gt;0,
     COUNTIFS($AH$2:$AH$200,$G104)&gt;0,
     COUNTIFS($AI$2:$AI$200,$G104)&gt;0,
     COUNTIFS($AJ$2:$AJ$200,$G104)&gt;0,
     COUNTIFS($AK$2:$AK$200,$G104)&gt;0,
     COUNTIFS($AL$2:$AL$200,$G104)&gt;0,
     COUNTIFS($AM$2:$AM$200,$G104)&gt;0,
     COUNTIFS($AN$2:$AN$200,$G104)&gt;0,
     COUNTIFS($AO$2:$AO$200,$G104)&gt;0,
     COUNTIFS($AP$2:$AP$200,$G104)&gt;0,
     COUNTIFS($AQ$2:$AQ$200,$G104)&gt;0,
     COUNTIFS($AR$2:$AR$200,$G104)&gt;0,
     COUNTIFS($AS$2:$AS$200,$G104)&gt;0,
     COUNTIFS($AT$2:$AT$200,$G104)&gt;0,
     COUNTIFS($AU$2:$AU$200,$G104)&gt;0,
     COUNTIFS($AV$2:$AV$200,$G104)&gt;0,
     COUNTIFS($AW$2:$AW$200,$G104)&gt;0,
     COUNTIFS($AX$2:$AX$200,$G104)&gt;0
   )),
  ),
  4
 ),
"")</f>
        <v/>
      </c>
      <c r="G104" t="str">
        <f ca="1"/>
        <v>Espada da Riqueza e do Poder</v>
      </c>
      <c r="BI104" t="str">
        <f ca="1"/>
        <v>Terrasymbiosis</v>
      </c>
      <c r="BO104" t="str">
        <f ca="1"/>
        <v>Monumental Henge</v>
      </c>
      <c r="BR104" t="str">
        <f ca="1"/>
        <v>Scour for Scrap</v>
      </c>
      <c r="BT104" t="str">
        <f ca="1"/>
        <v>Life of the Party</v>
      </c>
    </row>
    <row r="105" spans="1:72" x14ac:dyDescent="0.25">
      <c r="A105" s="3" t="str">
        <f t="shared" ca="1" si="4"/>
        <v>3</v>
      </c>
      <c r="B105" s="3">
        <f t="shared" ca="1" si="5"/>
        <v>1</v>
      </c>
      <c r="C105" s="3" t="str">
        <f ca="1">IFERROR(
 INDEX($U$1:$AX$1,
  MATCH(TRUE,
   CHOOSE({1;2;3;4;5;6;7;8;9;10;11;12;13;14;15;16;17;18;19;20;21;22;23;24;25;26;27;28;29;30;31;32},
    COUNTIFS($U$2:$U$200,$G105)&gt;0,
    COUNTIFS($V$2:$V$200,$G105)&gt;0,
    COUNTIFS($W$2:$W$200,$G105)&gt;0,
    COUNTIFS($X$2:$X$200,$G105)&gt;0,
    COUNTIFS($Y$2:$Y$200,$G105)&gt;0,
    COUNTIFS($Z$2:$Z$200,$G105)&gt;0,
    COUNTIFS($AA$2:$AA$200,$G105)&gt;0,
    COUNTIFS($AB$2:$AB$200,$G105)&gt;0,
    COUNTIFS($AC$2:$AC$200,$G105)&gt;0,
    COUNTIFS($AD$2:$AD$200,$G105)&gt;0,
    COUNTIFS($AE$2:$AE$200,$G105)&gt;0,
    COUNTIFS($AF$2:$AF$200,$G105)&gt;0,
    COUNTIFS($AG$2:$AG$200,$G105)&gt;0,
    COUNTIFS($AH$2:$AH$200,$G105)&gt;0,
    COUNTIFS($AI$2:$AI$200,$G105)&gt;0,
    COUNTIFS($AJ$2:$AJ$200,$G105)&gt;0,
    COUNTIFS($AK$2:$AK$200,$G105)&gt;0,
    COUNTIFS($AL$2:$AL$200,$G105)&gt;0,
    COUNTIFS($AM$2:$AM$200,$G105)&gt;0,
    COUNTIFS($AN$2:$AN$200,$G105)&gt;0,
    COUNTIFS($AO$2:$AO$200,$G105)&gt;0,
    COUNTIFS($AP$2:$AP$200,$G105)&gt;0,
    COUNTIFS($AQ$2:$AQ$200,$G105)&gt;0,
    COUNTIFS($AR$2:$AR$200,$G105)&gt;0,
    COUNTIFS($AS$2:$AS$200,$G105)&gt;0,
    COUNTIFS($AT$2:$AT$200,$G105)&gt;0,
    COUNTIFS($AU$2:$AU$200,$G105)&gt;0,
    COUNTIFS($AV$2:$AV$200,$G105)&gt;0,
    COUNTIFS($AW$2:$AW$200,$G105)&gt;0,
    COUNTIFS($AX$2:$AX$200,$G105)&gt;0
   ),
  0)
 ),
"")</f>
        <v>Akiri</v>
      </c>
      <c r="D105" s="3" t="str" cm="1">
        <f t="array" aca="1" ref="D105" ca="1">IFERROR(
 INDEX(
  _xlfn._xlws.FILTER($U$1:$AX$1,
   TRANSPOSE(
    CHOOSE({1;2;3;4;5;6;7;8;9;10;11;12;13;14;15;16;17;18;19;20;21;22;23;24;25;26;27;28;29;30},
     COUNTIFS($U$2:$U$200,$G105)&gt;0,
     COUNTIFS($V$2:$V$200,$G105)&gt;0,
     COUNTIFS($W$2:$W$200,$G105)&gt;0,
     COUNTIFS($X$2:$X$200,$G105)&gt;0,
     COUNTIFS($Y$2:$Y$200,$G105)&gt;0,
     COUNTIFS($Z$2:$Z$200,$G105)&gt;0,
     COUNTIFS($AA$2:$AA$200,$G105)&gt;0,
     COUNTIFS($AB$2:$AB$200,$G105)&gt;0,
     COUNTIFS($AC$2:$AC$200,$G105)&gt;0,
     COUNTIFS($AD$2:$AD$200,$G105)&gt;0,
     COUNTIFS($AE$2:$AE$200,$G105)&gt;0,
     COUNTIFS($AF$2:$AF$200,$G105)&gt;0,
     COUNTIFS($AG$2:$AG$200,$G105)&gt;0,
     COUNTIFS($AH$2:$AH$200,$G105)&gt;0,
     COUNTIFS($AI$2:$AI$200,$G105)&gt;0,
     COUNTIFS($AJ$2:$AJ$200,$G105)&gt;0,
     COUNTIFS($AK$2:$AK$200,$G105)&gt;0,
     COUNTIFS($AL$2:$AL$200,$G105)&gt;0,
     COUNTIFS($AM$2:$AM$200,$G105)&gt;0,
     COUNTIFS($AN$2:$AN$200,$G105)&gt;0,
     COUNTIFS($AO$2:$AO$200,$G105)&gt;0,
     COUNTIFS($AP$2:$AP$200,$G105)&gt;0,
     COUNTIFS($AQ$2:$AQ$200,$G105)&gt;0,
     COUNTIFS($AR$2:$AR$200,$G105)&gt;0,
     COUNTIFS($AS$2:$AS$200,$G105)&gt;0,
     COUNTIFS($AT$2:$AT$200,$G105)&gt;0,
     COUNTIFS($AU$2:$AU$200,$G105)&gt;0,
     COUNTIFS($AV$2:$AV$200,$G105)&gt;0,
     COUNTIFS($AW$2:$AW$200,$G105)&gt;0,
     COUNTIFS($AX$2:$AX$200,$G105)&gt;0
   )),
  ),
  2
 ),
"")</f>
        <v/>
      </c>
      <c r="E105" s="3" t="str" cm="1">
        <f t="array" aca="1" ref="E105" ca="1">IFERROR(
 INDEX(
  _xlfn._xlws.FILTER($U$1:$AX$1,
   TRANSPOSE(
    CHOOSE({1;2;3;4;5;6;7;8;9;10;11;12;13;14;15;16;17;18;19;20;21;22;23;24;25;26;27;28;29;30},
     COUNTIFS($U$2:$U$200,$G105)&gt;0,
     COUNTIFS($V$2:$V$200,$G105)&gt;0,
     COUNTIFS($W$2:$W$200,$G105)&gt;0,
     COUNTIFS($X$2:$X$200,$G105)&gt;0,
     COUNTIFS($Y$2:$Y$200,$G105)&gt;0,
     COUNTIFS($Z$2:$Z$200,$G105)&gt;0,
     COUNTIFS($AA$2:$AA$200,$G105)&gt;0,
     COUNTIFS($AB$2:$AB$200,$G105)&gt;0,
     COUNTIFS($AC$2:$AC$200,$G105)&gt;0,
     COUNTIFS($AD$2:$AD$200,$G105)&gt;0,
     COUNTIFS($AE$2:$AE$200,$G105)&gt;0,
     COUNTIFS($AF$2:$AF$200,$G105)&gt;0,
     COUNTIFS($AG$2:$AG$200,$G105)&gt;0,
     COUNTIFS($AH$2:$AH$200,$G105)&gt;0,
     COUNTIFS($AI$2:$AI$200,$G105)&gt;0,
     COUNTIFS($AJ$2:$AJ$200,$G105)&gt;0,
     COUNTIFS($AK$2:$AK$200,$G105)&gt;0,
     COUNTIFS($AL$2:$AL$200,$G105)&gt;0,
     COUNTIFS($AM$2:$AM$200,$G105)&gt;0,
     COUNTIFS($AN$2:$AN$200,$G105)&gt;0,
     COUNTIFS($AO$2:$AO$200,$G105)&gt;0,
     COUNTIFS($AP$2:$AP$200,$G105)&gt;0,
     COUNTIFS($AQ$2:$AQ$200,$G105)&gt;0,
     COUNTIFS($AR$2:$AR$200,$G105)&gt;0,
     COUNTIFS($AS$2:$AS$200,$G105)&gt;0,
     COUNTIFS($AT$2:$AT$200,$G105)&gt;0,
     COUNTIFS($AU$2:$AU$200,$G105)&gt;0,
     COUNTIFS($AV$2:$AV$200,$G105)&gt;0,
     COUNTIFS($AW$2:$AW$200,$G105)&gt;0,
     COUNTIFS($AX$2:$AX$200,$G105)&gt;0
   )),
  ),
  3
 ),
"")</f>
        <v/>
      </c>
      <c r="F105" s="3" t="str" cm="1">
        <f t="array" aca="1" ref="F105" ca="1">IFERROR(
 INDEX(
  _xlfn._xlws.FILTER($U$1:$AX$1,
   TRANSPOSE(
    CHOOSE({1;2;3;4;5;6;7;8;9;10;11;12;13;14;15;16;17;18;19;20;21;22;23;24;25;26;27;28;29;30},
     COUNTIFS($U$2:$U$200,$G105)&gt;0,
     COUNTIFS($V$2:$V$200,$G105)&gt;0,
     COUNTIFS($W$2:$W$200,$G105)&gt;0,
     COUNTIFS($X$2:$X$200,$G105)&gt;0,
     COUNTIFS($Y$2:$Y$200,$G105)&gt;0,
     COUNTIFS($Z$2:$Z$200,$G105)&gt;0,
     COUNTIFS($AA$2:$AA$200,$G105)&gt;0,
     COUNTIFS($AB$2:$AB$200,$G105)&gt;0,
     COUNTIFS($AC$2:$AC$200,$G105)&gt;0,
     COUNTIFS($AD$2:$AD$200,$G105)&gt;0,
     COUNTIFS($AE$2:$AE$200,$G105)&gt;0,
     COUNTIFS($AF$2:$AF$200,$G105)&gt;0,
     COUNTIFS($AG$2:$AG$200,$G105)&gt;0,
     COUNTIFS($AH$2:$AH$200,$G105)&gt;0,
     COUNTIFS($AI$2:$AI$200,$G105)&gt;0,
     COUNTIFS($AJ$2:$AJ$200,$G105)&gt;0,
     COUNTIFS($AK$2:$AK$200,$G105)&gt;0,
     COUNTIFS($AL$2:$AL$200,$G105)&gt;0,
     COUNTIFS($AM$2:$AM$200,$G105)&gt;0,
     COUNTIFS($AN$2:$AN$200,$G105)&gt;0,
     COUNTIFS($AO$2:$AO$200,$G105)&gt;0,
     COUNTIFS($AP$2:$AP$200,$G105)&gt;0,
     COUNTIFS($AQ$2:$AQ$200,$G105)&gt;0,
     COUNTIFS($AR$2:$AR$200,$G105)&gt;0,
     COUNTIFS($AS$2:$AS$200,$G105)&gt;0,
     COUNTIFS($AT$2:$AT$200,$G105)&gt;0,
     COUNTIFS($AU$2:$AU$200,$G105)&gt;0,
     COUNTIFS($AV$2:$AV$200,$G105)&gt;0,
     COUNTIFS($AW$2:$AW$200,$G105)&gt;0,
     COUNTIFS($AX$2:$AX$200,$G105)&gt;0
   )),
  ),
  4
 ),
"")</f>
        <v/>
      </c>
      <c r="G105" t="str">
        <f ca="1"/>
        <v>Espada de Banquete e Fome</v>
      </c>
      <c r="BI105" t="str">
        <f ca="1"/>
        <v>The Great Henge</v>
      </c>
      <c r="BO105" t="str">
        <f ca="1"/>
        <v>Mossfire Valley</v>
      </c>
      <c r="BR105" t="str">
        <f ca="1"/>
        <v>Sea of Clouds</v>
      </c>
      <c r="BT105" t="str">
        <f ca="1"/>
        <v>Lightning Greaves</v>
      </c>
    </row>
    <row r="106" spans="1:72" x14ac:dyDescent="0.25">
      <c r="A106" s="3" t="str">
        <f t="shared" ca="1" si="4"/>
        <v>3</v>
      </c>
      <c r="B106" s="3">
        <f t="shared" ca="1" si="5"/>
        <v>1</v>
      </c>
      <c r="C106" s="3" t="str">
        <f ca="1">IFERROR(
 INDEX($U$1:$AX$1,
  MATCH(TRUE,
   CHOOSE({1;2;3;4;5;6;7;8;9;10;11;12;13;14;15;16;17;18;19;20;21;22;23;24;25;26;27;28;29;30;31;32},
    COUNTIFS($U$2:$U$200,$G106)&gt;0,
    COUNTIFS($V$2:$V$200,$G106)&gt;0,
    COUNTIFS($W$2:$W$200,$G106)&gt;0,
    COUNTIFS($X$2:$X$200,$G106)&gt;0,
    COUNTIFS($Y$2:$Y$200,$G106)&gt;0,
    COUNTIFS($Z$2:$Z$200,$G106)&gt;0,
    COUNTIFS($AA$2:$AA$200,$G106)&gt;0,
    COUNTIFS($AB$2:$AB$200,$G106)&gt;0,
    COUNTIFS($AC$2:$AC$200,$G106)&gt;0,
    COUNTIFS($AD$2:$AD$200,$G106)&gt;0,
    COUNTIFS($AE$2:$AE$200,$G106)&gt;0,
    COUNTIFS($AF$2:$AF$200,$G106)&gt;0,
    COUNTIFS($AG$2:$AG$200,$G106)&gt;0,
    COUNTIFS($AH$2:$AH$200,$G106)&gt;0,
    COUNTIFS($AI$2:$AI$200,$G106)&gt;0,
    COUNTIFS($AJ$2:$AJ$200,$G106)&gt;0,
    COUNTIFS($AK$2:$AK$200,$G106)&gt;0,
    COUNTIFS($AL$2:$AL$200,$G106)&gt;0,
    COUNTIFS($AM$2:$AM$200,$G106)&gt;0,
    COUNTIFS($AN$2:$AN$200,$G106)&gt;0,
    COUNTIFS($AO$2:$AO$200,$G106)&gt;0,
    COUNTIFS($AP$2:$AP$200,$G106)&gt;0,
    COUNTIFS($AQ$2:$AQ$200,$G106)&gt;0,
    COUNTIFS($AR$2:$AR$200,$G106)&gt;0,
    COUNTIFS($AS$2:$AS$200,$G106)&gt;0,
    COUNTIFS($AT$2:$AT$200,$G106)&gt;0,
    COUNTIFS($AU$2:$AU$200,$G106)&gt;0,
    COUNTIFS($AV$2:$AV$200,$G106)&gt;0,
    COUNTIFS($AW$2:$AW$200,$G106)&gt;0,
    COUNTIFS($AX$2:$AX$200,$G106)&gt;0
   ),
  0)
 ),
"")</f>
        <v>Akiri</v>
      </c>
      <c r="D106" s="3" t="str" cm="1">
        <f t="array" aca="1" ref="D106" ca="1">IFERROR(
 INDEX(
  _xlfn._xlws.FILTER($U$1:$AX$1,
   TRANSPOSE(
    CHOOSE({1;2;3;4;5;6;7;8;9;10;11;12;13;14;15;16;17;18;19;20;21;22;23;24;25;26;27;28;29;30},
     COUNTIFS($U$2:$U$200,$G106)&gt;0,
     COUNTIFS($V$2:$V$200,$G106)&gt;0,
     COUNTIFS($W$2:$W$200,$G106)&gt;0,
     COUNTIFS($X$2:$X$200,$G106)&gt;0,
     COUNTIFS($Y$2:$Y$200,$G106)&gt;0,
     COUNTIFS($Z$2:$Z$200,$G106)&gt;0,
     COUNTIFS($AA$2:$AA$200,$G106)&gt;0,
     COUNTIFS($AB$2:$AB$200,$G106)&gt;0,
     COUNTIFS($AC$2:$AC$200,$G106)&gt;0,
     COUNTIFS($AD$2:$AD$200,$G106)&gt;0,
     COUNTIFS($AE$2:$AE$200,$G106)&gt;0,
     COUNTIFS($AF$2:$AF$200,$G106)&gt;0,
     COUNTIFS($AG$2:$AG$200,$G106)&gt;0,
     COUNTIFS($AH$2:$AH$200,$G106)&gt;0,
     COUNTIFS($AI$2:$AI$200,$G106)&gt;0,
     COUNTIFS($AJ$2:$AJ$200,$G106)&gt;0,
     COUNTIFS($AK$2:$AK$200,$G106)&gt;0,
     COUNTIFS($AL$2:$AL$200,$G106)&gt;0,
     COUNTIFS($AM$2:$AM$200,$G106)&gt;0,
     COUNTIFS($AN$2:$AN$200,$G106)&gt;0,
     COUNTIFS($AO$2:$AO$200,$G106)&gt;0,
     COUNTIFS($AP$2:$AP$200,$G106)&gt;0,
     COUNTIFS($AQ$2:$AQ$200,$G106)&gt;0,
     COUNTIFS($AR$2:$AR$200,$G106)&gt;0,
     COUNTIFS($AS$2:$AS$200,$G106)&gt;0,
     COUNTIFS($AT$2:$AT$200,$G106)&gt;0,
     COUNTIFS($AU$2:$AU$200,$G106)&gt;0,
     COUNTIFS($AV$2:$AV$200,$G106)&gt;0,
     COUNTIFS($AW$2:$AW$200,$G106)&gt;0,
     COUNTIFS($AX$2:$AX$200,$G106)&gt;0
   )),
  ),
  2
 ),
"")</f>
        <v/>
      </c>
      <c r="E106" s="3" t="str" cm="1">
        <f t="array" aca="1" ref="E106" ca="1">IFERROR(
 INDEX(
  _xlfn._xlws.FILTER($U$1:$AX$1,
   TRANSPOSE(
    CHOOSE({1;2;3;4;5;6;7;8;9;10;11;12;13;14;15;16;17;18;19;20;21;22;23;24;25;26;27;28;29;30},
     COUNTIFS($U$2:$U$200,$G106)&gt;0,
     COUNTIFS($V$2:$V$200,$G106)&gt;0,
     COUNTIFS($W$2:$W$200,$G106)&gt;0,
     COUNTIFS($X$2:$X$200,$G106)&gt;0,
     COUNTIFS($Y$2:$Y$200,$G106)&gt;0,
     COUNTIFS($Z$2:$Z$200,$G106)&gt;0,
     COUNTIFS($AA$2:$AA$200,$G106)&gt;0,
     COUNTIFS($AB$2:$AB$200,$G106)&gt;0,
     COUNTIFS($AC$2:$AC$200,$G106)&gt;0,
     COUNTIFS($AD$2:$AD$200,$G106)&gt;0,
     COUNTIFS($AE$2:$AE$200,$G106)&gt;0,
     COUNTIFS($AF$2:$AF$200,$G106)&gt;0,
     COUNTIFS($AG$2:$AG$200,$G106)&gt;0,
     COUNTIFS($AH$2:$AH$200,$G106)&gt;0,
     COUNTIFS($AI$2:$AI$200,$G106)&gt;0,
     COUNTIFS($AJ$2:$AJ$200,$G106)&gt;0,
     COUNTIFS($AK$2:$AK$200,$G106)&gt;0,
     COUNTIFS($AL$2:$AL$200,$G106)&gt;0,
     COUNTIFS($AM$2:$AM$200,$G106)&gt;0,
     COUNTIFS($AN$2:$AN$200,$G106)&gt;0,
     COUNTIFS($AO$2:$AO$200,$G106)&gt;0,
     COUNTIFS($AP$2:$AP$200,$G106)&gt;0,
     COUNTIFS($AQ$2:$AQ$200,$G106)&gt;0,
     COUNTIFS($AR$2:$AR$200,$G106)&gt;0,
     COUNTIFS($AS$2:$AS$200,$G106)&gt;0,
     COUNTIFS($AT$2:$AT$200,$G106)&gt;0,
     COUNTIFS($AU$2:$AU$200,$G106)&gt;0,
     COUNTIFS($AV$2:$AV$200,$G106)&gt;0,
     COUNTIFS($AW$2:$AW$200,$G106)&gt;0,
     COUNTIFS($AX$2:$AX$200,$G106)&gt;0
   )),
  ),
  3
 ),
"")</f>
        <v/>
      </c>
      <c r="F106" s="3" t="str" cm="1">
        <f t="array" aca="1" ref="F106" ca="1">IFERROR(
 INDEX(
  _xlfn._xlws.FILTER($U$1:$AX$1,
   TRANSPOSE(
    CHOOSE({1;2;3;4;5;6;7;8;9;10;11;12;13;14;15;16;17;18;19;20;21;22;23;24;25;26;27;28;29;30},
     COUNTIFS($U$2:$U$200,$G106)&gt;0,
     COUNTIFS($V$2:$V$200,$G106)&gt;0,
     COUNTIFS($W$2:$W$200,$G106)&gt;0,
     COUNTIFS($X$2:$X$200,$G106)&gt;0,
     COUNTIFS($Y$2:$Y$200,$G106)&gt;0,
     COUNTIFS($Z$2:$Z$200,$G106)&gt;0,
     COUNTIFS($AA$2:$AA$200,$G106)&gt;0,
     COUNTIFS($AB$2:$AB$200,$G106)&gt;0,
     COUNTIFS($AC$2:$AC$200,$G106)&gt;0,
     COUNTIFS($AD$2:$AD$200,$G106)&gt;0,
     COUNTIFS($AE$2:$AE$200,$G106)&gt;0,
     COUNTIFS($AF$2:$AF$200,$G106)&gt;0,
     COUNTIFS($AG$2:$AG$200,$G106)&gt;0,
     COUNTIFS($AH$2:$AH$200,$G106)&gt;0,
     COUNTIFS($AI$2:$AI$200,$G106)&gt;0,
     COUNTIFS($AJ$2:$AJ$200,$G106)&gt;0,
     COUNTIFS($AK$2:$AK$200,$G106)&gt;0,
     COUNTIFS($AL$2:$AL$200,$G106)&gt;0,
     COUNTIFS($AM$2:$AM$200,$G106)&gt;0,
     COUNTIFS($AN$2:$AN$200,$G106)&gt;0,
     COUNTIFS($AO$2:$AO$200,$G106)&gt;0,
     COUNTIFS($AP$2:$AP$200,$G106)&gt;0,
     COUNTIFS($AQ$2:$AQ$200,$G106)&gt;0,
     COUNTIFS($AR$2:$AR$200,$G106)&gt;0,
     COUNTIFS($AS$2:$AS$200,$G106)&gt;0,
     COUNTIFS($AT$2:$AT$200,$G106)&gt;0,
     COUNTIFS($AU$2:$AU$200,$G106)&gt;0,
     COUNTIFS($AV$2:$AV$200,$G106)&gt;0,
     COUNTIFS($AW$2:$AW$200,$G106)&gt;0,
     COUNTIFS($AX$2:$AX$200,$G106)&gt;0
   )),
  ),
  4
 ),
"")</f>
        <v/>
      </c>
      <c r="G106" t="str">
        <f ca="1"/>
        <v>Espada de Fogo e Gelo</v>
      </c>
      <c r="BI106" t="str">
        <f ca="1"/>
        <v>The Indomitable</v>
      </c>
      <c r="BO106" t="str">
        <f ca="1"/>
        <v>Mountain</v>
      </c>
      <c r="BR106" t="str">
        <f ca="1"/>
        <v>Seahunter</v>
      </c>
      <c r="BT106" t="str">
        <f ca="1"/>
        <v>Lolth, Rainha Aranha</v>
      </c>
    </row>
    <row r="107" spans="1:72" x14ac:dyDescent="0.25">
      <c r="A107" s="3" t="str">
        <f t="shared" ca="1" si="4"/>
        <v>3</v>
      </c>
      <c r="B107" s="3">
        <f t="shared" ca="1" si="5"/>
        <v>1</v>
      </c>
      <c r="C107" s="3" t="str">
        <f ca="1">IFERROR(
 INDEX($U$1:$AX$1,
  MATCH(TRUE,
   CHOOSE({1;2;3;4;5;6;7;8;9;10;11;12;13;14;15;16;17;18;19;20;21;22;23;24;25;26;27;28;29;30;31;32},
    COUNTIFS($U$2:$U$200,$G107)&gt;0,
    COUNTIFS($V$2:$V$200,$G107)&gt;0,
    COUNTIFS($W$2:$W$200,$G107)&gt;0,
    COUNTIFS($X$2:$X$200,$G107)&gt;0,
    COUNTIFS($Y$2:$Y$200,$G107)&gt;0,
    COUNTIFS($Z$2:$Z$200,$G107)&gt;0,
    COUNTIFS($AA$2:$AA$200,$G107)&gt;0,
    COUNTIFS($AB$2:$AB$200,$G107)&gt;0,
    COUNTIFS($AC$2:$AC$200,$G107)&gt;0,
    COUNTIFS($AD$2:$AD$200,$G107)&gt;0,
    COUNTIFS($AE$2:$AE$200,$G107)&gt;0,
    COUNTIFS($AF$2:$AF$200,$G107)&gt;0,
    COUNTIFS($AG$2:$AG$200,$G107)&gt;0,
    COUNTIFS($AH$2:$AH$200,$G107)&gt;0,
    COUNTIFS($AI$2:$AI$200,$G107)&gt;0,
    COUNTIFS($AJ$2:$AJ$200,$G107)&gt;0,
    COUNTIFS($AK$2:$AK$200,$G107)&gt;0,
    COUNTIFS($AL$2:$AL$200,$G107)&gt;0,
    COUNTIFS($AM$2:$AM$200,$G107)&gt;0,
    COUNTIFS($AN$2:$AN$200,$G107)&gt;0,
    COUNTIFS($AO$2:$AO$200,$G107)&gt;0,
    COUNTIFS($AP$2:$AP$200,$G107)&gt;0,
    COUNTIFS($AQ$2:$AQ$200,$G107)&gt;0,
    COUNTIFS($AR$2:$AR$200,$G107)&gt;0,
    COUNTIFS($AS$2:$AS$200,$G107)&gt;0,
    COUNTIFS($AT$2:$AT$200,$G107)&gt;0,
    COUNTIFS($AU$2:$AU$200,$G107)&gt;0,
    COUNTIFS($AV$2:$AV$200,$G107)&gt;0,
    COUNTIFS($AW$2:$AW$200,$G107)&gt;0,
    COUNTIFS($AX$2:$AX$200,$G107)&gt;0
   ),
  0)
 ),
"")</f>
        <v>Akiri</v>
      </c>
      <c r="D107" s="3" t="str" cm="1">
        <f t="array" aca="1" ref="D107" ca="1">IFERROR(
 INDEX(
  _xlfn._xlws.FILTER($U$1:$AX$1,
   TRANSPOSE(
    CHOOSE({1;2;3;4;5;6;7;8;9;10;11;12;13;14;15;16;17;18;19;20;21;22;23;24;25;26;27;28;29;30},
     COUNTIFS($U$2:$U$200,$G107)&gt;0,
     COUNTIFS($V$2:$V$200,$G107)&gt;0,
     COUNTIFS($W$2:$W$200,$G107)&gt;0,
     COUNTIFS($X$2:$X$200,$G107)&gt;0,
     COUNTIFS($Y$2:$Y$200,$G107)&gt;0,
     COUNTIFS($Z$2:$Z$200,$G107)&gt;0,
     COUNTIFS($AA$2:$AA$200,$G107)&gt;0,
     COUNTIFS($AB$2:$AB$200,$G107)&gt;0,
     COUNTIFS($AC$2:$AC$200,$G107)&gt;0,
     COUNTIFS($AD$2:$AD$200,$G107)&gt;0,
     COUNTIFS($AE$2:$AE$200,$G107)&gt;0,
     COUNTIFS($AF$2:$AF$200,$G107)&gt;0,
     COUNTIFS($AG$2:$AG$200,$G107)&gt;0,
     COUNTIFS($AH$2:$AH$200,$G107)&gt;0,
     COUNTIFS($AI$2:$AI$200,$G107)&gt;0,
     COUNTIFS($AJ$2:$AJ$200,$G107)&gt;0,
     COUNTIFS($AK$2:$AK$200,$G107)&gt;0,
     COUNTIFS($AL$2:$AL$200,$G107)&gt;0,
     COUNTIFS($AM$2:$AM$200,$G107)&gt;0,
     COUNTIFS($AN$2:$AN$200,$G107)&gt;0,
     COUNTIFS($AO$2:$AO$200,$G107)&gt;0,
     COUNTIFS($AP$2:$AP$200,$G107)&gt;0,
     COUNTIFS($AQ$2:$AQ$200,$G107)&gt;0,
     COUNTIFS($AR$2:$AR$200,$G107)&gt;0,
     COUNTIFS($AS$2:$AS$200,$G107)&gt;0,
     COUNTIFS($AT$2:$AT$200,$G107)&gt;0,
     COUNTIFS($AU$2:$AU$200,$G107)&gt;0,
     COUNTIFS($AV$2:$AV$200,$G107)&gt;0,
     COUNTIFS($AW$2:$AW$200,$G107)&gt;0,
     COUNTIFS($AX$2:$AX$200,$G107)&gt;0
   )),
  ),
  2
 ),
"")</f>
        <v/>
      </c>
      <c r="E107" s="3" t="str" cm="1">
        <f t="array" aca="1" ref="E107" ca="1">IFERROR(
 INDEX(
  _xlfn._xlws.FILTER($U$1:$AX$1,
   TRANSPOSE(
    CHOOSE({1;2;3;4;5;6;7;8;9;10;11;12;13;14;15;16;17;18;19;20;21;22;23;24;25;26;27;28;29;30},
     COUNTIFS($U$2:$U$200,$G107)&gt;0,
     COUNTIFS($V$2:$V$200,$G107)&gt;0,
     COUNTIFS($W$2:$W$200,$G107)&gt;0,
     COUNTIFS($X$2:$X$200,$G107)&gt;0,
     COUNTIFS($Y$2:$Y$200,$G107)&gt;0,
     COUNTIFS($Z$2:$Z$200,$G107)&gt;0,
     COUNTIFS($AA$2:$AA$200,$G107)&gt;0,
     COUNTIFS($AB$2:$AB$200,$G107)&gt;0,
     COUNTIFS($AC$2:$AC$200,$G107)&gt;0,
     COUNTIFS($AD$2:$AD$200,$G107)&gt;0,
     COUNTIFS($AE$2:$AE$200,$G107)&gt;0,
     COUNTIFS($AF$2:$AF$200,$G107)&gt;0,
     COUNTIFS($AG$2:$AG$200,$G107)&gt;0,
     COUNTIFS($AH$2:$AH$200,$G107)&gt;0,
     COUNTIFS($AI$2:$AI$200,$G107)&gt;0,
     COUNTIFS($AJ$2:$AJ$200,$G107)&gt;0,
     COUNTIFS($AK$2:$AK$200,$G107)&gt;0,
     COUNTIFS($AL$2:$AL$200,$G107)&gt;0,
     COUNTIFS($AM$2:$AM$200,$G107)&gt;0,
     COUNTIFS($AN$2:$AN$200,$G107)&gt;0,
     COUNTIFS($AO$2:$AO$200,$G107)&gt;0,
     COUNTIFS($AP$2:$AP$200,$G107)&gt;0,
     COUNTIFS($AQ$2:$AQ$200,$G107)&gt;0,
     COUNTIFS($AR$2:$AR$200,$G107)&gt;0,
     COUNTIFS($AS$2:$AS$200,$G107)&gt;0,
     COUNTIFS($AT$2:$AT$200,$G107)&gt;0,
     COUNTIFS($AU$2:$AU$200,$G107)&gt;0,
     COUNTIFS($AV$2:$AV$200,$G107)&gt;0,
     COUNTIFS($AW$2:$AW$200,$G107)&gt;0,
     COUNTIFS($AX$2:$AX$200,$G107)&gt;0
   )),
  ),
  3
 ),
"")</f>
        <v/>
      </c>
      <c r="F107" s="3" t="str" cm="1">
        <f t="array" aca="1" ref="F107" ca="1">IFERROR(
 INDEX(
  _xlfn._xlws.FILTER($U$1:$AX$1,
   TRANSPOSE(
    CHOOSE({1;2;3;4;5;6;7;8;9;10;11;12;13;14;15;16;17;18;19;20;21;22;23;24;25;26;27;28;29;30},
     COUNTIFS($U$2:$U$200,$G107)&gt;0,
     COUNTIFS($V$2:$V$200,$G107)&gt;0,
     COUNTIFS($W$2:$W$200,$G107)&gt;0,
     COUNTIFS($X$2:$X$200,$G107)&gt;0,
     COUNTIFS($Y$2:$Y$200,$G107)&gt;0,
     COUNTIFS($Z$2:$Z$200,$G107)&gt;0,
     COUNTIFS($AA$2:$AA$200,$G107)&gt;0,
     COUNTIFS($AB$2:$AB$200,$G107)&gt;0,
     COUNTIFS($AC$2:$AC$200,$G107)&gt;0,
     COUNTIFS($AD$2:$AD$200,$G107)&gt;0,
     COUNTIFS($AE$2:$AE$200,$G107)&gt;0,
     COUNTIFS($AF$2:$AF$200,$G107)&gt;0,
     COUNTIFS($AG$2:$AG$200,$G107)&gt;0,
     COUNTIFS($AH$2:$AH$200,$G107)&gt;0,
     COUNTIFS($AI$2:$AI$200,$G107)&gt;0,
     COUNTIFS($AJ$2:$AJ$200,$G107)&gt;0,
     COUNTIFS($AK$2:$AK$200,$G107)&gt;0,
     COUNTIFS($AL$2:$AL$200,$G107)&gt;0,
     COUNTIFS($AM$2:$AM$200,$G107)&gt;0,
     COUNTIFS($AN$2:$AN$200,$G107)&gt;0,
     COUNTIFS($AO$2:$AO$200,$G107)&gt;0,
     COUNTIFS($AP$2:$AP$200,$G107)&gt;0,
     COUNTIFS($AQ$2:$AQ$200,$G107)&gt;0,
     COUNTIFS($AR$2:$AR$200,$G107)&gt;0,
     COUNTIFS($AS$2:$AS$200,$G107)&gt;0,
     COUNTIFS($AT$2:$AT$200,$G107)&gt;0,
     COUNTIFS($AU$2:$AU$200,$G107)&gt;0,
     COUNTIFS($AV$2:$AV$200,$G107)&gt;0,
     COUNTIFS($AW$2:$AW$200,$G107)&gt;0,
     COUNTIFS($AX$2:$AX$200,$G107)&gt;0
   )),
  ),
  4
 ),
"")</f>
        <v/>
      </c>
      <c r="G107" t="str">
        <f ca="1"/>
        <v>Espada de Luz e Sombra</v>
      </c>
      <c r="BI107" t="str">
        <f ca="1"/>
        <v>The Jolly Balloon Man</v>
      </c>
      <c r="BO107" t="str">
        <f ca="1"/>
        <v>Mox Tantalite</v>
      </c>
      <c r="BR107" t="str">
        <f ca="1"/>
        <v>Season of Weaving</v>
      </c>
      <c r="BT107" t="str">
        <f ca="1"/>
        <v>Lord of Atlantis</v>
      </c>
    </row>
    <row r="108" spans="1:72" x14ac:dyDescent="0.25">
      <c r="A108" s="3" t="str">
        <f t="shared" ca="1" si="4"/>
        <v>3</v>
      </c>
      <c r="B108" s="3">
        <f t="shared" ca="1" si="5"/>
        <v>1</v>
      </c>
      <c r="C108" s="3" t="str">
        <f ca="1">IFERROR(
 INDEX($U$1:$AX$1,
  MATCH(TRUE,
   CHOOSE({1;2;3;4;5;6;7;8;9;10;11;12;13;14;15;16;17;18;19;20;21;22;23;24;25;26;27;28;29;30;31;32},
    COUNTIFS($U$2:$U$200,$G108)&gt;0,
    COUNTIFS($V$2:$V$200,$G108)&gt;0,
    COUNTIFS($W$2:$W$200,$G108)&gt;0,
    COUNTIFS($X$2:$X$200,$G108)&gt;0,
    COUNTIFS($Y$2:$Y$200,$G108)&gt;0,
    COUNTIFS($Z$2:$Z$200,$G108)&gt;0,
    COUNTIFS($AA$2:$AA$200,$G108)&gt;0,
    COUNTIFS($AB$2:$AB$200,$G108)&gt;0,
    COUNTIFS($AC$2:$AC$200,$G108)&gt;0,
    COUNTIFS($AD$2:$AD$200,$G108)&gt;0,
    COUNTIFS($AE$2:$AE$200,$G108)&gt;0,
    COUNTIFS($AF$2:$AF$200,$G108)&gt;0,
    COUNTIFS($AG$2:$AG$200,$G108)&gt;0,
    COUNTIFS($AH$2:$AH$200,$G108)&gt;0,
    COUNTIFS($AI$2:$AI$200,$G108)&gt;0,
    COUNTIFS($AJ$2:$AJ$200,$G108)&gt;0,
    COUNTIFS($AK$2:$AK$200,$G108)&gt;0,
    COUNTIFS($AL$2:$AL$200,$G108)&gt;0,
    COUNTIFS($AM$2:$AM$200,$G108)&gt;0,
    COUNTIFS($AN$2:$AN$200,$G108)&gt;0,
    COUNTIFS($AO$2:$AO$200,$G108)&gt;0,
    COUNTIFS($AP$2:$AP$200,$G108)&gt;0,
    COUNTIFS($AQ$2:$AQ$200,$G108)&gt;0,
    COUNTIFS($AR$2:$AR$200,$G108)&gt;0,
    COUNTIFS($AS$2:$AS$200,$G108)&gt;0,
    COUNTIFS($AT$2:$AT$200,$G108)&gt;0,
    COUNTIFS($AU$2:$AU$200,$G108)&gt;0,
    COUNTIFS($AV$2:$AV$200,$G108)&gt;0,
    COUNTIFS($AW$2:$AW$200,$G108)&gt;0,
    COUNTIFS($AX$2:$AX$200,$G108)&gt;0
   ),
  0)
 ),
"")</f>
        <v>Akiri</v>
      </c>
      <c r="D108" s="3" t="str" cm="1">
        <f t="array" aca="1" ref="D108" ca="1">IFERROR(
 INDEX(
  _xlfn._xlws.FILTER($U$1:$AX$1,
   TRANSPOSE(
    CHOOSE({1;2;3;4;5;6;7;8;9;10;11;12;13;14;15;16;17;18;19;20;21;22;23;24;25;26;27;28;29;30},
     COUNTIFS($U$2:$U$200,$G108)&gt;0,
     COUNTIFS($V$2:$V$200,$G108)&gt;0,
     COUNTIFS($W$2:$W$200,$G108)&gt;0,
     COUNTIFS($X$2:$X$200,$G108)&gt;0,
     COUNTIFS($Y$2:$Y$200,$G108)&gt;0,
     COUNTIFS($Z$2:$Z$200,$G108)&gt;0,
     COUNTIFS($AA$2:$AA$200,$G108)&gt;0,
     COUNTIFS($AB$2:$AB$200,$G108)&gt;0,
     COUNTIFS($AC$2:$AC$200,$G108)&gt;0,
     COUNTIFS($AD$2:$AD$200,$G108)&gt;0,
     COUNTIFS($AE$2:$AE$200,$G108)&gt;0,
     COUNTIFS($AF$2:$AF$200,$G108)&gt;0,
     COUNTIFS($AG$2:$AG$200,$G108)&gt;0,
     COUNTIFS($AH$2:$AH$200,$G108)&gt;0,
     COUNTIFS($AI$2:$AI$200,$G108)&gt;0,
     COUNTIFS($AJ$2:$AJ$200,$G108)&gt;0,
     COUNTIFS($AK$2:$AK$200,$G108)&gt;0,
     COUNTIFS($AL$2:$AL$200,$G108)&gt;0,
     COUNTIFS($AM$2:$AM$200,$G108)&gt;0,
     COUNTIFS($AN$2:$AN$200,$G108)&gt;0,
     COUNTIFS($AO$2:$AO$200,$G108)&gt;0,
     COUNTIFS($AP$2:$AP$200,$G108)&gt;0,
     COUNTIFS($AQ$2:$AQ$200,$G108)&gt;0,
     COUNTIFS($AR$2:$AR$200,$G108)&gt;0,
     COUNTIFS($AS$2:$AS$200,$G108)&gt;0,
     COUNTIFS($AT$2:$AT$200,$G108)&gt;0,
     COUNTIFS($AU$2:$AU$200,$G108)&gt;0,
     COUNTIFS($AV$2:$AV$200,$G108)&gt;0,
     COUNTIFS($AW$2:$AW$200,$G108)&gt;0,
     COUNTIFS($AX$2:$AX$200,$G108)&gt;0
   )),
  ),
  2
 ),
"")</f>
        <v/>
      </c>
      <c r="E108" s="3" t="str" cm="1">
        <f t="array" aca="1" ref="E108" ca="1">IFERROR(
 INDEX(
  _xlfn._xlws.FILTER($U$1:$AX$1,
   TRANSPOSE(
    CHOOSE({1;2;3;4;5;6;7;8;9;10;11;12;13;14;15;16;17;18;19;20;21;22;23;24;25;26;27;28;29;30},
     COUNTIFS($U$2:$U$200,$G108)&gt;0,
     COUNTIFS($V$2:$V$200,$G108)&gt;0,
     COUNTIFS($W$2:$W$200,$G108)&gt;0,
     COUNTIFS($X$2:$X$200,$G108)&gt;0,
     COUNTIFS($Y$2:$Y$200,$G108)&gt;0,
     COUNTIFS($Z$2:$Z$200,$G108)&gt;0,
     COUNTIFS($AA$2:$AA$200,$G108)&gt;0,
     COUNTIFS($AB$2:$AB$200,$G108)&gt;0,
     COUNTIFS($AC$2:$AC$200,$G108)&gt;0,
     COUNTIFS($AD$2:$AD$200,$G108)&gt;0,
     COUNTIFS($AE$2:$AE$200,$G108)&gt;0,
     COUNTIFS($AF$2:$AF$200,$G108)&gt;0,
     COUNTIFS($AG$2:$AG$200,$G108)&gt;0,
     COUNTIFS($AH$2:$AH$200,$G108)&gt;0,
     COUNTIFS($AI$2:$AI$200,$G108)&gt;0,
     COUNTIFS($AJ$2:$AJ$200,$G108)&gt;0,
     COUNTIFS($AK$2:$AK$200,$G108)&gt;0,
     COUNTIFS($AL$2:$AL$200,$G108)&gt;0,
     COUNTIFS($AM$2:$AM$200,$G108)&gt;0,
     COUNTIFS($AN$2:$AN$200,$G108)&gt;0,
     COUNTIFS($AO$2:$AO$200,$G108)&gt;0,
     COUNTIFS($AP$2:$AP$200,$G108)&gt;0,
     COUNTIFS($AQ$2:$AQ$200,$G108)&gt;0,
     COUNTIFS($AR$2:$AR$200,$G108)&gt;0,
     COUNTIFS($AS$2:$AS$200,$G108)&gt;0,
     COUNTIFS($AT$2:$AT$200,$G108)&gt;0,
     COUNTIFS($AU$2:$AU$200,$G108)&gt;0,
     COUNTIFS($AV$2:$AV$200,$G108)&gt;0,
     COUNTIFS($AW$2:$AW$200,$G108)&gt;0,
     COUNTIFS($AX$2:$AX$200,$G108)&gt;0
   )),
  ),
  3
 ),
"")</f>
        <v/>
      </c>
      <c r="F108" s="3" t="str" cm="1">
        <f t="array" aca="1" ref="F108" ca="1">IFERROR(
 INDEX(
  _xlfn._xlws.FILTER($U$1:$AX$1,
   TRANSPOSE(
    CHOOSE({1;2;3;4;5;6;7;8;9;10;11;12;13;14;15;16;17;18;19;20;21;22;23;24;25;26;27;28;29;30},
     COUNTIFS($U$2:$U$200,$G108)&gt;0,
     COUNTIFS($V$2:$V$200,$G108)&gt;0,
     COUNTIFS($W$2:$W$200,$G108)&gt;0,
     COUNTIFS($X$2:$X$200,$G108)&gt;0,
     COUNTIFS($Y$2:$Y$200,$G108)&gt;0,
     COUNTIFS($Z$2:$Z$200,$G108)&gt;0,
     COUNTIFS($AA$2:$AA$200,$G108)&gt;0,
     COUNTIFS($AB$2:$AB$200,$G108)&gt;0,
     COUNTIFS($AC$2:$AC$200,$G108)&gt;0,
     COUNTIFS($AD$2:$AD$200,$G108)&gt;0,
     COUNTIFS($AE$2:$AE$200,$G108)&gt;0,
     COUNTIFS($AF$2:$AF$200,$G108)&gt;0,
     COUNTIFS($AG$2:$AG$200,$G108)&gt;0,
     COUNTIFS($AH$2:$AH$200,$G108)&gt;0,
     COUNTIFS($AI$2:$AI$200,$G108)&gt;0,
     COUNTIFS($AJ$2:$AJ$200,$G108)&gt;0,
     COUNTIFS($AK$2:$AK$200,$G108)&gt;0,
     COUNTIFS($AL$2:$AL$200,$G108)&gt;0,
     COUNTIFS($AM$2:$AM$200,$G108)&gt;0,
     COUNTIFS($AN$2:$AN$200,$G108)&gt;0,
     COUNTIFS($AO$2:$AO$200,$G108)&gt;0,
     COUNTIFS($AP$2:$AP$200,$G108)&gt;0,
     COUNTIFS($AQ$2:$AQ$200,$G108)&gt;0,
     COUNTIFS($AR$2:$AR$200,$G108)&gt;0,
     COUNTIFS($AS$2:$AS$200,$G108)&gt;0,
     COUNTIFS($AT$2:$AT$200,$G108)&gt;0,
     COUNTIFS($AU$2:$AU$200,$G108)&gt;0,
     COUNTIFS($AV$2:$AV$200,$G108)&gt;0,
     COUNTIFS($AW$2:$AW$200,$G108)&gt;0,
     COUNTIFS($AX$2:$AX$200,$G108)&gt;0
   )),
  ),
  4
 ),
"")</f>
        <v/>
      </c>
      <c r="G108" t="str">
        <f ca="1"/>
        <v>Espada de Verdade e Justiça</v>
      </c>
      <c r="BI108" t="str">
        <f ca="1"/>
        <v>The Ozolith</v>
      </c>
      <c r="BO108" t="str">
        <f ca="1"/>
        <v>Mystic Forge</v>
      </c>
      <c r="BR108" t="str">
        <f ca="1"/>
        <v>Simic Charm</v>
      </c>
      <c r="BT108" t="str">
        <f ca="1"/>
        <v>Louisoix's Sacrifice</v>
      </c>
    </row>
    <row r="109" spans="1:72" x14ac:dyDescent="0.25">
      <c r="A109" s="3" t="str">
        <f t="shared" ca="1" si="4"/>
        <v>1</v>
      </c>
      <c r="B109" s="3">
        <f t="shared" ca="1" si="5"/>
        <v>1</v>
      </c>
      <c r="C109" s="3" t="str">
        <f ca="1">IFERROR(
 INDEX($U$1:$AX$1,
  MATCH(TRUE,
   CHOOSE({1;2;3;4;5;6;7;8;9;10;11;12;13;14;15;16;17;18;19;20;21;22;23;24;25;26;27;28;29;30;31;32},
    COUNTIFS($U$2:$U$200,$G109)&gt;0,
    COUNTIFS($V$2:$V$200,$G109)&gt;0,
    COUNTIFS($W$2:$W$200,$G109)&gt;0,
    COUNTIFS($X$2:$X$200,$G109)&gt;0,
    COUNTIFS($Y$2:$Y$200,$G109)&gt;0,
    COUNTIFS($Z$2:$Z$200,$G109)&gt;0,
    COUNTIFS($AA$2:$AA$200,$G109)&gt;0,
    COUNTIFS($AB$2:$AB$200,$G109)&gt;0,
    COUNTIFS($AC$2:$AC$200,$G109)&gt;0,
    COUNTIFS($AD$2:$AD$200,$G109)&gt;0,
    COUNTIFS($AE$2:$AE$200,$G109)&gt;0,
    COUNTIFS($AF$2:$AF$200,$G109)&gt;0,
    COUNTIFS($AG$2:$AG$200,$G109)&gt;0,
    COUNTIFS($AH$2:$AH$200,$G109)&gt;0,
    COUNTIFS($AI$2:$AI$200,$G109)&gt;0,
    COUNTIFS($AJ$2:$AJ$200,$G109)&gt;0,
    COUNTIFS($AK$2:$AK$200,$G109)&gt;0,
    COUNTIFS($AL$2:$AL$200,$G109)&gt;0,
    COUNTIFS($AM$2:$AM$200,$G109)&gt;0,
    COUNTIFS($AN$2:$AN$200,$G109)&gt;0,
    COUNTIFS($AO$2:$AO$200,$G109)&gt;0,
    COUNTIFS($AP$2:$AP$200,$G109)&gt;0,
    COUNTIFS($AQ$2:$AQ$200,$G109)&gt;0,
    COUNTIFS($AR$2:$AR$200,$G109)&gt;0,
    COUNTIFS($AS$2:$AS$200,$G109)&gt;0,
    COUNTIFS($AT$2:$AT$200,$G109)&gt;0,
    COUNTIFS($AU$2:$AU$200,$G109)&gt;0,
    COUNTIFS($AV$2:$AV$200,$G109)&gt;0,
    COUNTIFS($AW$2:$AW$200,$G109)&gt;0,
    COUNTIFS($AX$2:$AX$200,$G109)&gt;0
   ),
  0)
 ),
"")</f>
        <v>Modular</v>
      </c>
      <c r="D109" s="3" t="str" cm="1">
        <f t="array" aca="1" ref="D109" ca="1">IFERROR(
 INDEX(
  _xlfn._xlws.FILTER($U$1:$AX$1,
   TRANSPOSE(
    CHOOSE({1;2;3;4;5;6;7;8;9;10;11;12;13;14;15;16;17;18;19;20;21;22;23;24;25;26;27;28;29;30},
     COUNTIFS($U$2:$U$200,$G109)&gt;0,
     COUNTIFS($V$2:$V$200,$G109)&gt;0,
     COUNTIFS($W$2:$W$200,$G109)&gt;0,
     COUNTIFS($X$2:$X$200,$G109)&gt;0,
     COUNTIFS($Y$2:$Y$200,$G109)&gt;0,
     COUNTIFS($Z$2:$Z$200,$G109)&gt;0,
     COUNTIFS($AA$2:$AA$200,$G109)&gt;0,
     COUNTIFS($AB$2:$AB$200,$G109)&gt;0,
     COUNTIFS($AC$2:$AC$200,$G109)&gt;0,
     COUNTIFS($AD$2:$AD$200,$G109)&gt;0,
     COUNTIFS($AE$2:$AE$200,$G109)&gt;0,
     COUNTIFS($AF$2:$AF$200,$G109)&gt;0,
     COUNTIFS($AG$2:$AG$200,$G109)&gt;0,
     COUNTIFS($AH$2:$AH$200,$G109)&gt;0,
     COUNTIFS($AI$2:$AI$200,$G109)&gt;0,
     COUNTIFS($AJ$2:$AJ$200,$G109)&gt;0,
     COUNTIFS($AK$2:$AK$200,$G109)&gt;0,
     COUNTIFS($AL$2:$AL$200,$G109)&gt;0,
     COUNTIFS($AM$2:$AM$200,$G109)&gt;0,
     COUNTIFS($AN$2:$AN$200,$G109)&gt;0,
     COUNTIFS($AO$2:$AO$200,$G109)&gt;0,
     COUNTIFS($AP$2:$AP$200,$G109)&gt;0,
     COUNTIFS($AQ$2:$AQ$200,$G109)&gt;0,
     COUNTIFS($AR$2:$AR$200,$G109)&gt;0,
     COUNTIFS($AS$2:$AS$200,$G109)&gt;0,
     COUNTIFS($AT$2:$AT$200,$G109)&gt;0,
     COUNTIFS($AU$2:$AU$200,$G109)&gt;0,
     COUNTIFS($AV$2:$AV$200,$G109)&gt;0,
     COUNTIFS($AW$2:$AW$200,$G109)&gt;0,
     COUNTIFS($AX$2:$AX$200,$G109)&gt;0
   )),
  ),
  2
 ),
"")</f>
        <v/>
      </c>
      <c r="E109" s="3" t="str" cm="1">
        <f t="array" aca="1" ref="E109" ca="1">IFERROR(
 INDEX(
  _xlfn._xlws.FILTER($U$1:$AX$1,
   TRANSPOSE(
    CHOOSE({1;2;3;4;5;6;7;8;9;10;11;12;13;14;15;16;17;18;19;20;21;22;23;24;25;26;27;28;29;30},
     COUNTIFS($U$2:$U$200,$G109)&gt;0,
     COUNTIFS($V$2:$V$200,$G109)&gt;0,
     COUNTIFS($W$2:$W$200,$G109)&gt;0,
     COUNTIFS($X$2:$X$200,$G109)&gt;0,
     COUNTIFS($Y$2:$Y$200,$G109)&gt;0,
     COUNTIFS($Z$2:$Z$200,$G109)&gt;0,
     COUNTIFS($AA$2:$AA$200,$G109)&gt;0,
     COUNTIFS($AB$2:$AB$200,$G109)&gt;0,
     COUNTIFS($AC$2:$AC$200,$G109)&gt;0,
     COUNTIFS($AD$2:$AD$200,$G109)&gt;0,
     COUNTIFS($AE$2:$AE$200,$G109)&gt;0,
     COUNTIFS($AF$2:$AF$200,$G109)&gt;0,
     COUNTIFS($AG$2:$AG$200,$G109)&gt;0,
     COUNTIFS($AH$2:$AH$200,$G109)&gt;0,
     COUNTIFS($AI$2:$AI$200,$G109)&gt;0,
     COUNTIFS($AJ$2:$AJ$200,$G109)&gt;0,
     COUNTIFS($AK$2:$AK$200,$G109)&gt;0,
     COUNTIFS($AL$2:$AL$200,$G109)&gt;0,
     COUNTIFS($AM$2:$AM$200,$G109)&gt;0,
     COUNTIFS($AN$2:$AN$200,$G109)&gt;0,
     COUNTIFS($AO$2:$AO$200,$G109)&gt;0,
     COUNTIFS($AP$2:$AP$200,$G109)&gt;0,
     COUNTIFS($AQ$2:$AQ$200,$G109)&gt;0,
     COUNTIFS($AR$2:$AR$200,$G109)&gt;0,
     COUNTIFS($AS$2:$AS$200,$G109)&gt;0,
     COUNTIFS($AT$2:$AT$200,$G109)&gt;0,
     COUNTIFS($AU$2:$AU$200,$G109)&gt;0,
     COUNTIFS($AV$2:$AV$200,$G109)&gt;0,
     COUNTIFS($AW$2:$AW$200,$G109)&gt;0,
     COUNTIFS($AX$2:$AX$200,$G109)&gt;0
   )),
  ),
  3
 ),
"")</f>
        <v/>
      </c>
      <c r="F109" s="3" t="str" cm="1">
        <f t="array" aca="1" ref="F109" ca="1">IFERROR(
 INDEX(
  _xlfn._xlws.FILTER($U$1:$AX$1,
   TRANSPOSE(
    CHOOSE({1;2;3;4;5;6;7;8;9;10;11;12;13;14;15;16;17;18;19;20;21;22;23;24;25;26;27;28;29;30},
     COUNTIFS($U$2:$U$200,$G109)&gt;0,
     COUNTIFS($V$2:$V$200,$G109)&gt;0,
     COUNTIFS($W$2:$W$200,$G109)&gt;0,
     COUNTIFS($X$2:$X$200,$G109)&gt;0,
     COUNTIFS($Y$2:$Y$200,$G109)&gt;0,
     COUNTIFS($Z$2:$Z$200,$G109)&gt;0,
     COUNTIFS($AA$2:$AA$200,$G109)&gt;0,
     COUNTIFS($AB$2:$AB$200,$G109)&gt;0,
     COUNTIFS($AC$2:$AC$200,$G109)&gt;0,
     COUNTIFS($AD$2:$AD$200,$G109)&gt;0,
     COUNTIFS($AE$2:$AE$200,$G109)&gt;0,
     COUNTIFS($AF$2:$AF$200,$G109)&gt;0,
     COUNTIFS($AG$2:$AG$200,$G109)&gt;0,
     COUNTIFS($AH$2:$AH$200,$G109)&gt;0,
     COUNTIFS($AI$2:$AI$200,$G109)&gt;0,
     COUNTIFS($AJ$2:$AJ$200,$G109)&gt;0,
     COUNTIFS($AK$2:$AK$200,$G109)&gt;0,
     COUNTIFS($AL$2:$AL$200,$G109)&gt;0,
     COUNTIFS($AM$2:$AM$200,$G109)&gt;0,
     COUNTIFS($AN$2:$AN$200,$G109)&gt;0,
     COUNTIFS($AO$2:$AO$200,$G109)&gt;0,
     COUNTIFS($AP$2:$AP$200,$G109)&gt;0,
     COUNTIFS($AQ$2:$AQ$200,$G109)&gt;0,
     COUNTIFS($AR$2:$AR$200,$G109)&gt;0,
     COUNTIFS($AS$2:$AS$200,$G109)&gt;0,
     COUNTIFS($AT$2:$AT$200,$G109)&gt;0,
     COUNTIFS($AU$2:$AU$200,$G109)&gt;0,
     COUNTIFS($AV$2:$AV$200,$G109)&gt;0,
     COUNTIFS($AW$2:$AW$200,$G109)&gt;0,
     COUNTIFS($AX$2:$AX$200,$G109)&gt;0
   )),
  ),
  4
 ),
"")</f>
        <v/>
      </c>
      <c r="G109" t="str">
        <f ca="1"/>
        <v>Esper Sentinel</v>
      </c>
      <c r="BI109" t="str">
        <f ca="1"/>
        <v>The Stasis Coffin</v>
      </c>
      <c r="BO109" t="str">
        <f ca="1"/>
        <v>Nature's Lore</v>
      </c>
      <c r="BR109" t="str">
        <f ca="1"/>
        <v>Singer of Swift Rivers</v>
      </c>
      <c r="BT109" t="str">
        <f ca="1"/>
        <v>Lullmage Mentor</v>
      </c>
    </row>
    <row r="110" spans="1:72" x14ac:dyDescent="0.25">
      <c r="A110" s="3" t="str">
        <f t="shared" ca="1" si="4"/>
        <v>1</v>
      </c>
      <c r="B110" s="3">
        <f t="shared" ca="1" si="5"/>
        <v>1</v>
      </c>
      <c r="C110" s="3" t="str">
        <f ca="1">IFERROR(
 INDEX($U$1:$AX$1,
  MATCH(TRUE,
   CHOOSE({1;2;3;4;5;6;7;8;9;10;11;12;13;14;15;16;17;18;19;20;21;22;23;24;25;26;27;28;29;30;31;32},
    COUNTIFS($U$2:$U$200,$G110)&gt;0,
    COUNTIFS($V$2:$V$200,$G110)&gt;0,
    COUNTIFS($W$2:$W$200,$G110)&gt;0,
    COUNTIFS($X$2:$X$200,$G110)&gt;0,
    COUNTIFS($Y$2:$Y$200,$G110)&gt;0,
    COUNTIFS($Z$2:$Z$200,$G110)&gt;0,
    COUNTIFS($AA$2:$AA$200,$G110)&gt;0,
    COUNTIFS($AB$2:$AB$200,$G110)&gt;0,
    COUNTIFS($AC$2:$AC$200,$G110)&gt;0,
    COUNTIFS($AD$2:$AD$200,$G110)&gt;0,
    COUNTIFS($AE$2:$AE$200,$G110)&gt;0,
    COUNTIFS($AF$2:$AF$200,$G110)&gt;0,
    COUNTIFS($AG$2:$AG$200,$G110)&gt;0,
    COUNTIFS($AH$2:$AH$200,$G110)&gt;0,
    COUNTIFS($AI$2:$AI$200,$G110)&gt;0,
    COUNTIFS($AJ$2:$AJ$200,$G110)&gt;0,
    COUNTIFS($AK$2:$AK$200,$G110)&gt;0,
    COUNTIFS($AL$2:$AL$200,$G110)&gt;0,
    COUNTIFS($AM$2:$AM$200,$G110)&gt;0,
    COUNTIFS($AN$2:$AN$200,$G110)&gt;0,
    COUNTIFS($AO$2:$AO$200,$G110)&gt;0,
    COUNTIFS($AP$2:$AP$200,$G110)&gt;0,
    COUNTIFS($AQ$2:$AQ$200,$G110)&gt;0,
    COUNTIFS($AR$2:$AR$200,$G110)&gt;0,
    COUNTIFS($AS$2:$AS$200,$G110)&gt;0,
    COUNTIFS($AT$2:$AT$200,$G110)&gt;0,
    COUNTIFS($AU$2:$AU$200,$G110)&gt;0,
    COUNTIFS($AV$2:$AV$200,$G110)&gt;0,
    COUNTIFS($AW$2:$AW$200,$G110)&gt;0,
    COUNTIFS($AX$2:$AX$200,$G110)&gt;0
   ),
  0)
 ),
"")</f>
        <v>Modular</v>
      </c>
      <c r="D110" s="3" t="str" cm="1">
        <f t="array" aca="1" ref="D110" ca="1">IFERROR(
 INDEX(
  _xlfn._xlws.FILTER($U$1:$AX$1,
   TRANSPOSE(
    CHOOSE({1;2;3;4;5;6;7;8;9;10;11;12;13;14;15;16;17;18;19;20;21;22;23;24;25;26;27;28;29;30},
     COUNTIFS($U$2:$U$200,$G110)&gt;0,
     COUNTIFS($V$2:$V$200,$G110)&gt;0,
     COUNTIFS($W$2:$W$200,$G110)&gt;0,
     COUNTIFS($X$2:$X$200,$G110)&gt;0,
     COUNTIFS($Y$2:$Y$200,$G110)&gt;0,
     COUNTIFS($Z$2:$Z$200,$G110)&gt;0,
     COUNTIFS($AA$2:$AA$200,$G110)&gt;0,
     COUNTIFS($AB$2:$AB$200,$G110)&gt;0,
     COUNTIFS($AC$2:$AC$200,$G110)&gt;0,
     COUNTIFS($AD$2:$AD$200,$G110)&gt;0,
     COUNTIFS($AE$2:$AE$200,$G110)&gt;0,
     COUNTIFS($AF$2:$AF$200,$G110)&gt;0,
     COUNTIFS($AG$2:$AG$200,$G110)&gt;0,
     COUNTIFS($AH$2:$AH$200,$G110)&gt;0,
     COUNTIFS($AI$2:$AI$200,$G110)&gt;0,
     COUNTIFS($AJ$2:$AJ$200,$G110)&gt;0,
     COUNTIFS($AK$2:$AK$200,$G110)&gt;0,
     COUNTIFS($AL$2:$AL$200,$G110)&gt;0,
     COUNTIFS($AM$2:$AM$200,$G110)&gt;0,
     COUNTIFS($AN$2:$AN$200,$G110)&gt;0,
     COUNTIFS($AO$2:$AO$200,$G110)&gt;0,
     COUNTIFS($AP$2:$AP$200,$G110)&gt;0,
     COUNTIFS($AQ$2:$AQ$200,$G110)&gt;0,
     COUNTIFS($AR$2:$AR$200,$G110)&gt;0,
     COUNTIFS($AS$2:$AS$200,$G110)&gt;0,
     COUNTIFS($AT$2:$AT$200,$G110)&gt;0,
     COUNTIFS($AU$2:$AU$200,$G110)&gt;0,
     COUNTIFS($AV$2:$AV$200,$G110)&gt;0,
     COUNTIFS($AW$2:$AW$200,$G110)&gt;0,
     COUNTIFS($AX$2:$AX$200,$G110)&gt;0
   )),
  ),
  2
 ),
"")</f>
        <v/>
      </c>
      <c r="E110" s="3" t="str" cm="1">
        <f t="array" aca="1" ref="E110" ca="1">IFERROR(
 INDEX(
  _xlfn._xlws.FILTER($U$1:$AX$1,
   TRANSPOSE(
    CHOOSE({1;2;3;4;5;6;7;8;9;10;11;12;13;14;15;16;17;18;19;20;21;22;23;24;25;26;27;28;29;30},
     COUNTIFS($U$2:$U$200,$G110)&gt;0,
     COUNTIFS($V$2:$V$200,$G110)&gt;0,
     COUNTIFS($W$2:$W$200,$G110)&gt;0,
     COUNTIFS($X$2:$X$200,$G110)&gt;0,
     COUNTIFS($Y$2:$Y$200,$G110)&gt;0,
     COUNTIFS($Z$2:$Z$200,$G110)&gt;0,
     COUNTIFS($AA$2:$AA$200,$G110)&gt;0,
     COUNTIFS($AB$2:$AB$200,$G110)&gt;0,
     COUNTIFS($AC$2:$AC$200,$G110)&gt;0,
     COUNTIFS($AD$2:$AD$200,$G110)&gt;0,
     COUNTIFS($AE$2:$AE$200,$G110)&gt;0,
     COUNTIFS($AF$2:$AF$200,$G110)&gt;0,
     COUNTIFS($AG$2:$AG$200,$G110)&gt;0,
     COUNTIFS($AH$2:$AH$200,$G110)&gt;0,
     COUNTIFS($AI$2:$AI$200,$G110)&gt;0,
     COUNTIFS($AJ$2:$AJ$200,$G110)&gt;0,
     COUNTIFS($AK$2:$AK$200,$G110)&gt;0,
     COUNTIFS($AL$2:$AL$200,$G110)&gt;0,
     COUNTIFS($AM$2:$AM$200,$G110)&gt;0,
     COUNTIFS($AN$2:$AN$200,$G110)&gt;0,
     COUNTIFS($AO$2:$AO$200,$G110)&gt;0,
     COUNTIFS($AP$2:$AP$200,$G110)&gt;0,
     COUNTIFS($AQ$2:$AQ$200,$G110)&gt;0,
     COUNTIFS($AR$2:$AR$200,$G110)&gt;0,
     COUNTIFS($AS$2:$AS$200,$G110)&gt;0,
     COUNTIFS($AT$2:$AT$200,$G110)&gt;0,
     COUNTIFS($AU$2:$AU$200,$G110)&gt;0,
     COUNTIFS($AV$2:$AV$200,$G110)&gt;0,
     COUNTIFS($AW$2:$AW$200,$G110)&gt;0,
     COUNTIFS($AX$2:$AX$200,$G110)&gt;0
   )),
  ),
  3
 ),
"")</f>
        <v/>
      </c>
      <c r="F110" s="3" t="str" cm="1">
        <f t="array" aca="1" ref="F110" ca="1">IFERROR(
 INDEX(
  _xlfn._xlws.FILTER($U$1:$AX$1,
   TRANSPOSE(
    CHOOSE({1;2;3;4;5;6;7;8;9;10;11;12;13;14;15;16;17;18;19;20;21;22;23;24;25;26;27;28;29;30},
     COUNTIFS($U$2:$U$200,$G110)&gt;0,
     COUNTIFS($V$2:$V$200,$G110)&gt;0,
     COUNTIFS($W$2:$W$200,$G110)&gt;0,
     COUNTIFS($X$2:$X$200,$G110)&gt;0,
     COUNTIFS($Y$2:$Y$200,$G110)&gt;0,
     COUNTIFS($Z$2:$Z$200,$G110)&gt;0,
     COUNTIFS($AA$2:$AA$200,$G110)&gt;0,
     COUNTIFS($AB$2:$AB$200,$G110)&gt;0,
     COUNTIFS($AC$2:$AC$200,$G110)&gt;0,
     COUNTIFS($AD$2:$AD$200,$G110)&gt;0,
     COUNTIFS($AE$2:$AE$200,$G110)&gt;0,
     COUNTIFS($AF$2:$AF$200,$G110)&gt;0,
     COUNTIFS($AG$2:$AG$200,$G110)&gt;0,
     COUNTIFS($AH$2:$AH$200,$G110)&gt;0,
     COUNTIFS($AI$2:$AI$200,$G110)&gt;0,
     COUNTIFS($AJ$2:$AJ$200,$G110)&gt;0,
     COUNTIFS($AK$2:$AK$200,$G110)&gt;0,
     COUNTIFS($AL$2:$AL$200,$G110)&gt;0,
     COUNTIFS($AM$2:$AM$200,$G110)&gt;0,
     COUNTIFS($AN$2:$AN$200,$G110)&gt;0,
     COUNTIFS($AO$2:$AO$200,$G110)&gt;0,
     COUNTIFS($AP$2:$AP$200,$G110)&gt;0,
     COUNTIFS($AQ$2:$AQ$200,$G110)&gt;0,
     COUNTIFS($AR$2:$AR$200,$G110)&gt;0,
     COUNTIFS($AS$2:$AS$200,$G110)&gt;0,
     COUNTIFS($AT$2:$AT$200,$G110)&gt;0,
     COUNTIFS($AU$2:$AU$200,$G110)&gt;0,
     COUNTIFS($AV$2:$AV$200,$G110)&gt;0,
     COUNTIFS($AW$2:$AW$200,$G110)&gt;0,
     COUNTIFS($AX$2:$AX$200,$G110)&gt;0
   )),
  ),
  4
 ),
"")</f>
        <v/>
      </c>
      <c r="G110" t="str">
        <f ca="1"/>
        <v>Evendo Brushrazer</v>
      </c>
      <c r="BI110" t="str">
        <f ca="1"/>
        <v>Thornglint Bridge</v>
      </c>
      <c r="BO110" t="str">
        <f ca="1"/>
        <v>Ozolith, the Shattered Spire</v>
      </c>
      <c r="BR110" t="str">
        <f ca="1"/>
        <v>Slash the Ranks</v>
      </c>
      <c r="BT110" t="str">
        <f ca="1"/>
        <v>Luxury Suite</v>
      </c>
    </row>
    <row r="111" spans="1:72" x14ac:dyDescent="0.25">
      <c r="A111" s="3" t="str">
        <f t="shared" ca="1" si="4"/>
        <v>4</v>
      </c>
      <c r="B111" s="3">
        <f t="shared" ca="1" si="5"/>
        <v>1</v>
      </c>
      <c r="C111" s="3" t="str">
        <f ca="1">IFERROR(
 INDEX($U$1:$AX$1,
  MATCH(TRUE,
   CHOOSE({1;2;3;4;5;6;7;8;9;10;11;12;13;14;15;16;17;18;19;20;21;22;23;24;25;26;27;28;29;30;31;32},
    COUNTIFS($U$2:$U$200,$G111)&gt;0,
    COUNTIFS($V$2:$V$200,$G111)&gt;0,
    COUNTIFS($W$2:$W$200,$G111)&gt;0,
    COUNTIFS($X$2:$X$200,$G111)&gt;0,
    COUNTIFS($Y$2:$Y$200,$G111)&gt;0,
    COUNTIFS($Z$2:$Z$200,$G111)&gt;0,
    COUNTIFS($AA$2:$AA$200,$G111)&gt;0,
    COUNTIFS($AB$2:$AB$200,$G111)&gt;0,
    COUNTIFS($AC$2:$AC$200,$G111)&gt;0,
    COUNTIFS($AD$2:$AD$200,$G111)&gt;0,
    COUNTIFS($AE$2:$AE$200,$G111)&gt;0,
    COUNTIFS($AF$2:$AF$200,$G111)&gt;0,
    COUNTIFS($AG$2:$AG$200,$G111)&gt;0,
    COUNTIFS($AH$2:$AH$200,$G111)&gt;0,
    COUNTIFS($AI$2:$AI$200,$G111)&gt;0,
    COUNTIFS($AJ$2:$AJ$200,$G111)&gt;0,
    COUNTIFS($AK$2:$AK$200,$G111)&gt;0,
    COUNTIFS($AL$2:$AL$200,$G111)&gt;0,
    COUNTIFS($AM$2:$AM$200,$G111)&gt;0,
    COUNTIFS($AN$2:$AN$200,$G111)&gt;0,
    COUNTIFS($AO$2:$AO$200,$G111)&gt;0,
    COUNTIFS($AP$2:$AP$200,$G111)&gt;0,
    COUNTIFS($AQ$2:$AQ$200,$G111)&gt;0,
    COUNTIFS($AR$2:$AR$200,$G111)&gt;0,
    COUNTIFS($AS$2:$AS$200,$G111)&gt;0,
    COUNTIFS($AT$2:$AT$200,$G111)&gt;0,
    COUNTIFS($AU$2:$AU$200,$G111)&gt;0,
    COUNTIFS($AV$2:$AV$200,$G111)&gt;0,
    COUNTIFS($AW$2:$AW$200,$G111)&gt;0,
    COUNTIFS($AX$2:$AX$200,$G111)&gt;0
   ),
  0)
 ),
"")</f>
        <v>Elfos</v>
      </c>
      <c r="D111" s="3" t="str" cm="1">
        <f t="array" aca="1" ref="D111" ca="1">IFERROR(
 INDEX(
  _xlfn._xlws.FILTER($U$1:$AX$1,
   TRANSPOSE(
    CHOOSE({1;2;3;4;5;6;7;8;9;10;11;12;13;14;15;16;17;18;19;20;21;22;23;24;25;26;27;28;29;30},
     COUNTIFS($U$2:$U$200,$G111)&gt;0,
     COUNTIFS($V$2:$V$200,$G111)&gt;0,
     COUNTIFS($W$2:$W$200,$G111)&gt;0,
     COUNTIFS($X$2:$X$200,$G111)&gt;0,
     COUNTIFS($Y$2:$Y$200,$G111)&gt;0,
     COUNTIFS($Z$2:$Z$200,$G111)&gt;0,
     COUNTIFS($AA$2:$AA$200,$G111)&gt;0,
     COUNTIFS($AB$2:$AB$200,$G111)&gt;0,
     COUNTIFS($AC$2:$AC$200,$G111)&gt;0,
     COUNTIFS($AD$2:$AD$200,$G111)&gt;0,
     COUNTIFS($AE$2:$AE$200,$G111)&gt;0,
     COUNTIFS($AF$2:$AF$200,$G111)&gt;0,
     COUNTIFS($AG$2:$AG$200,$G111)&gt;0,
     COUNTIFS($AH$2:$AH$200,$G111)&gt;0,
     COUNTIFS($AI$2:$AI$200,$G111)&gt;0,
     COUNTIFS($AJ$2:$AJ$200,$G111)&gt;0,
     COUNTIFS($AK$2:$AK$200,$G111)&gt;0,
     COUNTIFS($AL$2:$AL$200,$G111)&gt;0,
     COUNTIFS($AM$2:$AM$200,$G111)&gt;0,
     COUNTIFS($AN$2:$AN$200,$G111)&gt;0,
     COUNTIFS($AO$2:$AO$200,$G111)&gt;0,
     COUNTIFS($AP$2:$AP$200,$G111)&gt;0,
     COUNTIFS($AQ$2:$AQ$200,$G111)&gt;0,
     COUNTIFS($AR$2:$AR$200,$G111)&gt;0,
     COUNTIFS($AS$2:$AS$200,$G111)&gt;0,
     COUNTIFS($AT$2:$AT$200,$G111)&gt;0,
     COUNTIFS($AU$2:$AU$200,$G111)&gt;0,
     COUNTIFS($AV$2:$AV$200,$G111)&gt;0,
     COUNTIFS($AW$2:$AW$200,$G111)&gt;0,
     COUNTIFS($AX$2:$AX$200,$G111)&gt;0
   )),
  ),
  2
 ),
"")</f>
        <v/>
      </c>
      <c r="E111" s="3" t="str" cm="1">
        <f t="array" aca="1" ref="E111" ca="1">IFERROR(
 INDEX(
  _xlfn._xlws.FILTER($U$1:$AX$1,
   TRANSPOSE(
    CHOOSE({1;2;3;4;5;6;7;8;9;10;11;12;13;14;15;16;17;18;19;20;21;22;23;24;25;26;27;28;29;30},
     COUNTIFS($U$2:$U$200,$G111)&gt;0,
     COUNTIFS($V$2:$V$200,$G111)&gt;0,
     COUNTIFS($W$2:$W$200,$G111)&gt;0,
     COUNTIFS($X$2:$X$200,$G111)&gt;0,
     COUNTIFS($Y$2:$Y$200,$G111)&gt;0,
     COUNTIFS($Z$2:$Z$200,$G111)&gt;0,
     COUNTIFS($AA$2:$AA$200,$G111)&gt;0,
     COUNTIFS($AB$2:$AB$200,$G111)&gt;0,
     COUNTIFS($AC$2:$AC$200,$G111)&gt;0,
     COUNTIFS($AD$2:$AD$200,$G111)&gt;0,
     COUNTIFS($AE$2:$AE$200,$G111)&gt;0,
     COUNTIFS($AF$2:$AF$200,$G111)&gt;0,
     COUNTIFS($AG$2:$AG$200,$G111)&gt;0,
     COUNTIFS($AH$2:$AH$200,$G111)&gt;0,
     COUNTIFS($AI$2:$AI$200,$G111)&gt;0,
     COUNTIFS($AJ$2:$AJ$200,$G111)&gt;0,
     COUNTIFS($AK$2:$AK$200,$G111)&gt;0,
     COUNTIFS($AL$2:$AL$200,$G111)&gt;0,
     COUNTIFS($AM$2:$AM$200,$G111)&gt;0,
     COUNTIFS($AN$2:$AN$200,$G111)&gt;0,
     COUNTIFS($AO$2:$AO$200,$G111)&gt;0,
     COUNTIFS($AP$2:$AP$200,$G111)&gt;0,
     COUNTIFS($AQ$2:$AQ$200,$G111)&gt;0,
     COUNTIFS($AR$2:$AR$200,$G111)&gt;0,
     COUNTIFS($AS$2:$AS$200,$G111)&gt;0,
     COUNTIFS($AT$2:$AT$200,$G111)&gt;0,
     COUNTIFS($AU$2:$AU$200,$G111)&gt;0,
     COUNTIFS($AV$2:$AV$200,$G111)&gt;0,
     COUNTIFS($AW$2:$AW$200,$G111)&gt;0,
     COUNTIFS($AX$2:$AX$200,$G111)&gt;0
   )),
  ),
  3
 ),
"")</f>
        <v/>
      </c>
      <c r="F111" s="3" t="str" cm="1">
        <f t="array" aca="1" ref="F111" ca="1">IFERROR(
 INDEX(
  _xlfn._xlws.FILTER($U$1:$AX$1,
   TRANSPOSE(
    CHOOSE({1;2;3;4;5;6;7;8;9;10;11;12;13;14;15;16;17;18;19;20;21;22;23;24;25;26;27;28;29;30},
     COUNTIFS($U$2:$U$200,$G111)&gt;0,
     COUNTIFS($V$2:$V$200,$G111)&gt;0,
     COUNTIFS($W$2:$W$200,$G111)&gt;0,
     COUNTIFS($X$2:$X$200,$G111)&gt;0,
     COUNTIFS($Y$2:$Y$200,$G111)&gt;0,
     COUNTIFS($Z$2:$Z$200,$G111)&gt;0,
     COUNTIFS($AA$2:$AA$200,$G111)&gt;0,
     COUNTIFS($AB$2:$AB$200,$G111)&gt;0,
     COUNTIFS($AC$2:$AC$200,$G111)&gt;0,
     COUNTIFS($AD$2:$AD$200,$G111)&gt;0,
     COUNTIFS($AE$2:$AE$200,$G111)&gt;0,
     COUNTIFS($AF$2:$AF$200,$G111)&gt;0,
     COUNTIFS($AG$2:$AG$200,$G111)&gt;0,
     COUNTIFS($AH$2:$AH$200,$G111)&gt;0,
     COUNTIFS($AI$2:$AI$200,$G111)&gt;0,
     COUNTIFS($AJ$2:$AJ$200,$G111)&gt;0,
     COUNTIFS($AK$2:$AK$200,$G111)&gt;0,
     COUNTIFS($AL$2:$AL$200,$G111)&gt;0,
     COUNTIFS($AM$2:$AM$200,$G111)&gt;0,
     COUNTIFS($AN$2:$AN$200,$G111)&gt;0,
     COUNTIFS($AO$2:$AO$200,$G111)&gt;0,
     COUNTIFS($AP$2:$AP$200,$G111)&gt;0,
     COUNTIFS($AQ$2:$AQ$200,$G111)&gt;0,
     COUNTIFS($AR$2:$AR$200,$G111)&gt;0,
     COUNTIFS($AS$2:$AS$200,$G111)&gt;0,
     COUNTIFS($AT$2:$AT$200,$G111)&gt;0,
     COUNTIFS($AU$2:$AU$200,$G111)&gt;0,
     COUNTIFS($AV$2:$AV$200,$G111)&gt;0,
     COUNTIFS($AW$2:$AW$200,$G111)&gt;0,
     COUNTIFS($AX$2:$AX$200,$G111)&gt;0
   )),
  ),
  4
 ),
"")</f>
        <v/>
      </c>
      <c r="G111" t="str">
        <f ca="1"/>
        <v>Evendo, Waking Haven</v>
      </c>
      <c r="BI111" t="str">
        <f ca="1"/>
        <v>Throne of Geth</v>
      </c>
      <c r="BO111" t="str">
        <f ca="1"/>
        <v>Patrolling Peacemaker</v>
      </c>
      <c r="BR111" t="str">
        <f ca="1"/>
        <v>Slayers' Stronghold</v>
      </c>
      <c r="BT111" t="str">
        <f ca="1"/>
        <v>Maddening Cacophony</v>
      </c>
    </row>
    <row r="112" spans="1:72" x14ac:dyDescent="0.25">
      <c r="A112" s="3" t="str">
        <f t="shared" ca="1" si="4"/>
        <v>1</v>
      </c>
      <c r="B112" s="3">
        <f t="shared" ca="1" si="5"/>
        <v>1</v>
      </c>
      <c r="C112" s="3" t="str">
        <f ca="1">IFERROR(
 INDEX($U$1:$AX$1,
  MATCH(TRUE,
   CHOOSE({1;2;3;4;5;6;7;8;9;10;11;12;13;14;15;16;17;18;19;20;21;22;23;24;25;26;27;28;29;30;31;32},
    COUNTIFS($U$2:$U$200,$G112)&gt;0,
    COUNTIFS($V$2:$V$200,$G112)&gt;0,
    COUNTIFS($W$2:$W$200,$G112)&gt;0,
    COUNTIFS($X$2:$X$200,$G112)&gt;0,
    COUNTIFS($Y$2:$Y$200,$G112)&gt;0,
    COUNTIFS($Z$2:$Z$200,$G112)&gt;0,
    COUNTIFS($AA$2:$AA$200,$G112)&gt;0,
    COUNTIFS($AB$2:$AB$200,$G112)&gt;0,
    COUNTIFS($AC$2:$AC$200,$G112)&gt;0,
    COUNTIFS($AD$2:$AD$200,$G112)&gt;0,
    COUNTIFS($AE$2:$AE$200,$G112)&gt;0,
    COUNTIFS($AF$2:$AF$200,$G112)&gt;0,
    COUNTIFS($AG$2:$AG$200,$G112)&gt;0,
    COUNTIFS($AH$2:$AH$200,$G112)&gt;0,
    COUNTIFS($AI$2:$AI$200,$G112)&gt;0,
    COUNTIFS($AJ$2:$AJ$200,$G112)&gt;0,
    COUNTIFS($AK$2:$AK$200,$G112)&gt;0,
    COUNTIFS($AL$2:$AL$200,$G112)&gt;0,
    COUNTIFS($AM$2:$AM$200,$G112)&gt;0,
    COUNTIFS($AN$2:$AN$200,$G112)&gt;0,
    COUNTIFS($AO$2:$AO$200,$G112)&gt;0,
    COUNTIFS($AP$2:$AP$200,$G112)&gt;0,
    COUNTIFS($AQ$2:$AQ$200,$G112)&gt;0,
    COUNTIFS($AR$2:$AR$200,$G112)&gt;0,
    COUNTIFS($AS$2:$AS$200,$G112)&gt;0,
    COUNTIFS($AT$2:$AT$200,$G112)&gt;0,
    COUNTIFS($AU$2:$AU$200,$G112)&gt;0,
    COUNTIFS($AV$2:$AV$200,$G112)&gt;0,
    COUNTIFS($AW$2:$AW$200,$G112)&gt;0,
    COUNTIFS($AX$2:$AX$200,$G112)&gt;0
   ),
  0)
 ),
"")</f>
        <v>Baylen</v>
      </c>
      <c r="D112" s="3" t="str" cm="1">
        <f t="array" aca="1" ref="D112" ca="1">IFERROR(
 INDEX(
  _xlfn._xlws.FILTER($U$1:$AX$1,
   TRANSPOSE(
    CHOOSE({1;2;3;4;5;6;7;8;9;10;11;12;13;14;15;16;17;18;19;20;21;22;23;24;25;26;27;28;29;30},
     COUNTIFS($U$2:$U$200,$G112)&gt;0,
     COUNTIFS($V$2:$V$200,$G112)&gt;0,
     COUNTIFS($W$2:$W$200,$G112)&gt;0,
     COUNTIFS($X$2:$X$200,$G112)&gt;0,
     COUNTIFS($Y$2:$Y$200,$G112)&gt;0,
     COUNTIFS($Z$2:$Z$200,$G112)&gt;0,
     COUNTIFS($AA$2:$AA$200,$G112)&gt;0,
     COUNTIFS($AB$2:$AB$200,$G112)&gt;0,
     COUNTIFS($AC$2:$AC$200,$G112)&gt;0,
     COUNTIFS($AD$2:$AD$200,$G112)&gt;0,
     COUNTIFS($AE$2:$AE$200,$G112)&gt;0,
     COUNTIFS($AF$2:$AF$200,$G112)&gt;0,
     COUNTIFS($AG$2:$AG$200,$G112)&gt;0,
     COUNTIFS($AH$2:$AH$200,$G112)&gt;0,
     COUNTIFS($AI$2:$AI$200,$G112)&gt;0,
     COUNTIFS($AJ$2:$AJ$200,$G112)&gt;0,
     COUNTIFS($AK$2:$AK$200,$G112)&gt;0,
     COUNTIFS($AL$2:$AL$200,$G112)&gt;0,
     COUNTIFS($AM$2:$AM$200,$G112)&gt;0,
     COUNTIFS($AN$2:$AN$200,$G112)&gt;0,
     COUNTIFS($AO$2:$AO$200,$G112)&gt;0,
     COUNTIFS($AP$2:$AP$200,$G112)&gt;0,
     COUNTIFS($AQ$2:$AQ$200,$G112)&gt;0,
     COUNTIFS($AR$2:$AR$200,$G112)&gt;0,
     COUNTIFS($AS$2:$AS$200,$G112)&gt;0,
     COUNTIFS($AT$2:$AT$200,$G112)&gt;0,
     COUNTIFS($AU$2:$AU$200,$G112)&gt;0,
     COUNTIFS($AV$2:$AV$200,$G112)&gt;0,
     COUNTIFS($AW$2:$AW$200,$G112)&gt;0,
     COUNTIFS($AX$2:$AX$200,$G112)&gt;0
   )),
  ),
  2
 ),
"")</f>
        <v/>
      </c>
      <c r="E112" s="3" t="str" cm="1">
        <f t="array" aca="1" ref="E112" ca="1">IFERROR(
 INDEX(
  _xlfn._xlws.FILTER($U$1:$AX$1,
   TRANSPOSE(
    CHOOSE({1;2;3;4;5;6;7;8;9;10;11;12;13;14;15;16;17;18;19;20;21;22;23;24;25;26;27;28;29;30},
     COUNTIFS($U$2:$U$200,$G112)&gt;0,
     COUNTIFS($V$2:$V$200,$G112)&gt;0,
     COUNTIFS($W$2:$W$200,$G112)&gt;0,
     COUNTIFS($X$2:$X$200,$G112)&gt;0,
     COUNTIFS($Y$2:$Y$200,$G112)&gt;0,
     COUNTIFS($Z$2:$Z$200,$G112)&gt;0,
     COUNTIFS($AA$2:$AA$200,$G112)&gt;0,
     COUNTIFS($AB$2:$AB$200,$G112)&gt;0,
     COUNTIFS($AC$2:$AC$200,$G112)&gt;0,
     COUNTIFS($AD$2:$AD$200,$G112)&gt;0,
     COUNTIFS($AE$2:$AE$200,$G112)&gt;0,
     COUNTIFS($AF$2:$AF$200,$G112)&gt;0,
     COUNTIFS($AG$2:$AG$200,$G112)&gt;0,
     COUNTIFS($AH$2:$AH$200,$G112)&gt;0,
     COUNTIFS($AI$2:$AI$200,$G112)&gt;0,
     COUNTIFS($AJ$2:$AJ$200,$G112)&gt;0,
     COUNTIFS($AK$2:$AK$200,$G112)&gt;0,
     COUNTIFS($AL$2:$AL$200,$G112)&gt;0,
     COUNTIFS($AM$2:$AM$200,$G112)&gt;0,
     COUNTIFS($AN$2:$AN$200,$G112)&gt;0,
     COUNTIFS($AO$2:$AO$200,$G112)&gt;0,
     COUNTIFS($AP$2:$AP$200,$G112)&gt;0,
     COUNTIFS($AQ$2:$AQ$200,$G112)&gt;0,
     COUNTIFS($AR$2:$AR$200,$G112)&gt;0,
     COUNTIFS($AS$2:$AS$200,$G112)&gt;0,
     COUNTIFS($AT$2:$AT$200,$G112)&gt;0,
     COUNTIFS($AU$2:$AU$200,$G112)&gt;0,
     COUNTIFS($AV$2:$AV$200,$G112)&gt;0,
     COUNTIFS($AW$2:$AW$200,$G112)&gt;0,
     COUNTIFS($AX$2:$AX$200,$G112)&gt;0
   )),
  ),
  3
 ),
"")</f>
        <v/>
      </c>
      <c r="F112" s="3" t="str" cm="1">
        <f t="array" aca="1" ref="F112" ca="1">IFERROR(
 INDEX(
  _xlfn._xlws.FILTER($U$1:$AX$1,
   TRANSPOSE(
    CHOOSE({1;2;3;4;5;6;7;8;9;10;11;12;13;14;15;16;17;18;19;20;21;22;23;24;25;26;27;28;29;30},
     COUNTIFS($U$2:$U$200,$G112)&gt;0,
     COUNTIFS($V$2:$V$200,$G112)&gt;0,
     COUNTIFS($W$2:$W$200,$G112)&gt;0,
     COUNTIFS($X$2:$X$200,$G112)&gt;0,
     COUNTIFS($Y$2:$Y$200,$G112)&gt;0,
     COUNTIFS($Z$2:$Z$200,$G112)&gt;0,
     COUNTIFS($AA$2:$AA$200,$G112)&gt;0,
     COUNTIFS($AB$2:$AB$200,$G112)&gt;0,
     COUNTIFS($AC$2:$AC$200,$G112)&gt;0,
     COUNTIFS($AD$2:$AD$200,$G112)&gt;0,
     COUNTIFS($AE$2:$AE$200,$G112)&gt;0,
     COUNTIFS($AF$2:$AF$200,$G112)&gt;0,
     COUNTIFS($AG$2:$AG$200,$G112)&gt;0,
     COUNTIFS($AH$2:$AH$200,$G112)&gt;0,
     COUNTIFS($AI$2:$AI$200,$G112)&gt;0,
     COUNTIFS($AJ$2:$AJ$200,$G112)&gt;0,
     COUNTIFS($AK$2:$AK$200,$G112)&gt;0,
     COUNTIFS($AL$2:$AL$200,$G112)&gt;0,
     COUNTIFS($AM$2:$AM$200,$G112)&gt;0,
     COUNTIFS($AN$2:$AN$200,$G112)&gt;0,
     COUNTIFS($AO$2:$AO$200,$G112)&gt;0,
     COUNTIFS($AP$2:$AP$200,$G112)&gt;0,
     COUNTIFS($AQ$2:$AQ$200,$G112)&gt;0,
     COUNTIFS($AR$2:$AR$200,$G112)&gt;0,
     COUNTIFS($AS$2:$AS$200,$G112)&gt;0,
     COUNTIFS($AT$2:$AT$200,$G112)&gt;0,
     COUNTIFS($AU$2:$AU$200,$G112)&gt;0,
     COUNTIFS($AV$2:$AV$200,$G112)&gt;0,
     COUNTIFS($AW$2:$AW$200,$G112)&gt;0,
     COUNTIFS($AX$2:$AX$200,$G112)&gt;0
   )),
  ),
  4
 ),
"")</f>
        <v/>
      </c>
      <c r="G112" t="str">
        <f ca="1"/>
        <v>Exalted Sunborn</v>
      </c>
      <c r="BI112" t="str">
        <f ca="1"/>
        <v>Time Sieve</v>
      </c>
      <c r="BO112" t="str">
        <f ca="1"/>
        <v>Phyrexia's Core</v>
      </c>
      <c r="BR112" t="str">
        <f ca="1"/>
        <v>Smuggler's Share</v>
      </c>
      <c r="BT112" t="str">
        <f ca="1"/>
        <v>Mandate of Peace</v>
      </c>
    </row>
    <row r="113" spans="1:72" x14ac:dyDescent="0.25">
      <c r="A113" s="3" t="str">
        <f t="shared" ca="1" si="4"/>
        <v>3</v>
      </c>
      <c r="B113" s="3">
        <f t="shared" ca="1" si="5"/>
        <v>1</v>
      </c>
      <c r="C113" s="3" t="str">
        <f ca="1">IFERROR(
 INDEX($U$1:$AX$1,
  MATCH(TRUE,
   CHOOSE({1;2;3;4;5;6;7;8;9;10;11;12;13;14;15;16;17;18;19;20;21;22;23;24;25;26;27;28;29;30;31;32},
    COUNTIFS($U$2:$U$200,$G113)&gt;0,
    COUNTIFS($V$2:$V$200,$G113)&gt;0,
    COUNTIFS($W$2:$W$200,$G113)&gt;0,
    COUNTIFS($X$2:$X$200,$G113)&gt;0,
    COUNTIFS($Y$2:$Y$200,$G113)&gt;0,
    COUNTIFS($Z$2:$Z$200,$G113)&gt;0,
    COUNTIFS($AA$2:$AA$200,$G113)&gt;0,
    COUNTIFS($AB$2:$AB$200,$G113)&gt;0,
    COUNTIFS($AC$2:$AC$200,$G113)&gt;0,
    COUNTIFS($AD$2:$AD$200,$G113)&gt;0,
    COUNTIFS($AE$2:$AE$200,$G113)&gt;0,
    COUNTIFS($AF$2:$AF$200,$G113)&gt;0,
    COUNTIFS($AG$2:$AG$200,$G113)&gt;0,
    COUNTIFS($AH$2:$AH$200,$G113)&gt;0,
    COUNTIFS($AI$2:$AI$200,$G113)&gt;0,
    COUNTIFS($AJ$2:$AJ$200,$G113)&gt;0,
    COUNTIFS($AK$2:$AK$200,$G113)&gt;0,
    COUNTIFS($AL$2:$AL$200,$G113)&gt;0,
    COUNTIFS($AM$2:$AM$200,$G113)&gt;0,
    COUNTIFS($AN$2:$AN$200,$G113)&gt;0,
    COUNTIFS($AO$2:$AO$200,$G113)&gt;0,
    COUNTIFS($AP$2:$AP$200,$G113)&gt;0,
    COUNTIFS($AQ$2:$AQ$200,$G113)&gt;0,
    COUNTIFS($AR$2:$AR$200,$G113)&gt;0,
    COUNTIFS($AS$2:$AS$200,$G113)&gt;0,
    COUNTIFS($AT$2:$AT$200,$G113)&gt;0,
    COUNTIFS($AU$2:$AU$200,$G113)&gt;0,
    COUNTIFS($AV$2:$AV$200,$G113)&gt;0,
    COUNTIFS($AW$2:$AW$200,$G113)&gt;0,
    COUNTIFS($AX$2:$AX$200,$G113)&gt;0
   ),
  0)
 ),
"")</f>
        <v>Carlos</v>
      </c>
      <c r="D113" s="3" t="str" cm="1">
        <f t="array" aca="1" ref="D113" ca="1">IFERROR(
 INDEX(
  _xlfn._xlws.FILTER($U$1:$AX$1,
   TRANSPOSE(
    CHOOSE({1;2;3;4;5;6;7;8;9;10;11;12;13;14;15;16;17;18;19;20;21;22;23;24;25;26;27;28;29;30},
     COUNTIFS($U$2:$U$200,$G113)&gt;0,
     COUNTIFS($V$2:$V$200,$G113)&gt;0,
     COUNTIFS($W$2:$W$200,$G113)&gt;0,
     COUNTIFS($X$2:$X$200,$G113)&gt;0,
     COUNTIFS($Y$2:$Y$200,$G113)&gt;0,
     COUNTIFS($Z$2:$Z$200,$G113)&gt;0,
     COUNTIFS($AA$2:$AA$200,$G113)&gt;0,
     COUNTIFS($AB$2:$AB$200,$G113)&gt;0,
     COUNTIFS($AC$2:$AC$200,$G113)&gt;0,
     COUNTIFS($AD$2:$AD$200,$G113)&gt;0,
     COUNTIFS($AE$2:$AE$200,$G113)&gt;0,
     COUNTIFS($AF$2:$AF$200,$G113)&gt;0,
     COUNTIFS($AG$2:$AG$200,$G113)&gt;0,
     COUNTIFS($AH$2:$AH$200,$G113)&gt;0,
     COUNTIFS($AI$2:$AI$200,$G113)&gt;0,
     COUNTIFS($AJ$2:$AJ$200,$G113)&gt;0,
     COUNTIFS($AK$2:$AK$200,$G113)&gt;0,
     COUNTIFS($AL$2:$AL$200,$G113)&gt;0,
     COUNTIFS($AM$2:$AM$200,$G113)&gt;0,
     COUNTIFS($AN$2:$AN$200,$G113)&gt;0,
     COUNTIFS($AO$2:$AO$200,$G113)&gt;0,
     COUNTIFS($AP$2:$AP$200,$G113)&gt;0,
     COUNTIFS($AQ$2:$AQ$200,$G113)&gt;0,
     COUNTIFS($AR$2:$AR$200,$G113)&gt;0,
     COUNTIFS($AS$2:$AS$200,$G113)&gt;0,
     COUNTIFS($AT$2:$AT$200,$G113)&gt;0,
     COUNTIFS($AU$2:$AU$200,$G113)&gt;0,
     COUNTIFS($AV$2:$AV$200,$G113)&gt;0,
     COUNTIFS($AW$2:$AW$200,$G113)&gt;0,
     COUNTIFS($AX$2:$AX$200,$G113)&gt;0
   )),
  ),
  2
 ),
"")</f>
        <v/>
      </c>
      <c r="E113" s="3" t="str" cm="1">
        <f t="array" aca="1" ref="E113" ca="1">IFERROR(
 INDEX(
  _xlfn._xlws.FILTER($U$1:$AX$1,
   TRANSPOSE(
    CHOOSE({1;2;3;4;5;6;7;8;9;10;11;12;13;14;15;16;17;18;19;20;21;22;23;24;25;26;27;28;29;30},
     COUNTIFS($U$2:$U$200,$G113)&gt;0,
     COUNTIFS($V$2:$V$200,$G113)&gt;0,
     COUNTIFS($W$2:$W$200,$G113)&gt;0,
     COUNTIFS($X$2:$X$200,$G113)&gt;0,
     COUNTIFS($Y$2:$Y$200,$G113)&gt;0,
     COUNTIFS($Z$2:$Z$200,$G113)&gt;0,
     COUNTIFS($AA$2:$AA$200,$G113)&gt;0,
     COUNTIFS($AB$2:$AB$200,$G113)&gt;0,
     COUNTIFS($AC$2:$AC$200,$G113)&gt;0,
     COUNTIFS($AD$2:$AD$200,$G113)&gt;0,
     COUNTIFS($AE$2:$AE$200,$G113)&gt;0,
     COUNTIFS($AF$2:$AF$200,$G113)&gt;0,
     COUNTIFS($AG$2:$AG$200,$G113)&gt;0,
     COUNTIFS($AH$2:$AH$200,$G113)&gt;0,
     COUNTIFS($AI$2:$AI$200,$G113)&gt;0,
     COUNTIFS($AJ$2:$AJ$200,$G113)&gt;0,
     COUNTIFS($AK$2:$AK$200,$G113)&gt;0,
     COUNTIFS($AL$2:$AL$200,$G113)&gt;0,
     COUNTIFS($AM$2:$AM$200,$G113)&gt;0,
     COUNTIFS($AN$2:$AN$200,$G113)&gt;0,
     COUNTIFS($AO$2:$AO$200,$G113)&gt;0,
     COUNTIFS($AP$2:$AP$200,$G113)&gt;0,
     COUNTIFS($AQ$2:$AQ$200,$G113)&gt;0,
     COUNTIFS($AR$2:$AR$200,$G113)&gt;0,
     COUNTIFS($AS$2:$AS$200,$G113)&gt;0,
     COUNTIFS($AT$2:$AT$200,$G113)&gt;0,
     COUNTIFS($AU$2:$AU$200,$G113)&gt;0,
     COUNTIFS($AV$2:$AV$200,$G113)&gt;0,
     COUNTIFS($AW$2:$AW$200,$G113)&gt;0,
     COUNTIFS($AX$2:$AX$200,$G113)&gt;0
   )),
  ),
  3
 ),
"")</f>
        <v/>
      </c>
      <c r="F113" s="3" t="str" cm="1">
        <f t="array" aca="1" ref="F113" ca="1">IFERROR(
 INDEX(
  _xlfn._xlws.FILTER($U$1:$AX$1,
   TRANSPOSE(
    CHOOSE({1;2;3;4;5;6;7;8;9;10;11;12;13;14;15;16;17;18;19;20;21;22;23;24;25;26;27;28;29;30},
     COUNTIFS($U$2:$U$200,$G113)&gt;0,
     COUNTIFS($V$2:$V$200,$G113)&gt;0,
     COUNTIFS($W$2:$W$200,$G113)&gt;0,
     COUNTIFS($X$2:$X$200,$G113)&gt;0,
     COUNTIFS($Y$2:$Y$200,$G113)&gt;0,
     COUNTIFS($Z$2:$Z$200,$G113)&gt;0,
     COUNTIFS($AA$2:$AA$200,$G113)&gt;0,
     COUNTIFS($AB$2:$AB$200,$G113)&gt;0,
     COUNTIFS($AC$2:$AC$200,$G113)&gt;0,
     COUNTIFS($AD$2:$AD$200,$G113)&gt;0,
     COUNTIFS($AE$2:$AE$200,$G113)&gt;0,
     COUNTIFS($AF$2:$AF$200,$G113)&gt;0,
     COUNTIFS($AG$2:$AG$200,$G113)&gt;0,
     COUNTIFS($AH$2:$AH$200,$G113)&gt;0,
     COUNTIFS($AI$2:$AI$200,$G113)&gt;0,
     COUNTIFS($AJ$2:$AJ$200,$G113)&gt;0,
     COUNTIFS($AK$2:$AK$200,$G113)&gt;0,
     COUNTIFS($AL$2:$AL$200,$G113)&gt;0,
     COUNTIFS($AM$2:$AM$200,$G113)&gt;0,
     COUNTIFS($AN$2:$AN$200,$G113)&gt;0,
     COUNTIFS($AO$2:$AO$200,$G113)&gt;0,
     COUNTIFS($AP$2:$AP$200,$G113)&gt;0,
     COUNTIFS($AQ$2:$AQ$200,$G113)&gt;0,
     COUNTIFS($AR$2:$AR$200,$G113)&gt;0,
     COUNTIFS($AS$2:$AS$200,$G113)&gt;0,
     COUNTIFS($AT$2:$AT$200,$G113)&gt;0,
     COUNTIFS($AU$2:$AU$200,$G113)&gt;0,
     COUNTIFS($AV$2:$AV$200,$G113)&gt;0,
     COUNTIFS($AW$2:$AW$200,$G113)&gt;0,
     COUNTIFS($AX$2:$AX$200,$G113)&gt;0
   )),
  ),
  4
 ),
"")</f>
        <v/>
      </c>
      <c r="G113" t="str">
        <f ca="1"/>
        <v>Exemplar of Light</v>
      </c>
      <c r="BI113" t="str">
        <f ca="1"/>
        <v>Timestream Navigator</v>
      </c>
      <c r="BO113" t="str">
        <f ca="1"/>
        <v>Plains</v>
      </c>
      <c r="BR113" t="str">
        <f ca="1"/>
        <v>Sokenzan, Crucible of Defiance</v>
      </c>
      <c r="BT113" t="str">
        <f ca="1"/>
        <v>Matoya, Archon Elder</v>
      </c>
    </row>
    <row r="114" spans="1:72" x14ac:dyDescent="0.25">
      <c r="A114" s="3" t="str">
        <f t="shared" ca="1" si="4"/>
        <v>1</v>
      </c>
      <c r="B114" s="3">
        <f t="shared" ca="1" si="5"/>
        <v>1</v>
      </c>
      <c r="C114" s="3" t="str">
        <f ca="1">IFERROR(
 INDEX($U$1:$AX$1,
  MATCH(TRUE,
   CHOOSE({1;2;3;4;5;6;7;8;9;10;11;12;13;14;15;16;17;18;19;20;21;22;23;24;25;26;27;28;29;30;31;32},
    COUNTIFS($U$2:$U$200,$G114)&gt;0,
    COUNTIFS($V$2:$V$200,$G114)&gt;0,
    COUNTIFS($W$2:$W$200,$G114)&gt;0,
    COUNTIFS($X$2:$X$200,$G114)&gt;0,
    COUNTIFS($Y$2:$Y$200,$G114)&gt;0,
    COUNTIFS($Z$2:$Z$200,$G114)&gt;0,
    COUNTIFS($AA$2:$AA$200,$G114)&gt;0,
    COUNTIFS($AB$2:$AB$200,$G114)&gt;0,
    COUNTIFS($AC$2:$AC$200,$G114)&gt;0,
    COUNTIFS($AD$2:$AD$200,$G114)&gt;0,
    COUNTIFS($AE$2:$AE$200,$G114)&gt;0,
    COUNTIFS($AF$2:$AF$200,$G114)&gt;0,
    COUNTIFS($AG$2:$AG$200,$G114)&gt;0,
    COUNTIFS($AH$2:$AH$200,$G114)&gt;0,
    COUNTIFS($AI$2:$AI$200,$G114)&gt;0,
    COUNTIFS($AJ$2:$AJ$200,$G114)&gt;0,
    COUNTIFS($AK$2:$AK$200,$G114)&gt;0,
    COUNTIFS($AL$2:$AL$200,$G114)&gt;0,
    COUNTIFS($AM$2:$AM$200,$G114)&gt;0,
    COUNTIFS($AN$2:$AN$200,$G114)&gt;0,
    COUNTIFS($AO$2:$AO$200,$G114)&gt;0,
    COUNTIFS($AP$2:$AP$200,$G114)&gt;0,
    COUNTIFS($AQ$2:$AQ$200,$G114)&gt;0,
    COUNTIFS($AR$2:$AR$200,$G114)&gt;0,
    COUNTIFS($AS$2:$AS$200,$G114)&gt;0,
    COUNTIFS($AT$2:$AT$200,$G114)&gt;0,
    COUNTIFS($AU$2:$AU$200,$G114)&gt;0,
    COUNTIFS($AV$2:$AV$200,$G114)&gt;0,
    COUNTIFS($AW$2:$AW$200,$G114)&gt;0,
    COUNTIFS($AX$2:$AX$200,$G114)&gt;0
   ),
  0)
 ),
"")</f>
        <v>Tayam</v>
      </c>
      <c r="D114" s="3" t="str" cm="1">
        <f t="array" aca="1" ref="D114" ca="1">IFERROR(
 INDEX(
  _xlfn._xlws.FILTER($U$1:$AX$1,
   TRANSPOSE(
    CHOOSE({1;2;3;4;5;6;7;8;9;10;11;12;13;14;15;16;17;18;19;20;21;22;23;24;25;26;27;28;29;30},
     COUNTIFS($U$2:$U$200,$G114)&gt;0,
     COUNTIFS($V$2:$V$200,$G114)&gt;0,
     COUNTIFS($W$2:$W$200,$G114)&gt;0,
     COUNTIFS($X$2:$X$200,$G114)&gt;0,
     COUNTIFS($Y$2:$Y$200,$G114)&gt;0,
     COUNTIFS($Z$2:$Z$200,$G114)&gt;0,
     COUNTIFS($AA$2:$AA$200,$G114)&gt;0,
     COUNTIFS($AB$2:$AB$200,$G114)&gt;0,
     COUNTIFS($AC$2:$AC$200,$G114)&gt;0,
     COUNTIFS($AD$2:$AD$200,$G114)&gt;0,
     COUNTIFS($AE$2:$AE$200,$G114)&gt;0,
     COUNTIFS($AF$2:$AF$200,$G114)&gt;0,
     COUNTIFS($AG$2:$AG$200,$G114)&gt;0,
     COUNTIFS($AH$2:$AH$200,$G114)&gt;0,
     COUNTIFS($AI$2:$AI$200,$G114)&gt;0,
     COUNTIFS($AJ$2:$AJ$200,$G114)&gt;0,
     COUNTIFS($AK$2:$AK$200,$G114)&gt;0,
     COUNTIFS($AL$2:$AL$200,$G114)&gt;0,
     COUNTIFS($AM$2:$AM$200,$G114)&gt;0,
     COUNTIFS($AN$2:$AN$200,$G114)&gt;0,
     COUNTIFS($AO$2:$AO$200,$G114)&gt;0,
     COUNTIFS($AP$2:$AP$200,$G114)&gt;0,
     COUNTIFS($AQ$2:$AQ$200,$G114)&gt;0,
     COUNTIFS($AR$2:$AR$200,$G114)&gt;0,
     COUNTIFS($AS$2:$AS$200,$G114)&gt;0,
     COUNTIFS($AT$2:$AT$200,$G114)&gt;0,
     COUNTIFS($AU$2:$AU$200,$G114)&gt;0,
     COUNTIFS($AV$2:$AV$200,$G114)&gt;0,
     COUNTIFS($AW$2:$AW$200,$G114)&gt;0,
     COUNTIFS($AX$2:$AX$200,$G114)&gt;0
   )),
  ),
  2
 ),
"")</f>
        <v/>
      </c>
      <c r="E114" s="3" t="str" cm="1">
        <f t="array" aca="1" ref="E114" ca="1">IFERROR(
 INDEX(
  _xlfn._xlws.FILTER($U$1:$AX$1,
   TRANSPOSE(
    CHOOSE({1;2;3;4;5;6;7;8;9;10;11;12;13;14;15;16;17;18;19;20;21;22;23;24;25;26;27;28;29;30},
     COUNTIFS($U$2:$U$200,$G114)&gt;0,
     COUNTIFS($V$2:$V$200,$G114)&gt;0,
     COUNTIFS($W$2:$W$200,$G114)&gt;0,
     COUNTIFS($X$2:$X$200,$G114)&gt;0,
     COUNTIFS($Y$2:$Y$200,$G114)&gt;0,
     COUNTIFS($Z$2:$Z$200,$G114)&gt;0,
     COUNTIFS($AA$2:$AA$200,$G114)&gt;0,
     COUNTIFS($AB$2:$AB$200,$G114)&gt;0,
     COUNTIFS($AC$2:$AC$200,$G114)&gt;0,
     COUNTIFS($AD$2:$AD$200,$G114)&gt;0,
     COUNTIFS($AE$2:$AE$200,$G114)&gt;0,
     COUNTIFS($AF$2:$AF$200,$G114)&gt;0,
     COUNTIFS($AG$2:$AG$200,$G114)&gt;0,
     COUNTIFS($AH$2:$AH$200,$G114)&gt;0,
     COUNTIFS($AI$2:$AI$200,$G114)&gt;0,
     COUNTIFS($AJ$2:$AJ$200,$G114)&gt;0,
     COUNTIFS($AK$2:$AK$200,$G114)&gt;0,
     COUNTIFS($AL$2:$AL$200,$G114)&gt;0,
     COUNTIFS($AM$2:$AM$200,$G114)&gt;0,
     COUNTIFS($AN$2:$AN$200,$G114)&gt;0,
     COUNTIFS($AO$2:$AO$200,$G114)&gt;0,
     COUNTIFS($AP$2:$AP$200,$G114)&gt;0,
     COUNTIFS($AQ$2:$AQ$200,$G114)&gt;0,
     COUNTIFS($AR$2:$AR$200,$G114)&gt;0,
     COUNTIFS($AS$2:$AS$200,$G114)&gt;0,
     COUNTIFS($AT$2:$AT$200,$G114)&gt;0,
     COUNTIFS($AU$2:$AU$200,$G114)&gt;0,
     COUNTIFS($AV$2:$AV$200,$G114)&gt;0,
     COUNTIFS($AW$2:$AW$200,$G114)&gt;0,
     COUNTIFS($AX$2:$AX$200,$G114)&gt;0
   )),
  ),
  3
 ),
"")</f>
        <v/>
      </c>
      <c r="F114" s="3" t="str" cm="1">
        <f t="array" aca="1" ref="F114" ca="1">IFERROR(
 INDEX(
  _xlfn._xlws.FILTER($U$1:$AX$1,
   TRANSPOSE(
    CHOOSE({1;2;3;4;5;6;7;8;9;10;11;12;13;14;15;16;17;18;19;20;21;22;23;24;25;26;27;28;29;30},
     COUNTIFS($U$2:$U$200,$G114)&gt;0,
     COUNTIFS($V$2:$V$200,$G114)&gt;0,
     COUNTIFS($W$2:$W$200,$G114)&gt;0,
     COUNTIFS($X$2:$X$200,$G114)&gt;0,
     COUNTIFS($Y$2:$Y$200,$G114)&gt;0,
     COUNTIFS($Z$2:$Z$200,$G114)&gt;0,
     COUNTIFS($AA$2:$AA$200,$G114)&gt;0,
     COUNTIFS($AB$2:$AB$200,$G114)&gt;0,
     COUNTIFS($AC$2:$AC$200,$G114)&gt;0,
     COUNTIFS($AD$2:$AD$200,$G114)&gt;0,
     COUNTIFS($AE$2:$AE$200,$G114)&gt;0,
     COUNTIFS($AF$2:$AF$200,$G114)&gt;0,
     COUNTIFS($AG$2:$AG$200,$G114)&gt;0,
     COUNTIFS($AH$2:$AH$200,$G114)&gt;0,
     COUNTIFS($AI$2:$AI$200,$G114)&gt;0,
     COUNTIFS($AJ$2:$AJ$200,$G114)&gt;0,
     COUNTIFS($AK$2:$AK$200,$G114)&gt;0,
     COUNTIFS($AL$2:$AL$200,$G114)&gt;0,
     COUNTIFS($AM$2:$AM$200,$G114)&gt;0,
     COUNTIFS($AN$2:$AN$200,$G114)&gt;0,
     COUNTIFS($AO$2:$AO$200,$G114)&gt;0,
     COUNTIFS($AP$2:$AP$200,$G114)&gt;0,
     COUNTIFS($AQ$2:$AQ$200,$G114)&gt;0,
     COUNTIFS($AR$2:$AR$200,$G114)&gt;0,
     COUNTIFS($AS$2:$AS$200,$G114)&gt;0,
     COUNTIFS($AT$2:$AT$200,$G114)&gt;0,
     COUNTIFS($AU$2:$AU$200,$G114)&gt;0,
     COUNTIFS($AV$2:$AV$200,$G114)&gt;0,
     COUNTIFS($AW$2:$AW$200,$G114)&gt;0,
     COUNTIFS($AX$2:$AX$200,$G114)&gt;0
   )),
  ),
  4
 ),
"")</f>
        <v/>
      </c>
      <c r="G114" t="str">
        <f ca="1"/>
        <v>Exotic Orchard</v>
      </c>
      <c r="BI114" t="str">
        <f ca="1"/>
        <v>Tireless Provisioner</v>
      </c>
      <c r="BO114" t="str">
        <f ca="1"/>
        <v>Prosperous Partnership</v>
      </c>
      <c r="BR114" t="str">
        <f ca="1"/>
        <v>Sol Ring</v>
      </c>
      <c r="BT114" t="str">
        <f ca="1"/>
        <v>Memory Erosion</v>
      </c>
    </row>
    <row r="115" spans="1:72" x14ac:dyDescent="0.25">
      <c r="A115" s="3" t="str">
        <f t="shared" ca="1" si="4"/>
        <v>3</v>
      </c>
      <c r="B115" s="3">
        <f t="shared" ca="1" si="5"/>
        <v>1</v>
      </c>
      <c r="C115" s="3" t="str">
        <f ca="1">IFERROR(
 INDEX($U$1:$AX$1,
  MATCH(TRUE,
   CHOOSE({1;2;3;4;5;6;7;8;9;10;11;12;13;14;15;16;17;18;19;20;21;22;23;24;25;26;27;28;29;30;31;32},
    COUNTIFS($U$2:$U$200,$G115)&gt;0,
    COUNTIFS($V$2:$V$200,$G115)&gt;0,
    COUNTIFS($W$2:$W$200,$G115)&gt;0,
    COUNTIFS($X$2:$X$200,$G115)&gt;0,
    COUNTIFS($Y$2:$Y$200,$G115)&gt;0,
    COUNTIFS($Z$2:$Z$200,$G115)&gt;0,
    COUNTIFS($AA$2:$AA$200,$G115)&gt;0,
    COUNTIFS($AB$2:$AB$200,$G115)&gt;0,
    COUNTIFS($AC$2:$AC$200,$G115)&gt;0,
    COUNTIFS($AD$2:$AD$200,$G115)&gt;0,
    COUNTIFS($AE$2:$AE$200,$G115)&gt;0,
    COUNTIFS($AF$2:$AF$200,$G115)&gt;0,
    COUNTIFS($AG$2:$AG$200,$G115)&gt;0,
    COUNTIFS($AH$2:$AH$200,$G115)&gt;0,
    COUNTIFS($AI$2:$AI$200,$G115)&gt;0,
    COUNTIFS($AJ$2:$AJ$200,$G115)&gt;0,
    COUNTIFS($AK$2:$AK$200,$G115)&gt;0,
    COUNTIFS($AL$2:$AL$200,$G115)&gt;0,
    COUNTIFS($AM$2:$AM$200,$G115)&gt;0,
    COUNTIFS($AN$2:$AN$200,$G115)&gt;0,
    COUNTIFS($AO$2:$AO$200,$G115)&gt;0,
    COUNTIFS($AP$2:$AP$200,$G115)&gt;0,
    COUNTIFS($AQ$2:$AQ$200,$G115)&gt;0,
    COUNTIFS($AR$2:$AR$200,$G115)&gt;0,
    COUNTIFS($AS$2:$AS$200,$G115)&gt;0,
    COUNTIFS($AT$2:$AT$200,$G115)&gt;0,
    COUNTIFS($AU$2:$AU$200,$G115)&gt;0,
    COUNTIFS($AV$2:$AV$200,$G115)&gt;0,
    COUNTIFS($AW$2:$AW$200,$G115)&gt;0,
    COUNTIFS($AX$2:$AX$200,$G115)&gt;0
   ),
  0)
 ),
"")</f>
        <v>Muzzio</v>
      </c>
      <c r="D115" s="3" t="str" cm="1">
        <f t="array" aca="1" ref="D115" ca="1">IFERROR(
 INDEX(
  _xlfn._xlws.FILTER($U$1:$AX$1,
   TRANSPOSE(
    CHOOSE({1;2;3;4;5;6;7;8;9;10;11;12;13;14;15;16;17;18;19;20;21;22;23;24;25;26;27;28;29;30},
     COUNTIFS($U$2:$U$200,$G115)&gt;0,
     COUNTIFS($V$2:$V$200,$G115)&gt;0,
     COUNTIFS($W$2:$W$200,$G115)&gt;0,
     COUNTIFS($X$2:$X$200,$G115)&gt;0,
     COUNTIFS($Y$2:$Y$200,$G115)&gt;0,
     COUNTIFS($Z$2:$Z$200,$G115)&gt;0,
     COUNTIFS($AA$2:$AA$200,$G115)&gt;0,
     COUNTIFS($AB$2:$AB$200,$G115)&gt;0,
     COUNTIFS($AC$2:$AC$200,$G115)&gt;0,
     COUNTIFS($AD$2:$AD$200,$G115)&gt;0,
     COUNTIFS($AE$2:$AE$200,$G115)&gt;0,
     COUNTIFS($AF$2:$AF$200,$G115)&gt;0,
     COUNTIFS($AG$2:$AG$200,$G115)&gt;0,
     COUNTIFS($AH$2:$AH$200,$G115)&gt;0,
     COUNTIFS($AI$2:$AI$200,$G115)&gt;0,
     COUNTIFS($AJ$2:$AJ$200,$G115)&gt;0,
     COUNTIFS($AK$2:$AK$200,$G115)&gt;0,
     COUNTIFS($AL$2:$AL$200,$G115)&gt;0,
     COUNTIFS($AM$2:$AM$200,$G115)&gt;0,
     COUNTIFS($AN$2:$AN$200,$G115)&gt;0,
     COUNTIFS($AO$2:$AO$200,$G115)&gt;0,
     COUNTIFS($AP$2:$AP$200,$G115)&gt;0,
     COUNTIFS($AQ$2:$AQ$200,$G115)&gt;0,
     COUNTIFS($AR$2:$AR$200,$G115)&gt;0,
     COUNTIFS($AS$2:$AS$200,$G115)&gt;0,
     COUNTIFS($AT$2:$AT$200,$G115)&gt;0,
     COUNTIFS($AU$2:$AU$200,$G115)&gt;0,
     COUNTIFS($AV$2:$AV$200,$G115)&gt;0,
     COUNTIFS($AW$2:$AW$200,$G115)&gt;0,
     COUNTIFS($AX$2:$AX$200,$G115)&gt;0
   )),
  ),
  2
 ),
"")</f>
        <v/>
      </c>
      <c r="E115" s="3" t="str" cm="1">
        <f t="array" aca="1" ref="E115" ca="1">IFERROR(
 INDEX(
  _xlfn._xlws.FILTER($U$1:$AX$1,
   TRANSPOSE(
    CHOOSE({1;2;3;4;5;6;7;8;9;10;11;12;13;14;15;16;17;18;19;20;21;22;23;24;25;26;27;28;29;30},
     COUNTIFS($U$2:$U$200,$G115)&gt;0,
     COUNTIFS($V$2:$V$200,$G115)&gt;0,
     COUNTIFS($W$2:$W$200,$G115)&gt;0,
     COUNTIFS($X$2:$X$200,$G115)&gt;0,
     COUNTIFS($Y$2:$Y$200,$G115)&gt;0,
     COUNTIFS($Z$2:$Z$200,$G115)&gt;0,
     COUNTIFS($AA$2:$AA$200,$G115)&gt;0,
     COUNTIFS($AB$2:$AB$200,$G115)&gt;0,
     COUNTIFS($AC$2:$AC$200,$G115)&gt;0,
     COUNTIFS($AD$2:$AD$200,$G115)&gt;0,
     COUNTIFS($AE$2:$AE$200,$G115)&gt;0,
     COUNTIFS($AF$2:$AF$200,$G115)&gt;0,
     COUNTIFS($AG$2:$AG$200,$G115)&gt;0,
     COUNTIFS($AH$2:$AH$200,$G115)&gt;0,
     COUNTIFS($AI$2:$AI$200,$G115)&gt;0,
     COUNTIFS($AJ$2:$AJ$200,$G115)&gt;0,
     COUNTIFS($AK$2:$AK$200,$G115)&gt;0,
     COUNTIFS($AL$2:$AL$200,$G115)&gt;0,
     COUNTIFS($AM$2:$AM$200,$G115)&gt;0,
     COUNTIFS($AN$2:$AN$200,$G115)&gt;0,
     COUNTIFS($AO$2:$AO$200,$G115)&gt;0,
     COUNTIFS($AP$2:$AP$200,$G115)&gt;0,
     COUNTIFS($AQ$2:$AQ$200,$G115)&gt;0,
     COUNTIFS($AR$2:$AR$200,$G115)&gt;0,
     COUNTIFS($AS$2:$AS$200,$G115)&gt;0,
     COUNTIFS($AT$2:$AT$200,$G115)&gt;0,
     COUNTIFS($AU$2:$AU$200,$G115)&gt;0,
     COUNTIFS($AV$2:$AV$200,$G115)&gt;0,
     COUNTIFS($AW$2:$AW$200,$G115)&gt;0,
     COUNTIFS($AX$2:$AX$200,$G115)&gt;0
   )),
  ),
  3
 ),
"")</f>
        <v/>
      </c>
      <c r="F115" s="3" t="str" cm="1">
        <f t="array" aca="1" ref="F115" ca="1">IFERROR(
 INDEX(
  _xlfn._xlws.FILTER($U$1:$AX$1,
   TRANSPOSE(
    CHOOSE({1;2;3;4;5;6;7;8;9;10;11;12;13;14;15;16;17;18;19;20;21;22;23;24;25;26;27;28;29;30},
     COUNTIFS($U$2:$U$200,$G115)&gt;0,
     COUNTIFS($V$2:$V$200,$G115)&gt;0,
     COUNTIFS($W$2:$W$200,$G115)&gt;0,
     COUNTIFS($X$2:$X$200,$G115)&gt;0,
     COUNTIFS($Y$2:$Y$200,$G115)&gt;0,
     COUNTIFS($Z$2:$Z$200,$G115)&gt;0,
     COUNTIFS($AA$2:$AA$200,$G115)&gt;0,
     COUNTIFS($AB$2:$AB$200,$G115)&gt;0,
     COUNTIFS($AC$2:$AC$200,$G115)&gt;0,
     COUNTIFS($AD$2:$AD$200,$G115)&gt;0,
     COUNTIFS($AE$2:$AE$200,$G115)&gt;0,
     COUNTIFS($AF$2:$AF$200,$G115)&gt;0,
     COUNTIFS($AG$2:$AG$200,$G115)&gt;0,
     COUNTIFS($AH$2:$AH$200,$G115)&gt;0,
     COUNTIFS($AI$2:$AI$200,$G115)&gt;0,
     COUNTIFS($AJ$2:$AJ$200,$G115)&gt;0,
     COUNTIFS($AK$2:$AK$200,$G115)&gt;0,
     COUNTIFS($AL$2:$AL$200,$G115)&gt;0,
     COUNTIFS($AM$2:$AM$200,$G115)&gt;0,
     COUNTIFS($AN$2:$AN$200,$G115)&gt;0,
     COUNTIFS($AO$2:$AO$200,$G115)&gt;0,
     COUNTIFS($AP$2:$AP$200,$G115)&gt;0,
     COUNTIFS($AQ$2:$AQ$200,$G115)&gt;0,
     COUNTIFS($AR$2:$AR$200,$G115)&gt;0,
     COUNTIFS($AS$2:$AS$200,$G115)&gt;0,
     COUNTIFS($AT$2:$AT$200,$G115)&gt;0,
     COUNTIFS($AU$2:$AU$200,$G115)&gt;0,
     COUNTIFS($AV$2:$AV$200,$G115)&gt;0,
     COUNTIFS($AW$2:$AW$200,$G115)&gt;0,
     COUNTIFS($AX$2:$AX$200,$G115)&gt;0
   )),
  ),
  4
 ),
"")</f>
        <v/>
      </c>
      <c r="G115" t="str">
        <f ca="1"/>
        <v>Extinguisher Battleship</v>
      </c>
      <c r="BI115" t="str">
        <f ca="1"/>
        <v>Toph, the Blind Bandit</v>
      </c>
      <c r="BO115" t="str">
        <f ca="1"/>
        <v>Protection Magic</v>
      </c>
      <c r="BR115" t="str">
        <f ca="1"/>
        <v>Sonic Screwdriver</v>
      </c>
      <c r="BT115" t="str">
        <f ca="1"/>
        <v>Merchant of Secrets</v>
      </c>
    </row>
    <row r="116" spans="1:72" x14ac:dyDescent="0.25">
      <c r="A116" s="3" t="str">
        <f t="shared" ca="1" si="4"/>
        <v>2</v>
      </c>
      <c r="B116" s="3">
        <f t="shared" ca="1" si="5"/>
        <v>2</v>
      </c>
      <c r="C116" s="3" t="str">
        <f ca="1">IFERROR(
 INDEX($U$1:$AX$1,
  MATCH(TRUE,
   CHOOSE({1;2;3;4;5;6;7;8;9;10;11;12;13;14;15;16;17;18;19;20;21;22;23;24;25;26;27;28;29;30;31;32},
    COUNTIFS($U$2:$U$200,$G116)&gt;0,
    COUNTIFS($V$2:$V$200,$G116)&gt;0,
    COUNTIFS($W$2:$W$200,$G116)&gt;0,
    COUNTIFS($X$2:$X$200,$G116)&gt;0,
    COUNTIFS($Y$2:$Y$200,$G116)&gt;0,
    COUNTIFS($Z$2:$Z$200,$G116)&gt;0,
    COUNTIFS($AA$2:$AA$200,$G116)&gt;0,
    COUNTIFS($AB$2:$AB$200,$G116)&gt;0,
    COUNTIFS($AC$2:$AC$200,$G116)&gt;0,
    COUNTIFS($AD$2:$AD$200,$G116)&gt;0,
    COUNTIFS($AE$2:$AE$200,$G116)&gt;0,
    COUNTIFS($AF$2:$AF$200,$G116)&gt;0,
    COUNTIFS($AG$2:$AG$200,$G116)&gt;0,
    COUNTIFS($AH$2:$AH$200,$G116)&gt;0,
    COUNTIFS($AI$2:$AI$200,$G116)&gt;0,
    COUNTIFS($AJ$2:$AJ$200,$G116)&gt;0,
    COUNTIFS($AK$2:$AK$200,$G116)&gt;0,
    COUNTIFS($AL$2:$AL$200,$G116)&gt;0,
    COUNTIFS($AM$2:$AM$200,$G116)&gt;0,
    COUNTIFS($AN$2:$AN$200,$G116)&gt;0,
    COUNTIFS($AO$2:$AO$200,$G116)&gt;0,
    COUNTIFS($AP$2:$AP$200,$G116)&gt;0,
    COUNTIFS($AQ$2:$AQ$200,$G116)&gt;0,
    COUNTIFS($AR$2:$AR$200,$G116)&gt;0,
    COUNTIFS($AS$2:$AS$200,$G116)&gt;0,
    COUNTIFS($AT$2:$AT$200,$G116)&gt;0,
    COUNTIFS($AU$2:$AU$200,$G116)&gt;0,
    COUNTIFS($AV$2:$AV$200,$G116)&gt;0,
    COUNTIFS($AW$2:$AW$200,$G116)&gt;0,
    COUNTIFS($AX$2:$AX$200,$G116)&gt;0
   ),
  0)
 ),
"")</f>
        <v>Piratas</v>
      </c>
      <c r="D116" s="3" t="str" cm="1">
        <f t="array" aca="1" ref="D116" ca="1">IFERROR(
 INDEX(
  _xlfn._xlws.FILTER($U$1:$AX$1,
   TRANSPOSE(
    CHOOSE({1;2;3;4;5;6;7;8;9;10;11;12;13;14;15;16;17;18;19;20;21;22;23;24;25;26;27;28;29;30},
     COUNTIFS($U$2:$U$200,$G116)&gt;0,
     COUNTIFS($V$2:$V$200,$G116)&gt;0,
     COUNTIFS($W$2:$W$200,$G116)&gt;0,
     COUNTIFS($X$2:$X$200,$G116)&gt;0,
     COUNTIFS($Y$2:$Y$200,$G116)&gt;0,
     COUNTIFS($Z$2:$Z$200,$G116)&gt;0,
     COUNTIFS($AA$2:$AA$200,$G116)&gt;0,
     COUNTIFS($AB$2:$AB$200,$G116)&gt;0,
     COUNTIFS($AC$2:$AC$200,$G116)&gt;0,
     COUNTIFS($AD$2:$AD$200,$G116)&gt;0,
     COUNTIFS($AE$2:$AE$200,$G116)&gt;0,
     COUNTIFS($AF$2:$AF$200,$G116)&gt;0,
     COUNTIFS($AG$2:$AG$200,$G116)&gt;0,
     COUNTIFS($AH$2:$AH$200,$G116)&gt;0,
     COUNTIFS($AI$2:$AI$200,$G116)&gt;0,
     COUNTIFS($AJ$2:$AJ$200,$G116)&gt;0,
     COUNTIFS($AK$2:$AK$200,$G116)&gt;0,
     COUNTIFS($AL$2:$AL$200,$G116)&gt;0,
     COUNTIFS($AM$2:$AM$200,$G116)&gt;0,
     COUNTIFS($AN$2:$AN$200,$G116)&gt;0,
     COUNTIFS($AO$2:$AO$200,$G116)&gt;0,
     COUNTIFS($AP$2:$AP$200,$G116)&gt;0,
     COUNTIFS($AQ$2:$AQ$200,$G116)&gt;0,
     COUNTIFS($AR$2:$AR$200,$G116)&gt;0,
     COUNTIFS($AS$2:$AS$200,$G116)&gt;0,
     COUNTIFS($AT$2:$AT$200,$G116)&gt;0,
     COUNTIFS($AU$2:$AU$200,$G116)&gt;0,
     COUNTIFS($AV$2:$AV$200,$G116)&gt;0,
     COUNTIFS($AW$2:$AW$200,$G116)&gt;0,
     COUNTIFS($AX$2:$AX$200,$G116)&gt;0
   )),
  ),
  2
 ),
"")</f>
        <v>Zimone</v>
      </c>
      <c r="E116" s="3" t="str" cm="1">
        <f t="array" aca="1" ref="E116" ca="1">IFERROR(
 INDEX(
  _xlfn._xlws.FILTER($U$1:$AX$1,
   TRANSPOSE(
    CHOOSE({1;2;3;4;5;6;7;8;9;10;11;12;13;14;15;16;17;18;19;20;21;22;23;24;25;26;27;28;29;30},
     COUNTIFS($U$2:$U$200,$G116)&gt;0,
     COUNTIFS($V$2:$V$200,$G116)&gt;0,
     COUNTIFS($W$2:$W$200,$G116)&gt;0,
     COUNTIFS($X$2:$X$200,$G116)&gt;0,
     COUNTIFS($Y$2:$Y$200,$G116)&gt;0,
     COUNTIFS($Z$2:$Z$200,$G116)&gt;0,
     COUNTIFS($AA$2:$AA$200,$G116)&gt;0,
     COUNTIFS($AB$2:$AB$200,$G116)&gt;0,
     COUNTIFS($AC$2:$AC$200,$G116)&gt;0,
     COUNTIFS($AD$2:$AD$200,$G116)&gt;0,
     COUNTIFS($AE$2:$AE$200,$G116)&gt;0,
     COUNTIFS($AF$2:$AF$200,$G116)&gt;0,
     COUNTIFS($AG$2:$AG$200,$G116)&gt;0,
     COUNTIFS($AH$2:$AH$200,$G116)&gt;0,
     COUNTIFS($AI$2:$AI$200,$G116)&gt;0,
     COUNTIFS($AJ$2:$AJ$200,$G116)&gt;0,
     COUNTIFS($AK$2:$AK$200,$G116)&gt;0,
     COUNTIFS($AL$2:$AL$200,$G116)&gt;0,
     COUNTIFS($AM$2:$AM$200,$G116)&gt;0,
     COUNTIFS($AN$2:$AN$200,$G116)&gt;0,
     COUNTIFS($AO$2:$AO$200,$G116)&gt;0,
     COUNTIFS($AP$2:$AP$200,$G116)&gt;0,
     COUNTIFS($AQ$2:$AQ$200,$G116)&gt;0,
     COUNTIFS($AR$2:$AR$200,$G116)&gt;0,
     COUNTIFS($AS$2:$AS$200,$G116)&gt;0,
     COUNTIFS($AT$2:$AT$200,$G116)&gt;0,
     COUNTIFS($AU$2:$AU$200,$G116)&gt;0,
     COUNTIFS($AV$2:$AV$200,$G116)&gt;0,
     COUNTIFS($AW$2:$AW$200,$G116)&gt;0,
     COUNTIFS($AX$2:$AX$200,$G116)&gt;0
   )),
  ),
  3
 ),
"")</f>
        <v/>
      </c>
      <c r="F116" s="3" t="str" cm="1">
        <f t="array" aca="1" ref="F116" ca="1">IFERROR(
 INDEX(
  _xlfn._xlws.FILTER($U$1:$AX$1,
   TRANSPOSE(
    CHOOSE({1;2;3;4;5;6;7;8;9;10;11;12;13;14;15;16;17;18;19;20;21;22;23;24;25;26;27;28;29;30},
     COUNTIFS($U$2:$U$200,$G116)&gt;0,
     COUNTIFS($V$2:$V$200,$G116)&gt;0,
     COUNTIFS($W$2:$W$200,$G116)&gt;0,
     COUNTIFS($X$2:$X$200,$G116)&gt;0,
     COUNTIFS($Y$2:$Y$200,$G116)&gt;0,
     COUNTIFS($Z$2:$Z$200,$G116)&gt;0,
     COUNTIFS($AA$2:$AA$200,$G116)&gt;0,
     COUNTIFS($AB$2:$AB$200,$G116)&gt;0,
     COUNTIFS($AC$2:$AC$200,$G116)&gt;0,
     COUNTIFS($AD$2:$AD$200,$G116)&gt;0,
     COUNTIFS($AE$2:$AE$200,$G116)&gt;0,
     COUNTIFS($AF$2:$AF$200,$G116)&gt;0,
     COUNTIFS($AG$2:$AG$200,$G116)&gt;0,
     COUNTIFS($AH$2:$AH$200,$G116)&gt;0,
     COUNTIFS($AI$2:$AI$200,$G116)&gt;0,
     COUNTIFS($AJ$2:$AJ$200,$G116)&gt;0,
     COUNTIFS($AK$2:$AK$200,$G116)&gt;0,
     COUNTIFS($AL$2:$AL$200,$G116)&gt;0,
     COUNTIFS($AM$2:$AM$200,$G116)&gt;0,
     COUNTIFS($AN$2:$AN$200,$G116)&gt;0,
     COUNTIFS($AO$2:$AO$200,$G116)&gt;0,
     COUNTIFS($AP$2:$AP$200,$G116)&gt;0,
     COUNTIFS($AQ$2:$AQ$200,$G116)&gt;0,
     COUNTIFS($AR$2:$AR$200,$G116)&gt;0,
     COUNTIFS($AS$2:$AS$200,$G116)&gt;0,
     COUNTIFS($AT$2:$AT$200,$G116)&gt;0,
     COUNTIFS($AU$2:$AU$200,$G116)&gt;0,
     COUNTIFS($AV$2:$AV$200,$G116)&gt;0,
     COUNTIFS($AW$2:$AW$200,$G116)&gt;0,
     COUNTIFS($AX$2:$AX$200,$G116)&gt;0
   )),
  ),
  4
 ),
"")</f>
        <v/>
      </c>
      <c r="G116" t="str">
        <f ca="1"/>
        <v>Fabled Passage</v>
      </c>
      <c r="BI116" t="str">
        <f ca="1"/>
        <v>Toph, the First Metalbender</v>
      </c>
      <c r="BO116" t="str">
        <f ca="1"/>
        <v>Purphoros, God of the Forge</v>
      </c>
      <c r="BR116" t="str">
        <f ca="1"/>
        <v>Sorin da Casa Markov</v>
      </c>
      <c r="BT116" t="str">
        <f ca="1"/>
        <v>Merrow Commerce</v>
      </c>
    </row>
    <row r="117" spans="1:72" x14ac:dyDescent="0.25">
      <c r="A117" s="3" t="str">
        <f t="shared" ca="1" si="4"/>
        <v>3</v>
      </c>
      <c r="B117" s="3">
        <f t="shared" ca="1" si="5"/>
        <v>1</v>
      </c>
      <c r="C117" s="3" t="str">
        <f ca="1">IFERROR(
 INDEX($U$1:$AX$1,
  MATCH(TRUE,
   CHOOSE({1;2;3;4;5;6;7;8;9;10;11;12;13;14;15;16;17;18;19;20;21;22;23;24;25;26;27;28;29;30;31;32},
    COUNTIFS($U$2:$U$200,$G117)&gt;0,
    COUNTIFS($V$2:$V$200,$G117)&gt;0,
    COUNTIFS($W$2:$W$200,$G117)&gt;0,
    COUNTIFS($X$2:$X$200,$G117)&gt;0,
    COUNTIFS($Y$2:$Y$200,$G117)&gt;0,
    COUNTIFS($Z$2:$Z$200,$G117)&gt;0,
    COUNTIFS($AA$2:$AA$200,$G117)&gt;0,
    COUNTIFS($AB$2:$AB$200,$G117)&gt;0,
    COUNTIFS($AC$2:$AC$200,$G117)&gt;0,
    COUNTIFS($AD$2:$AD$200,$G117)&gt;0,
    COUNTIFS($AE$2:$AE$200,$G117)&gt;0,
    COUNTIFS($AF$2:$AF$200,$G117)&gt;0,
    COUNTIFS($AG$2:$AG$200,$G117)&gt;0,
    COUNTIFS($AH$2:$AH$200,$G117)&gt;0,
    COUNTIFS($AI$2:$AI$200,$G117)&gt;0,
    COUNTIFS($AJ$2:$AJ$200,$G117)&gt;0,
    COUNTIFS($AK$2:$AK$200,$G117)&gt;0,
    COUNTIFS($AL$2:$AL$200,$G117)&gt;0,
    COUNTIFS($AM$2:$AM$200,$G117)&gt;0,
    COUNTIFS($AN$2:$AN$200,$G117)&gt;0,
    COUNTIFS($AO$2:$AO$200,$G117)&gt;0,
    COUNTIFS($AP$2:$AP$200,$G117)&gt;0,
    COUNTIFS($AQ$2:$AQ$200,$G117)&gt;0,
    COUNTIFS($AR$2:$AR$200,$G117)&gt;0,
    COUNTIFS($AS$2:$AS$200,$G117)&gt;0,
    COUNTIFS($AT$2:$AT$200,$G117)&gt;0,
    COUNTIFS($AU$2:$AU$200,$G117)&gt;0,
    COUNTIFS($AV$2:$AV$200,$G117)&gt;0,
    COUNTIFS($AW$2:$AW$200,$G117)&gt;0,
    COUNTIFS($AX$2:$AX$200,$G117)&gt;0
   ),
  0)
 ),
"")</f>
        <v>Yuriko</v>
      </c>
      <c r="D117" s="3" t="str" cm="1">
        <f t="array" aca="1" ref="D117" ca="1">IFERROR(
 INDEX(
  _xlfn._xlws.FILTER($U$1:$AX$1,
   TRANSPOSE(
    CHOOSE({1;2;3;4;5;6;7;8;9;10;11;12;13;14;15;16;17;18;19;20;21;22;23;24;25;26;27;28;29;30},
     COUNTIFS($U$2:$U$200,$G117)&gt;0,
     COUNTIFS($V$2:$V$200,$G117)&gt;0,
     COUNTIFS($W$2:$W$200,$G117)&gt;0,
     COUNTIFS($X$2:$X$200,$G117)&gt;0,
     COUNTIFS($Y$2:$Y$200,$G117)&gt;0,
     COUNTIFS($Z$2:$Z$200,$G117)&gt;0,
     COUNTIFS($AA$2:$AA$200,$G117)&gt;0,
     COUNTIFS($AB$2:$AB$200,$G117)&gt;0,
     COUNTIFS($AC$2:$AC$200,$G117)&gt;0,
     COUNTIFS($AD$2:$AD$200,$G117)&gt;0,
     COUNTIFS($AE$2:$AE$200,$G117)&gt;0,
     COUNTIFS($AF$2:$AF$200,$G117)&gt;0,
     COUNTIFS($AG$2:$AG$200,$G117)&gt;0,
     COUNTIFS($AH$2:$AH$200,$G117)&gt;0,
     COUNTIFS($AI$2:$AI$200,$G117)&gt;0,
     COUNTIFS($AJ$2:$AJ$200,$G117)&gt;0,
     COUNTIFS($AK$2:$AK$200,$G117)&gt;0,
     COUNTIFS($AL$2:$AL$200,$G117)&gt;0,
     COUNTIFS($AM$2:$AM$200,$G117)&gt;0,
     COUNTIFS($AN$2:$AN$200,$G117)&gt;0,
     COUNTIFS($AO$2:$AO$200,$G117)&gt;0,
     COUNTIFS($AP$2:$AP$200,$G117)&gt;0,
     COUNTIFS($AQ$2:$AQ$200,$G117)&gt;0,
     COUNTIFS($AR$2:$AR$200,$G117)&gt;0,
     COUNTIFS($AS$2:$AS$200,$G117)&gt;0,
     COUNTIFS($AT$2:$AT$200,$G117)&gt;0,
     COUNTIFS($AU$2:$AU$200,$G117)&gt;0,
     COUNTIFS($AV$2:$AV$200,$G117)&gt;0,
     COUNTIFS($AW$2:$AW$200,$G117)&gt;0,
     COUNTIFS($AX$2:$AX$200,$G117)&gt;0
   )),
  ),
  2
 ),
"")</f>
        <v/>
      </c>
      <c r="E117" s="3" t="str" cm="1">
        <f t="array" aca="1" ref="E117" ca="1">IFERROR(
 INDEX(
  _xlfn._xlws.FILTER($U$1:$AX$1,
   TRANSPOSE(
    CHOOSE({1;2;3;4;5;6;7;8;9;10;11;12;13;14;15;16;17;18;19;20;21;22;23;24;25;26;27;28;29;30},
     COUNTIFS($U$2:$U$200,$G117)&gt;0,
     COUNTIFS($V$2:$V$200,$G117)&gt;0,
     COUNTIFS($W$2:$W$200,$G117)&gt;0,
     COUNTIFS($X$2:$X$200,$G117)&gt;0,
     COUNTIFS($Y$2:$Y$200,$G117)&gt;0,
     COUNTIFS($Z$2:$Z$200,$G117)&gt;0,
     COUNTIFS($AA$2:$AA$200,$G117)&gt;0,
     COUNTIFS($AB$2:$AB$200,$G117)&gt;0,
     COUNTIFS($AC$2:$AC$200,$G117)&gt;0,
     COUNTIFS($AD$2:$AD$200,$G117)&gt;0,
     COUNTIFS($AE$2:$AE$200,$G117)&gt;0,
     COUNTIFS($AF$2:$AF$200,$G117)&gt;0,
     COUNTIFS($AG$2:$AG$200,$G117)&gt;0,
     COUNTIFS($AH$2:$AH$200,$G117)&gt;0,
     COUNTIFS($AI$2:$AI$200,$G117)&gt;0,
     COUNTIFS($AJ$2:$AJ$200,$G117)&gt;0,
     COUNTIFS($AK$2:$AK$200,$G117)&gt;0,
     COUNTIFS($AL$2:$AL$200,$G117)&gt;0,
     COUNTIFS($AM$2:$AM$200,$G117)&gt;0,
     COUNTIFS($AN$2:$AN$200,$G117)&gt;0,
     COUNTIFS($AO$2:$AO$200,$G117)&gt;0,
     COUNTIFS($AP$2:$AP$200,$G117)&gt;0,
     COUNTIFS($AQ$2:$AQ$200,$G117)&gt;0,
     COUNTIFS($AR$2:$AR$200,$G117)&gt;0,
     COUNTIFS($AS$2:$AS$200,$G117)&gt;0,
     COUNTIFS($AT$2:$AT$200,$G117)&gt;0,
     COUNTIFS($AU$2:$AU$200,$G117)&gt;0,
     COUNTIFS($AV$2:$AV$200,$G117)&gt;0,
     COUNTIFS($AW$2:$AW$200,$G117)&gt;0,
     COUNTIFS($AX$2:$AX$200,$G117)&gt;0
   )),
  ),
  3
 ),
"")</f>
        <v/>
      </c>
      <c r="F117" s="3" t="str" cm="1">
        <f t="array" aca="1" ref="F117" ca="1">IFERROR(
 INDEX(
  _xlfn._xlws.FILTER($U$1:$AX$1,
   TRANSPOSE(
    CHOOSE({1;2;3;4;5;6;7;8;9;10;11;12;13;14;15;16;17;18;19;20;21;22;23;24;25;26;27;28;29;30},
     COUNTIFS($U$2:$U$200,$G117)&gt;0,
     COUNTIFS($V$2:$V$200,$G117)&gt;0,
     COUNTIFS($W$2:$W$200,$G117)&gt;0,
     COUNTIFS($X$2:$X$200,$G117)&gt;0,
     COUNTIFS($Y$2:$Y$200,$G117)&gt;0,
     COUNTIFS($Z$2:$Z$200,$G117)&gt;0,
     COUNTIFS($AA$2:$AA$200,$G117)&gt;0,
     COUNTIFS($AB$2:$AB$200,$G117)&gt;0,
     COUNTIFS($AC$2:$AC$200,$G117)&gt;0,
     COUNTIFS($AD$2:$AD$200,$G117)&gt;0,
     COUNTIFS($AE$2:$AE$200,$G117)&gt;0,
     COUNTIFS($AF$2:$AF$200,$G117)&gt;0,
     COUNTIFS($AG$2:$AG$200,$G117)&gt;0,
     COUNTIFS($AH$2:$AH$200,$G117)&gt;0,
     COUNTIFS($AI$2:$AI$200,$G117)&gt;0,
     COUNTIFS($AJ$2:$AJ$200,$G117)&gt;0,
     COUNTIFS($AK$2:$AK$200,$G117)&gt;0,
     COUNTIFS($AL$2:$AL$200,$G117)&gt;0,
     COUNTIFS($AM$2:$AM$200,$G117)&gt;0,
     COUNTIFS($AN$2:$AN$200,$G117)&gt;0,
     COUNTIFS($AO$2:$AO$200,$G117)&gt;0,
     COUNTIFS($AP$2:$AP$200,$G117)&gt;0,
     COUNTIFS($AQ$2:$AQ$200,$G117)&gt;0,
     COUNTIFS($AR$2:$AR$200,$G117)&gt;0,
     COUNTIFS($AS$2:$AS$200,$G117)&gt;0,
     COUNTIFS($AT$2:$AT$200,$G117)&gt;0,
     COUNTIFS($AU$2:$AU$200,$G117)&gt;0,
     COUNTIFS($AV$2:$AV$200,$G117)&gt;0,
     COUNTIFS($AW$2:$AW$200,$G117)&gt;0,
     COUNTIFS($AX$2:$AX$200,$G117)&gt;0
   )),
  ),
  4
 ),
"")</f>
        <v/>
      </c>
      <c r="G117" t="str">
        <f ca="1"/>
        <v>Faerie Slumber Party</v>
      </c>
      <c r="BI117" t="str">
        <f ca="1"/>
        <v>Trading Post</v>
      </c>
      <c r="BO117" t="str">
        <f ca="1"/>
        <v>Reckless Fireweaver</v>
      </c>
      <c r="BR117" t="str">
        <f ca="1"/>
        <v>Sothera, the Supervoid</v>
      </c>
      <c r="BT117" t="str">
        <f ca="1"/>
        <v>Merrow Harbinger</v>
      </c>
    </row>
    <row r="118" spans="1:72" x14ac:dyDescent="0.25">
      <c r="A118" s="3" t="str">
        <f t="shared" ca="1" si="4"/>
        <v>1</v>
      </c>
      <c r="B118" s="3">
        <f t="shared" ca="1" si="5"/>
        <v>1</v>
      </c>
      <c r="C118" s="3" t="str">
        <f ca="1">IFERROR(
 INDEX($U$1:$AX$1,
  MATCH(TRUE,
   CHOOSE({1;2;3;4;5;6;7;8;9;10;11;12;13;14;15;16;17;18;19;20;21;22;23;24;25;26;27;28;29;30;31;32},
    COUNTIFS($U$2:$U$200,$G118)&gt;0,
    COUNTIFS($V$2:$V$200,$G118)&gt;0,
    COUNTIFS($W$2:$W$200,$G118)&gt;0,
    COUNTIFS($X$2:$X$200,$G118)&gt;0,
    COUNTIFS($Y$2:$Y$200,$G118)&gt;0,
    COUNTIFS($Z$2:$Z$200,$G118)&gt;0,
    COUNTIFS($AA$2:$AA$200,$G118)&gt;0,
    COUNTIFS($AB$2:$AB$200,$G118)&gt;0,
    COUNTIFS($AC$2:$AC$200,$G118)&gt;0,
    COUNTIFS($AD$2:$AD$200,$G118)&gt;0,
    COUNTIFS($AE$2:$AE$200,$G118)&gt;0,
    COUNTIFS($AF$2:$AF$200,$G118)&gt;0,
    COUNTIFS($AG$2:$AG$200,$G118)&gt;0,
    COUNTIFS($AH$2:$AH$200,$G118)&gt;0,
    COUNTIFS($AI$2:$AI$200,$G118)&gt;0,
    COUNTIFS($AJ$2:$AJ$200,$G118)&gt;0,
    COUNTIFS($AK$2:$AK$200,$G118)&gt;0,
    COUNTIFS($AL$2:$AL$200,$G118)&gt;0,
    COUNTIFS($AM$2:$AM$200,$G118)&gt;0,
    COUNTIFS($AN$2:$AN$200,$G118)&gt;0,
    COUNTIFS($AO$2:$AO$200,$G118)&gt;0,
    COUNTIFS($AP$2:$AP$200,$G118)&gt;0,
    COUNTIFS($AQ$2:$AQ$200,$G118)&gt;0,
    COUNTIFS($AR$2:$AR$200,$G118)&gt;0,
    COUNTIFS($AS$2:$AS$200,$G118)&gt;0,
    COUNTIFS($AT$2:$AT$200,$G118)&gt;0,
    COUNTIFS($AU$2:$AU$200,$G118)&gt;0,
    COUNTIFS($AV$2:$AV$200,$G118)&gt;0,
    COUNTIFS($AW$2:$AW$200,$G118)&gt;0,
    COUNTIFS($AX$2:$AX$200,$G118)&gt;0
   ),
  0)
 ),
"")</f>
        <v>Baylen</v>
      </c>
      <c r="D118" s="3" t="str" cm="1">
        <f t="array" aca="1" ref="D118" ca="1">IFERROR(
 INDEX(
  _xlfn._xlws.FILTER($U$1:$AX$1,
   TRANSPOSE(
    CHOOSE({1;2;3;4;5;6;7;8;9;10;11;12;13;14;15;16;17;18;19;20;21;22;23;24;25;26;27;28;29;30},
     COUNTIFS($U$2:$U$200,$G118)&gt;0,
     COUNTIFS($V$2:$V$200,$G118)&gt;0,
     COUNTIFS($W$2:$W$200,$G118)&gt;0,
     COUNTIFS($X$2:$X$200,$G118)&gt;0,
     COUNTIFS($Y$2:$Y$200,$G118)&gt;0,
     COUNTIFS($Z$2:$Z$200,$G118)&gt;0,
     COUNTIFS($AA$2:$AA$200,$G118)&gt;0,
     COUNTIFS($AB$2:$AB$200,$G118)&gt;0,
     COUNTIFS($AC$2:$AC$200,$G118)&gt;0,
     COUNTIFS($AD$2:$AD$200,$G118)&gt;0,
     COUNTIFS($AE$2:$AE$200,$G118)&gt;0,
     COUNTIFS($AF$2:$AF$200,$G118)&gt;0,
     COUNTIFS($AG$2:$AG$200,$G118)&gt;0,
     COUNTIFS($AH$2:$AH$200,$G118)&gt;0,
     COUNTIFS($AI$2:$AI$200,$G118)&gt;0,
     COUNTIFS($AJ$2:$AJ$200,$G118)&gt;0,
     COUNTIFS($AK$2:$AK$200,$G118)&gt;0,
     COUNTIFS($AL$2:$AL$200,$G118)&gt;0,
     COUNTIFS($AM$2:$AM$200,$G118)&gt;0,
     COUNTIFS($AN$2:$AN$200,$G118)&gt;0,
     COUNTIFS($AO$2:$AO$200,$G118)&gt;0,
     COUNTIFS($AP$2:$AP$200,$G118)&gt;0,
     COUNTIFS($AQ$2:$AQ$200,$G118)&gt;0,
     COUNTIFS($AR$2:$AR$200,$G118)&gt;0,
     COUNTIFS($AS$2:$AS$200,$G118)&gt;0,
     COUNTIFS($AT$2:$AT$200,$G118)&gt;0,
     COUNTIFS($AU$2:$AU$200,$G118)&gt;0,
     COUNTIFS($AV$2:$AV$200,$G118)&gt;0,
     COUNTIFS($AW$2:$AW$200,$G118)&gt;0,
     COUNTIFS($AX$2:$AX$200,$G118)&gt;0
   )),
  ),
  2
 ),
"")</f>
        <v/>
      </c>
      <c r="E118" s="3" t="str" cm="1">
        <f t="array" aca="1" ref="E118" ca="1">IFERROR(
 INDEX(
  _xlfn._xlws.FILTER($U$1:$AX$1,
   TRANSPOSE(
    CHOOSE({1;2;3;4;5;6;7;8;9;10;11;12;13;14;15;16;17;18;19;20;21;22;23;24;25;26;27;28;29;30},
     COUNTIFS($U$2:$U$200,$G118)&gt;0,
     COUNTIFS($V$2:$V$200,$G118)&gt;0,
     COUNTIFS($W$2:$W$200,$G118)&gt;0,
     COUNTIFS($X$2:$X$200,$G118)&gt;0,
     COUNTIFS($Y$2:$Y$200,$G118)&gt;0,
     COUNTIFS($Z$2:$Z$200,$G118)&gt;0,
     COUNTIFS($AA$2:$AA$200,$G118)&gt;0,
     COUNTIFS($AB$2:$AB$200,$G118)&gt;0,
     COUNTIFS($AC$2:$AC$200,$G118)&gt;0,
     COUNTIFS($AD$2:$AD$200,$G118)&gt;0,
     COUNTIFS($AE$2:$AE$200,$G118)&gt;0,
     COUNTIFS($AF$2:$AF$200,$G118)&gt;0,
     COUNTIFS($AG$2:$AG$200,$G118)&gt;0,
     COUNTIFS($AH$2:$AH$200,$G118)&gt;0,
     COUNTIFS($AI$2:$AI$200,$G118)&gt;0,
     COUNTIFS($AJ$2:$AJ$200,$G118)&gt;0,
     COUNTIFS($AK$2:$AK$200,$G118)&gt;0,
     COUNTIFS($AL$2:$AL$200,$G118)&gt;0,
     COUNTIFS($AM$2:$AM$200,$G118)&gt;0,
     COUNTIFS($AN$2:$AN$200,$G118)&gt;0,
     COUNTIFS($AO$2:$AO$200,$G118)&gt;0,
     COUNTIFS($AP$2:$AP$200,$G118)&gt;0,
     COUNTIFS($AQ$2:$AQ$200,$G118)&gt;0,
     COUNTIFS($AR$2:$AR$200,$G118)&gt;0,
     COUNTIFS($AS$2:$AS$200,$G118)&gt;0,
     COUNTIFS($AT$2:$AT$200,$G118)&gt;0,
     COUNTIFS($AU$2:$AU$200,$G118)&gt;0,
     COUNTIFS($AV$2:$AV$200,$G118)&gt;0,
     COUNTIFS($AW$2:$AW$200,$G118)&gt;0,
     COUNTIFS($AX$2:$AX$200,$G118)&gt;0
   )),
  ),
  3
 ),
"")</f>
        <v/>
      </c>
      <c r="F118" s="3" t="str" cm="1">
        <f t="array" aca="1" ref="F118" ca="1">IFERROR(
 INDEX(
  _xlfn._xlws.FILTER($U$1:$AX$1,
   TRANSPOSE(
    CHOOSE({1;2;3;4;5;6;7;8;9;10;11;12;13;14;15;16;17;18;19;20;21;22;23;24;25;26;27;28;29;30},
     COUNTIFS($U$2:$U$200,$G118)&gt;0,
     COUNTIFS($V$2:$V$200,$G118)&gt;0,
     COUNTIFS($W$2:$W$200,$G118)&gt;0,
     COUNTIFS($X$2:$X$200,$G118)&gt;0,
     COUNTIFS($Y$2:$Y$200,$G118)&gt;0,
     COUNTIFS($Z$2:$Z$200,$G118)&gt;0,
     COUNTIFS($AA$2:$AA$200,$G118)&gt;0,
     COUNTIFS($AB$2:$AB$200,$G118)&gt;0,
     COUNTIFS($AC$2:$AC$200,$G118)&gt;0,
     COUNTIFS($AD$2:$AD$200,$G118)&gt;0,
     COUNTIFS($AE$2:$AE$200,$G118)&gt;0,
     COUNTIFS($AF$2:$AF$200,$G118)&gt;0,
     COUNTIFS($AG$2:$AG$200,$G118)&gt;0,
     COUNTIFS($AH$2:$AH$200,$G118)&gt;0,
     COUNTIFS($AI$2:$AI$200,$G118)&gt;0,
     COUNTIFS($AJ$2:$AJ$200,$G118)&gt;0,
     COUNTIFS($AK$2:$AK$200,$G118)&gt;0,
     COUNTIFS($AL$2:$AL$200,$G118)&gt;0,
     COUNTIFS($AM$2:$AM$200,$G118)&gt;0,
     COUNTIFS($AN$2:$AN$200,$G118)&gt;0,
     COUNTIFS($AO$2:$AO$200,$G118)&gt;0,
     COUNTIFS($AP$2:$AP$200,$G118)&gt;0,
     COUNTIFS($AQ$2:$AQ$200,$G118)&gt;0,
     COUNTIFS($AR$2:$AR$200,$G118)&gt;0,
     COUNTIFS($AS$2:$AS$200,$G118)&gt;0,
     COUNTIFS($AT$2:$AT$200,$G118)&gt;0,
     COUNTIFS($AU$2:$AU$200,$G118)&gt;0,
     COUNTIFS($AV$2:$AV$200,$G118)&gt;0,
     COUNTIFS($AW$2:$AW$200,$G118)&gt;0,
     COUNTIFS($AX$2:$AX$200,$G118)&gt;0
   )),
  ),
  4
 ),
"")</f>
        <v/>
      </c>
      <c r="G118" t="str">
        <f ca="1"/>
        <v>Farmer Cotton</v>
      </c>
      <c r="BI118" t="str">
        <f ca="1"/>
        <v>Treasure Vault</v>
      </c>
      <c r="BO118" t="str">
        <f ca="1"/>
        <v>Reliquary Tower</v>
      </c>
      <c r="BR118" t="str">
        <f ca="1"/>
        <v>Spark Double</v>
      </c>
      <c r="BT118" t="str">
        <f ca="1"/>
        <v>Mirrex</v>
      </c>
    </row>
    <row r="119" spans="1:72" x14ac:dyDescent="0.25">
      <c r="A119" s="3" t="str">
        <f t="shared" ca="1" si="4"/>
        <v>1</v>
      </c>
      <c r="B119" s="3">
        <f t="shared" ca="1" si="5"/>
        <v>1</v>
      </c>
      <c r="C119" s="3" t="str">
        <f ca="1">IFERROR(
 INDEX($U$1:$AX$1,
  MATCH(TRUE,
   CHOOSE({1;2;3;4;5;6;7;8;9;10;11;12;13;14;15;16;17;18;19;20;21;22;23;24;25;26;27;28;29;30;31;32},
    COUNTIFS($U$2:$U$200,$G119)&gt;0,
    COUNTIFS($V$2:$V$200,$G119)&gt;0,
    COUNTIFS($W$2:$W$200,$G119)&gt;0,
    COUNTIFS($X$2:$X$200,$G119)&gt;0,
    COUNTIFS($Y$2:$Y$200,$G119)&gt;0,
    COUNTIFS($Z$2:$Z$200,$G119)&gt;0,
    COUNTIFS($AA$2:$AA$200,$G119)&gt;0,
    COUNTIFS($AB$2:$AB$200,$G119)&gt;0,
    COUNTIFS($AC$2:$AC$200,$G119)&gt;0,
    COUNTIFS($AD$2:$AD$200,$G119)&gt;0,
    COUNTIFS($AE$2:$AE$200,$G119)&gt;0,
    COUNTIFS($AF$2:$AF$200,$G119)&gt;0,
    COUNTIFS($AG$2:$AG$200,$G119)&gt;0,
    COUNTIFS($AH$2:$AH$200,$G119)&gt;0,
    COUNTIFS($AI$2:$AI$200,$G119)&gt;0,
    COUNTIFS($AJ$2:$AJ$200,$G119)&gt;0,
    COUNTIFS($AK$2:$AK$200,$G119)&gt;0,
    COUNTIFS($AL$2:$AL$200,$G119)&gt;0,
    COUNTIFS($AM$2:$AM$200,$G119)&gt;0,
    COUNTIFS($AN$2:$AN$200,$G119)&gt;0,
    COUNTIFS($AO$2:$AO$200,$G119)&gt;0,
    COUNTIFS($AP$2:$AP$200,$G119)&gt;0,
    COUNTIFS($AQ$2:$AQ$200,$G119)&gt;0,
    COUNTIFS($AR$2:$AR$200,$G119)&gt;0,
    COUNTIFS($AS$2:$AS$200,$G119)&gt;0,
    COUNTIFS($AT$2:$AT$200,$G119)&gt;0,
    COUNTIFS($AU$2:$AU$200,$G119)&gt;0,
    COUNTIFS($AV$2:$AV$200,$G119)&gt;0,
    COUNTIFS($AW$2:$AW$200,$G119)&gt;0,
    COUNTIFS($AX$2:$AX$200,$G119)&gt;0
   ),
  0)
 ),
"")</f>
        <v>Baylen</v>
      </c>
      <c r="D119" s="3" t="str" cm="1">
        <f t="array" aca="1" ref="D119" ca="1">IFERROR(
 INDEX(
  _xlfn._xlws.FILTER($U$1:$AX$1,
   TRANSPOSE(
    CHOOSE({1;2;3;4;5;6;7;8;9;10;11;12;13;14;15;16;17;18;19;20;21;22;23;24;25;26;27;28;29;30},
     COUNTIFS($U$2:$U$200,$G119)&gt;0,
     COUNTIFS($V$2:$V$200,$G119)&gt;0,
     COUNTIFS($W$2:$W$200,$G119)&gt;0,
     COUNTIFS($X$2:$X$200,$G119)&gt;0,
     COUNTIFS($Y$2:$Y$200,$G119)&gt;0,
     COUNTIFS($Z$2:$Z$200,$G119)&gt;0,
     COUNTIFS($AA$2:$AA$200,$G119)&gt;0,
     COUNTIFS($AB$2:$AB$200,$G119)&gt;0,
     COUNTIFS($AC$2:$AC$200,$G119)&gt;0,
     COUNTIFS($AD$2:$AD$200,$G119)&gt;0,
     COUNTIFS($AE$2:$AE$200,$G119)&gt;0,
     COUNTIFS($AF$2:$AF$200,$G119)&gt;0,
     COUNTIFS($AG$2:$AG$200,$G119)&gt;0,
     COUNTIFS($AH$2:$AH$200,$G119)&gt;0,
     COUNTIFS($AI$2:$AI$200,$G119)&gt;0,
     COUNTIFS($AJ$2:$AJ$200,$G119)&gt;0,
     COUNTIFS($AK$2:$AK$200,$G119)&gt;0,
     COUNTIFS($AL$2:$AL$200,$G119)&gt;0,
     COUNTIFS($AM$2:$AM$200,$G119)&gt;0,
     COUNTIFS($AN$2:$AN$200,$G119)&gt;0,
     COUNTIFS($AO$2:$AO$200,$G119)&gt;0,
     COUNTIFS($AP$2:$AP$200,$G119)&gt;0,
     COUNTIFS($AQ$2:$AQ$200,$G119)&gt;0,
     COUNTIFS($AR$2:$AR$200,$G119)&gt;0,
     COUNTIFS($AS$2:$AS$200,$G119)&gt;0,
     COUNTIFS($AT$2:$AT$200,$G119)&gt;0,
     COUNTIFS($AU$2:$AU$200,$G119)&gt;0,
     COUNTIFS($AV$2:$AV$200,$G119)&gt;0,
     COUNTIFS($AW$2:$AW$200,$G119)&gt;0,
     COUNTIFS($AX$2:$AX$200,$G119)&gt;0
   )),
  ),
  2
 ),
"")</f>
        <v/>
      </c>
      <c r="E119" s="3" t="str" cm="1">
        <f t="array" aca="1" ref="E119" ca="1">IFERROR(
 INDEX(
  _xlfn._xlws.FILTER($U$1:$AX$1,
   TRANSPOSE(
    CHOOSE({1;2;3;4;5;6;7;8;9;10;11;12;13;14;15;16;17;18;19;20;21;22;23;24;25;26;27;28;29;30},
     COUNTIFS($U$2:$U$200,$G119)&gt;0,
     COUNTIFS($V$2:$V$200,$G119)&gt;0,
     COUNTIFS($W$2:$W$200,$G119)&gt;0,
     COUNTIFS($X$2:$X$200,$G119)&gt;0,
     COUNTIFS($Y$2:$Y$200,$G119)&gt;0,
     COUNTIFS($Z$2:$Z$200,$G119)&gt;0,
     COUNTIFS($AA$2:$AA$200,$G119)&gt;0,
     COUNTIFS($AB$2:$AB$200,$G119)&gt;0,
     COUNTIFS($AC$2:$AC$200,$G119)&gt;0,
     COUNTIFS($AD$2:$AD$200,$G119)&gt;0,
     COUNTIFS($AE$2:$AE$200,$G119)&gt;0,
     COUNTIFS($AF$2:$AF$200,$G119)&gt;0,
     COUNTIFS($AG$2:$AG$200,$G119)&gt;0,
     COUNTIFS($AH$2:$AH$200,$G119)&gt;0,
     COUNTIFS($AI$2:$AI$200,$G119)&gt;0,
     COUNTIFS($AJ$2:$AJ$200,$G119)&gt;0,
     COUNTIFS($AK$2:$AK$200,$G119)&gt;0,
     COUNTIFS($AL$2:$AL$200,$G119)&gt;0,
     COUNTIFS($AM$2:$AM$200,$G119)&gt;0,
     COUNTIFS($AN$2:$AN$200,$G119)&gt;0,
     COUNTIFS($AO$2:$AO$200,$G119)&gt;0,
     COUNTIFS($AP$2:$AP$200,$G119)&gt;0,
     COUNTIFS($AQ$2:$AQ$200,$G119)&gt;0,
     COUNTIFS($AR$2:$AR$200,$G119)&gt;0,
     COUNTIFS($AS$2:$AS$200,$G119)&gt;0,
     COUNTIFS($AT$2:$AT$200,$G119)&gt;0,
     COUNTIFS($AU$2:$AU$200,$G119)&gt;0,
     COUNTIFS($AV$2:$AV$200,$G119)&gt;0,
     COUNTIFS($AW$2:$AW$200,$G119)&gt;0,
     COUNTIFS($AX$2:$AX$200,$G119)&gt;0
   )),
  ),
  3
 ),
"")</f>
        <v/>
      </c>
      <c r="F119" s="3" t="str" cm="1">
        <f t="array" aca="1" ref="F119" ca="1">IFERROR(
 INDEX(
  _xlfn._xlws.FILTER($U$1:$AX$1,
   TRANSPOSE(
    CHOOSE({1;2;3;4;5;6;7;8;9;10;11;12;13;14;15;16;17;18;19;20;21;22;23;24;25;26;27;28;29;30},
     COUNTIFS($U$2:$U$200,$G119)&gt;0,
     COUNTIFS($V$2:$V$200,$G119)&gt;0,
     COUNTIFS($W$2:$W$200,$G119)&gt;0,
     COUNTIFS($X$2:$X$200,$G119)&gt;0,
     COUNTIFS($Y$2:$Y$200,$G119)&gt;0,
     COUNTIFS($Z$2:$Z$200,$G119)&gt;0,
     COUNTIFS($AA$2:$AA$200,$G119)&gt;0,
     COUNTIFS($AB$2:$AB$200,$G119)&gt;0,
     COUNTIFS($AC$2:$AC$200,$G119)&gt;0,
     COUNTIFS($AD$2:$AD$200,$G119)&gt;0,
     COUNTIFS($AE$2:$AE$200,$G119)&gt;0,
     COUNTIFS($AF$2:$AF$200,$G119)&gt;0,
     COUNTIFS($AG$2:$AG$200,$G119)&gt;0,
     COUNTIFS($AH$2:$AH$200,$G119)&gt;0,
     COUNTIFS($AI$2:$AI$200,$G119)&gt;0,
     COUNTIFS($AJ$2:$AJ$200,$G119)&gt;0,
     COUNTIFS($AK$2:$AK$200,$G119)&gt;0,
     COUNTIFS($AL$2:$AL$200,$G119)&gt;0,
     COUNTIFS($AM$2:$AM$200,$G119)&gt;0,
     COUNTIFS($AN$2:$AN$200,$G119)&gt;0,
     COUNTIFS($AO$2:$AO$200,$G119)&gt;0,
     COUNTIFS($AP$2:$AP$200,$G119)&gt;0,
     COUNTIFS($AQ$2:$AQ$200,$G119)&gt;0,
     COUNTIFS($AR$2:$AR$200,$G119)&gt;0,
     COUNTIFS($AS$2:$AS$200,$G119)&gt;0,
     COUNTIFS($AT$2:$AT$200,$G119)&gt;0,
     COUNTIFS($AU$2:$AU$200,$G119)&gt;0,
     COUNTIFS($AV$2:$AV$200,$G119)&gt;0,
     COUNTIFS($AW$2:$AW$200,$G119)&gt;0,
     COUNTIFS($AX$2:$AX$200,$G119)&gt;0
   )),
  ),
  4
 ),
"")</f>
        <v/>
      </c>
      <c r="G119" t="str">
        <f ca="1"/>
        <v>Farseek</v>
      </c>
      <c r="BI119" t="str">
        <f ca="1"/>
        <v>Tree of Tales</v>
      </c>
      <c r="BO119" t="str">
        <f ca="1"/>
        <v>Resourceful Defense</v>
      </c>
      <c r="BR119" t="str">
        <f ca="1"/>
        <v>Spectator Seating</v>
      </c>
      <c r="BT119" t="str">
        <f ca="1"/>
        <v>Mistbind Clique</v>
      </c>
    </row>
    <row r="120" spans="1:72" x14ac:dyDescent="0.25">
      <c r="A120" s="3" t="str">
        <f t="shared" ca="1" si="4"/>
        <v>2</v>
      </c>
      <c r="B120" s="3">
        <f t="shared" ca="1" si="5"/>
        <v>1</v>
      </c>
      <c r="C120" s="3" t="str">
        <f ca="1">IFERROR(
 INDEX($U$1:$AX$1,
  MATCH(TRUE,
   CHOOSE({1;2;3;4;5;6;7;8;9;10;11;12;13;14;15;16;17;18;19;20;21;22;23;24;25;26;27;28;29;30;31;32},
    COUNTIFS($U$2:$U$200,$G120)&gt;0,
    COUNTIFS($V$2:$V$200,$G120)&gt;0,
    COUNTIFS($W$2:$W$200,$G120)&gt;0,
    COUNTIFS($X$2:$X$200,$G120)&gt;0,
    COUNTIFS($Y$2:$Y$200,$G120)&gt;0,
    COUNTIFS($Z$2:$Z$200,$G120)&gt;0,
    COUNTIFS($AA$2:$AA$200,$G120)&gt;0,
    COUNTIFS($AB$2:$AB$200,$G120)&gt;0,
    COUNTIFS($AC$2:$AC$200,$G120)&gt;0,
    COUNTIFS($AD$2:$AD$200,$G120)&gt;0,
    COUNTIFS($AE$2:$AE$200,$G120)&gt;0,
    COUNTIFS($AF$2:$AF$200,$G120)&gt;0,
    COUNTIFS($AG$2:$AG$200,$G120)&gt;0,
    COUNTIFS($AH$2:$AH$200,$G120)&gt;0,
    COUNTIFS($AI$2:$AI$200,$G120)&gt;0,
    COUNTIFS($AJ$2:$AJ$200,$G120)&gt;0,
    COUNTIFS($AK$2:$AK$200,$G120)&gt;0,
    COUNTIFS($AL$2:$AL$200,$G120)&gt;0,
    COUNTIFS($AM$2:$AM$200,$G120)&gt;0,
    COUNTIFS($AN$2:$AN$200,$G120)&gt;0,
    COUNTIFS($AO$2:$AO$200,$G120)&gt;0,
    COUNTIFS($AP$2:$AP$200,$G120)&gt;0,
    COUNTIFS($AQ$2:$AQ$200,$G120)&gt;0,
    COUNTIFS($AR$2:$AR$200,$G120)&gt;0,
    COUNTIFS($AS$2:$AS$200,$G120)&gt;0,
    COUNTIFS($AT$2:$AT$200,$G120)&gt;0,
    COUNTIFS($AU$2:$AU$200,$G120)&gt;0,
    COUNTIFS($AV$2:$AV$200,$G120)&gt;0,
    COUNTIFS($AW$2:$AW$200,$G120)&gt;0,
    COUNTIFS($AX$2:$AX$200,$G120)&gt;0
   ),
  0)
 ),
"")</f>
        <v>Rani</v>
      </c>
      <c r="D120" s="3" t="str" cm="1">
        <f t="array" aca="1" ref="D120" ca="1">IFERROR(
 INDEX(
  _xlfn._xlws.FILTER($U$1:$AX$1,
   TRANSPOSE(
    CHOOSE({1;2;3;4;5;6;7;8;9;10;11;12;13;14;15;16;17;18;19;20;21;22;23;24;25;26;27;28;29;30},
     COUNTIFS($U$2:$U$200,$G120)&gt;0,
     COUNTIFS($V$2:$V$200,$G120)&gt;0,
     COUNTIFS($W$2:$W$200,$G120)&gt;0,
     COUNTIFS($X$2:$X$200,$G120)&gt;0,
     COUNTIFS($Y$2:$Y$200,$G120)&gt;0,
     COUNTIFS($Z$2:$Z$200,$G120)&gt;0,
     COUNTIFS($AA$2:$AA$200,$G120)&gt;0,
     COUNTIFS($AB$2:$AB$200,$G120)&gt;0,
     COUNTIFS($AC$2:$AC$200,$G120)&gt;0,
     COUNTIFS($AD$2:$AD$200,$G120)&gt;0,
     COUNTIFS($AE$2:$AE$200,$G120)&gt;0,
     COUNTIFS($AF$2:$AF$200,$G120)&gt;0,
     COUNTIFS($AG$2:$AG$200,$G120)&gt;0,
     COUNTIFS($AH$2:$AH$200,$G120)&gt;0,
     COUNTIFS($AI$2:$AI$200,$G120)&gt;0,
     COUNTIFS($AJ$2:$AJ$200,$G120)&gt;0,
     COUNTIFS($AK$2:$AK$200,$G120)&gt;0,
     COUNTIFS($AL$2:$AL$200,$G120)&gt;0,
     COUNTIFS($AM$2:$AM$200,$G120)&gt;0,
     COUNTIFS($AN$2:$AN$200,$G120)&gt;0,
     COUNTIFS($AO$2:$AO$200,$G120)&gt;0,
     COUNTIFS($AP$2:$AP$200,$G120)&gt;0,
     COUNTIFS($AQ$2:$AQ$200,$G120)&gt;0,
     COUNTIFS($AR$2:$AR$200,$G120)&gt;0,
     COUNTIFS($AS$2:$AS$200,$G120)&gt;0,
     COUNTIFS($AT$2:$AT$200,$G120)&gt;0,
     COUNTIFS($AU$2:$AU$200,$G120)&gt;0,
     COUNTIFS($AV$2:$AV$200,$G120)&gt;0,
     COUNTIFS($AW$2:$AW$200,$G120)&gt;0,
     COUNTIFS($AX$2:$AX$200,$G120)&gt;0
   )),
  ),
  2
 ),
"")</f>
        <v/>
      </c>
      <c r="E120" s="3" t="str" cm="1">
        <f t="array" aca="1" ref="E120" ca="1">IFERROR(
 INDEX(
  _xlfn._xlws.FILTER($U$1:$AX$1,
   TRANSPOSE(
    CHOOSE({1;2;3;4;5;6;7;8;9;10;11;12;13;14;15;16;17;18;19;20;21;22;23;24;25;26;27;28;29;30},
     COUNTIFS($U$2:$U$200,$G120)&gt;0,
     COUNTIFS($V$2:$V$200,$G120)&gt;0,
     COUNTIFS($W$2:$W$200,$G120)&gt;0,
     COUNTIFS($X$2:$X$200,$G120)&gt;0,
     COUNTIFS($Y$2:$Y$200,$G120)&gt;0,
     COUNTIFS($Z$2:$Z$200,$G120)&gt;0,
     COUNTIFS($AA$2:$AA$200,$G120)&gt;0,
     COUNTIFS($AB$2:$AB$200,$G120)&gt;0,
     COUNTIFS($AC$2:$AC$200,$G120)&gt;0,
     COUNTIFS($AD$2:$AD$200,$G120)&gt;0,
     COUNTIFS($AE$2:$AE$200,$G120)&gt;0,
     COUNTIFS($AF$2:$AF$200,$G120)&gt;0,
     COUNTIFS($AG$2:$AG$200,$G120)&gt;0,
     COUNTIFS($AH$2:$AH$200,$G120)&gt;0,
     COUNTIFS($AI$2:$AI$200,$G120)&gt;0,
     COUNTIFS($AJ$2:$AJ$200,$G120)&gt;0,
     COUNTIFS($AK$2:$AK$200,$G120)&gt;0,
     COUNTIFS($AL$2:$AL$200,$G120)&gt;0,
     COUNTIFS($AM$2:$AM$200,$G120)&gt;0,
     COUNTIFS($AN$2:$AN$200,$G120)&gt;0,
     COUNTIFS($AO$2:$AO$200,$G120)&gt;0,
     COUNTIFS($AP$2:$AP$200,$G120)&gt;0,
     COUNTIFS($AQ$2:$AQ$200,$G120)&gt;0,
     COUNTIFS($AR$2:$AR$200,$G120)&gt;0,
     COUNTIFS($AS$2:$AS$200,$G120)&gt;0,
     COUNTIFS($AT$2:$AT$200,$G120)&gt;0,
     COUNTIFS($AU$2:$AU$200,$G120)&gt;0,
     COUNTIFS($AV$2:$AV$200,$G120)&gt;0,
     COUNTIFS($AW$2:$AW$200,$G120)&gt;0,
     COUNTIFS($AX$2:$AX$200,$G120)&gt;0
   )),
  ),
  3
 ),
"")</f>
        <v/>
      </c>
      <c r="F120" s="3" t="str" cm="1">
        <f t="array" aca="1" ref="F120" ca="1">IFERROR(
 INDEX(
  _xlfn._xlws.FILTER($U$1:$AX$1,
   TRANSPOSE(
    CHOOSE({1;2;3;4;5;6;7;8;9;10;11;12;13;14;15;16;17;18;19;20;21;22;23;24;25;26;27;28;29;30},
     COUNTIFS($U$2:$U$200,$G120)&gt;0,
     COUNTIFS($V$2:$V$200,$G120)&gt;0,
     COUNTIFS($W$2:$W$200,$G120)&gt;0,
     COUNTIFS($X$2:$X$200,$G120)&gt;0,
     COUNTIFS($Y$2:$Y$200,$G120)&gt;0,
     COUNTIFS($Z$2:$Z$200,$G120)&gt;0,
     COUNTIFS($AA$2:$AA$200,$G120)&gt;0,
     COUNTIFS($AB$2:$AB$200,$G120)&gt;0,
     COUNTIFS($AC$2:$AC$200,$G120)&gt;0,
     COUNTIFS($AD$2:$AD$200,$G120)&gt;0,
     COUNTIFS($AE$2:$AE$200,$G120)&gt;0,
     COUNTIFS($AF$2:$AF$200,$G120)&gt;0,
     COUNTIFS($AG$2:$AG$200,$G120)&gt;0,
     COUNTIFS($AH$2:$AH$200,$G120)&gt;0,
     COUNTIFS($AI$2:$AI$200,$G120)&gt;0,
     COUNTIFS($AJ$2:$AJ$200,$G120)&gt;0,
     COUNTIFS($AK$2:$AK$200,$G120)&gt;0,
     COUNTIFS($AL$2:$AL$200,$G120)&gt;0,
     COUNTIFS($AM$2:$AM$200,$G120)&gt;0,
     COUNTIFS($AN$2:$AN$200,$G120)&gt;0,
     COUNTIFS($AO$2:$AO$200,$G120)&gt;0,
     COUNTIFS($AP$2:$AP$200,$G120)&gt;0,
     COUNTIFS($AQ$2:$AQ$200,$G120)&gt;0,
     COUNTIFS($AR$2:$AR$200,$G120)&gt;0,
     COUNTIFS($AS$2:$AS$200,$G120)&gt;0,
     COUNTIFS($AT$2:$AT$200,$G120)&gt;0,
     COUNTIFS($AU$2:$AU$200,$G120)&gt;0,
     COUNTIFS($AV$2:$AV$200,$G120)&gt;0,
     COUNTIFS($AW$2:$AW$200,$G120)&gt;0,
     COUNTIFS($AX$2:$AX$200,$G120)&gt;0
   )),
  ),
  4
 ),
"")</f>
        <v/>
      </c>
      <c r="G120" t="str">
        <f ca="1"/>
        <v>Fellwar Stone</v>
      </c>
      <c r="BI120" t="str">
        <f ca="1"/>
        <v>Walking Ballista</v>
      </c>
      <c r="BO120" t="str">
        <f ca="1"/>
        <v>Retribution of the Ancients</v>
      </c>
      <c r="BR120" t="str">
        <f ca="1"/>
        <v>Stoneforge Mystic</v>
      </c>
      <c r="BT120" t="str">
        <f ca="1"/>
        <v>Mistrise Village</v>
      </c>
    </row>
    <row r="121" spans="1:72" x14ac:dyDescent="0.25">
      <c r="A121" s="3" t="str">
        <f t="shared" ca="1" si="4"/>
        <v>1</v>
      </c>
      <c r="B121" s="3">
        <f t="shared" ca="1" si="5"/>
        <v>1</v>
      </c>
      <c r="C121" s="3" t="str">
        <f ca="1">IFERROR(
 INDEX($U$1:$AX$1,
  MATCH(TRUE,
   CHOOSE({1;2;3;4;5;6;7;8;9;10;11;12;13;14;15;16;17;18;19;20;21;22;23;24;25;26;27;28;29;30;31;32},
    COUNTIFS($U$2:$U$200,$G121)&gt;0,
    COUNTIFS($V$2:$V$200,$G121)&gt;0,
    COUNTIFS($W$2:$W$200,$G121)&gt;0,
    COUNTIFS($X$2:$X$200,$G121)&gt;0,
    COUNTIFS($Y$2:$Y$200,$G121)&gt;0,
    COUNTIFS($Z$2:$Z$200,$G121)&gt;0,
    COUNTIFS($AA$2:$AA$200,$G121)&gt;0,
    COUNTIFS($AB$2:$AB$200,$G121)&gt;0,
    COUNTIFS($AC$2:$AC$200,$G121)&gt;0,
    COUNTIFS($AD$2:$AD$200,$G121)&gt;0,
    COUNTIFS($AE$2:$AE$200,$G121)&gt;0,
    COUNTIFS($AF$2:$AF$200,$G121)&gt;0,
    COUNTIFS($AG$2:$AG$200,$G121)&gt;0,
    COUNTIFS($AH$2:$AH$200,$G121)&gt;0,
    COUNTIFS($AI$2:$AI$200,$G121)&gt;0,
    COUNTIFS($AJ$2:$AJ$200,$G121)&gt;0,
    COUNTIFS($AK$2:$AK$200,$G121)&gt;0,
    COUNTIFS($AL$2:$AL$200,$G121)&gt;0,
    COUNTIFS($AM$2:$AM$200,$G121)&gt;0,
    COUNTIFS($AN$2:$AN$200,$G121)&gt;0,
    COUNTIFS($AO$2:$AO$200,$G121)&gt;0,
    COUNTIFS($AP$2:$AP$200,$G121)&gt;0,
    COUNTIFS($AQ$2:$AQ$200,$G121)&gt;0,
    COUNTIFS($AR$2:$AR$200,$G121)&gt;0,
    COUNTIFS($AS$2:$AS$200,$G121)&gt;0,
    COUNTIFS($AT$2:$AT$200,$G121)&gt;0,
    COUNTIFS($AU$2:$AU$200,$G121)&gt;0,
    COUNTIFS($AV$2:$AV$200,$G121)&gt;0,
    COUNTIFS($AW$2:$AW$200,$G121)&gt;0,
    COUNTIFS($AX$2:$AX$200,$G121)&gt;0
   ),
  0)
 ),
"")</f>
        <v>Modular</v>
      </c>
      <c r="D121" s="3" t="str" cm="1">
        <f t="array" aca="1" ref="D121" ca="1">IFERROR(
 INDEX(
  _xlfn._xlws.FILTER($U$1:$AX$1,
   TRANSPOSE(
    CHOOSE({1;2;3;4;5;6;7;8;9;10;11;12;13;14;15;16;17;18;19;20;21;22;23;24;25;26;27;28;29;30},
     COUNTIFS($U$2:$U$200,$G121)&gt;0,
     COUNTIFS($V$2:$V$200,$G121)&gt;0,
     COUNTIFS($W$2:$W$200,$G121)&gt;0,
     COUNTIFS($X$2:$X$200,$G121)&gt;0,
     COUNTIFS($Y$2:$Y$200,$G121)&gt;0,
     COUNTIFS($Z$2:$Z$200,$G121)&gt;0,
     COUNTIFS($AA$2:$AA$200,$G121)&gt;0,
     COUNTIFS($AB$2:$AB$200,$G121)&gt;0,
     COUNTIFS($AC$2:$AC$200,$G121)&gt;0,
     COUNTIFS($AD$2:$AD$200,$G121)&gt;0,
     COUNTIFS($AE$2:$AE$200,$G121)&gt;0,
     COUNTIFS($AF$2:$AF$200,$G121)&gt;0,
     COUNTIFS($AG$2:$AG$200,$G121)&gt;0,
     COUNTIFS($AH$2:$AH$200,$G121)&gt;0,
     COUNTIFS($AI$2:$AI$200,$G121)&gt;0,
     COUNTIFS($AJ$2:$AJ$200,$G121)&gt;0,
     COUNTIFS($AK$2:$AK$200,$G121)&gt;0,
     COUNTIFS($AL$2:$AL$200,$G121)&gt;0,
     COUNTIFS($AM$2:$AM$200,$G121)&gt;0,
     COUNTIFS($AN$2:$AN$200,$G121)&gt;0,
     COUNTIFS($AO$2:$AO$200,$G121)&gt;0,
     COUNTIFS($AP$2:$AP$200,$G121)&gt;0,
     COUNTIFS($AQ$2:$AQ$200,$G121)&gt;0,
     COUNTIFS($AR$2:$AR$200,$G121)&gt;0,
     COUNTIFS($AS$2:$AS$200,$G121)&gt;0,
     COUNTIFS($AT$2:$AT$200,$G121)&gt;0,
     COUNTIFS($AU$2:$AU$200,$G121)&gt;0,
     COUNTIFS($AV$2:$AV$200,$G121)&gt;0,
     COUNTIFS($AW$2:$AW$200,$G121)&gt;0,
     COUNTIFS($AX$2:$AX$200,$G121)&gt;0
   )),
  ),
  2
 ),
"")</f>
        <v/>
      </c>
      <c r="E121" s="3" t="str" cm="1">
        <f t="array" aca="1" ref="E121" ca="1">IFERROR(
 INDEX(
  _xlfn._xlws.FILTER($U$1:$AX$1,
   TRANSPOSE(
    CHOOSE({1;2;3;4;5;6;7;8;9;10;11;12;13;14;15;16;17;18;19;20;21;22;23;24;25;26;27;28;29;30},
     COUNTIFS($U$2:$U$200,$G121)&gt;0,
     COUNTIFS($V$2:$V$200,$G121)&gt;0,
     COUNTIFS($W$2:$W$200,$G121)&gt;0,
     COUNTIFS($X$2:$X$200,$G121)&gt;0,
     COUNTIFS($Y$2:$Y$200,$G121)&gt;0,
     COUNTIFS($Z$2:$Z$200,$G121)&gt;0,
     COUNTIFS($AA$2:$AA$200,$G121)&gt;0,
     COUNTIFS($AB$2:$AB$200,$G121)&gt;0,
     COUNTIFS($AC$2:$AC$200,$G121)&gt;0,
     COUNTIFS($AD$2:$AD$200,$G121)&gt;0,
     COUNTIFS($AE$2:$AE$200,$G121)&gt;0,
     COUNTIFS($AF$2:$AF$200,$G121)&gt;0,
     COUNTIFS($AG$2:$AG$200,$G121)&gt;0,
     COUNTIFS($AH$2:$AH$200,$G121)&gt;0,
     COUNTIFS($AI$2:$AI$200,$G121)&gt;0,
     COUNTIFS($AJ$2:$AJ$200,$G121)&gt;0,
     COUNTIFS($AK$2:$AK$200,$G121)&gt;0,
     COUNTIFS($AL$2:$AL$200,$G121)&gt;0,
     COUNTIFS($AM$2:$AM$200,$G121)&gt;0,
     COUNTIFS($AN$2:$AN$200,$G121)&gt;0,
     COUNTIFS($AO$2:$AO$200,$G121)&gt;0,
     COUNTIFS($AP$2:$AP$200,$G121)&gt;0,
     COUNTIFS($AQ$2:$AQ$200,$G121)&gt;0,
     COUNTIFS($AR$2:$AR$200,$G121)&gt;0,
     COUNTIFS($AS$2:$AS$200,$G121)&gt;0,
     COUNTIFS($AT$2:$AT$200,$G121)&gt;0,
     COUNTIFS($AU$2:$AU$200,$G121)&gt;0,
     COUNTIFS($AV$2:$AV$200,$G121)&gt;0,
     COUNTIFS($AW$2:$AW$200,$G121)&gt;0,
     COUNTIFS($AX$2:$AX$200,$G121)&gt;0
   )),
  ),
  3
 ),
"")</f>
        <v/>
      </c>
      <c r="F121" s="3" t="str" cm="1">
        <f t="array" aca="1" ref="F121" ca="1">IFERROR(
 INDEX(
  _xlfn._xlws.FILTER($U$1:$AX$1,
   TRANSPOSE(
    CHOOSE({1;2;3;4;5;6;7;8;9;10;11;12;13;14;15;16;17;18;19;20;21;22;23;24;25;26;27;28;29;30},
     COUNTIFS($U$2:$U$200,$G121)&gt;0,
     COUNTIFS($V$2:$V$200,$G121)&gt;0,
     COUNTIFS($W$2:$W$200,$G121)&gt;0,
     COUNTIFS($X$2:$X$200,$G121)&gt;0,
     COUNTIFS($Y$2:$Y$200,$G121)&gt;0,
     COUNTIFS($Z$2:$Z$200,$G121)&gt;0,
     COUNTIFS($AA$2:$AA$200,$G121)&gt;0,
     COUNTIFS($AB$2:$AB$200,$G121)&gt;0,
     COUNTIFS($AC$2:$AC$200,$G121)&gt;0,
     COUNTIFS($AD$2:$AD$200,$G121)&gt;0,
     COUNTIFS($AE$2:$AE$200,$G121)&gt;0,
     COUNTIFS($AF$2:$AF$200,$G121)&gt;0,
     COUNTIFS($AG$2:$AG$200,$G121)&gt;0,
     COUNTIFS($AH$2:$AH$200,$G121)&gt;0,
     COUNTIFS($AI$2:$AI$200,$G121)&gt;0,
     COUNTIFS($AJ$2:$AJ$200,$G121)&gt;0,
     COUNTIFS($AK$2:$AK$200,$G121)&gt;0,
     COUNTIFS($AL$2:$AL$200,$G121)&gt;0,
     COUNTIFS($AM$2:$AM$200,$G121)&gt;0,
     COUNTIFS($AN$2:$AN$200,$G121)&gt;0,
     COUNTIFS($AO$2:$AO$200,$G121)&gt;0,
     COUNTIFS($AP$2:$AP$200,$G121)&gt;0,
     COUNTIFS($AQ$2:$AQ$200,$G121)&gt;0,
     COUNTIFS($AR$2:$AR$200,$G121)&gt;0,
     COUNTIFS($AS$2:$AS$200,$G121)&gt;0,
     COUNTIFS($AT$2:$AT$200,$G121)&gt;0,
     COUNTIFS($AU$2:$AU$200,$G121)&gt;0,
     COUNTIFS($AV$2:$AV$200,$G121)&gt;0,
     COUNTIFS($AW$2:$AW$200,$G121)&gt;0,
     COUNTIFS($AX$2:$AX$200,$G121)&gt;0
   )),
  ),
  4
 ),
"")</f>
        <v/>
      </c>
      <c r="G121" t="str">
        <f ca="1"/>
        <v>Filigree Vector</v>
      </c>
      <c r="BI121" t="str">
        <f ca="1"/>
        <v>Xorn</v>
      </c>
      <c r="BO121" t="str">
        <f ca="1"/>
        <v>Reyhan, Last of the Abzan</v>
      </c>
      <c r="BR121" t="str">
        <f ca="1"/>
        <v>Stonybrook Banneret</v>
      </c>
      <c r="BT121" t="str">
        <f ca="1"/>
        <v>Misty Rainforest</v>
      </c>
    </row>
    <row r="122" spans="1:72" x14ac:dyDescent="0.25">
      <c r="A122" s="3" t="str">
        <f t="shared" ca="1" si="4"/>
        <v>3</v>
      </c>
      <c r="B122" s="3">
        <f t="shared" ca="1" si="5"/>
        <v>1</v>
      </c>
      <c r="C122" s="3" t="str">
        <f ca="1">IFERROR(
 INDEX($U$1:$AX$1,
  MATCH(TRUE,
   CHOOSE({1;2;3;4;5;6;7;8;9;10;11;12;13;14;15;16;17;18;19;20;21;22;23;24;25;26;27;28;29;30;31;32},
    COUNTIFS($U$2:$U$200,$G122)&gt;0,
    COUNTIFS($V$2:$V$200,$G122)&gt;0,
    COUNTIFS($W$2:$W$200,$G122)&gt;0,
    COUNTIFS($X$2:$X$200,$G122)&gt;0,
    COUNTIFS($Y$2:$Y$200,$G122)&gt;0,
    COUNTIFS($Z$2:$Z$200,$G122)&gt;0,
    COUNTIFS($AA$2:$AA$200,$G122)&gt;0,
    COUNTIFS($AB$2:$AB$200,$G122)&gt;0,
    COUNTIFS($AC$2:$AC$200,$G122)&gt;0,
    COUNTIFS($AD$2:$AD$200,$G122)&gt;0,
    COUNTIFS($AE$2:$AE$200,$G122)&gt;0,
    COUNTIFS($AF$2:$AF$200,$G122)&gt;0,
    COUNTIFS($AG$2:$AG$200,$G122)&gt;0,
    COUNTIFS($AH$2:$AH$200,$G122)&gt;0,
    COUNTIFS($AI$2:$AI$200,$G122)&gt;0,
    COUNTIFS($AJ$2:$AJ$200,$G122)&gt;0,
    COUNTIFS($AK$2:$AK$200,$G122)&gt;0,
    COUNTIFS($AL$2:$AL$200,$G122)&gt;0,
    COUNTIFS($AM$2:$AM$200,$G122)&gt;0,
    COUNTIFS($AN$2:$AN$200,$G122)&gt;0,
    COUNTIFS($AO$2:$AO$200,$G122)&gt;0,
    COUNTIFS($AP$2:$AP$200,$G122)&gt;0,
    COUNTIFS($AQ$2:$AQ$200,$G122)&gt;0,
    COUNTIFS($AR$2:$AR$200,$G122)&gt;0,
    COUNTIFS($AS$2:$AS$200,$G122)&gt;0,
    COUNTIFS($AT$2:$AT$200,$G122)&gt;0,
    COUNTIFS($AU$2:$AU$200,$G122)&gt;0,
    COUNTIFS($AV$2:$AV$200,$G122)&gt;0,
    COUNTIFS($AW$2:$AW$200,$G122)&gt;0,
    COUNTIFS($AX$2:$AX$200,$G122)&gt;0
   ),
  0)
 ),
"")</f>
        <v>Akiri</v>
      </c>
      <c r="D122" s="3" t="str" cm="1">
        <f t="array" aca="1" ref="D122" ca="1">IFERROR(
 INDEX(
  _xlfn._xlws.FILTER($U$1:$AX$1,
   TRANSPOSE(
    CHOOSE({1;2;3;4;5;6;7;8;9;10;11;12;13;14;15;16;17;18;19;20;21;22;23;24;25;26;27;28;29;30},
     COUNTIFS($U$2:$U$200,$G122)&gt;0,
     COUNTIFS($V$2:$V$200,$G122)&gt;0,
     COUNTIFS($W$2:$W$200,$G122)&gt;0,
     COUNTIFS($X$2:$X$200,$G122)&gt;0,
     COUNTIFS($Y$2:$Y$200,$G122)&gt;0,
     COUNTIFS($Z$2:$Z$200,$G122)&gt;0,
     COUNTIFS($AA$2:$AA$200,$G122)&gt;0,
     COUNTIFS($AB$2:$AB$200,$G122)&gt;0,
     COUNTIFS($AC$2:$AC$200,$G122)&gt;0,
     COUNTIFS($AD$2:$AD$200,$G122)&gt;0,
     COUNTIFS($AE$2:$AE$200,$G122)&gt;0,
     COUNTIFS($AF$2:$AF$200,$G122)&gt;0,
     COUNTIFS($AG$2:$AG$200,$G122)&gt;0,
     COUNTIFS($AH$2:$AH$200,$G122)&gt;0,
     COUNTIFS($AI$2:$AI$200,$G122)&gt;0,
     COUNTIFS($AJ$2:$AJ$200,$G122)&gt;0,
     COUNTIFS($AK$2:$AK$200,$G122)&gt;0,
     COUNTIFS($AL$2:$AL$200,$G122)&gt;0,
     COUNTIFS($AM$2:$AM$200,$G122)&gt;0,
     COUNTIFS($AN$2:$AN$200,$G122)&gt;0,
     COUNTIFS($AO$2:$AO$200,$G122)&gt;0,
     COUNTIFS($AP$2:$AP$200,$G122)&gt;0,
     COUNTIFS($AQ$2:$AQ$200,$G122)&gt;0,
     COUNTIFS($AR$2:$AR$200,$G122)&gt;0,
     COUNTIFS($AS$2:$AS$200,$G122)&gt;0,
     COUNTIFS($AT$2:$AT$200,$G122)&gt;0,
     COUNTIFS($AU$2:$AU$200,$G122)&gt;0,
     COUNTIFS($AV$2:$AV$200,$G122)&gt;0,
     COUNTIFS($AW$2:$AW$200,$G122)&gt;0,
     COUNTIFS($AX$2:$AX$200,$G122)&gt;0
   )),
  ),
  2
 ),
"")</f>
        <v/>
      </c>
      <c r="E122" s="3" t="str" cm="1">
        <f t="array" aca="1" ref="E122" ca="1">IFERROR(
 INDEX(
  _xlfn._xlws.FILTER($U$1:$AX$1,
   TRANSPOSE(
    CHOOSE({1;2;3;4;5;6;7;8;9;10;11;12;13;14;15;16;17;18;19;20;21;22;23;24;25;26;27;28;29;30},
     COUNTIFS($U$2:$U$200,$G122)&gt;0,
     COUNTIFS($V$2:$V$200,$G122)&gt;0,
     COUNTIFS($W$2:$W$200,$G122)&gt;0,
     COUNTIFS($X$2:$X$200,$G122)&gt;0,
     COUNTIFS($Y$2:$Y$200,$G122)&gt;0,
     COUNTIFS($Z$2:$Z$200,$G122)&gt;0,
     COUNTIFS($AA$2:$AA$200,$G122)&gt;0,
     COUNTIFS($AB$2:$AB$200,$G122)&gt;0,
     COUNTIFS($AC$2:$AC$200,$G122)&gt;0,
     COUNTIFS($AD$2:$AD$200,$G122)&gt;0,
     COUNTIFS($AE$2:$AE$200,$G122)&gt;0,
     COUNTIFS($AF$2:$AF$200,$G122)&gt;0,
     COUNTIFS($AG$2:$AG$200,$G122)&gt;0,
     COUNTIFS($AH$2:$AH$200,$G122)&gt;0,
     COUNTIFS($AI$2:$AI$200,$G122)&gt;0,
     COUNTIFS($AJ$2:$AJ$200,$G122)&gt;0,
     COUNTIFS($AK$2:$AK$200,$G122)&gt;0,
     COUNTIFS($AL$2:$AL$200,$G122)&gt;0,
     COUNTIFS($AM$2:$AM$200,$G122)&gt;0,
     COUNTIFS($AN$2:$AN$200,$G122)&gt;0,
     COUNTIFS($AO$2:$AO$200,$G122)&gt;0,
     COUNTIFS($AP$2:$AP$200,$G122)&gt;0,
     COUNTIFS($AQ$2:$AQ$200,$G122)&gt;0,
     COUNTIFS($AR$2:$AR$200,$G122)&gt;0,
     COUNTIFS($AS$2:$AS$200,$G122)&gt;0,
     COUNTIFS($AT$2:$AT$200,$G122)&gt;0,
     COUNTIFS($AU$2:$AU$200,$G122)&gt;0,
     COUNTIFS($AV$2:$AV$200,$G122)&gt;0,
     COUNTIFS($AW$2:$AW$200,$G122)&gt;0,
     COUNTIFS($AX$2:$AX$200,$G122)&gt;0
   )),
  ),
  3
 ),
"")</f>
        <v/>
      </c>
      <c r="F122" s="3" t="str" cm="1">
        <f t="array" aca="1" ref="F122" ca="1">IFERROR(
 INDEX(
  _xlfn._xlws.FILTER($U$1:$AX$1,
   TRANSPOSE(
    CHOOSE({1;2;3;4;5;6;7;8;9;10;11;12;13;14;15;16;17;18;19;20;21;22;23;24;25;26;27;28;29;30},
     COUNTIFS($U$2:$U$200,$G122)&gt;0,
     COUNTIFS($V$2:$V$200,$G122)&gt;0,
     COUNTIFS($W$2:$W$200,$G122)&gt;0,
     COUNTIFS($X$2:$X$200,$G122)&gt;0,
     COUNTIFS($Y$2:$Y$200,$G122)&gt;0,
     COUNTIFS($Z$2:$Z$200,$G122)&gt;0,
     COUNTIFS($AA$2:$AA$200,$G122)&gt;0,
     COUNTIFS($AB$2:$AB$200,$G122)&gt;0,
     COUNTIFS($AC$2:$AC$200,$G122)&gt;0,
     COUNTIFS($AD$2:$AD$200,$G122)&gt;0,
     COUNTIFS($AE$2:$AE$200,$G122)&gt;0,
     COUNTIFS($AF$2:$AF$200,$G122)&gt;0,
     COUNTIFS($AG$2:$AG$200,$G122)&gt;0,
     COUNTIFS($AH$2:$AH$200,$G122)&gt;0,
     COUNTIFS($AI$2:$AI$200,$G122)&gt;0,
     COUNTIFS($AJ$2:$AJ$200,$G122)&gt;0,
     COUNTIFS($AK$2:$AK$200,$G122)&gt;0,
     COUNTIFS($AL$2:$AL$200,$G122)&gt;0,
     COUNTIFS($AM$2:$AM$200,$G122)&gt;0,
     COUNTIFS($AN$2:$AN$200,$G122)&gt;0,
     COUNTIFS($AO$2:$AO$200,$G122)&gt;0,
     COUNTIFS($AP$2:$AP$200,$G122)&gt;0,
     COUNTIFS($AQ$2:$AQ$200,$G122)&gt;0,
     COUNTIFS($AR$2:$AR$200,$G122)&gt;0,
     COUNTIFS($AS$2:$AS$200,$G122)&gt;0,
     COUNTIFS($AT$2:$AT$200,$G122)&gt;0,
     COUNTIFS($AU$2:$AU$200,$G122)&gt;0,
     COUNTIFS($AV$2:$AV$200,$G122)&gt;0,
     COUNTIFS($AW$2:$AW$200,$G122)&gt;0,
     COUNTIFS($AX$2:$AX$200,$G122)&gt;0
   )),
  ),
  4
 ),
"")</f>
        <v/>
      </c>
      <c r="G122" t="str">
        <f ca="1"/>
        <v>Firion, Wild Rose Warrior</v>
      </c>
      <c r="BI122" t="str">
        <f ca="1"/>
        <v>Zabaz, the Glimmerwasp</v>
      </c>
      <c r="BO122" t="str">
        <f ca="1"/>
        <v>Rise of the Eldrazi</v>
      </c>
      <c r="BR122" t="str">
        <f ca="1"/>
        <v>Stridehangar Automaton</v>
      </c>
      <c r="BT122" t="str">
        <f ca="1"/>
        <v>Molten Echoes</v>
      </c>
    </row>
    <row r="123" spans="1:72" x14ac:dyDescent="0.25">
      <c r="A123" s="3" t="str">
        <f t="shared" ca="1" si="4"/>
        <v>2</v>
      </c>
      <c r="B123" s="3">
        <f t="shared" ca="1" si="5"/>
        <v>1</v>
      </c>
      <c r="C123" s="3" t="str">
        <f ca="1">IFERROR(
 INDEX($U$1:$AX$1,
  MATCH(TRUE,
   CHOOSE({1;2;3;4;5;6;7;8;9;10;11;12;13;14;15;16;17;18;19;20;21;22;23;24;25;26;27;28;29;30;31;32},
    COUNTIFS($U$2:$U$200,$G123)&gt;0,
    COUNTIFS($V$2:$V$200,$G123)&gt;0,
    COUNTIFS($W$2:$W$200,$G123)&gt;0,
    COUNTIFS($X$2:$X$200,$G123)&gt;0,
    COUNTIFS($Y$2:$Y$200,$G123)&gt;0,
    COUNTIFS($Z$2:$Z$200,$G123)&gt;0,
    COUNTIFS($AA$2:$AA$200,$G123)&gt;0,
    COUNTIFS($AB$2:$AB$200,$G123)&gt;0,
    COUNTIFS($AC$2:$AC$200,$G123)&gt;0,
    COUNTIFS($AD$2:$AD$200,$G123)&gt;0,
    COUNTIFS($AE$2:$AE$200,$G123)&gt;0,
    COUNTIFS($AF$2:$AF$200,$G123)&gt;0,
    COUNTIFS($AG$2:$AG$200,$G123)&gt;0,
    COUNTIFS($AH$2:$AH$200,$G123)&gt;0,
    COUNTIFS($AI$2:$AI$200,$G123)&gt;0,
    COUNTIFS($AJ$2:$AJ$200,$G123)&gt;0,
    COUNTIFS($AK$2:$AK$200,$G123)&gt;0,
    COUNTIFS($AL$2:$AL$200,$G123)&gt;0,
    COUNTIFS($AM$2:$AM$200,$G123)&gt;0,
    COUNTIFS($AN$2:$AN$200,$G123)&gt;0,
    COUNTIFS($AO$2:$AO$200,$G123)&gt;0,
    COUNTIFS($AP$2:$AP$200,$G123)&gt;0,
    COUNTIFS($AQ$2:$AQ$200,$G123)&gt;0,
    COUNTIFS($AR$2:$AR$200,$G123)&gt;0,
    COUNTIFS($AS$2:$AS$200,$G123)&gt;0,
    COUNTIFS($AT$2:$AT$200,$G123)&gt;0,
    COUNTIFS($AU$2:$AU$200,$G123)&gt;0,
    COUNTIFS($AV$2:$AV$200,$G123)&gt;0,
    COUNTIFS($AW$2:$AW$200,$G123)&gt;0,
    COUNTIFS($AX$2:$AX$200,$G123)&gt;0
   ),
  0)
 ),
"")</f>
        <v>Piratas</v>
      </c>
      <c r="D123" s="3" t="str" cm="1">
        <f t="array" aca="1" ref="D123" ca="1">IFERROR(
 INDEX(
  _xlfn._xlws.FILTER($U$1:$AX$1,
   TRANSPOSE(
    CHOOSE({1;2;3;4;5;6;7;8;9;10;11;12;13;14;15;16;17;18;19;20;21;22;23;24;25;26;27;28;29;30},
     COUNTIFS($U$2:$U$200,$G123)&gt;0,
     COUNTIFS($V$2:$V$200,$G123)&gt;0,
     COUNTIFS($W$2:$W$200,$G123)&gt;0,
     COUNTIFS($X$2:$X$200,$G123)&gt;0,
     COUNTIFS($Y$2:$Y$200,$G123)&gt;0,
     COUNTIFS($Z$2:$Z$200,$G123)&gt;0,
     COUNTIFS($AA$2:$AA$200,$G123)&gt;0,
     COUNTIFS($AB$2:$AB$200,$G123)&gt;0,
     COUNTIFS($AC$2:$AC$200,$G123)&gt;0,
     COUNTIFS($AD$2:$AD$200,$G123)&gt;0,
     COUNTIFS($AE$2:$AE$200,$G123)&gt;0,
     COUNTIFS($AF$2:$AF$200,$G123)&gt;0,
     COUNTIFS($AG$2:$AG$200,$G123)&gt;0,
     COUNTIFS($AH$2:$AH$200,$G123)&gt;0,
     COUNTIFS($AI$2:$AI$200,$G123)&gt;0,
     COUNTIFS($AJ$2:$AJ$200,$G123)&gt;0,
     COUNTIFS($AK$2:$AK$200,$G123)&gt;0,
     COUNTIFS($AL$2:$AL$200,$G123)&gt;0,
     COUNTIFS($AM$2:$AM$200,$G123)&gt;0,
     COUNTIFS($AN$2:$AN$200,$G123)&gt;0,
     COUNTIFS($AO$2:$AO$200,$G123)&gt;0,
     COUNTIFS($AP$2:$AP$200,$G123)&gt;0,
     COUNTIFS($AQ$2:$AQ$200,$G123)&gt;0,
     COUNTIFS($AR$2:$AR$200,$G123)&gt;0,
     COUNTIFS($AS$2:$AS$200,$G123)&gt;0,
     COUNTIFS($AT$2:$AT$200,$G123)&gt;0,
     COUNTIFS($AU$2:$AU$200,$G123)&gt;0,
     COUNTIFS($AV$2:$AV$200,$G123)&gt;0,
     COUNTIFS($AW$2:$AW$200,$G123)&gt;0,
     COUNTIFS($AX$2:$AX$200,$G123)&gt;0
   )),
  ),
  2
 ),
"")</f>
        <v/>
      </c>
      <c r="E123" s="3" t="str" cm="1">
        <f t="array" aca="1" ref="E123" ca="1">IFERROR(
 INDEX(
  _xlfn._xlws.FILTER($U$1:$AX$1,
   TRANSPOSE(
    CHOOSE({1;2;3;4;5;6;7;8;9;10;11;12;13;14;15;16;17;18;19;20;21;22;23;24;25;26;27;28;29;30},
     COUNTIFS($U$2:$U$200,$G123)&gt;0,
     COUNTIFS($V$2:$V$200,$G123)&gt;0,
     COUNTIFS($W$2:$W$200,$G123)&gt;0,
     COUNTIFS($X$2:$X$200,$G123)&gt;0,
     COUNTIFS($Y$2:$Y$200,$G123)&gt;0,
     COUNTIFS($Z$2:$Z$200,$G123)&gt;0,
     COUNTIFS($AA$2:$AA$200,$G123)&gt;0,
     COUNTIFS($AB$2:$AB$200,$G123)&gt;0,
     COUNTIFS($AC$2:$AC$200,$G123)&gt;0,
     COUNTIFS($AD$2:$AD$200,$G123)&gt;0,
     COUNTIFS($AE$2:$AE$200,$G123)&gt;0,
     COUNTIFS($AF$2:$AF$200,$G123)&gt;0,
     COUNTIFS($AG$2:$AG$200,$G123)&gt;0,
     COUNTIFS($AH$2:$AH$200,$G123)&gt;0,
     COUNTIFS($AI$2:$AI$200,$G123)&gt;0,
     COUNTIFS($AJ$2:$AJ$200,$G123)&gt;0,
     COUNTIFS($AK$2:$AK$200,$G123)&gt;0,
     COUNTIFS($AL$2:$AL$200,$G123)&gt;0,
     COUNTIFS($AM$2:$AM$200,$G123)&gt;0,
     COUNTIFS($AN$2:$AN$200,$G123)&gt;0,
     COUNTIFS($AO$2:$AO$200,$G123)&gt;0,
     COUNTIFS($AP$2:$AP$200,$G123)&gt;0,
     COUNTIFS($AQ$2:$AQ$200,$G123)&gt;0,
     COUNTIFS($AR$2:$AR$200,$G123)&gt;0,
     COUNTIFS($AS$2:$AS$200,$G123)&gt;0,
     COUNTIFS($AT$2:$AT$200,$G123)&gt;0,
     COUNTIFS($AU$2:$AU$200,$G123)&gt;0,
     COUNTIFS($AV$2:$AV$200,$G123)&gt;0,
     COUNTIFS($AW$2:$AW$200,$G123)&gt;0,
     COUNTIFS($AX$2:$AX$200,$G123)&gt;0
   )),
  ),
  3
 ),
"")</f>
        <v/>
      </c>
      <c r="F123" s="3" t="str" cm="1">
        <f t="array" aca="1" ref="F123" ca="1">IFERROR(
 INDEX(
  _xlfn._xlws.FILTER($U$1:$AX$1,
   TRANSPOSE(
    CHOOSE({1;2;3;4;5;6;7;8;9;10;11;12;13;14;15;16;17;18;19;20;21;22;23;24;25;26;27;28;29;30},
     COUNTIFS($U$2:$U$200,$G123)&gt;0,
     COUNTIFS($V$2:$V$200,$G123)&gt;0,
     COUNTIFS($W$2:$W$200,$G123)&gt;0,
     COUNTIFS($X$2:$X$200,$G123)&gt;0,
     COUNTIFS($Y$2:$Y$200,$G123)&gt;0,
     COUNTIFS($Z$2:$Z$200,$G123)&gt;0,
     COUNTIFS($AA$2:$AA$200,$G123)&gt;0,
     COUNTIFS($AB$2:$AB$200,$G123)&gt;0,
     COUNTIFS($AC$2:$AC$200,$G123)&gt;0,
     COUNTIFS($AD$2:$AD$200,$G123)&gt;0,
     COUNTIFS($AE$2:$AE$200,$G123)&gt;0,
     COUNTIFS($AF$2:$AF$200,$G123)&gt;0,
     COUNTIFS($AG$2:$AG$200,$G123)&gt;0,
     COUNTIFS($AH$2:$AH$200,$G123)&gt;0,
     COUNTIFS($AI$2:$AI$200,$G123)&gt;0,
     COUNTIFS($AJ$2:$AJ$200,$G123)&gt;0,
     COUNTIFS($AK$2:$AK$200,$G123)&gt;0,
     COUNTIFS($AL$2:$AL$200,$G123)&gt;0,
     COUNTIFS($AM$2:$AM$200,$G123)&gt;0,
     COUNTIFS($AN$2:$AN$200,$G123)&gt;0,
     COUNTIFS($AO$2:$AO$200,$G123)&gt;0,
     COUNTIFS($AP$2:$AP$200,$G123)&gt;0,
     COUNTIFS($AQ$2:$AQ$200,$G123)&gt;0,
     COUNTIFS($AR$2:$AR$200,$G123)&gt;0,
     COUNTIFS($AS$2:$AS$200,$G123)&gt;0,
     COUNTIFS($AT$2:$AT$200,$G123)&gt;0,
     COUNTIFS($AU$2:$AU$200,$G123)&gt;0,
     COUNTIFS($AV$2:$AV$200,$G123)&gt;0,
     COUNTIFS($AW$2:$AW$200,$G123)&gt;0,
     COUNTIFS($AX$2:$AX$200,$G123)&gt;0
   )),
  ),
  4
 ),
"")</f>
        <v/>
      </c>
      <c r="G123" t="str">
        <f ca="1"/>
        <v>Forerunner of the Coalition</v>
      </c>
      <c r="BI123" t="e">
        <f ca="1"/>
        <v>#REF!</v>
      </c>
      <c r="BO123" t="str">
        <f ca="1"/>
        <v>Rishkar, Peema Renegade</v>
      </c>
      <c r="BR123" t="str">
        <f ca="1"/>
        <v>Sulfur Falls</v>
      </c>
      <c r="BT123" t="str">
        <f ca="1"/>
        <v>Monastery Siege</v>
      </c>
    </row>
    <row r="124" spans="1:72" x14ac:dyDescent="0.25">
      <c r="A124" s="3" t="str">
        <f t="shared" ca="1" si="4"/>
        <v>1</v>
      </c>
      <c r="B124" s="3">
        <f t="shared" ca="1" si="5"/>
        <v>4</v>
      </c>
      <c r="C124" s="3" t="str">
        <f ca="1">IFERROR(
 INDEX($U$1:$AX$1,
  MATCH(TRUE,
   CHOOSE({1;2;3;4;5;6;7;8;9;10;11;12;13;14;15;16;17;18;19;20;21;22;23;24;25;26;27;28;29;30;31;32},
    COUNTIFS($U$2:$U$200,$G124)&gt;0,
    COUNTIFS($V$2:$V$200,$G124)&gt;0,
    COUNTIFS($W$2:$W$200,$G124)&gt;0,
    COUNTIFS($X$2:$X$200,$G124)&gt;0,
    COUNTIFS($Y$2:$Y$200,$G124)&gt;0,
    COUNTIFS($Z$2:$Z$200,$G124)&gt;0,
    COUNTIFS($AA$2:$AA$200,$G124)&gt;0,
    COUNTIFS($AB$2:$AB$200,$G124)&gt;0,
    COUNTIFS($AC$2:$AC$200,$G124)&gt;0,
    COUNTIFS($AD$2:$AD$200,$G124)&gt;0,
    COUNTIFS($AE$2:$AE$200,$G124)&gt;0,
    COUNTIFS($AF$2:$AF$200,$G124)&gt;0,
    COUNTIFS($AG$2:$AG$200,$G124)&gt;0,
    COUNTIFS($AH$2:$AH$200,$G124)&gt;0,
    COUNTIFS($AI$2:$AI$200,$G124)&gt;0,
    COUNTIFS($AJ$2:$AJ$200,$G124)&gt;0,
    COUNTIFS($AK$2:$AK$200,$G124)&gt;0,
    COUNTIFS($AL$2:$AL$200,$G124)&gt;0,
    COUNTIFS($AM$2:$AM$200,$G124)&gt;0,
    COUNTIFS($AN$2:$AN$200,$G124)&gt;0,
    COUNTIFS($AO$2:$AO$200,$G124)&gt;0,
    COUNTIFS($AP$2:$AP$200,$G124)&gt;0,
    COUNTIFS($AQ$2:$AQ$200,$G124)&gt;0,
    COUNTIFS($AR$2:$AR$200,$G124)&gt;0,
    COUNTIFS($AS$2:$AS$200,$G124)&gt;0,
    COUNTIFS($AT$2:$AT$200,$G124)&gt;0,
    COUNTIFS($AU$2:$AU$200,$G124)&gt;0,
    COUNTIFS($AV$2:$AV$200,$G124)&gt;0,
    COUNTIFS($AW$2:$AW$200,$G124)&gt;0,
    COUNTIFS($AX$2:$AX$200,$G124)&gt;0
   ),
  0)
 ),
"")</f>
        <v>Modular</v>
      </c>
      <c r="D124" s="3" t="str" cm="1">
        <f t="array" aca="1" ref="D124" ca="1">IFERROR(
 INDEX(
  _xlfn._xlws.FILTER($U$1:$AX$1,
   TRANSPOSE(
    CHOOSE({1;2;3;4;5;6;7;8;9;10;11;12;13;14;15;16;17;18;19;20;21;22;23;24;25;26;27;28;29;30},
     COUNTIFS($U$2:$U$200,$G124)&gt;0,
     COUNTIFS($V$2:$V$200,$G124)&gt;0,
     COUNTIFS($W$2:$W$200,$G124)&gt;0,
     COUNTIFS($X$2:$X$200,$G124)&gt;0,
     COUNTIFS($Y$2:$Y$200,$G124)&gt;0,
     COUNTIFS($Z$2:$Z$200,$G124)&gt;0,
     COUNTIFS($AA$2:$AA$200,$G124)&gt;0,
     COUNTIFS($AB$2:$AB$200,$G124)&gt;0,
     COUNTIFS($AC$2:$AC$200,$G124)&gt;0,
     COUNTIFS($AD$2:$AD$200,$G124)&gt;0,
     COUNTIFS($AE$2:$AE$200,$G124)&gt;0,
     COUNTIFS($AF$2:$AF$200,$G124)&gt;0,
     COUNTIFS($AG$2:$AG$200,$G124)&gt;0,
     COUNTIFS($AH$2:$AH$200,$G124)&gt;0,
     COUNTIFS($AI$2:$AI$200,$G124)&gt;0,
     COUNTIFS($AJ$2:$AJ$200,$G124)&gt;0,
     COUNTIFS($AK$2:$AK$200,$G124)&gt;0,
     COUNTIFS($AL$2:$AL$200,$G124)&gt;0,
     COUNTIFS($AM$2:$AM$200,$G124)&gt;0,
     COUNTIFS($AN$2:$AN$200,$G124)&gt;0,
     COUNTIFS($AO$2:$AO$200,$G124)&gt;0,
     COUNTIFS($AP$2:$AP$200,$G124)&gt;0,
     COUNTIFS($AQ$2:$AQ$200,$G124)&gt;0,
     COUNTIFS($AR$2:$AR$200,$G124)&gt;0,
     COUNTIFS($AS$2:$AS$200,$G124)&gt;0,
     COUNTIFS($AT$2:$AT$200,$G124)&gt;0,
     COUNTIFS($AU$2:$AU$200,$G124)&gt;0,
     COUNTIFS($AV$2:$AV$200,$G124)&gt;0,
     COUNTIFS($AW$2:$AW$200,$G124)&gt;0,
     COUNTIFS($AX$2:$AX$200,$G124)&gt;0
   )),
  ),
  2
 ),
"")</f>
        <v/>
      </c>
      <c r="E124" s="3" t="str" cm="1">
        <f t="array" aca="1" ref="E124" ca="1">IFERROR(
 INDEX(
  _xlfn._xlws.FILTER($U$1:$AX$1,
   TRANSPOSE(
    CHOOSE({1;2;3;4;5;6;7;8;9;10;11;12;13;14;15;16;17;18;19;20;21;22;23;24;25;26;27;28;29;30},
     COUNTIFS($U$2:$U$200,$G124)&gt;0,
     COUNTIFS($V$2:$V$200,$G124)&gt;0,
     COUNTIFS($W$2:$W$200,$G124)&gt;0,
     COUNTIFS($X$2:$X$200,$G124)&gt;0,
     COUNTIFS($Y$2:$Y$200,$G124)&gt;0,
     COUNTIFS($Z$2:$Z$200,$G124)&gt;0,
     COUNTIFS($AA$2:$AA$200,$G124)&gt;0,
     COUNTIFS($AB$2:$AB$200,$G124)&gt;0,
     COUNTIFS($AC$2:$AC$200,$G124)&gt;0,
     COUNTIFS($AD$2:$AD$200,$G124)&gt;0,
     COUNTIFS($AE$2:$AE$200,$G124)&gt;0,
     COUNTIFS($AF$2:$AF$200,$G124)&gt;0,
     COUNTIFS($AG$2:$AG$200,$G124)&gt;0,
     COUNTIFS($AH$2:$AH$200,$G124)&gt;0,
     COUNTIFS($AI$2:$AI$200,$G124)&gt;0,
     COUNTIFS($AJ$2:$AJ$200,$G124)&gt;0,
     COUNTIFS($AK$2:$AK$200,$G124)&gt;0,
     COUNTIFS($AL$2:$AL$200,$G124)&gt;0,
     COUNTIFS($AM$2:$AM$200,$G124)&gt;0,
     COUNTIFS($AN$2:$AN$200,$G124)&gt;0,
     COUNTIFS($AO$2:$AO$200,$G124)&gt;0,
     COUNTIFS($AP$2:$AP$200,$G124)&gt;0,
     COUNTIFS($AQ$2:$AQ$200,$G124)&gt;0,
     COUNTIFS($AR$2:$AR$200,$G124)&gt;0,
     COUNTIFS($AS$2:$AS$200,$G124)&gt;0,
     COUNTIFS($AT$2:$AT$200,$G124)&gt;0,
     COUNTIFS($AU$2:$AU$200,$G124)&gt;0,
     COUNTIFS($AV$2:$AV$200,$G124)&gt;0,
     COUNTIFS($AW$2:$AW$200,$G124)&gt;0,
     COUNTIFS($AX$2:$AX$200,$G124)&gt;0
   )),
  ),
  3
 ),
"")</f>
        <v/>
      </c>
      <c r="F124" s="3" t="str" cm="1">
        <f t="array" aca="1" ref="F124" ca="1">IFERROR(
 INDEX(
  _xlfn._xlws.FILTER($U$1:$AX$1,
   TRANSPOSE(
    CHOOSE({1;2;3;4;5;6;7;8;9;10;11;12;13;14;15;16;17;18;19;20;21;22;23;24;25;26;27;28;29;30},
     COUNTIFS($U$2:$U$200,$G124)&gt;0,
     COUNTIFS($V$2:$V$200,$G124)&gt;0,
     COUNTIFS($W$2:$W$200,$G124)&gt;0,
     COUNTIFS($X$2:$X$200,$G124)&gt;0,
     COUNTIFS($Y$2:$Y$200,$G124)&gt;0,
     COUNTIFS($Z$2:$Z$200,$G124)&gt;0,
     COUNTIFS($AA$2:$AA$200,$G124)&gt;0,
     COUNTIFS($AB$2:$AB$200,$G124)&gt;0,
     COUNTIFS($AC$2:$AC$200,$G124)&gt;0,
     COUNTIFS($AD$2:$AD$200,$G124)&gt;0,
     COUNTIFS($AE$2:$AE$200,$G124)&gt;0,
     COUNTIFS($AF$2:$AF$200,$G124)&gt;0,
     COUNTIFS($AG$2:$AG$200,$G124)&gt;0,
     COUNTIFS($AH$2:$AH$200,$G124)&gt;0,
     COUNTIFS($AI$2:$AI$200,$G124)&gt;0,
     COUNTIFS($AJ$2:$AJ$200,$G124)&gt;0,
     COUNTIFS($AK$2:$AK$200,$G124)&gt;0,
     COUNTIFS($AL$2:$AL$200,$G124)&gt;0,
     COUNTIFS($AM$2:$AM$200,$G124)&gt;0,
     COUNTIFS($AN$2:$AN$200,$G124)&gt;0,
     COUNTIFS($AO$2:$AO$200,$G124)&gt;0,
     COUNTIFS($AP$2:$AP$200,$G124)&gt;0,
     COUNTIFS($AQ$2:$AQ$200,$G124)&gt;0,
     COUNTIFS($AR$2:$AR$200,$G124)&gt;0,
     COUNTIFS($AS$2:$AS$200,$G124)&gt;0,
     COUNTIFS($AT$2:$AT$200,$G124)&gt;0,
     COUNTIFS($AU$2:$AU$200,$G124)&gt;0,
     COUNTIFS($AV$2:$AV$200,$G124)&gt;0,
     COUNTIFS($AW$2:$AW$200,$G124)&gt;0,
     COUNTIFS($AX$2:$AX$200,$G124)&gt;0
   )),
  ),
  4
 ),
"")</f>
        <v/>
      </c>
      <c r="G124" t="str">
        <f ca="1"/>
        <v>Forest</v>
      </c>
      <c r="BO124" t="str">
        <f ca="1"/>
        <v>Rogue's Passage</v>
      </c>
      <c r="BR124" t="str">
        <f ca="1"/>
        <v>Summon: Leviathan</v>
      </c>
      <c r="BT124" t="str">
        <f ca="1"/>
        <v>Morphic Pool</v>
      </c>
    </row>
    <row r="125" spans="1:72" x14ac:dyDescent="0.25">
      <c r="A125" s="3" t="str">
        <f t="shared" ca="1" si="4"/>
        <v>2</v>
      </c>
      <c r="B125" s="3">
        <f t="shared" ca="1" si="5"/>
        <v>1</v>
      </c>
      <c r="C125" s="3" t="str">
        <f ca="1">IFERROR(
 INDEX($U$1:$AX$1,
  MATCH(TRUE,
   CHOOSE({1;2;3;4;5;6;7;8;9;10;11;12;13;14;15;16;17;18;19;20;21;22;23;24;25;26;27;28;29;30;31;32},
    COUNTIFS($U$2:$U$200,$G125)&gt;0,
    COUNTIFS($V$2:$V$200,$G125)&gt;0,
    COUNTIFS($W$2:$W$200,$G125)&gt;0,
    COUNTIFS($X$2:$X$200,$G125)&gt;0,
    COUNTIFS($Y$2:$Y$200,$G125)&gt;0,
    COUNTIFS($Z$2:$Z$200,$G125)&gt;0,
    COUNTIFS($AA$2:$AA$200,$G125)&gt;0,
    COUNTIFS($AB$2:$AB$200,$G125)&gt;0,
    COUNTIFS($AC$2:$AC$200,$G125)&gt;0,
    COUNTIFS($AD$2:$AD$200,$G125)&gt;0,
    COUNTIFS($AE$2:$AE$200,$G125)&gt;0,
    COUNTIFS($AF$2:$AF$200,$G125)&gt;0,
    COUNTIFS($AG$2:$AG$200,$G125)&gt;0,
    COUNTIFS($AH$2:$AH$200,$G125)&gt;0,
    COUNTIFS($AI$2:$AI$200,$G125)&gt;0,
    COUNTIFS($AJ$2:$AJ$200,$G125)&gt;0,
    COUNTIFS($AK$2:$AK$200,$G125)&gt;0,
    COUNTIFS($AL$2:$AL$200,$G125)&gt;0,
    COUNTIFS($AM$2:$AM$200,$G125)&gt;0,
    COUNTIFS($AN$2:$AN$200,$G125)&gt;0,
    COUNTIFS($AO$2:$AO$200,$G125)&gt;0,
    COUNTIFS($AP$2:$AP$200,$G125)&gt;0,
    COUNTIFS($AQ$2:$AQ$200,$G125)&gt;0,
    COUNTIFS($AR$2:$AR$200,$G125)&gt;0,
    COUNTIFS($AS$2:$AS$200,$G125)&gt;0,
    COUNTIFS($AT$2:$AT$200,$G125)&gt;0,
    COUNTIFS($AU$2:$AU$200,$G125)&gt;0,
    COUNTIFS($AV$2:$AV$200,$G125)&gt;0,
    COUNTIFS($AW$2:$AW$200,$G125)&gt;0,
    COUNTIFS($AX$2:$AX$200,$G125)&gt;0
   ),
  0)
 ),
"")</f>
        <v>Rani</v>
      </c>
      <c r="D125" s="3" t="str" cm="1">
        <f t="array" aca="1" ref="D125" ca="1">IFERROR(
 INDEX(
  _xlfn._xlws.FILTER($U$1:$AX$1,
   TRANSPOSE(
    CHOOSE({1;2;3;4;5;6;7;8;9;10;11;12;13;14;15;16;17;18;19;20;21;22;23;24;25;26;27;28;29;30},
     COUNTIFS($U$2:$U$200,$G125)&gt;0,
     COUNTIFS($V$2:$V$200,$G125)&gt;0,
     COUNTIFS($W$2:$W$200,$G125)&gt;0,
     COUNTIFS($X$2:$X$200,$G125)&gt;0,
     COUNTIFS($Y$2:$Y$200,$G125)&gt;0,
     COUNTIFS($Z$2:$Z$200,$G125)&gt;0,
     COUNTIFS($AA$2:$AA$200,$G125)&gt;0,
     COUNTIFS($AB$2:$AB$200,$G125)&gt;0,
     COUNTIFS($AC$2:$AC$200,$G125)&gt;0,
     COUNTIFS($AD$2:$AD$200,$G125)&gt;0,
     COUNTIFS($AE$2:$AE$200,$G125)&gt;0,
     COUNTIFS($AF$2:$AF$200,$G125)&gt;0,
     COUNTIFS($AG$2:$AG$200,$G125)&gt;0,
     COUNTIFS($AH$2:$AH$200,$G125)&gt;0,
     COUNTIFS($AI$2:$AI$200,$G125)&gt;0,
     COUNTIFS($AJ$2:$AJ$200,$G125)&gt;0,
     COUNTIFS($AK$2:$AK$200,$G125)&gt;0,
     COUNTIFS($AL$2:$AL$200,$G125)&gt;0,
     COUNTIFS($AM$2:$AM$200,$G125)&gt;0,
     COUNTIFS($AN$2:$AN$200,$G125)&gt;0,
     COUNTIFS($AO$2:$AO$200,$G125)&gt;0,
     COUNTIFS($AP$2:$AP$200,$G125)&gt;0,
     COUNTIFS($AQ$2:$AQ$200,$G125)&gt;0,
     COUNTIFS($AR$2:$AR$200,$G125)&gt;0,
     COUNTIFS($AS$2:$AS$200,$G125)&gt;0,
     COUNTIFS($AT$2:$AT$200,$G125)&gt;0,
     COUNTIFS($AU$2:$AU$200,$G125)&gt;0,
     COUNTIFS($AV$2:$AV$200,$G125)&gt;0,
     COUNTIFS($AW$2:$AW$200,$G125)&gt;0,
     COUNTIFS($AX$2:$AX$200,$G125)&gt;0
   )),
  ),
  2
 ),
"")</f>
        <v/>
      </c>
      <c r="E125" s="3" t="str" cm="1">
        <f t="array" aca="1" ref="E125" ca="1">IFERROR(
 INDEX(
  _xlfn._xlws.FILTER($U$1:$AX$1,
   TRANSPOSE(
    CHOOSE({1;2;3;4;5;6;7;8;9;10;11;12;13;14;15;16;17;18;19;20;21;22;23;24;25;26;27;28;29;30},
     COUNTIFS($U$2:$U$200,$G125)&gt;0,
     COUNTIFS($V$2:$V$200,$G125)&gt;0,
     COUNTIFS($W$2:$W$200,$G125)&gt;0,
     COUNTIFS($X$2:$X$200,$G125)&gt;0,
     COUNTIFS($Y$2:$Y$200,$G125)&gt;0,
     COUNTIFS($Z$2:$Z$200,$G125)&gt;0,
     COUNTIFS($AA$2:$AA$200,$G125)&gt;0,
     COUNTIFS($AB$2:$AB$200,$G125)&gt;0,
     COUNTIFS($AC$2:$AC$200,$G125)&gt;0,
     COUNTIFS($AD$2:$AD$200,$G125)&gt;0,
     COUNTIFS($AE$2:$AE$200,$G125)&gt;0,
     COUNTIFS($AF$2:$AF$200,$G125)&gt;0,
     COUNTIFS($AG$2:$AG$200,$G125)&gt;0,
     COUNTIFS($AH$2:$AH$200,$G125)&gt;0,
     COUNTIFS($AI$2:$AI$200,$G125)&gt;0,
     COUNTIFS($AJ$2:$AJ$200,$G125)&gt;0,
     COUNTIFS($AK$2:$AK$200,$G125)&gt;0,
     COUNTIFS($AL$2:$AL$200,$G125)&gt;0,
     COUNTIFS($AM$2:$AM$200,$G125)&gt;0,
     COUNTIFS($AN$2:$AN$200,$G125)&gt;0,
     COUNTIFS($AO$2:$AO$200,$G125)&gt;0,
     COUNTIFS($AP$2:$AP$200,$G125)&gt;0,
     COUNTIFS($AQ$2:$AQ$200,$G125)&gt;0,
     COUNTIFS($AR$2:$AR$200,$G125)&gt;0,
     COUNTIFS($AS$2:$AS$200,$G125)&gt;0,
     COUNTIFS($AT$2:$AT$200,$G125)&gt;0,
     COUNTIFS($AU$2:$AU$200,$G125)&gt;0,
     COUNTIFS($AV$2:$AV$200,$G125)&gt;0,
     COUNTIFS($AW$2:$AW$200,$G125)&gt;0,
     COUNTIFS($AX$2:$AX$200,$G125)&gt;0
   )),
  ),
  3
 ),
"")</f>
        <v/>
      </c>
      <c r="F125" s="3" t="str" cm="1">
        <f t="array" aca="1" ref="F125" ca="1">IFERROR(
 INDEX(
  _xlfn._xlws.FILTER($U$1:$AX$1,
   TRANSPOSE(
    CHOOSE({1;2;3;4;5;6;7;8;9;10;11;12;13;14;15;16;17;18;19;20;21;22;23;24;25;26;27;28;29;30},
     COUNTIFS($U$2:$U$200,$G125)&gt;0,
     COUNTIFS($V$2:$V$200,$G125)&gt;0,
     COUNTIFS($W$2:$W$200,$G125)&gt;0,
     COUNTIFS($X$2:$X$200,$G125)&gt;0,
     COUNTIFS($Y$2:$Y$200,$G125)&gt;0,
     COUNTIFS($Z$2:$Z$200,$G125)&gt;0,
     COUNTIFS($AA$2:$AA$200,$G125)&gt;0,
     COUNTIFS($AB$2:$AB$200,$G125)&gt;0,
     COUNTIFS($AC$2:$AC$200,$G125)&gt;0,
     COUNTIFS($AD$2:$AD$200,$G125)&gt;0,
     COUNTIFS($AE$2:$AE$200,$G125)&gt;0,
     COUNTIFS($AF$2:$AF$200,$G125)&gt;0,
     COUNTIFS($AG$2:$AG$200,$G125)&gt;0,
     COUNTIFS($AH$2:$AH$200,$G125)&gt;0,
     COUNTIFS($AI$2:$AI$200,$G125)&gt;0,
     COUNTIFS($AJ$2:$AJ$200,$G125)&gt;0,
     COUNTIFS($AK$2:$AK$200,$G125)&gt;0,
     COUNTIFS($AL$2:$AL$200,$G125)&gt;0,
     COUNTIFS($AM$2:$AM$200,$G125)&gt;0,
     COUNTIFS($AN$2:$AN$200,$G125)&gt;0,
     COUNTIFS($AO$2:$AO$200,$G125)&gt;0,
     COUNTIFS($AP$2:$AP$200,$G125)&gt;0,
     COUNTIFS($AQ$2:$AQ$200,$G125)&gt;0,
     COUNTIFS($AR$2:$AR$200,$G125)&gt;0,
     COUNTIFS($AS$2:$AS$200,$G125)&gt;0,
     COUNTIFS($AT$2:$AT$200,$G125)&gt;0,
     COUNTIFS($AU$2:$AU$200,$G125)&gt;0,
     COUNTIFS($AV$2:$AV$200,$G125)&gt;0,
     COUNTIFS($AW$2:$AW$200,$G125)&gt;0,
     COUNTIFS($AX$2:$AX$200,$G125)&gt;0
   )),
  ),
  4
 ),
"")</f>
        <v/>
      </c>
      <c r="G125" t="str">
        <f ca="1"/>
        <v>Frenzied Gorespawn</v>
      </c>
      <c r="BO125" t="str">
        <f ca="1"/>
        <v>Rotating Fireplace</v>
      </c>
      <c r="BR125" t="str">
        <f ca="1"/>
        <v>Surgespanner</v>
      </c>
      <c r="BT125" t="str">
        <f ca="1"/>
        <v>Mother of runes</v>
      </c>
    </row>
    <row r="126" spans="1:72" x14ac:dyDescent="0.25">
      <c r="A126" s="3" t="str">
        <f t="shared" ca="1" si="4"/>
        <v>3</v>
      </c>
      <c r="B126" s="3">
        <f t="shared" ca="1" si="5"/>
        <v>1</v>
      </c>
      <c r="C126" s="3" t="str">
        <f ca="1">IFERROR(
 INDEX($U$1:$AX$1,
  MATCH(TRUE,
   CHOOSE({1;2;3;4;5;6;7;8;9;10;11;12;13;14;15;16;17;18;19;20;21;22;23;24;25;26;27;28;29;30;31;32},
    COUNTIFS($U$2:$U$200,$G126)&gt;0,
    COUNTIFS($V$2:$V$200,$G126)&gt;0,
    COUNTIFS($W$2:$W$200,$G126)&gt;0,
    COUNTIFS($X$2:$X$200,$G126)&gt;0,
    COUNTIFS($Y$2:$Y$200,$G126)&gt;0,
    COUNTIFS($Z$2:$Z$200,$G126)&gt;0,
    COUNTIFS($AA$2:$AA$200,$G126)&gt;0,
    COUNTIFS($AB$2:$AB$200,$G126)&gt;0,
    COUNTIFS($AC$2:$AC$200,$G126)&gt;0,
    COUNTIFS($AD$2:$AD$200,$G126)&gt;0,
    COUNTIFS($AE$2:$AE$200,$G126)&gt;0,
    COUNTIFS($AF$2:$AF$200,$G126)&gt;0,
    COUNTIFS($AG$2:$AG$200,$G126)&gt;0,
    COUNTIFS($AH$2:$AH$200,$G126)&gt;0,
    COUNTIFS($AI$2:$AI$200,$G126)&gt;0,
    COUNTIFS($AJ$2:$AJ$200,$G126)&gt;0,
    COUNTIFS($AK$2:$AK$200,$G126)&gt;0,
    COUNTIFS($AL$2:$AL$200,$G126)&gt;0,
    COUNTIFS($AM$2:$AM$200,$G126)&gt;0,
    COUNTIFS($AN$2:$AN$200,$G126)&gt;0,
    COUNTIFS($AO$2:$AO$200,$G126)&gt;0,
    COUNTIFS($AP$2:$AP$200,$G126)&gt;0,
    COUNTIFS($AQ$2:$AQ$200,$G126)&gt;0,
    COUNTIFS($AR$2:$AR$200,$G126)&gt;0,
    COUNTIFS($AS$2:$AS$200,$G126)&gt;0,
    COUNTIFS($AT$2:$AT$200,$G126)&gt;0,
    COUNTIFS($AU$2:$AU$200,$G126)&gt;0,
    COUNTIFS($AV$2:$AV$200,$G126)&gt;0,
    COUNTIFS($AW$2:$AW$200,$G126)&gt;0,
    COUNTIFS($AX$2:$AX$200,$G126)&gt;0
   ),
  0)
 ),
"")</f>
        <v>Sisay</v>
      </c>
      <c r="D126" s="3" t="str" cm="1">
        <f t="array" aca="1" ref="D126" ca="1">IFERROR(
 INDEX(
  _xlfn._xlws.FILTER($U$1:$AX$1,
   TRANSPOSE(
    CHOOSE({1;2;3;4;5;6;7;8;9;10;11;12;13;14;15;16;17;18;19;20;21;22;23;24;25;26;27;28;29;30},
     COUNTIFS($U$2:$U$200,$G126)&gt;0,
     COUNTIFS($V$2:$V$200,$G126)&gt;0,
     COUNTIFS($W$2:$W$200,$G126)&gt;0,
     COUNTIFS($X$2:$X$200,$G126)&gt;0,
     COUNTIFS($Y$2:$Y$200,$G126)&gt;0,
     COUNTIFS($Z$2:$Z$200,$G126)&gt;0,
     COUNTIFS($AA$2:$AA$200,$G126)&gt;0,
     COUNTIFS($AB$2:$AB$200,$G126)&gt;0,
     COUNTIFS($AC$2:$AC$200,$G126)&gt;0,
     COUNTIFS($AD$2:$AD$200,$G126)&gt;0,
     COUNTIFS($AE$2:$AE$200,$G126)&gt;0,
     COUNTIFS($AF$2:$AF$200,$G126)&gt;0,
     COUNTIFS($AG$2:$AG$200,$G126)&gt;0,
     COUNTIFS($AH$2:$AH$200,$G126)&gt;0,
     COUNTIFS($AI$2:$AI$200,$G126)&gt;0,
     COUNTIFS($AJ$2:$AJ$200,$G126)&gt;0,
     COUNTIFS($AK$2:$AK$200,$G126)&gt;0,
     COUNTIFS($AL$2:$AL$200,$G126)&gt;0,
     COUNTIFS($AM$2:$AM$200,$G126)&gt;0,
     COUNTIFS($AN$2:$AN$200,$G126)&gt;0,
     COUNTIFS($AO$2:$AO$200,$G126)&gt;0,
     COUNTIFS($AP$2:$AP$200,$G126)&gt;0,
     COUNTIFS($AQ$2:$AQ$200,$G126)&gt;0,
     COUNTIFS($AR$2:$AR$200,$G126)&gt;0,
     COUNTIFS($AS$2:$AS$200,$G126)&gt;0,
     COUNTIFS($AT$2:$AT$200,$G126)&gt;0,
     COUNTIFS($AU$2:$AU$200,$G126)&gt;0,
     COUNTIFS($AV$2:$AV$200,$G126)&gt;0,
     COUNTIFS($AW$2:$AW$200,$G126)&gt;0,
     COUNTIFS($AX$2:$AX$200,$G126)&gt;0
   )),
  ),
  2
 ),
"")</f>
        <v/>
      </c>
      <c r="E126" s="3" t="str" cm="1">
        <f t="array" aca="1" ref="E126" ca="1">IFERROR(
 INDEX(
  _xlfn._xlws.FILTER($U$1:$AX$1,
   TRANSPOSE(
    CHOOSE({1;2;3;4;5;6;7;8;9;10;11;12;13;14;15;16;17;18;19;20;21;22;23;24;25;26;27;28;29;30},
     COUNTIFS($U$2:$U$200,$G126)&gt;0,
     COUNTIFS($V$2:$V$200,$G126)&gt;0,
     COUNTIFS($W$2:$W$200,$G126)&gt;0,
     COUNTIFS($X$2:$X$200,$G126)&gt;0,
     COUNTIFS($Y$2:$Y$200,$G126)&gt;0,
     COUNTIFS($Z$2:$Z$200,$G126)&gt;0,
     COUNTIFS($AA$2:$AA$200,$G126)&gt;0,
     COUNTIFS($AB$2:$AB$200,$G126)&gt;0,
     COUNTIFS($AC$2:$AC$200,$G126)&gt;0,
     COUNTIFS($AD$2:$AD$200,$G126)&gt;0,
     COUNTIFS($AE$2:$AE$200,$G126)&gt;0,
     COUNTIFS($AF$2:$AF$200,$G126)&gt;0,
     COUNTIFS($AG$2:$AG$200,$G126)&gt;0,
     COUNTIFS($AH$2:$AH$200,$G126)&gt;0,
     COUNTIFS($AI$2:$AI$200,$G126)&gt;0,
     COUNTIFS($AJ$2:$AJ$200,$G126)&gt;0,
     COUNTIFS($AK$2:$AK$200,$G126)&gt;0,
     COUNTIFS($AL$2:$AL$200,$G126)&gt;0,
     COUNTIFS($AM$2:$AM$200,$G126)&gt;0,
     COUNTIFS($AN$2:$AN$200,$G126)&gt;0,
     COUNTIFS($AO$2:$AO$200,$G126)&gt;0,
     COUNTIFS($AP$2:$AP$200,$G126)&gt;0,
     COUNTIFS($AQ$2:$AQ$200,$G126)&gt;0,
     COUNTIFS($AR$2:$AR$200,$G126)&gt;0,
     COUNTIFS($AS$2:$AS$200,$G126)&gt;0,
     COUNTIFS($AT$2:$AT$200,$G126)&gt;0,
     COUNTIFS($AU$2:$AU$200,$G126)&gt;0,
     COUNTIFS($AV$2:$AV$200,$G126)&gt;0,
     COUNTIFS($AW$2:$AW$200,$G126)&gt;0,
     COUNTIFS($AX$2:$AX$200,$G126)&gt;0
   )),
  ),
  3
 ),
"")</f>
        <v/>
      </c>
      <c r="F126" s="3" t="str" cm="1">
        <f t="array" aca="1" ref="F126" ca="1">IFERROR(
 INDEX(
  _xlfn._xlws.FILTER($U$1:$AX$1,
   TRANSPOSE(
    CHOOSE({1;2;3;4;5;6;7;8;9;10;11;12;13;14;15;16;17;18;19;20;21;22;23;24;25;26;27;28;29;30},
     COUNTIFS($U$2:$U$200,$G126)&gt;0,
     COUNTIFS($V$2:$V$200,$G126)&gt;0,
     COUNTIFS($W$2:$W$200,$G126)&gt;0,
     COUNTIFS($X$2:$X$200,$G126)&gt;0,
     COUNTIFS($Y$2:$Y$200,$G126)&gt;0,
     COUNTIFS($Z$2:$Z$200,$G126)&gt;0,
     COUNTIFS($AA$2:$AA$200,$G126)&gt;0,
     COUNTIFS($AB$2:$AB$200,$G126)&gt;0,
     COUNTIFS($AC$2:$AC$200,$G126)&gt;0,
     COUNTIFS($AD$2:$AD$200,$G126)&gt;0,
     COUNTIFS($AE$2:$AE$200,$G126)&gt;0,
     COUNTIFS($AF$2:$AF$200,$G126)&gt;0,
     COUNTIFS($AG$2:$AG$200,$G126)&gt;0,
     COUNTIFS($AH$2:$AH$200,$G126)&gt;0,
     COUNTIFS($AI$2:$AI$200,$G126)&gt;0,
     COUNTIFS($AJ$2:$AJ$200,$G126)&gt;0,
     COUNTIFS($AK$2:$AK$200,$G126)&gt;0,
     COUNTIFS($AL$2:$AL$200,$G126)&gt;0,
     COUNTIFS($AM$2:$AM$200,$G126)&gt;0,
     COUNTIFS($AN$2:$AN$200,$G126)&gt;0,
     COUNTIFS($AO$2:$AO$200,$G126)&gt;0,
     COUNTIFS($AP$2:$AP$200,$G126)&gt;0,
     COUNTIFS($AQ$2:$AQ$200,$G126)&gt;0,
     COUNTIFS($AR$2:$AR$200,$G126)&gt;0,
     COUNTIFS($AS$2:$AS$200,$G126)&gt;0,
     COUNTIFS($AT$2:$AT$200,$G126)&gt;0,
     COUNTIFS($AU$2:$AU$200,$G126)&gt;0,
     COUNTIFS($AV$2:$AV$200,$G126)&gt;0,
     COUNTIFS($AW$2:$AW$200,$G126)&gt;0,
     COUNTIFS($AX$2:$AX$200,$G126)&gt;0
   )),
  ),
  4
 ),
"")</f>
        <v/>
      </c>
      <c r="G126" t="str">
        <f ca="1"/>
        <v>Freyalise, Llanowar's Fury</v>
      </c>
      <c r="BO126" t="str">
        <f ca="1"/>
        <v>Rustvale Bridge</v>
      </c>
      <c r="BR126" t="str">
        <f ca="1"/>
        <v>Susur Secundi, Void Altar</v>
      </c>
      <c r="BT126" t="str">
        <f ca="1"/>
        <v>Nibelheim Aflame</v>
      </c>
    </row>
    <row r="127" spans="1:72" x14ac:dyDescent="0.25">
      <c r="A127" s="3" t="str">
        <f t="shared" ca="1" si="4"/>
        <v>2</v>
      </c>
      <c r="B127" s="3">
        <f t="shared" ca="1" si="5"/>
        <v>1</v>
      </c>
      <c r="C127" s="3" t="str">
        <f ca="1">IFERROR(
 INDEX($U$1:$AX$1,
  MATCH(TRUE,
   CHOOSE({1;2;3;4;5;6;7;8;9;10;11;12;13;14;15;16;17;18;19;20;21;22;23;24;25;26;27;28;29;30;31;32},
    COUNTIFS($U$2:$U$200,$G127)&gt;0,
    COUNTIFS($V$2:$V$200,$G127)&gt;0,
    COUNTIFS($W$2:$W$200,$G127)&gt;0,
    COUNTIFS($X$2:$X$200,$G127)&gt;0,
    COUNTIFS($Y$2:$Y$200,$G127)&gt;0,
    COUNTIFS($Z$2:$Z$200,$G127)&gt;0,
    COUNTIFS($AA$2:$AA$200,$G127)&gt;0,
    COUNTIFS($AB$2:$AB$200,$G127)&gt;0,
    COUNTIFS($AC$2:$AC$200,$G127)&gt;0,
    COUNTIFS($AD$2:$AD$200,$G127)&gt;0,
    COUNTIFS($AE$2:$AE$200,$G127)&gt;0,
    COUNTIFS($AF$2:$AF$200,$G127)&gt;0,
    COUNTIFS($AG$2:$AG$200,$G127)&gt;0,
    COUNTIFS($AH$2:$AH$200,$G127)&gt;0,
    COUNTIFS($AI$2:$AI$200,$G127)&gt;0,
    COUNTIFS($AJ$2:$AJ$200,$G127)&gt;0,
    COUNTIFS($AK$2:$AK$200,$G127)&gt;0,
    COUNTIFS($AL$2:$AL$200,$G127)&gt;0,
    COUNTIFS($AM$2:$AM$200,$G127)&gt;0,
    COUNTIFS($AN$2:$AN$200,$G127)&gt;0,
    COUNTIFS($AO$2:$AO$200,$G127)&gt;0,
    COUNTIFS($AP$2:$AP$200,$G127)&gt;0,
    COUNTIFS($AQ$2:$AQ$200,$G127)&gt;0,
    COUNTIFS($AR$2:$AR$200,$G127)&gt;0,
    COUNTIFS($AS$2:$AS$200,$G127)&gt;0,
    COUNTIFS($AT$2:$AT$200,$G127)&gt;0,
    COUNTIFS($AU$2:$AU$200,$G127)&gt;0,
    COUNTIFS($AV$2:$AV$200,$G127)&gt;0,
    COUNTIFS($AW$2:$AW$200,$G127)&gt;0,
    COUNTIFS($AX$2:$AX$200,$G127)&gt;0
   ),
  0)
 ),
"")</f>
        <v>Narset</v>
      </c>
      <c r="D127" s="3" t="str" cm="1">
        <f t="array" aca="1" ref="D127" ca="1">IFERROR(
 INDEX(
  _xlfn._xlws.FILTER($U$1:$AX$1,
   TRANSPOSE(
    CHOOSE({1;2;3;4;5;6;7;8;9;10;11;12;13;14;15;16;17;18;19;20;21;22;23;24;25;26;27;28;29;30},
     COUNTIFS($U$2:$U$200,$G127)&gt;0,
     COUNTIFS($V$2:$V$200,$G127)&gt;0,
     COUNTIFS($W$2:$W$200,$G127)&gt;0,
     COUNTIFS($X$2:$X$200,$G127)&gt;0,
     COUNTIFS($Y$2:$Y$200,$G127)&gt;0,
     COUNTIFS($Z$2:$Z$200,$G127)&gt;0,
     COUNTIFS($AA$2:$AA$200,$G127)&gt;0,
     COUNTIFS($AB$2:$AB$200,$G127)&gt;0,
     COUNTIFS($AC$2:$AC$200,$G127)&gt;0,
     COUNTIFS($AD$2:$AD$200,$G127)&gt;0,
     COUNTIFS($AE$2:$AE$200,$G127)&gt;0,
     COUNTIFS($AF$2:$AF$200,$G127)&gt;0,
     COUNTIFS($AG$2:$AG$200,$G127)&gt;0,
     COUNTIFS($AH$2:$AH$200,$G127)&gt;0,
     COUNTIFS($AI$2:$AI$200,$G127)&gt;0,
     COUNTIFS($AJ$2:$AJ$200,$G127)&gt;0,
     COUNTIFS($AK$2:$AK$200,$G127)&gt;0,
     COUNTIFS($AL$2:$AL$200,$G127)&gt;0,
     COUNTIFS($AM$2:$AM$200,$G127)&gt;0,
     COUNTIFS($AN$2:$AN$200,$G127)&gt;0,
     COUNTIFS($AO$2:$AO$200,$G127)&gt;0,
     COUNTIFS($AP$2:$AP$200,$G127)&gt;0,
     COUNTIFS($AQ$2:$AQ$200,$G127)&gt;0,
     COUNTIFS($AR$2:$AR$200,$G127)&gt;0,
     COUNTIFS($AS$2:$AS$200,$G127)&gt;0,
     COUNTIFS($AT$2:$AT$200,$G127)&gt;0,
     COUNTIFS($AU$2:$AU$200,$G127)&gt;0,
     COUNTIFS($AV$2:$AV$200,$G127)&gt;0,
     COUNTIFS($AW$2:$AW$200,$G127)&gt;0,
     COUNTIFS($AX$2:$AX$200,$G127)&gt;0
   )),
  ),
  2
 ),
"")</f>
        <v/>
      </c>
      <c r="E127" s="3" t="str" cm="1">
        <f t="array" aca="1" ref="E127" ca="1">IFERROR(
 INDEX(
  _xlfn._xlws.FILTER($U$1:$AX$1,
   TRANSPOSE(
    CHOOSE({1;2;3;4;5;6;7;8;9;10;11;12;13;14;15;16;17;18;19;20;21;22;23;24;25;26;27;28;29;30},
     COUNTIFS($U$2:$U$200,$G127)&gt;0,
     COUNTIFS($V$2:$V$200,$G127)&gt;0,
     COUNTIFS($W$2:$W$200,$G127)&gt;0,
     COUNTIFS($X$2:$X$200,$G127)&gt;0,
     COUNTIFS($Y$2:$Y$200,$G127)&gt;0,
     COUNTIFS($Z$2:$Z$200,$G127)&gt;0,
     COUNTIFS($AA$2:$AA$200,$G127)&gt;0,
     COUNTIFS($AB$2:$AB$200,$G127)&gt;0,
     COUNTIFS($AC$2:$AC$200,$G127)&gt;0,
     COUNTIFS($AD$2:$AD$200,$G127)&gt;0,
     COUNTIFS($AE$2:$AE$200,$G127)&gt;0,
     COUNTIFS($AF$2:$AF$200,$G127)&gt;0,
     COUNTIFS($AG$2:$AG$200,$G127)&gt;0,
     COUNTIFS($AH$2:$AH$200,$G127)&gt;0,
     COUNTIFS($AI$2:$AI$200,$G127)&gt;0,
     COUNTIFS($AJ$2:$AJ$200,$G127)&gt;0,
     COUNTIFS($AK$2:$AK$200,$G127)&gt;0,
     COUNTIFS($AL$2:$AL$200,$G127)&gt;0,
     COUNTIFS($AM$2:$AM$200,$G127)&gt;0,
     COUNTIFS($AN$2:$AN$200,$G127)&gt;0,
     COUNTIFS($AO$2:$AO$200,$G127)&gt;0,
     COUNTIFS($AP$2:$AP$200,$G127)&gt;0,
     COUNTIFS($AQ$2:$AQ$200,$G127)&gt;0,
     COUNTIFS($AR$2:$AR$200,$G127)&gt;0,
     COUNTIFS($AS$2:$AS$200,$G127)&gt;0,
     COUNTIFS($AT$2:$AT$200,$G127)&gt;0,
     COUNTIFS($AU$2:$AU$200,$G127)&gt;0,
     COUNTIFS($AV$2:$AV$200,$G127)&gt;0,
     COUNTIFS($AW$2:$AW$200,$G127)&gt;0,
     COUNTIFS($AX$2:$AX$200,$G127)&gt;0
   )),
  ),
  3
 ),
"")</f>
        <v/>
      </c>
      <c r="F127" s="3" t="str" cm="1">
        <f t="array" aca="1" ref="F127" ca="1">IFERROR(
 INDEX(
  _xlfn._xlws.FILTER($U$1:$AX$1,
   TRANSPOSE(
    CHOOSE({1;2;3;4;5;6;7;8;9;10;11;12;13;14;15;16;17;18;19;20;21;22;23;24;25;26;27;28;29;30},
     COUNTIFS($U$2:$U$200,$G127)&gt;0,
     COUNTIFS($V$2:$V$200,$G127)&gt;0,
     COUNTIFS($W$2:$W$200,$G127)&gt;0,
     COUNTIFS($X$2:$X$200,$G127)&gt;0,
     COUNTIFS($Y$2:$Y$200,$G127)&gt;0,
     COUNTIFS($Z$2:$Z$200,$G127)&gt;0,
     COUNTIFS($AA$2:$AA$200,$G127)&gt;0,
     COUNTIFS($AB$2:$AB$200,$G127)&gt;0,
     COUNTIFS($AC$2:$AC$200,$G127)&gt;0,
     COUNTIFS($AD$2:$AD$200,$G127)&gt;0,
     COUNTIFS($AE$2:$AE$200,$G127)&gt;0,
     COUNTIFS($AF$2:$AF$200,$G127)&gt;0,
     COUNTIFS($AG$2:$AG$200,$G127)&gt;0,
     COUNTIFS($AH$2:$AH$200,$G127)&gt;0,
     COUNTIFS($AI$2:$AI$200,$G127)&gt;0,
     COUNTIFS($AJ$2:$AJ$200,$G127)&gt;0,
     COUNTIFS($AK$2:$AK$200,$G127)&gt;0,
     COUNTIFS($AL$2:$AL$200,$G127)&gt;0,
     COUNTIFS($AM$2:$AM$200,$G127)&gt;0,
     COUNTIFS($AN$2:$AN$200,$G127)&gt;0,
     COUNTIFS($AO$2:$AO$200,$G127)&gt;0,
     COUNTIFS($AP$2:$AP$200,$G127)&gt;0,
     COUNTIFS($AQ$2:$AQ$200,$G127)&gt;0,
     COUNTIFS($AR$2:$AR$200,$G127)&gt;0,
     COUNTIFS($AS$2:$AS$200,$G127)&gt;0,
     COUNTIFS($AT$2:$AT$200,$G127)&gt;0,
     COUNTIFS($AU$2:$AU$200,$G127)&gt;0,
     COUNTIFS($AV$2:$AV$200,$G127)&gt;0,
     COUNTIFS($AW$2:$AW$200,$G127)&gt;0,
     COUNTIFS($AX$2:$AX$200,$G127)&gt;0
   )),
  ),
  4
 ),
"")</f>
        <v/>
      </c>
      <c r="G127" t="str">
        <f ca="1"/>
        <v>Full Throttle</v>
      </c>
      <c r="BO127" t="str">
        <f ca="1"/>
        <v>Sacred Ground</v>
      </c>
      <c r="BR127" t="str">
        <f ca="1"/>
        <v>Takenuma, Charco Abandonado</v>
      </c>
      <c r="BT127" t="str">
        <f ca="1"/>
        <v>Nicol Bolas, God-Pharaoh</v>
      </c>
    </row>
    <row r="128" spans="1:72" x14ac:dyDescent="0.25">
      <c r="A128" s="3" t="str">
        <f t="shared" ca="1" si="4"/>
        <v>2</v>
      </c>
      <c r="B128" s="3">
        <f t="shared" ca="1" si="5"/>
        <v>1</v>
      </c>
      <c r="C128" s="3" t="str">
        <f ca="1">IFERROR(
 INDEX($U$1:$AX$1,
  MATCH(TRUE,
   CHOOSE({1;2;3;4;5;6;7;8;9;10;11;12;13;14;15;16;17;18;19;20;21;22;23;24;25;26;27;28;29;30;31;32},
    COUNTIFS($U$2:$U$200,$G128)&gt;0,
    COUNTIFS($V$2:$V$200,$G128)&gt;0,
    COUNTIFS($W$2:$W$200,$G128)&gt;0,
    COUNTIFS($X$2:$X$200,$G128)&gt;0,
    COUNTIFS($Y$2:$Y$200,$G128)&gt;0,
    COUNTIFS($Z$2:$Z$200,$G128)&gt;0,
    COUNTIFS($AA$2:$AA$200,$G128)&gt;0,
    COUNTIFS($AB$2:$AB$200,$G128)&gt;0,
    COUNTIFS($AC$2:$AC$200,$G128)&gt;0,
    COUNTIFS($AD$2:$AD$200,$G128)&gt;0,
    COUNTIFS($AE$2:$AE$200,$G128)&gt;0,
    COUNTIFS($AF$2:$AF$200,$G128)&gt;0,
    COUNTIFS($AG$2:$AG$200,$G128)&gt;0,
    COUNTIFS($AH$2:$AH$200,$G128)&gt;0,
    COUNTIFS($AI$2:$AI$200,$G128)&gt;0,
    COUNTIFS($AJ$2:$AJ$200,$G128)&gt;0,
    COUNTIFS($AK$2:$AK$200,$G128)&gt;0,
    COUNTIFS($AL$2:$AL$200,$G128)&gt;0,
    COUNTIFS($AM$2:$AM$200,$G128)&gt;0,
    COUNTIFS($AN$2:$AN$200,$G128)&gt;0,
    COUNTIFS($AO$2:$AO$200,$G128)&gt;0,
    COUNTIFS($AP$2:$AP$200,$G128)&gt;0,
    COUNTIFS($AQ$2:$AQ$200,$G128)&gt;0,
    COUNTIFS($AR$2:$AR$200,$G128)&gt;0,
    COUNTIFS($AS$2:$AS$200,$G128)&gt;0,
    COUNTIFS($AT$2:$AT$200,$G128)&gt;0,
    COUNTIFS($AU$2:$AU$200,$G128)&gt;0,
    COUNTIFS($AV$2:$AV$200,$G128)&gt;0,
    COUNTIFS($AW$2:$AW$200,$G128)&gt;0,
    COUNTIFS($AX$2:$AX$200,$G128)&gt;0
   ),
  0)
 ),
"")</f>
        <v>Rani</v>
      </c>
      <c r="D128" s="3" t="str" cm="1">
        <f t="array" aca="1" ref="D128" ca="1">IFERROR(
 INDEX(
  _xlfn._xlws.FILTER($U$1:$AX$1,
   TRANSPOSE(
    CHOOSE({1;2;3;4;5;6;7;8;9;10;11;12;13;14;15;16;17;18;19;20;21;22;23;24;25;26;27;28;29;30},
     COUNTIFS($U$2:$U$200,$G128)&gt;0,
     COUNTIFS($V$2:$V$200,$G128)&gt;0,
     COUNTIFS($W$2:$W$200,$G128)&gt;0,
     COUNTIFS($X$2:$X$200,$G128)&gt;0,
     COUNTIFS($Y$2:$Y$200,$G128)&gt;0,
     COUNTIFS($Z$2:$Z$200,$G128)&gt;0,
     COUNTIFS($AA$2:$AA$200,$G128)&gt;0,
     COUNTIFS($AB$2:$AB$200,$G128)&gt;0,
     COUNTIFS($AC$2:$AC$200,$G128)&gt;0,
     COUNTIFS($AD$2:$AD$200,$G128)&gt;0,
     COUNTIFS($AE$2:$AE$200,$G128)&gt;0,
     COUNTIFS($AF$2:$AF$200,$G128)&gt;0,
     COUNTIFS($AG$2:$AG$200,$G128)&gt;0,
     COUNTIFS($AH$2:$AH$200,$G128)&gt;0,
     COUNTIFS($AI$2:$AI$200,$G128)&gt;0,
     COUNTIFS($AJ$2:$AJ$200,$G128)&gt;0,
     COUNTIFS($AK$2:$AK$200,$G128)&gt;0,
     COUNTIFS($AL$2:$AL$200,$G128)&gt;0,
     COUNTIFS($AM$2:$AM$200,$G128)&gt;0,
     COUNTIFS($AN$2:$AN$200,$G128)&gt;0,
     COUNTIFS($AO$2:$AO$200,$G128)&gt;0,
     COUNTIFS($AP$2:$AP$200,$G128)&gt;0,
     COUNTIFS($AQ$2:$AQ$200,$G128)&gt;0,
     COUNTIFS($AR$2:$AR$200,$G128)&gt;0,
     COUNTIFS($AS$2:$AS$200,$G128)&gt;0,
     COUNTIFS($AT$2:$AT$200,$G128)&gt;0,
     COUNTIFS($AU$2:$AU$200,$G128)&gt;0,
     COUNTIFS($AV$2:$AV$200,$G128)&gt;0,
     COUNTIFS($AW$2:$AW$200,$G128)&gt;0,
     COUNTIFS($AX$2:$AX$200,$G128)&gt;0
   )),
  ),
  2
 ),
"")</f>
        <v/>
      </c>
      <c r="E128" s="3" t="str" cm="1">
        <f t="array" aca="1" ref="E128" ca="1">IFERROR(
 INDEX(
  _xlfn._xlws.FILTER($U$1:$AX$1,
   TRANSPOSE(
    CHOOSE({1;2;3;4;5;6;7;8;9;10;11;12;13;14;15;16;17;18;19;20;21;22;23;24;25;26;27;28;29;30},
     COUNTIFS($U$2:$U$200,$G128)&gt;0,
     COUNTIFS($V$2:$V$200,$G128)&gt;0,
     COUNTIFS($W$2:$W$200,$G128)&gt;0,
     COUNTIFS($X$2:$X$200,$G128)&gt;0,
     COUNTIFS($Y$2:$Y$200,$G128)&gt;0,
     COUNTIFS($Z$2:$Z$200,$G128)&gt;0,
     COUNTIFS($AA$2:$AA$200,$G128)&gt;0,
     COUNTIFS($AB$2:$AB$200,$G128)&gt;0,
     COUNTIFS($AC$2:$AC$200,$G128)&gt;0,
     COUNTIFS($AD$2:$AD$200,$G128)&gt;0,
     COUNTIFS($AE$2:$AE$200,$G128)&gt;0,
     COUNTIFS($AF$2:$AF$200,$G128)&gt;0,
     COUNTIFS($AG$2:$AG$200,$G128)&gt;0,
     COUNTIFS($AH$2:$AH$200,$G128)&gt;0,
     COUNTIFS($AI$2:$AI$200,$G128)&gt;0,
     COUNTIFS($AJ$2:$AJ$200,$G128)&gt;0,
     COUNTIFS($AK$2:$AK$200,$G128)&gt;0,
     COUNTIFS($AL$2:$AL$200,$G128)&gt;0,
     COUNTIFS($AM$2:$AM$200,$G128)&gt;0,
     COUNTIFS($AN$2:$AN$200,$G128)&gt;0,
     COUNTIFS($AO$2:$AO$200,$G128)&gt;0,
     COUNTIFS($AP$2:$AP$200,$G128)&gt;0,
     COUNTIFS($AQ$2:$AQ$200,$G128)&gt;0,
     COUNTIFS($AR$2:$AR$200,$G128)&gt;0,
     COUNTIFS($AS$2:$AS$200,$G128)&gt;0,
     COUNTIFS($AT$2:$AT$200,$G128)&gt;0,
     COUNTIFS($AU$2:$AU$200,$G128)&gt;0,
     COUNTIFS($AV$2:$AV$200,$G128)&gt;0,
     COUNTIFS($AW$2:$AW$200,$G128)&gt;0,
     COUNTIFS($AX$2:$AX$200,$G128)&gt;0
   )),
  ),
  3
 ),
"")</f>
        <v/>
      </c>
      <c r="F128" s="3" t="str" cm="1">
        <f t="array" aca="1" ref="F128" ca="1">IFERROR(
 INDEX(
  _xlfn._xlws.FILTER($U$1:$AX$1,
   TRANSPOSE(
    CHOOSE({1;2;3;4;5;6;7;8;9;10;11;12;13;14;15;16;17;18;19;20;21;22;23;24;25;26;27;28;29;30},
     COUNTIFS($U$2:$U$200,$G128)&gt;0,
     COUNTIFS($V$2:$V$200,$G128)&gt;0,
     COUNTIFS($W$2:$W$200,$G128)&gt;0,
     COUNTIFS($X$2:$X$200,$G128)&gt;0,
     COUNTIFS($Y$2:$Y$200,$G128)&gt;0,
     COUNTIFS($Z$2:$Z$200,$G128)&gt;0,
     COUNTIFS($AA$2:$AA$200,$G128)&gt;0,
     COUNTIFS($AB$2:$AB$200,$G128)&gt;0,
     COUNTIFS($AC$2:$AC$200,$G128)&gt;0,
     COUNTIFS($AD$2:$AD$200,$G128)&gt;0,
     COUNTIFS($AE$2:$AE$200,$G128)&gt;0,
     COUNTIFS($AF$2:$AF$200,$G128)&gt;0,
     COUNTIFS($AG$2:$AG$200,$G128)&gt;0,
     COUNTIFS($AH$2:$AH$200,$G128)&gt;0,
     COUNTIFS($AI$2:$AI$200,$G128)&gt;0,
     COUNTIFS($AJ$2:$AJ$200,$G128)&gt;0,
     COUNTIFS($AK$2:$AK$200,$G128)&gt;0,
     COUNTIFS($AL$2:$AL$200,$G128)&gt;0,
     COUNTIFS($AM$2:$AM$200,$G128)&gt;0,
     COUNTIFS($AN$2:$AN$200,$G128)&gt;0,
     COUNTIFS($AO$2:$AO$200,$G128)&gt;0,
     COUNTIFS($AP$2:$AP$200,$G128)&gt;0,
     COUNTIFS($AQ$2:$AQ$200,$G128)&gt;0,
     COUNTIFS($AR$2:$AR$200,$G128)&gt;0,
     COUNTIFS($AS$2:$AS$200,$G128)&gt;0,
     COUNTIFS($AT$2:$AT$200,$G128)&gt;0,
     COUNTIFS($AU$2:$AU$200,$G128)&gt;0,
     COUNTIFS($AV$2:$AV$200,$G128)&gt;0,
     COUNTIFS($AW$2:$AW$200,$G128)&gt;0,
     COUNTIFS($AX$2:$AX$200,$G128)&gt;0
   )),
  ),
  4
 ),
"")</f>
        <v/>
      </c>
      <c r="G128" t="str">
        <f ca="1"/>
        <v>Gallifrey Council Chamber</v>
      </c>
      <c r="BO128" t="str">
        <f ca="1"/>
        <v>Sakura-Tribe Elder</v>
      </c>
      <c r="BR128" t="str">
        <f ca="1"/>
        <v>Teferi's Ageless Insight</v>
      </c>
      <c r="BT128" t="str">
        <f ca="1"/>
        <v>Nissa, Resurgent Animist</v>
      </c>
    </row>
    <row r="129" spans="1:72" x14ac:dyDescent="0.25">
      <c r="A129" s="3" t="str">
        <f t="shared" ca="1" si="4"/>
        <v>1</v>
      </c>
      <c r="B129" s="3">
        <f t="shared" ca="1" si="5"/>
        <v>3</v>
      </c>
      <c r="C129" s="3" t="str">
        <f ca="1">IFERROR(
 INDEX($U$1:$AX$1,
  MATCH(TRUE,
   CHOOSE({1;2;3;4;5;6;7;8;9;10;11;12;13;14;15;16;17;18;19;20;21;22;23;24;25;26;27;28;29;30;31;32},
    COUNTIFS($U$2:$U$200,$G129)&gt;0,
    COUNTIFS($V$2:$V$200,$G129)&gt;0,
    COUNTIFS($W$2:$W$200,$G129)&gt;0,
    COUNTIFS($X$2:$X$200,$G129)&gt;0,
    COUNTIFS($Y$2:$Y$200,$G129)&gt;0,
    COUNTIFS($Z$2:$Z$200,$G129)&gt;0,
    COUNTIFS($AA$2:$AA$200,$G129)&gt;0,
    COUNTIFS($AB$2:$AB$200,$G129)&gt;0,
    COUNTIFS($AC$2:$AC$200,$G129)&gt;0,
    COUNTIFS($AD$2:$AD$200,$G129)&gt;0,
    COUNTIFS($AE$2:$AE$200,$G129)&gt;0,
    COUNTIFS($AF$2:$AF$200,$G129)&gt;0,
    COUNTIFS($AG$2:$AG$200,$G129)&gt;0,
    COUNTIFS($AH$2:$AH$200,$G129)&gt;0,
    COUNTIFS($AI$2:$AI$200,$G129)&gt;0,
    COUNTIFS($AJ$2:$AJ$200,$G129)&gt;0,
    COUNTIFS($AK$2:$AK$200,$G129)&gt;0,
    COUNTIFS($AL$2:$AL$200,$G129)&gt;0,
    COUNTIFS($AM$2:$AM$200,$G129)&gt;0,
    COUNTIFS($AN$2:$AN$200,$G129)&gt;0,
    COUNTIFS($AO$2:$AO$200,$G129)&gt;0,
    COUNTIFS($AP$2:$AP$200,$G129)&gt;0,
    COUNTIFS($AQ$2:$AQ$200,$G129)&gt;0,
    COUNTIFS($AR$2:$AR$200,$G129)&gt;0,
    COUNTIFS($AS$2:$AS$200,$G129)&gt;0,
    COUNTIFS($AT$2:$AT$200,$G129)&gt;0,
    COUNTIFS($AU$2:$AU$200,$G129)&gt;0,
    COUNTIFS($AV$2:$AV$200,$G129)&gt;0,
    COUNTIFS($AW$2:$AW$200,$G129)&gt;0,
    COUNTIFS($AX$2:$AX$200,$G129)&gt;0
   ),
  0)
 ),
"")</f>
        <v>Baylen</v>
      </c>
      <c r="D129" s="3" t="str" cm="1">
        <f t="array" aca="1" ref="D129" ca="1">IFERROR(
 INDEX(
  _xlfn._xlws.FILTER($U$1:$AX$1,
   TRANSPOSE(
    CHOOSE({1;2;3;4;5;6;7;8;9;10;11;12;13;14;15;16;17;18;19;20;21;22;23;24;25;26;27;28;29;30},
     COUNTIFS($U$2:$U$200,$G129)&gt;0,
     COUNTIFS($V$2:$V$200,$G129)&gt;0,
     COUNTIFS($W$2:$W$200,$G129)&gt;0,
     COUNTIFS($X$2:$X$200,$G129)&gt;0,
     COUNTIFS($Y$2:$Y$200,$G129)&gt;0,
     COUNTIFS($Z$2:$Z$200,$G129)&gt;0,
     COUNTIFS($AA$2:$AA$200,$G129)&gt;0,
     COUNTIFS($AB$2:$AB$200,$G129)&gt;0,
     COUNTIFS($AC$2:$AC$200,$G129)&gt;0,
     COUNTIFS($AD$2:$AD$200,$G129)&gt;0,
     COUNTIFS($AE$2:$AE$200,$G129)&gt;0,
     COUNTIFS($AF$2:$AF$200,$G129)&gt;0,
     COUNTIFS($AG$2:$AG$200,$G129)&gt;0,
     COUNTIFS($AH$2:$AH$200,$G129)&gt;0,
     COUNTIFS($AI$2:$AI$200,$G129)&gt;0,
     COUNTIFS($AJ$2:$AJ$200,$G129)&gt;0,
     COUNTIFS($AK$2:$AK$200,$G129)&gt;0,
     COUNTIFS($AL$2:$AL$200,$G129)&gt;0,
     COUNTIFS($AM$2:$AM$200,$G129)&gt;0,
     COUNTIFS($AN$2:$AN$200,$G129)&gt;0,
     COUNTIFS($AO$2:$AO$200,$G129)&gt;0,
     COUNTIFS($AP$2:$AP$200,$G129)&gt;0,
     COUNTIFS($AQ$2:$AQ$200,$G129)&gt;0,
     COUNTIFS($AR$2:$AR$200,$G129)&gt;0,
     COUNTIFS($AS$2:$AS$200,$G129)&gt;0,
     COUNTIFS($AT$2:$AT$200,$G129)&gt;0,
     COUNTIFS($AU$2:$AU$200,$G129)&gt;0,
     COUNTIFS($AV$2:$AV$200,$G129)&gt;0,
     COUNTIFS($AW$2:$AW$200,$G129)&gt;0,
     COUNTIFS($AX$2:$AX$200,$G129)&gt;0
   )),
  ),
  2
 ),
"")</f>
        <v>Tayam</v>
      </c>
      <c r="E129" s="3" t="str" cm="1">
        <f t="array" aca="1" ref="E129" ca="1">IFERROR(
 INDEX(
  _xlfn._xlws.FILTER($U$1:$AX$1,
   TRANSPOSE(
    CHOOSE({1;2;3;4;5;6;7;8;9;10;11;12;13;14;15;16;17;18;19;20;21;22;23;24;25;26;27;28;29;30},
     COUNTIFS($U$2:$U$200,$G129)&gt;0,
     COUNTIFS($V$2:$V$200,$G129)&gt;0,
     COUNTIFS($W$2:$W$200,$G129)&gt;0,
     COUNTIFS($X$2:$X$200,$G129)&gt;0,
     COUNTIFS($Y$2:$Y$200,$G129)&gt;0,
     COUNTIFS($Z$2:$Z$200,$G129)&gt;0,
     COUNTIFS($AA$2:$AA$200,$G129)&gt;0,
     COUNTIFS($AB$2:$AB$200,$G129)&gt;0,
     COUNTIFS($AC$2:$AC$200,$G129)&gt;0,
     COUNTIFS($AD$2:$AD$200,$G129)&gt;0,
     COUNTIFS($AE$2:$AE$200,$G129)&gt;0,
     COUNTIFS($AF$2:$AF$200,$G129)&gt;0,
     COUNTIFS($AG$2:$AG$200,$G129)&gt;0,
     COUNTIFS($AH$2:$AH$200,$G129)&gt;0,
     COUNTIFS($AI$2:$AI$200,$G129)&gt;0,
     COUNTIFS($AJ$2:$AJ$200,$G129)&gt;0,
     COUNTIFS($AK$2:$AK$200,$G129)&gt;0,
     COUNTIFS($AL$2:$AL$200,$G129)&gt;0,
     COUNTIFS($AM$2:$AM$200,$G129)&gt;0,
     COUNTIFS($AN$2:$AN$200,$G129)&gt;0,
     COUNTIFS($AO$2:$AO$200,$G129)&gt;0,
     COUNTIFS($AP$2:$AP$200,$G129)&gt;0,
     COUNTIFS($AQ$2:$AQ$200,$G129)&gt;0,
     COUNTIFS($AR$2:$AR$200,$G129)&gt;0,
     COUNTIFS($AS$2:$AS$200,$G129)&gt;0,
     COUNTIFS($AT$2:$AT$200,$G129)&gt;0,
     COUNTIFS($AU$2:$AU$200,$G129)&gt;0,
     COUNTIFS($AV$2:$AV$200,$G129)&gt;0,
     COUNTIFS($AW$2:$AW$200,$G129)&gt;0,
     COUNTIFS($AX$2:$AX$200,$G129)&gt;0
   )),
  ),
  3
 ),
"")</f>
        <v>Modular</v>
      </c>
      <c r="F129" s="3" t="str" cm="1">
        <f t="array" aca="1" ref="F129" ca="1">IFERROR(
 INDEX(
  _xlfn._xlws.FILTER($U$1:$AX$1,
   TRANSPOSE(
    CHOOSE({1;2;3;4;5;6;7;8;9;10;11;12;13;14;15;16;17;18;19;20;21;22;23;24;25;26;27;28;29;30},
     COUNTIFS($U$2:$U$200,$G129)&gt;0,
     COUNTIFS($V$2:$V$200,$G129)&gt;0,
     COUNTIFS($W$2:$W$200,$G129)&gt;0,
     COUNTIFS($X$2:$X$200,$G129)&gt;0,
     COUNTIFS($Y$2:$Y$200,$G129)&gt;0,
     COUNTIFS($Z$2:$Z$200,$G129)&gt;0,
     COUNTIFS($AA$2:$AA$200,$G129)&gt;0,
     COUNTIFS($AB$2:$AB$200,$G129)&gt;0,
     COUNTIFS($AC$2:$AC$200,$G129)&gt;0,
     COUNTIFS($AD$2:$AD$200,$G129)&gt;0,
     COUNTIFS($AE$2:$AE$200,$G129)&gt;0,
     COUNTIFS($AF$2:$AF$200,$G129)&gt;0,
     COUNTIFS($AG$2:$AG$200,$G129)&gt;0,
     COUNTIFS($AH$2:$AH$200,$G129)&gt;0,
     COUNTIFS($AI$2:$AI$200,$G129)&gt;0,
     COUNTIFS($AJ$2:$AJ$200,$G129)&gt;0,
     COUNTIFS($AK$2:$AK$200,$G129)&gt;0,
     COUNTIFS($AL$2:$AL$200,$G129)&gt;0,
     COUNTIFS($AM$2:$AM$200,$G129)&gt;0,
     COUNTIFS($AN$2:$AN$200,$G129)&gt;0,
     COUNTIFS($AO$2:$AO$200,$G129)&gt;0,
     COUNTIFS($AP$2:$AP$200,$G129)&gt;0,
     COUNTIFS($AQ$2:$AQ$200,$G129)&gt;0,
     COUNTIFS($AR$2:$AR$200,$G129)&gt;0,
     COUNTIFS($AS$2:$AS$200,$G129)&gt;0,
     COUNTIFS($AT$2:$AT$200,$G129)&gt;0,
     COUNTIFS($AU$2:$AU$200,$G129)&gt;0,
     COUNTIFS($AV$2:$AV$200,$G129)&gt;0,
     COUNTIFS($AW$2:$AW$200,$G129)&gt;0,
     COUNTIFS($AX$2:$AX$200,$G129)&gt;0
   )),
  ),
  4
 ),
"")</f>
        <v/>
      </c>
      <c r="G129" t="str">
        <f ca="1"/>
        <v>Gavony Township</v>
      </c>
      <c r="BO129" t="str">
        <f ca="1"/>
        <v>Scholar of New Horizons</v>
      </c>
      <c r="BR129" t="str">
        <f ca="1"/>
        <v>Terramorphic Expanse</v>
      </c>
      <c r="BT129" t="str">
        <f ca="1"/>
        <v>O Dínamo Peregrino</v>
      </c>
    </row>
    <row r="130" spans="1:72" x14ac:dyDescent="0.25">
      <c r="A130" s="3" t="str">
        <f t="shared" ca="1" si="4"/>
        <v>1</v>
      </c>
      <c r="B130" s="3">
        <f t="shared" ca="1" si="5"/>
        <v>1</v>
      </c>
      <c r="C130" s="3" t="str">
        <f ca="1">IFERROR(
 INDEX($U$1:$AX$1,
  MATCH(TRUE,
   CHOOSE({1;2;3;4;5;6;7;8;9;10;11;12;13;14;15;16;17;18;19;20;21;22;23;24;25;26;27;28;29;30;31;32},
    COUNTIFS($U$2:$U$200,$G130)&gt;0,
    COUNTIFS($V$2:$V$200,$G130)&gt;0,
    COUNTIFS($W$2:$W$200,$G130)&gt;0,
    COUNTIFS($X$2:$X$200,$G130)&gt;0,
    COUNTIFS($Y$2:$Y$200,$G130)&gt;0,
    COUNTIFS($Z$2:$Z$200,$G130)&gt;0,
    COUNTIFS($AA$2:$AA$200,$G130)&gt;0,
    COUNTIFS($AB$2:$AB$200,$G130)&gt;0,
    COUNTIFS($AC$2:$AC$200,$G130)&gt;0,
    COUNTIFS($AD$2:$AD$200,$G130)&gt;0,
    COUNTIFS($AE$2:$AE$200,$G130)&gt;0,
    COUNTIFS($AF$2:$AF$200,$G130)&gt;0,
    COUNTIFS($AG$2:$AG$200,$G130)&gt;0,
    COUNTIFS($AH$2:$AH$200,$G130)&gt;0,
    COUNTIFS($AI$2:$AI$200,$G130)&gt;0,
    COUNTIFS($AJ$2:$AJ$200,$G130)&gt;0,
    COUNTIFS($AK$2:$AK$200,$G130)&gt;0,
    COUNTIFS($AL$2:$AL$200,$G130)&gt;0,
    COUNTIFS($AM$2:$AM$200,$G130)&gt;0,
    COUNTIFS($AN$2:$AN$200,$G130)&gt;0,
    COUNTIFS($AO$2:$AO$200,$G130)&gt;0,
    COUNTIFS($AP$2:$AP$200,$G130)&gt;0,
    COUNTIFS($AQ$2:$AQ$200,$G130)&gt;0,
    COUNTIFS($AR$2:$AR$200,$G130)&gt;0,
    COUNTIFS($AS$2:$AS$200,$G130)&gt;0,
    COUNTIFS($AT$2:$AT$200,$G130)&gt;0,
    COUNTIFS($AU$2:$AU$200,$G130)&gt;0,
    COUNTIFS($AV$2:$AV$200,$G130)&gt;0,
    COUNTIFS($AW$2:$AW$200,$G130)&gt;0,
    COUNTIFS($AX$2:$AX$200,$G130)&gt;0
   ),
  0)
 ),
"")</f>
        <v>Baylen</v>
      </c>
      <c r="D130" s="3" t="str" cm="1">
        <f t="array" aca="1" ref="D130" ca="1">IFERROR(
 INDEX(
  _xlfn._xlws.FILTER($U$1:$AX$1,
   TRANSPOSE(
    CHOOSE({1;2;3;4;5;6;7;8;9;10;11;12;13;14;15;16;17;18;19;20;21;22;23;24;25;26;27;28;29;30},
     COUNTIFS($U$2:$U$200,$G130)&gt;0,
     COUNTIFS($V$2:$V$200,$G130)&gt;0,
     COUNTIFS($W$2:$W$200,$G130)&gt;0,
     COUNTIFS($X$2:$X$200,$G130)&gt;0,
     COUNTIFS($Y$2:$Y$200,$G130)&gt;0,
     COUNTIFS($Z$2:$Z$200,$G130)&gt;0,
     COUNTIFS($AA$2:$AA$200,$G130)&gt;0,
     COUNTIFS($AB$2:$AB$200,$G130)&gt;0,
     COUNTIFS($AC$2:$AC$200,$G130)&gt;0,
     COUNTIFS($AD$2:$AD$200,$G130)&gt;0,
     COUNTIFS($AE$2:$AE$200,$G130)&gt;0,
     COUNTIFS($AF$2:$AF$200,$G130)&gt;0,
     COUNTIFS($AG$2:$AG$200,$G130)&gt;0,
     COUNTIFS($AH$2:$AH$200,$G130)&gt;0,
     COUNTIFS($AI$2:$AI$200,$G130)&gt;0,
     COUNTIFS($AJ$2:$AJ$200,$G130)&gt;0,
     COUNTIFS($AK$2:$AK$200,$G130)&gt;0,
     COUNTIFS($AL$2:$AL$200,$G130)&gt;0,
     COUNTIFS($AM$2:$AM$200,$G130)&gt;0,
     COUNTIFS($AN$2:$AN$200,$G130)&gt;0,
     COUNTIFS($AO$2:$AO$200,$G130)&gt;0,
     COUNTIFS($AP$2:$AP$200,$G130)&gt;0,
     COUNTIFS($AQ$2:$AQ$200,$G130)&gt;0,
     COUNTIFS($AR$2:$AR$200,$G130)&gt;0,
     COUNTIFS($AS$2:$AS$200,$G130)&gt;0,
     COUNTIFS($AT$2:$AT$200,$G130)&gt;0,
     COUNTIFS($AU$2:$AU$200,$G130)&gt;0,
     COUNTIFS($AV$2:$AV$200,$G130)&gt;0,
     COUNTIFS($AW$2:$AW$200,$G130)&gt;0,
     COUNTIFS($AX$2:$AX$200,$G130)&gt;0
   )),
  ),
  2
 ),
"")</f>
        <v/>
      </c>
      <c r="E130" s="3" t="str" cm="1">
        <f t="array" aca="1" ref="E130" ca="1">IFERROR(
 INDEX(
  _xlfn._xlws.FILTER($U$1:$AX$1,
   TRANSPOSE(
    CHOOSE({1;2;3;4;5;6;7;8;9;10;11;12;13;14;15;16;17;18;19;20;21;22;23;24;25;26;27;28;29;30},
     COUNTIFS($U$2:$U$200,$G130)&gt;0,
     COUNTIFS($V$2:$V$200,$G130)&gt;0,
     COUNTIFS($W$2:$W$200,$G130)&gt;0,
     COUNTIFS($X$2:$X$200,$G130)&gt;0,
     COUNTIFS($Y$2:$Y$200,$G130)&gt;0,
     COUNTIFS($Z$2:$Z$200,$G130)&gt;0,
     COUNTIFS($AA$2:$AA$200,$G130)&gt;0,
     COUNTIFS($AB$2:$AB$200,$G130)&gt;0,
     COUNTIFS($AC$2:$AC$200,$G130)&gt;0,
     COUNTIFS($AD$2:$AD$200,$G130)&gt;0,
     COUNTIFS($AE$2:$AE$200,$G130)&gt;0,
     COUNTIFS($AF$2:$AF$200,$G130)&gt;0,
     COUNTIFS($AG$2:$AG$200,$G130)&gt;0,
     COUNTIFS($AH$2:$AH$200,$G130)&gt;0,
     COUNTIFS($AI$2:$AI$200,$G130)&gt;0,
     COUNTIFS($AJ$2:$AJ$200,$G130)&gt;0,
     COUNTIFS($AK$2:$AK$200,$G130)&gt;0,
     COUNTIFS($AL$2:$AL$200,$G130)&gt;0,
     COUNTIFS($AM$2:$AM$200,$G130)&gt;0,
     COUNTIFS($AN$2:$AN$200,$G130)&gt;0,
     COUNTIFS($AO$2:$AO$200,$G130)&gt;0,
     COUNTIFS($AP$2:$AP$200,$G130)&gt;0,
     COUNTIFS($AQ$2:$AQ$200,$G130)&gt;0,
     COUNTIFS($AR$2:$AR$200,$G130)&gt;0,
     COUNTIFS($AS$2:$AS$200,$G130)&gt;0,
     COUNTIFS($AT$2:$AT$200,$G130)&gt;0,
     COUNTIFS($AU$2:$AU$200,$G130)&gt;0,
     COUNTIFS($AV$2:$AV$200,$G130)&gt;0,
     COUNTIFS($AW$2:$AW$200,$G130)&gt;0,
     COUNTIFS($AX$2:$AX$200,$G130)&gt;0
   )),
  ),
  3
 ),
"")</f>
        <v/>
      </c>
      <c r="F130" s="3" t="str" cm="1">
        <f t="array" aca="1" ref="F130" ca="1">IFERROR(
 INDEX(
  _xlfn._xlws.FILTER($U$1:$AX$1,
   TRANSPOSE(
    CHOOSE({1;2;3;4;5;6;7;8;9;10;11;12;13;14;15;16;17;18;19;20;21;22;23;24;25;26;27;28;29;30},
     COUNTIFS($U$2:$U$200,$G130)&gt;0,
     COUNTIFS($V$2:$V$200,$G130)&gt;0,
     COUNTIFS($W$2:$W$200,$G130)&gt;0,
     COUNTIFS($X$2:$X$200,$G130)&gt;0,
     COUNTIFS($Y$2:$Y$200,$G130)&gt;0,
     COUNTIFS($Z$2:$Z$200,$G130)&gt;0,
     COUNTIFS($AA$2:$AA$200,$G130)&gt;0,
     COUNTIFS($AB$2:$AB$200,$G130)&gt;0,
     COUNTIFS($AC$2:$AC$200,$G130)&gt;0,
     COUNTIFS($AD$2:$AD$200,$G130)&gt;0,
     COUNTIFS($AE$2:$AE$200,$G130)&gt;0,
     COUNTIFS($AF$2:$AF$200,$G130)&gt;0,
     COUNTIFS($AG$2:$AG$200,$G130)&gt;0,
     COUNTIFS($AH$2:$AH$200,$G130)&gt;0,
     COUNTIFS($AI$2:$AI$200,$G130)&gt;0,
     COUNTIFS($AJ$2:$AJ$200,$G130)&gt;0,
     COUNTIFS($AK$2:$AK$200,$G130)&gt;0,
     COUNTIFS($AL$2:$AL$200,$G130)&gt;0,
     COUNTIFS($AM$2:$AM$200,$G130)&gt;0,
     COUNTIFS($AN$2:$AN$200,$G130)&gt;0,
     COUNTIFS($AO$2:$AO$200,$G130)&gt;0,
     COUNTIFS($AP$2:$AP$200,$G130)&gt;0,
     COUNTIFS($AQ$2:$AQ$200,$G130)&gt;0,
     COUNTIFS($AR$2:$AR$200,$G130)&gt;0,
     COUNTIFS($AS$2:$AS$200,$G130)&gt;0,
     COUNTIFS($AT$2:$AT$200,$G130)&gt;0,
     COUNTIFS($AU$2:$AU$200,$G130)&gt;0,
     COUNTIFS($AV$2:$AV$200,$G130)&gt;0,
     COUNTIFS($AW$2:$AW$200,$G130)&gt;0,
     COUNTIFS($AX$2:$AX$200,$G130)&gt;0
   )),
  ),
  4
 ),
"")</f>
        <v/>
      </c>
      <c r="G130" t="str">
        <f ca="1"/>
        <v>Generous Gift</v>
      </c>
      <c r="BO130" t="str">
        <f ca="1"/>
        <v>Scrapyard Recombiner</v>
      </c>
      <c r="BR130" t="str">
        <f ca="1"/>
        <v>The Masamune</v>
      </c>
      <c r="BT130" t="str">
        <f ca="1"/>
        <v>Obelisco de Obsidiana</v>
      </c>
    </row>
    <row r="131" spans="1:72" x14ac:dyDescent="0.25">
      <c r="A131" s="3" t="str">
        <f t="shared" ref="A131:A194" ca="1" si="6">IFERROR(INDEX($S$3:$S$200, MATCH($C131, $I$3:$I$200, 0)), "")</f>
        <v>2</v>
      </c>
      <c r="B131" s="3">
        <f t="shared" ref="B131:B194" ca="1" si="7">COUNTIF(U:AX,G131)</f>
        <v>1</v>
      </c>
      <c r="C131" s="3" t="str">
        <f ca="1">IFERROR(
 INDEX($U$1:$AX$1,
  MATCH(TRUE,
   CHOOSE({1;2;3;4;5;6;7;8;9;10;11;12;13;14;15;16;17;18;19;20;21;22;23;24;25;26;27;28;29;30;31;32},
    COUNTIFS($U$2:$U$200,$G131)&gt;0,
    COUNTIFS($V$2:$V$200,$G131)&gt;0,
    COUNTIFS($W$2:$W$200,$G131)&gt;0,
    COUNTIFS($X$2:$X$200,$G131)&gt;0,
    COUNTIFS($Y$2:$Y$200,$G131)&gt;0,
    COUNTIFS($Z$2:$Z$200,$G131)&gt;0,
    COUNTIFS($AA$2:$AA$200,$G131)&gt;0,
    COUNTIFS($AB$2:$AB$200,$G131)&gt;0,
    COUNTIFS($AC$2:$AC$200,$G131)&gt;0,
    COUNTIFS($AD$2:$AD$200,$G131)&gt;0,
    COUNTIFS($AE$2:$AE$200,$G131)&gt;0,
    COUNTIFS($AF$2:$AF$200,$G131)&gt;0,
    COUNTIFS($AG$2:$AG$200,$G131)&gt;0,
    COUNTIFS($AH$2:$AH$200,$G131)&gt;0,
    COUNTIFS($AI$2:$AI$200,$G131)&gt;0,
    COUNTIFS($AJ$2:$AJ$200,$G131)&gt;0,
    COUNTIFS($AK$2:$AK$200,$G131)&gt;0,
    COUNTIFS($AL$2:$AL$200,$G131)&gt;0,
    COUNTIFS($AM$2:$AM$200,$G131)&gt;0,
    COUNTIFS($AN$2:$AN$200,$G131)&gt;0,
    COUNTIFS($AO$2:$AO$200,$G131)&gt;0,
    COUNTIFS($AP$2:$AP$200,$G131)&gt;0,
    COUNTIFS($AQ$2:$AQ$200,$G131)&gt;0,
    COUNTIFS($AR$2:$AR$200,$G131)&gt;0,
    COUNTIFS($AS$2:$AS$200,$G131)&gt;0,
    COUNTIFS($AT$2:$AT$200,$G131)&gt;0,
    COUNTIFS($AU$2:$AU$200,$G131)&gt;0,
    COUNTIFS($AV$2:$AV$200,$G131)&gt;0,
    COUNTIFS($AW$2:$AW$200,$G131)&gt;0,
    COUNTIFS($AX$2:$AX$200,$G131)&gt;0
   ),
  0)
 ),
"")</f>
        <v>Narset</v>
      </c>
      <c r="D131" s="3" t="str" cm="1">
        <f t="array" aca="1" ref="D131" ca="1">IFERROR(
 INDEX(
  _xlfn._xlws.FILTER($U$1:$AX$1,
   TRANSPOSE(
    CHOOSE({1;2;3;4;5;6;7;8;9;10;11;12;13;14;15;16;17;18;19;20;21;22;23;24;25;26;27;28;29;30},
     COUNTIFS($U$2:$U$200,$G131)&gt;0,
     COUNTIFS($V$2:$V$200,$G131)&gt;0,
     COUNTIFS($W$2:$W$200,$G131)&gt;0,
     COUNTIFS($X$2:$X$200,$G131)&gt;0,
     COUNTIFS($Y$2:$Y$200,$G131)&gt;0,
     COUNTIFS($Z$2:$Z$200,$G131)&gt;0,
     COUNTIFS($AA$2:$AA$200,$G131)&gt;0,
     COUNTIFS($AB$2:$AB$200,$G131)&gt;0,
     COUNTIFS($AC$2:$AC$200,$G131)&gt;0,
     COUNTIFS($AD$2:$AD$200,$G131)&gt;0,
     COUNTIFS($AE$2:$AE$200,$G131)&gt;0,
     COUNTIFS($AF$2:$AF$200,$G131)&gt;0,
     COUNTIFS($AG$2:$AG$200,$G131)&gt;0,
     COUNTIFS($AH$2:$AH$200,$G131)&gt;0,
     COUNTIFS($AI$2:$AI$200,$G131)&gt;0,
     COUNTIFS($AJ$2:$AJ$200,$G131)&gt;0,
     COUNTIFS($AK$2:$AK$200,$G131)&gt;0,
     COUNTIFS($AL$2:$AL$200,$G131)&gt;0,
     COUNTIFS($AM$2:$AM$200,$G131)&gt;0,
     COUNTIFS($AN$2:$AN$200,$G131)&gt;0,
     COUNTIFS($AO$2:$AO$200,$G131)&gt;0,
     COUNTIFS($AP$2:$AP$200,$G131)&gt;0,
     COUNTIFS($AQ$2:$AQ$200,$G131)&gt;0,
     COUNTIFS($AR$2:$AR$200,$G131)&gt;0,
     COUNTIFS($AS$2:$AS$200,$G131)&gt;0,
     COUNTIFS($AT$2:$AT$200,$G131)&gt;0,
     COUNTIFS($AU$2:$AU$200,$G131)&gt;0,
     COUNTIFS($AV$2:$AV$200,$G131)&gt;0,
     COUNTIFS($AW$2:$AW$200,$G131)&gt;0,
     COUNTIFS($AX$2:$AX$200,$G131)&gt;0
   )),
  ),
  2
 ),
"")</f>
        <v/>
      </c>
      <c r="E131" s="3" t="str" cm="1">
        <f t="array" aca="1" ref="E131" ca="1">IFERROR(
 INDEX(
  _xlfn._xlws.FILTER($U$1:$AX$1,
   TRANSPOSE(
    CHOOSE({1;2;3;4;5;6;7;8;9;10;11;12;13;14;15;16;17;18;19;20;21;22;23;24;25;26;27;28;29;30},
     COUNTIFS($U$2:$U$200,$G131)&gt;0,
     COUNTIFS($V$2:$V$200,$G131)&gt;0,
     COUNTIFS($W$2:$W$200,$G131)&gt;0,
     COUNTIFS($X$2:$X$200,$G131)&gt;0,
     COUNTIFS($Y$2:$Y$200,$G131)&gt;0,
     COUNTIFS($Z$2:$Z$200,$G131)&gt;0,
     COUNTIFS($AA$2:$AA$200,$G131)&gt;0,
     COUNTIFS($AB$2:$AB$200,$G131)&gt;0,
     COUNTIFS($AC$2:$AC$200,$G131)&gt;0,
     COUNTIFS($AD$2:$AD$200,$G131)&gt;0,
     COUNTIFS($AE$2:$AE$200,$G131)&gt;0,
     COUNTIFS($AF$2:$AF$200,$G131)&gt;0,
     COUNTIFS($AG$2:$AG$200,$G131)&gt;0,
     COUNTIFS($AH$2:$AH$200,$G131)&gt;0,
     COUNTIFS($AI$2:$AI$200,$G131)&gt;0,
     COUNTIFS($AJ$2:$AJ$200,$G131)&gt;0,
     COUNTIFS($AK$2:$AK$200,$G131)&gt;0,
     COUNTIFS($AL$2:$AL$200,$G131)&gt;0,
     COUNTIFS($AM$2:$AM$200,$G131)&gt;0,
     COUNTIFS($AN$2:$AN$200,$G131)&gt;0,
     COUNTIFS($AO$2:$AO$200,$G131)&gt;0,
     COUNTIFS($AP$2:$AP$200,$G131)&gt;0,
     COUNTIFS($AQ$2:$AQ$200,$G131)&gt;0,
     COUNTIFS($AR$2:$AR$200,$G131)&gt;0,
     COUNTIFS($AS$2:$AS$200,$G131)&gt;0,
     COUNTIFS($AT$2:$AT$200,$G131)&gt;0,
     COUNTIFS($AU$2:$AU$200,$G131)&gt;0,
     COUNTIFS($AV$2:$AV$200,$G131)&gt;0,
     COUNTIFS($AW$2:$AW$200,$G131)&gt;0,
     COUNTIFS($AX$2:$AX$200,$G131)&gt;0
   )),
  ),
  3
 ),
"")</f>
        <v/>
      </c>
      <c r="F131" s="3" t="str" cm="1">
        <f t="array" aca="1" ref="F131" ca="1">IFERROR(
 INDEX(
  _xlfn._xlws.FILTER($U$1:$AX$1,
   TRANSPOSE(
    CHOOSE({1;2;3;4;5;6;7;8;9;10;11;12;13;14;15;16;17;18;19;20;21;22;23;24;25;26;27;28;29;30},
     COUNTIFS($U$2:$U$200,$G131)&gt;0,
     COUNTIFS($V$2:$V$200,$G131)&gt;0,
     COUNTIFS($W$2:$W$200,$G131)&gt;0,
     COUNTIFS($X$2:$X$200,$G131)&gt;0,
     COUNTIFS($Y$2:$Y$200,$G131)&gt;0,
     COUNTIFS($Z$2:$Z$200,$G131)&gt;0,
     COUNTIFS($AA$2:$AA$200,$G131)&gt;0,
     COUNTIFS($AB$2:$AB$200,$G131)&gt;0,
     COUNTIFS($AC$2:$AC$200,$G131)&gt;0,
     COUNTIFS($AD$2:$AD$200,$G131)&gt;0,
     COUNTIFS($AE$2:$AE$200,$G131)&gt;0,
     COUNTIFS($AF$2:$AF$200,$G131)&gt;0,
     COUNTIFS($AG$2:$AG$200,$G131)&gt;0,
     COUNTIFS($AH$2:$AH$200,$G131)&gt;0,
     COUNTIFS($AI$2:$AI$200,$G131)&gt;0,
     COUNTIFS($AJ$2:$AJ$200,$G131)&gt;0,
     COUNTIFS($AK$2:$AK$200,$G131)&gt;0,
     COUNTIFS($AL$2:$AL$200,$G131)&gt;0,
     COUNTIFS($AM$2:$AM$200,$G131)&gt;0,
     COUNTIFS($AN$2:$AN$200,$G131)&gt;0,
     COUNTIFS($AO$2:$AO$200,$G131)&gt;0,
     COUNTIFS($AP$2:$AP$200,$G131)&gt;0,
     COUNTIFS($AQ$2:$AQ$200,$G131)&gt;0,
     COUNTIFS($AR$2:$AR$200,$G131)&gt;0,
     COUNTIFS($AS$2:$AS$200,$G131)&gt;0,
     COUNTIFS($AT$2:$AT$200,$G131)&gt;0,
     COUNTIFS($AU$2:$AU$200,$G131)&gt;0,
     COUNTIFS($AV$2:$AV$200,$G131)&gt;0,
     COUNTIFS($AW$2:$AW$200,$G131)&gt;0,
     COUNTIFS($AX$2:$AX$200,$G131)&gt;0
   )),
  ),
  4
 ),
"")</f>
        <v/>
      </c>
      <c r="G131" t="str">
        <f ca="1"/>
        <v>Genji Glove</v>
      </c>
      <c r="BO131" t="str">
        <f ca="1"/>
        <v>Secluded Courtyard</v>
      </c>
      <c r="BR131" t="str">
        <f ca="1"/>
        <v>The Water Crystal</v>
      </c>
      <c r="BT131" t="str">
        <f ca="1"/>
        <v>Ojer Pakpatiq, Era Profunda</v>
      </c>
    </row>
    <row r="132" spans="1:72" x14ac:dyDescent="0.25">
      <c r="A132" s="3" t="str">
        <f t="shared" ca="1" si="6"/>
        <v>3</v>
      </c>
      <c r="B132" s="3">
        <f t="shared" ca="1" si="7"/>
        <v>1</v>
      </c>
      <c r="C132" s="3" t="str">
        <f ca="1">IFERROR(
 INDEX($U$1:$AX$1,
  MATCH(TRUE,
   CHOOSE({1;2;3;4;5;6;7;8;9;10;11;12;13;14;15;16;17;18;19;20;21;22;23;24;25;26;27;28;29;30;31;32},
    COUNTIFS($U$2:$U$200,$G132)&gt;0,
    COUNTIFS($V$2:$V$200,$G132)&gt;0,
    COUNTIFS($W$2:$W$200,$G132)&gt;0,
    COUNTIFS($X$2:$X$200,$G132)&gt;0,
    COUNTIFS($Y$2:$Y$200,$G132)&gt;0,
    COUNTIFS($Z$2:$Z$200,$G132)&gt;0,
    COUNTIFS($AA$2:$AA$200,$G132)&gt;0,
    COUNTIFS($AB$2:$AB$200,$G132)&gt;0,
    COUNTIFS($AC$2:$AC$200,$G132)&gt;0,
    COUNTIFS($AD$2:$AD$200,$G132)&gt;0,
    COUNTIFS($AE$2:$AE$200,$G132)&gt;0,
    COUNTIFS($AF$2:$AF$200,$G132)&gt;0,
    COUNTIFS($AG$2:$AG$200,$G132)&gt;0,
    COUNTIFS($AH$2:$AH$200,$G132)&gt;0,
    COUNTIFS($AI$2:$AI$200,$G132)&gt;0,
    COUNTIFS($AJ$2:$AJ$200,$G132)&gt;0,
    COUNTIFS($AK$2:$AK$200,$G132)&gt;0,
    COUNTIFS($AL$2:$AL$200,$G132)&gt;0,
    COUNTIFS($AM$2:$AM$200,$G132)&gt;0,
    COUNTIFS($AN$2:$AN$200,$G132)&gt;0,
    COUNTIFS($AO$2:$AO$200,$G132)&gt;0,
    COUNTIFS($AP$2:$AP$200,$G132)&gt;0,
    COUNTIFS($AQ$2:$AQ$200,$G132)&gt;0,
    COUNTIFS($AR$2:$AR$200,$G132)&gt;0,
    COUNTIFS($AS$2:$AS$200,$G132)&gt;0,
    COUNTIFS($AT$2:$AT$200,$G132)&gt;0,
    COUNTIFS($AU$2:$AU$200,$G132)&gt;0,
    COUNTIFS($AV$2:$AV$200,$G132)&gt;0,
    COUNTIFS($AW$2:$AW$200,$G132)&gt;0,
    COUNTIFS($AX$2:$AX$200,$G132)&gt;0
   ),
  0)
 ),
"")</f>
        <v>Muzzio</v>
      </c>
      <c r="D132" s="3" t="str" cm="1">
        <f t="array" aca="1" ref="D132" ca="1">IFERROR(
 INDEX(
  _xlfn._xlws.FILTER($U$1:$AX$1,
   TRANSPOSE(
    CHOOSE({1;2;3;4;5;6;7;8;9;10;11;12;13;14;15;16;17;18;19;20;21;22;23;24;25;26;27;28;29;30},
     COUNTIFS($U$2:$U$200,$G132)&gt;0,
     COUNTIFS($V$2:$V$200,$G132)&gt;0,
     COUNTIFS($W$2:$W$200,$G132)&gt;0,
     COUNTIFS($X$2:$X$200,$G132)&gt;0,
     COUNTIFS($Y$2:$Y$200,$G132)&gt;0,
     COUNTIFS($Z$2:$Z$200,$G132)&gt;0,
     COUNTIFS($AA$2:$AA$200,$G132)&gt;0,
     COUNTIFS($AB$2:$AB$200,$G132)&gt;0,
     COUNTIFS($AC$2:$AC$200,$G132)&gt;0,
     COUNTIFS($AD$2:$AD$200,$G132)&gt;0,
     COUNTIFS($AE$2:$AE$200,$G132)&gt;0,
     COUNTIFS($AF$2:$AF$200,$G132)&gt;0,
     COUNTIFS($AG$2:$AG$200,$G132)&gt;0,
     COUNTIFS($AH$2:$AH$200,$G132)&gt;0,
     COUNTIFS($AI$2:$AI$200,$G132)&gt;0,
     COUNTIFS($AJ$2:$AJ$200,$G132)&gt;0,
     COUNTIFS($AK$2:$AK$200,$G132)&gt;0,
     COUNTIFS($AL$2:$AL$200,$G132)&gt;0,
     COUNTIFS($AM$2:$AM$200,$G132)&gt;0,
     COUNTIFS($AN$2:$AN$200,$G132)&gt;0,
     COUNTIFS($AO$2:$AO$200,$G132)&gt;0,
     COUNTIFS($AP$2:$AP$200,$G132)&gt;0,
     COUNTIFS($AQ$2:$AQ$200,$G132)&gt;0,
     COUNTIFS($AR$2:$AR$200,$G132)&gt;0,
     COUNTIFS($AS$2:$AS$200,$G132)&gt;0,
     COUNTIFS($AT$2:$AT$200,$G132)&gt;0,
     COUNTIFS($AU$2:$AU$200,$G132)&gt;0,
     COUNTIFS($AV$2:$AV$200,$G132)&gt;0,
     COUNTIFS($AW$2:$AW$200,$G132)&gt;0,
     COUNTIFS($AX$2:$AX$200,$G132)&gt;0
   )),
  ),
  2
 ),
"")</f>
        <v/>
      </c>
      <c r="E132" s="3" t="str" cm="1">
        <f t="array" aca="1" ref="E132" ca="1">IFERROR(
 INDEX(
  _xlfn._xlws.FILTER($U$1:$AX$1,
   TRANSPOSE(
    CHOOSE({1;2;3;4;5;6;7;8;9;10;11;12;13;14;15;16;17;18;19;20;21;22;23;24;25;26;27;28;29;30},
     COUNTIFS($U$2:$U$200,$G132)&gt;0,
     COUNTIFS($V$2:$V$200,$G132)&gt;0,
     COUNTIFS($W$2:$W$200,$G132)&gt;0,
     COUNTIFS($X$2:$X$200,$G132)&gt;0,
     COUNTIFS($Y$2:$Y$200,$G132)&gt;0,
     COUNTIFS($Z$2:$Z$200,$G132)&gt;0,
     COUNTIFS($AA$2:$AA$200,$G132)&gt;0,
     COUNTIFS($AB$2:$AB$200,$G132)&gt;0,
     COUNTIFS($AC$2:$AC$200,$G132)&gt;0,
     COUNTIFS($AD$2:$AD$200,$G132)&gt;0,
     COUNTIFS($AE$2:$AE$200,$G132)&gt;0,
     COUNTIFS($AF$2:$AF$200,$G132)&gt;0,
     COUNTIFS($AG$2:$AG$200,$G132)&gt;0,
     COUNTIFS($AH$2:$AH$200,$G132)&gt;0,
     COUNTIFS($AI$2:$AI$200,$G132)&gt;0,
     COUNTIFS($AJ$2:$AJ$200,$G132)&gt;0,
     COUNTIFS($AK$2:$AK$200,$G132)&gt;0,
     COUNTIFS($AL$2:$AL$200,$G132)&gt;0,
     COUNTIFS($AM$2:$AM$200,$G132)&gt;0,
     COUNTIFS($AN$2:$AN$200,$G132)&gt;0,
     COUNTIFS($AO$2:$AO$200,$G132)&gt;0,
     COUNTIFS($AP$2:$AP$200,$G132)&gt;0,
     COUNTIFS($AQ$2:$AQ$200,$G132)&gt;0,
     COUNTIFS($AR$2:$AR$200,$G132)&gt;0,
     COUNTIFS($AS$2:$AS$200,$G132)&gt;0,
     COUNTIFS($AT$2:$AT$200,$G132)&gt;0,
     COUNTIFS($AU$2:$AU$200,$G132)&gt;0,
     COUNTIFS($AV$2:$AV$200,$G132)&gt;0,
     COUNTIFS($AW$2:$AW$200,$G132)&gt;0,
     COUNTIFS($AX$2:$AX$200,$G132)&gt;0
   )),
  ),
  3
 ),
"")</f>
        <v/>
      </c>
      <c r="F132" s="3" t="str" cm="1">
        <f t="array" aca="1" ref="F132" ca="1">IFERROR(
 INDEX(
  _xlfn._xlws.FILTER($U$1:$AX$1,
   TRANSPOSE(
    CHOOSE({1;2;3;4;5;6;7;8;9;10;11;12;13;14;15;16;17;18;19;20;21;22;23;24;25;26;27;28;29;30},
     COUNTIFS($U$2:$U$200,$G132)&gt;0,
     COUNTIFS($V$2:$V$200,$G132)&gt;0,
     COUNTIFS($W$2:$W$200,$G132)&gt;0,
     COUNTIFS($X$2:$X$200,$G132)&gt;0,
     COUNTIFS($Y$2:$Y$200,$G132)&gt;0,
     COUNTIFS($Z$2:$Z$200,$G132)&gt;0,
     COUNTIFS($AA$2:$AA$200,$G132)&gt;0,
     COUNTIFS($AB$2:$AB$200,$G132)&gt;0,
     COUNTIFS($AC$2:$AC$200,$G132)&gt;0,
     COUNTIFS($AD$2:$AD$200,$G132)&gt;0,
     COUNTIFS($AE$2:$AE$200,$G132)&gt;0,
     COUNTIFS($AF$2:$AF$200,$G132)&gt;0,
     COUNTIFS($AG$2:$AG$200,$G132)&gt;0,
     COUNTIFS($AH$2:$AH$200,$G132)&gt;0,
     COUNTIFS($AI$2:$AI$200,$G132)&gt;0,
     COUNTIFS($AJ$2:$AJ$200,$G132)&gt;0,
     COUNTIFS($AK$2:$AK$200,$G132)&gt;0,
     COUNTIFS($AL$2:$AL$200,$G132)&gt;0,
     COUNTIFS($AM$2:$AM$200,$G132)&gt;0,
     COUNTIFS($AN$2:$AN$200,$G132)&gt;0,
     COUNTIFS($AO$2:$AO$200,$G132)&gt;0,
     COUNTIFS($AP$2:$AP$200,$G132)&gt;0,
     COUNTIFS($AQ$2:$AQ$200,$G132)&gt;0,
     COUNTIFS($AR$2:$AR$200,$G132)&gt;0,
     COUNTIFS($AS$2:$AS$200,$G132)&gt;0,
     COUNTIFS($AT$2:$AT$200,$G132)&gt;0,
     COUNTIFS($AU$2:$AU$200,$G132)&gt;0,
     COUNTIFS($AV$2:$AV$200,$G132)&gt;0,
     COUNTIFS($AW$2:$AW$200,$G132)&gt;0,
     COUNTIFS($AX$2:$AX$200,$G132)&gt;0
   )),
  ),
  4
 ),
"")</f>
        <v/>
      </c>
      <c r="G132" t="str">
        <f ca="1"/>
        <v>Gerrard's Hourglass Pendant</v>
      </c>
      <c r="BO132" t="str">
        <f ca="1"/>
        <v>Second Harvest</v>
      </c>
      <c r="BR132" t="str">
        <f ca="1"/>
        <v>Thought Vessel</v>
      </c>
      <c r="BT132" t="str">
        <f ca="1"/>
        <v>Oko, Thief of Crowns</v>
      </c>
    </row>
    <row r="133" spans="1:72" x14ac:dyDescent="0.25">
      <c r="A133" s="3" t="str">
        <f t="shared" ca="1" si="6"/>
        <v>2</v>
      </c>
      <c r="B133" s="3">
        <f t="shared" ca="1" si="7"/>
        <v>1</v>
      </c>
      <c r="C133" s="3" t="str">
        <f ca="1">IFERROR(
 INDEX($U$1:$AX$1,
  MATCH(TRUE,
   CHOOSE({1;2;3;4;5;6;7;8;9;10;11;12;13;14;15;16;17;18;19;20;21;22;23;24;25;26;27;28;29;30;31;32},
    COUNTIFS($U$2:$U$200,$G133)&gt;0,
    COUNTIFS($V$2:$V$200,$G133)&gt;0,
    COUNTIFS($W$2:$W$200,$G133)&gt;0,
    COUNTIFS($X$2:$X$200,$G133)&gt;0,
    COUNTIFS($Y$2:$Y$200,$G133)&gt;0,
    COUNTIFS($Z$2:$Z$200,$G133)&gt;0,
    COUNTIFS($AA$2:$AA$200,$G133)&gt;0,
    COUNTIFS($AB$2:$AB$200,$G133)&gt;0,
    COUNTIFS($AC$2:$AC$200,$G133)&gt;0,
    COUNTIFS($AD$2:$AD$200,$G133)&gt;0,
    COUNTIFS($AE$2:$AE$200,$G133)&gt;0,
    COUNTIFS($AF$2:$AF$200,$G133)&gt;0,
    COUNTIFS($AG$2:$AG$200,$G133)&gt;0,
    COUNTIFS($AH$2:$AH$200,$G133)&gt;0,
    COUNTIFS($AI$2:$AI$200,$G133)&gt;0,
    COUNTIFS($AJ$2:$AJ$200,$G133)&gt;0,
    COUNTIFS($AK$2:$AK$200,$G133)&gt;0,
    COUNTIFS($AL$2:$AL$200,$G133)&gt;0,
    COUNTIFS($AM$2:$AM$200,$G133)&gt;0,
    COUNTIFS($AN$2:$AN$200,$G133)&gt;0,
    COUNTIFS($AO$2:$AO$200,$G133)&gt;0,
    COUNTIFS($AP$2:$AP$200,$G133)&gt;0,
    COUNTIFS($AQ$2:$AQ$200,$G133)&gt;0,
    COUNTIFS($AR$2:$AR$200,$G133)&gt;0,
    COUNTIFS($AS$2:$AS$200,$G133)&gt;0,
    COUNTIFS($AT$2:$AT$200,$G133)&gt;0,
    COUNTIFS($AU$2:$AU$200,$G133)&gt;0,
    COUNTIFS($AV$2:$AV$200,$G133)&gt;0,
    COUNTIFS($AW$2:$AW$200,$G133)&gt;0,
    COUNTIFS($AX$2:$AX$200,$G133)&gt;0
   ),
  0)
 ),
"")</f>
        <v>Narset</v>
      </c>
      <c r="D133" s="3" t="str" cm="1">
        <f t="array" aca="1" ref="D133" ca="1">IFERROR(
 INDEX(
  _xlfn._xlws.FILTER($U$1:$AX$1,
   TRANSPOSE(
    CHOOSE({1;2;3;4;5;6;7;8;9;10;11;12;13;14;15;16;17;18;19;20;21;22;23;24;25;26;27;28;29;30},
     COUNTIFS($U$2:$U$200,$G133)&gt;0,
     COUNTIFS($V$2:$V$200,$G133)&gt;0,
     COUNTIFS($W$2:$W$200,$G133)&gt;0,
     COUNTIFS($X$2:$X$200,$G133)&gt;0,
     COUNTIFS($Y$2:$Y$200,$G133)&gt;0,
     COUNTIFS($Z$2:$Z$200,$G133)&gt;0,
     COUNTIFS($AA$2:$AA$200,$G133)&gt;0,
     COUNTIFS($AB$2:$AB$200,$G133)&gt;0,
     COUNTIFS($AC$2:$AC$200,$G133)&gt;0,
     COUNTIFS($AD$2:$AD$200,$G133)&gt;0,
     COUNTIFS($AE$2:$AE$200,$G133)&gt;0,
     COUNTIFS($AF$2:$AF$200,$G133)&gt;0,
     COUNTIFS($AG$2:$AG$200,$G133)&gt;0,
     COUNTIFS($AH$2:$AH$200,$G133)&gt;0,
     COUNTIFS($AI$2:$AI$200,$G133)&gt;0,
     COUNTIFS($AJ$2:$AJ$200,$G133)&gt;0,
     COUNTIFS($AK$2:$AK$200,$G133)&gt;0,
     COUNTIFS($AL$2:$AL$200,$G133)&gt;0,
     COUNTIFS($AM$2:$AM$200,$G133)&gt;0,
     COUNTIFS($AN$2:$AN$200,$G133)&gt;0,
     COUNTIFS($AO$2:$AO$200,$G133)&gt;0,
     COUNTIFS($AP$2:$AP$200,$G133)&gt;0,
     COUNTIFS($AQ$2:$AQ$200,$G133)&gt;0,
     COUNTIFS($AR$2:$AR$200,$G133)&gt;0,
     COUNTIFS($AS$2:$AS$200,$G133)&gt;0,
     COUNTIFS($AT$2:$AT$200,$G133)&gt;0,
     COUNTIFS($AU$2:$AU$200,$G133)&gt;0,
     COUNTIFS($AV$2:$AV$200,$G133)&gt;0,
     COUNTIFS($AW$2:$AW$200,$G133)&gt;0,
     COUNTIFS($AX$2:$AX$200,$G133)&gt;0
   )),
  ),
  2
 ),
"")</f>
        <v/>
      </c>
      <c r="E133" s="3" t="str" cm="1">
        <f t="array" aca="1" ref="E133" ca="1">IFERROR(
 INDEX(
  _xlfn._xlws.FILTER($U$1:$AX$1,
   TRANSPOSE(
    CHOOSE({1;2;3;4;5;6;7;8;9;10;11;12;13;14;15;16;17;18;19;20;21;22;23;24;25;26;27;28;29;30},
     COUNTIFS($U$2:$U$200,$G133)&gt;0,
     COUNTIFS($V$2:$V$200,$G133)&gt;0,
     COUNTIFS($W$2:$W$200,$G133)&gt;0,
     COUNTIFS($X$2:$X$200,$G133)&gt;0,
     COUNTIFS($Y$2:$Y$200,$G133)&gt;0,
     COUNTIFS($Z$2:$Z$200,$G133)&gt;0,
     COUNTIFS($AA$2:$AA$200,$G133)&gt;0,
     COUNTIFS($AB$2:$AB$200,$G133)&gt;0,
     COUNTIFS($AC$2:$AC$200,$G133)&gt;0,
     COUNTIFS($AD$2:$AD$200,$G133)&gt;0,
     COUNTIFS($AE$2:$AE$200,$G133)&gt;0,
     COUNTIFS($AF$2:$AF$200,$G133)&gt;0,
     COUNTIFS($AG$2:$AG$200,$G133)&gt;0,
     COUNTIFS($AH$2:$AH$200,$G133)&gt;0,
     COUNTIFS($AI$2:$AI$200,$G133)&gt;0,
     COUNTIFS($AJ$2:$AJ$200,$G133)&gt;0,
     COUNTIFS($AK$2:$AK$200,$G133)&gt;0,
     COUNTIFS($AL$2:$AL$200,$G133)&gt;0,
     COUNTIFS($AM$2:$AM$200,$G133)&gt;0,
     COUNTIFS($AN$2:$AN$200,$G133)&gt;0,
     COUNTIFS($AO$2:$AO$200,$G133)&gt;0,
     COUNTIFS($AP$2:$AP$200,$G133)&gt;0,
     COUNTIFS($AQ$2:$AQ$200,$G133)&gt;0,
     COUNTIFS($AR$2:$AR$200,$G133)&gt;0,
     COUNTIFS($AS$2:$AS$200,$G133)&gt;0,
     COUNTIFS($AT$2:$AT$200,$G133)&gt;0,
     COUNTIFS($AU$2:$AU$200,$G133)&gt;0,
     COUNTIFS($AV$2:$AV$200,$G133)&gt;0,
     COUNTIFS($AW$2:$AW$200,$G133)&gt;0,
     COUNTIFS($AX$2:$AX$200,$G133)&gt;0
   )),
  ),
  3
 ),
"")</f>
        <v/>
      </c>
      <c r="F133" s="3" t="str" cm="1">
        <f t="array" aca="1" ref="F133" ca="1">IFERROR(
 INDEX(
  _xlfn._xlws.FILTER($U$1:$AX$1,
   TRANSPOSE(
    CHOOSE({1;2;3;4;5;6;7;8;9;10;11;12;13;14;15;16;17;18;19;20;21;22;23;24;25;26;27;28;29;30},
     COUNTIFS($U$2:$U$200,$G133)&gt;0,
     COUNTIFS($V$2:$V$200,$G133)&gt;0,
     COUNTIFS($W$2:$W$200,$G133)&gt;0,
     COUNTIFS($X$2:$X$200,$G133)&gt;0,
     COUNTIFS($Y$2:$Y$200,$G133)&gt;0,
     COUNTIFS($Z$2:$Z$200,$G133)&gt;0,
     COUNTIFS($AA$2:$AA$200,$G133)&gt;0,
     COUNTIFS($AB$2:$AB$200,$G133)&gt;0,
     COUNTIFS($AC$2:$AC$200,$G133)&gt;0,
     COUNTIFS($AD$2:$AD$200,$G133)&gt;0,
     COUNTIFS($AE$2:$AE$200,$G133)&gt;0,
     COUNTIFS($AF$2:$AF$200,$G133)&gt;0,
     COUNTIFS($AG$2:$AG$200,$G133)&gt;0,
     COUNTIFS($AH$2:$AH$200,$G133)&gt;0,
     COUNTIFS($AI$2:$AI$200,$G133)&gt;0,
     COUNTIFS($AJ$2:$AJ$200,$G133)&gt;0,
     COUNTIFS($AK$2:$AK$200,$G133)&gt;0,
     COUNTIFS($AL$2:$AL$200,$G133)&gt;0,
     COUNTIFS($AM$2:$AM$200,$G133)&gt;0,
     COUNTIFS($AN$2:$AN$200,$G133)&gt;0,
     COUNTIFS($AO$2:$AO$200,$G133)&gt;0,
     COUNTIFS($AP$2:$AP$200,$G133)&gt;0,
     COUNTIFS($AQ$2:$AQ$200,$G133)&gt;0,
     COUNTIFS($AR$2:$AR$200,$G133)&gt;0,
     COUNTIFS($AS$2:$AS$200,$G133)&gt;0,
     COUNTIFS($AT$2:$AT$200,$G133)&gt;0,
     COUNTIFS($AU$2:$AU$200,$G133)&gt;0,
     COUNTIFS($AV$2:$AV$200,$G133)&gt;0,
     COUNTIFS($AW$2:$AW$200,$G133)&gt;0,
     COUNTIFS($AX$2:$AX$200,$G133)&gt;0
   )),
  ),
  4
 ),
"")</f>
        <v/>
      </c>
      <c r="G133" t="str">
        <f ca="1"/>
        <v>Ghostly Prison</v>
      </c>
      <c r="BO133" t="str">
        <f ca="1"/>
        <v>Seedborn Muse</v>
      </c>
      <c r="BR133" t="str">
        <f ca="1"/>
        <v>Thousand-Year Elixir</v>
      </c>
      <c r="BT133" t="str">
        <f ca="1"/>
        <v>Olho de Ojer Taq</v>
      </c>
    </row>
    <row r="134" spans="1:72" x14ac:dyDescent="0.25">
      <c r="A134" s="3" t="str">
        <f t="shared" ca="1" si="6"/>
        <v>3</v>
      </c>
      <c r="B134" s="3">
        <f t="shared" ca="1" si="7"/>
        <v>1</v>
      </c>
      <c r="C134" s="3" t="str">
        <f ca="1">IFERROR(
 INDEX($U$1:$AX$1,
  MATCH(TRUE,
   CHOOSE({1;2;3;4;5;6;7;8;9;10;11;12;13;14;15;16;17;18;19;20;21;22;23;24;25;26;27;28;29;30;31;32},
    COUNTIFS($U$2:$U$200,$G134)&gt;0,
    COUNTIFS($V$2:$V$200,$G134)&gt;0,
    COUNTIFS($W$2:$W$200,$G134)&gt;0,
    COUNTIFS($X$2:$X$200,$G134)&gt;0,
    COUNTIFS($Y$2:$Y$200,$G134)&gt;0,
    COUNTIFS($Z$2:$Z$200,$G134)&gt;0,
    COUNTIFS($AA$2:$AA$200,$G134)&gt;0,
    COUNTIFS($AB$2:$AB$200,$G134)&gt;0,
    COUNTIFS($AC$2:$AC$200,$G134)&gt;0,
    COUNTIFS($AD$2:$AD$200,$G134)&gt;0,
    COUNTIFS($AE$2:$AE$200,$G134)&gt;0,
    COUNTIFS($AF$2:$AF$200,$G134)&gt;0,
    COUNTIFS($AG$2:$AG$200,$G134)&gt;0,
    COUNTIFS($AH$2:$AH$200,$G134)&gt;0,
    COUNTIFS($AI$2:$AI$200,$G134)&gt;0,
    COUNTIFS($AJ$2:$AJ$200,$G134)&gt;0,
    COUNTIFS($AK$2:$AK$200,$G134)&gt;0,
    COUNTIFS($AL$2:$AL$200,$G134)&gt;0,
    COUNTIFS($AM$2:$AM$200,$G134)&gt;0,
    COUNTIFS($AN$2:$AN$200,$G134)&gt;0,
    COUNTIFS($AO$2:$AO$200,$G134)&gt;0,
    COUNTIFS($AP$2:$AP$200,$G134)&gt;0,
    COUNTIFS($AQ$2:$AQ$200,$G134)&gt;0,
    COUNTIFS($AR$2:$AR$200,$G134)&gt;0,
    COUNTIFS($AS$2:$AS$200,$G134)&gt;0,
    COUNTIFS($AT$2:$AT$200,$G134)&gt;0,
    COUNTIFS($AU$2:$AU$200,$G134)&gt;0,
    COUNTIFS($AV$2:$AV$200,$G134)&gt;0,
    COUNTIFS($AW$2:$AW$200,$G134)&gt;0,
    COUNTIFS($AX$2:$AX$200,$G134)&gt;0
   ),
  0)
 ),
"")</f>
        <v>Carlos</v>
      </c>
      <c r="D134" s="3" t="str" cm="1">
        <f t="array" aca="1" ref="D134" ca="1">IFERROR(
 INDEX(
  _xlfn._xlws.FILTER($U$1:$AX$1,
   TRANSPOSE(
    CHOOSE({1;2;3;4;5;6;7;8;9;10;11;12;13;14;15;16;17;18;19;20;21;22;23;24;25;26;27;28;29;30},
     COUNTIFS($U$2:$U$200,$G134)&gt;0,
     COUNTIFS($V$2:$V$200,$G134)&gt;0,
     COUNTIFS($W$2:$W$200,$G134)&gt;0,
     COUNTIFS($X$2:$X$200,$G134)&gt;0,
     COUNTIFS($Y$2:$Y$200,$G134)&gt;0,
     COUNTIFS($Z$2:$Z$200,$G134)&gt;0,
     COUNTIFS($AA$2:$AA$200,$G134)&gt;0,
     COUNTIFS($AB$2:$AB$200,$G134)&gt;0,
     COUNTIFS($AC$2:$AC$200,$G134)&gt;0,
     COUNTIFS($AD$2:$AD$200,$G134)&gt;0,
     COUNTIFS($AE$2:$AE$200,$G134)&gt;0,
     COUNTIFS($AF$2:$AF$200,$G134)&gt;0,
     COUNTIFS($AG$2:$AG$200,$G134)&gt;0,
     COUNTIFS($AH$2:$AH$200,$G134)&gt;0,
     COUNTIFS($AI$2:$AI$200,$G134)&gt;0,
     COUNTIFS($AJ$2:$AJ$200,$G134)&gt;0,
     COUNTIFS($AK$2:$AK$200,$G134)&gt;0,
     COUNTIFS($AL$2:$AL$200,$G134)&gt;0,
     COUNTIFS($AM$2:$AM$200,$G134)&gt;0,
     COUNTIFS($AN$2:$AN$200,$G134)&gt;0,
     COUNTIFS($AO$2:$AO$200,$G134)&gt;0,
     COUNTIFS($AP$2:$AP$200,$G134)&gt;0,
     COUNTIFS($AQ$2:$AQ$200,$G134)&gt;0,
     COUNTIFS($AR$2:$AR$200,$G134)&gt;0,
     COUNTIFS($AS$2:$AS$200,$G134)&gt;0,
     COUNTIFS($AT$2:$AT$200,$G134)&gt;0,
     COUNTIFS($AU$2:$AU$200,$G134)&gt;0,
     COUNTIFS($AV$2:$AV$200,$G134)&gt;0,
     COUNTIFS($AW$2:$AW$200,$G134)&gt;0,
     COUNTIFS($AX$2:$AX$200,$G134)&gt;0
   )),
  ),
  2
 ),
"")</f>
        <v/>
      </c>
      <c r="E134" s="3" t="str" cm="1">
        <f t="array" aca="1" ref="E134" ca="1">IFERROR(
 INDEX(
  _xlfn._xlws.FILTER($U$1:$AX$1,
   TRANSPOSE(
    CHOOSE({1;2;3;4;5;6;7;8;9;10;11;12;13;14;15;16;17;18;19;20;21;22;23;24;25;26;27;28;29;30},
     COUNTIFS($U$2:$U$200,$G134)&gt;0,
     COUNTIFS($V$2:$V$200,$G134)&gt;0,
     COUNTIFS($W$2:$W$200,$G134)&gt;0,
     COUNTIFS($X$2:$X$200,$G134)&gt;0,
     COUNTIFS($Y$2:$Y$200,$G134)&gt;0,
     COUNTIFS($Z$2:$Z$200,$G134)&gt;0,
     COUNTIFS($AA$2:$AA$200,$G134)&gt;0,
     COUNTIFS($AB$2:$AB$200,$G134)&gt;0,
     COUNTIFS($AC$2:$AC$200,$G134)&gt;0,
     COUNTIFS($AD$2:$AD$200,$G134)&gt;0,
     COUNTIFS($AE$2:$AE$200,$G134)&gt;0,
     COUNTIFS($AF$2:$AF$200,$G134)&gt;0,
     COUNTIFS($AG$2:$AG$200,$G134)&gt;0,
     COUNTIFS($AH$2:$AH$200,$G134)&gt;0,
     COUNTIFS($AI$2:$AI$200,$G134)&gt;0,
     COUNTIFS($AJ$2:$AJ$200,$G134)&gt;0,
     COUNTIFS($AK$2:$AK$200,$G134)&gt;0,
     COUNTIFS($AL$2:$AL$200,$G134)&gt;0,
     COUNTIFS($AM$2:$AM$200,$G134)&gt;0,
     COUNTIFS($AN$2:$AN$200,$G134)&gt;0,
     COUNTIFS($AO$2:$AO$200,$G134)&gt;0,
     COUNTIFS($AP$2:$AP$200,$G134)&gt;0,
     COUNTIFS($AQ$2:$AQ$200,$G134)&gt;0,
     COUNTIFS($AR$2:$AR$200,$G134)&gt;0,
     COUNTIFS($AS$2:$AS$200,$G134)&gt;0,
     COUNTIFS($AT$2:$AT$200,$G134)&gt;0,
     COUNTIFS($AU$2:$AU$200,$G134)&gt;0,
     COUNTIFS($AV$2:$AV$200,$G134)&gt;0,
     COUNTIFS($AW$2:$AW$200,$G134)&gt;0,
     COUNTIFS($AX$2:$AX$200,$G134)&gt;0
   )),
  ),
  3
 ),
"")</f>
        <v/>
      </c>
      <c r="F134" s="3" t="str" cm="1">
        <f t="array" aca="1" ref="F134" ca="1">IFERROR(
 INDEX(
  _xlfn._xlws.FILTER($U$1:$AX$1,
   TRANSPOSE(
    CHOOSE({1;2;3;4;5;6;7;8;9;10;11;12;13;14;15;16;17;18;19;20;21;22;23;24;25;26;27;28;29;30},
     COUNTIFS($U$2:$U$200,$G134)&gt;0,
     COUNTIFS($V$2:$V$200,$G134)&gt;0,
     COUNTIFS($W$2:$W$200,$G134)&gt;0,
     COUNTIFS($X$2:$X$200,$G134)&gt;0,
     COUNTIFS($Y$2:$Y$200,$G134)&gt;0,
     COUNTIFS($Z$2:$Z$200,$G134)&gt;0,
     COUNTIFS($AA$2:$AA$200,$G134)&gt;0,
     COUNTIFS($AB$2:$AB$200,$G134)&gt;0,
     COUNTIFS($AC$2:$AC$200,$G134)&gt;0,
     COUNTIFS($AD$2:$AD$200,$G134)&gt;0,
     COUNTIFS($AE$2:$AE$200,$G134)&gt;0,
     COUNTIFS($AF$2:$AF$200,$G134)&gt;0,
     COUNTIFS($AG$2:$AG$200,$G134)&gt;0,
     COUNTIFS($AH$2:$AH$200,$G134)&gt;0,
     COUNTIFS($AI$2:$AI$200,$G134)&gt;0,
     COUNTIFS($AJ$2:$AJ$200,$G134)&gt;0,
     COUNTIFS($AK$2:$AK$200,$G134)&gt;0,
     COUNTIFS($AL$2:$AL$200,$G134)&gt;0,
     COUNTIFS($AM$2:$AM$200,$G134)&gt;0,
     COUNTIFS($AN$2:$AN$200,$G134)&gt;0,
     COUNTIFS($AO$2:$AO$200,$G134)&gt;0,
     COUNTIFS($AP$2:$AP$200,$G134)&gt;0,
     COUNTIFS($AQ$2:$AQ$200,$G134)&gt;0,
     COUNTIFS($AR$2:$AR$200,$G134)&gt;0,
     COUNTIFS($AS$2:$AS$200,$G134)&gt;0,
     COUNTIFS($AT$2:$AT$200,$G134)&gt;0,
     COUNTIFS($AU$2:$AU$200,$G134)&gt;0,
     COUNTIFS($AV$2:$AV$200,$G134)&gt;0,
     COUNTIFS($AW$2:$AW$200,$G134)&gt;0,
     COUNTIFS($AX$2:$AX$200,$G134)&gt;0
   )),
  ),
  4
 ),
"")</f>
        <v/>
      </c>
      <c r="G134" t="str">
        <f ca="1"/>
        <v>Giver of Runes</v>
      </c>
      <c r="BO134" t="str">
        <f ca="1"/>
        <v>Seething Landscape</v>
      </c>
      <c r="BR134" t="str">
        <f ca="1"/>
        <v>Three Visits</v>
      </c>
      <c r="BT134" t="str">
        <f ca="1"/>
        <v>Pain for All</v>
      </c>
    </row>
    <row r="135" spans="1:72" x14ac:dyDescent="0.25">
      <c r="A135" s="3" t="str">
        <f t="shared" ca="1" si="6"/>
        <v>3</v>
      </c>
      <c r="B135" s="3">
        <f t="shared" ca="1" si="7"/>
        <v>1</v>
      </c>
      <c r="C135" s="3" t="str">
        <f ca="1">IFERROR(
 INDEX($U$1:$AX$1,
  MATCH(TRUE,
   CHOOSE({1;2;3;4;5;6;7;8;9;10;11;12;13;14;15;16;17;18;19;20;21;22;23;24;25;26;27;28;29;30;31;32},
    COUNTIFS($U$2:$U$200,$G135)&gt;0,
    COUNTIFS($V$2:$V$200,$G135)&gt;0,
    COUNTIFS($W$2:$W$200,$G135)&gt;0,
    COUNTIFS($X$2:$X$200,$G135)&gt;0,
    COUNTIFS($Y$2:$Y$200,$G135)&gt;0,
    COUNTIFS($Z$2:$Z$200,$G135)&gt;0,
    COUNTIFS($AA$2:$AA$200,$G135)&gt;0,
    COUNTIFS($AB$2:$AB$200,$G135)&gt;0,
    COUNTIFS($AC$2:$AC$200,$G135)&gt;0,
    COUNTIFS($AD$2:$AD$200,$G135)&gt;0,
    COUNTIFS($AE$2:$AE$200,$G135)&gt;0,
    COUNTIFS($AF$2:$AF$200,$G135)&gt;0,
    COUNTIFS($AG$2:$AG$200,$G135)&gt;0,
    COUNTIFS($AH$2:$AH$200,$G135)&gt;0,
    COUNTIFS($AI$2:$AI$200,$G135)&gt;0,
    COUNTIFS($AJ$2:$AJ$200,$G135)&gt;0,
    COUNTIFS($AK$2:$AK$200,$G135)&gt;0,
    COUNTIFS($AL$2:$AL$200,$G135)&gt;0,
    COUNTIFS($AM$2:$AM$200,$G135)&gt;0,
    COUNTIFS($AN$2:$AN$200,$G135)&gt;0,
    COUNTIFS($AO$2:$AO$200,$G135)&gt;0,
    COUNTIFS($AP$2:$AP$200,$G135)&gt;0,
    COUNTIFS($AQ$2:$AQ$200,$G135)&gt;0,
    COUNTIFS($AR$2:$AR$200,$G135)&gt;0,
    COUNTIFS($AS$2:$AS$200,$G135)&gt;0,
    COUNTIFS($AT$2:$AT$200,$G135)&gt;0,
    COUNTIFS($AU$2:$AU$200,$G135)&gt;0,
    COUNTIFS($AV$2:$AV$200,$G135)&gt;0,
    COUNTIFS($AW$2:$AW$200,$G135)&gt;0,
    COUNTIFS($AX$2:$AX$200,$G135)&gt;0
   ),
  0)
 ),
"")</f>
        <v>Inalla</v>
      </c>
      <c r="D135" s="3" t="str" cm="1">
        <f t="array" aca="1" ref="D135" ca="1">IFERROR(
 INDEX(
  _xlfn._xlws.FILTER($U$1:$AX$1,
   TRANSPOSE(
    CHOOSE({1;2;3;4;5;6;7;8;9;10;11;12;13;14;15;16;17;18;19;20;21;22;23;24;25;26;27;28;29;30},
     COUNTIFS($U$2:$U$200,$G135)&gt;0,
     COUNTIFS($V$2:$V$200,$G135)&gt;0,
     COUNTIFS($W$2:$W$200,$G135)&gt;0,
     COUNTIFS($X$2:$X$200,$G135)&gt;0,
     COUNTIFS($Y$2:$Y$200,$G135)&gt;0,
     COUNTIFS($Z$2:$Z$200,$G135)&gt;0,
     COUNTIFS($AA$2:$AA$200,$G135)&gt;0,
     COUNTIFS($AB$2:$AB$200,$G135)&gt;0,
     COUNTIFS($AC$2:$AC$200,$G135)&gt;0,
     COUNTIFS($AD$2:$AD$200,$G135)&gt;0,
     COUNTIFS($AE$2:$AE$200,$G135)&gt;0,
     COUNTIFS($AF$2:$AF$200,$G135)&gt;0,
     COUNTIFS($AG$2:$AG$200,$G135)&gt;0,
     COUNTIFS($AH$2:$AH$200,$G135)&gt;0,
     COUNTIFS($AI$2:$AI$200,$G135)&gt;0,
     COUNTIFS($AJ$2:$AJ$200,$G135)&gt;0,
     COUNTIFS($AK$2:$AK$200,$G135)&gt;0,
     COUNTIFS($AL$2:$AL$200,$G135)&gt;0,
     COUNTIFS($AM$2:$AM$200,$G135)&gt;0,
     COUNTIFS($AN$2:$AN$200,$G135)&gt;0,
     COUNTIFS($AO$2:$AO$200,$G135)&gt;0,
     COUNTIFS($AP$2:$AP$200,$G135)&gt;0,
     COUNTIFS($AQ$2:$AQ$200,$G135)&gt;0,
     COUNTIFS($AR$2:$AR$200,$G135)&gt;0,
     COUNTIFS($AS$2:$AS$200,$G135)&gt;0,
     COUNTIFS($AT$2:$AT$200,$G135)&gt;0,
     COUNTIFS($AU$2:$AU$200,$G135)&gt;0,
     COUNTIFS($AV$2:$AV$200,$G135)&gt;0,
     COUNTIFS($AW$2:$AW$200,$G135)&gt;0,
     COUNTIFS($AX$2:$AX$200,$G135)&gt;0
   )),
  ),
  2
 ),
"")</f>
        <v/>
      </c>
      <c r="E135" s="3" t="str" cm="1">
        <f t="array" aca="1" ref="E135" ca="1">IFERROR(
 INDEX(
  _xlfn._xlws.FILTER($U$1:$AX$1,
   TRANSPOSE(
    CHOOSE({1;2;3;4;5;6;7;8;9;10;11;12;13;14;15;16;17;18;19;20;21;22;23;24;25;26;27;28;29;30},
     COUNTIFS($U$2:$U$200,$G135)&gt;0,
     COUNTIFS($V$2:$V$200,$G135)&gt;0,
     COUNTIFS($W$2:$W$200,$G135)&gt;0,
     COUNTIFS($X$2:$X$200,$G135)&gt;0,
     COUNTIFS($Y$2:$Y$200,$G135)&gt;0,
     COUNTIFS($Z$2:$Z$200,$G135)&gt;0,
     COUNTIFS($AA$2:$AA$200,$G135)&gt;0,
     COUNTIFS($AB$2:$AB$200,$G135)&gt;0,
     COUNTIFS($AC$2:$AC$200,$G135)&gt;0,
     COUNTIFS($AD$2:$AD$200,$G135)&gt;0,
     COUNTIFS($AE$2:$AE$200,$G135)&gt;0,
     COUNTIFS($AF$2:$AF$200,$G135)&gt;0,
     COUNTIFS($AG$2:$AG$200,$G135)&gt;0,
     COUNTIFS($AH$2:$AH$200,$G135)&gt;0,
     COUNTIFS($AI$2:$AI$200,$G135)&gt;0,
     COUNTIFS($AJ$2:$AJ$200,$G135)&gt;0,
     COUNTIFS($AK$2:$AK$200,$G135)&gt;0,
     COUNTIFS($AL$2:$AL$200,$G135)&gt;0,
     COUNTIFS($AM$2:$AM$200,$G135)&gt;0,
     COUNTIFS($AN$2:$AN$200,$G135)&gt;0,
     COUNTIFS($AO$2:$AO$200,$G135)&gt;0,
     COUNTIFS($AP$2:$AP$200,$G135)&gt;0,
     COUNTIFS($AQ$2:$AQ$200,$G135)&gt;0,
     COUNTIFS($AR$2:$AR$200,$G135)&gt;0,
     COUNTIFS($AS$2:$AS$200,$G135)&gt;0,
     COUNTIFS($AT$2:$AT$200,$G135)&gt;0,
     COUNTIFS($AU$2:$AU$200,$G135)&gt;0,
     COUNTIFS($AV$2:$AV$200,$G135)&gt;0,
     COUNTIFS($AW$2:$AW$200,$G135)&gt;0,
     COUNTIFS($AX$2:$AX$200,$G135)&gt;0
   )),
  ),
  3
 ),
"")</f>
        <v/>
      </c>
      <c r="F135" s="3" t="str" cm="1">
        <f t="array" aca="1" ref="F135" ca="1">IFERROR(
 INDEX(
  _xlfn._xlws.FILTER($U$1:$AX$1,
   TRANSPOSE(
    CHOOSE({1;2;3;4;5;6;7;8;9;10;11;12;13;14;15;16;17;18;19;20;21;22;23;24;25;26;27;28;29;30},
     COUNTIFS($U$2:$U$200,$G135)&gt;0,
     COUNTIFS($V$2:$V$200,$G135)&gt;0,
     COUNTIFS($W$2:$W$200,$G135)&gt;0,
     COUNTIFS($X$2:$X$200,$G135)&gt;0,
     COUNTIFS($Y$2:$Y$200,$G135)&gt;0,
     COUNTIFS($Z$2:$Z$200,$G135)&gt;0,
     COUNTIFS($AA$2:$AA$200,$G135)&gt;0,
     COUNTIFS($AB$2:$AB$200,$G135)&gt;0,
     COUNTIFS($AC$2:$AC$200,$G135)&gt;0,
     COUNTIFS($AD$2:$AD$200,$G135)&gt;0,
     COUNTIFS($AE$2:$AE$200,$G135)&gt;0,
     COUNTIFS($AF$2:$AF$200,$G135)&gt;0,
     COUNTIFS($AG$2:$AG$200,$G135)&gt;0,
     COUNTIFS($AH$2:$AH$200,$G135)&gt;0,
     COUNTIFS($AI$2:$AI$200,$G135)&gt;0,
     COUNTIFS($AJ$2:$AJ$200,$G135)&gt;0,
     COUNTIFS($AK$2:$AK$200,$G135)&gt;0,
     COUNTIFS($AL$2:$AL$200,$G135)&gt;0,
     COUNTIFS($AM$2:$AM$200,$G135)&gt;0,
     COUNTIFS($AN$2:$AN$200,$G135)&gt;0,
     COUNTIFS($AO$2:$AO$200,$G135)&gt;0,
     COUNTIFS($AP$2:$AP$200,$G135)&gt;0,
     COUNTIFS($AQ$2:$AQ$200,$G135)&gt;0,
     COUNTIFS($AR$2:$AR$200,$G135)&gt;0,
     COUNTIFS($AS$2:$AS$200,$G135)&gt;0,
     COUNTIFS($AT$2:$AT$200,$G135)&gt;0,
     COUNTIFS($AU$2:$AU$200,$G135)&gt;0,
     COUNTIFS($AV$2:$AV$200,$G135)&gt;0,
     COUNTIFS($AW$2:$AW$200,$G135)&gt;0,
     COUNTIFS($AX$2:$AX$200,$G135)&gt;0
   )),
  ),
  4
 ),
"")</f>
        <v/>
      </c>
      <c r="G135" t="str">
        <f ca="1"/>
        <v>Glasspool Mimic</v>
      </c>
      <c r="BO135" t="str">
        <f ca="1"/>
        <v>Selesnya Signet</v>
      </c>
      <c r="BR135" t="str">
        <f ca="1"/>
        <v>Throne of the God-Pharaoh</v>
      </c>
      <c r="BT135" t="str">
        <f ca="1"/>
        <v>Petrified Field</v>
      </c>
    </row>
    <row r="136" spans="1:72" x14ac:dyDescent="0.25">
      <c r="A136" s="3" t="str">
        <f t="shared" ca="1" si="6"/>
        <v>2</v>
      </c>
      <c r="B136" s="3">
        <f t="shared" ca="1" si="7"/>
        <v>1</v>
      </c>
      <c r="C136" s="3" t="str">
        <f ca="1">IFERROR(
 INDEX($U$1:$AX$1,
  MATCH(TRUE,
   CHOOSE({1;2;3;4;5;6;7;8;9;10;11;12;13;14;15;16;17;18;19;20;21;22;23;24;25;26;27;28;29;30;31;32},
    COUNTIFS($U$2:$U$200,$G136)&gt;0,
    COUNTIFS($V$2:$V$200,$G136)&gt;0,
    COUNTIFS($W$2:$W$200,$G136)&gt;0,
    COUNTIFS($X$2:$X$200,$G136)&gt;0,
    COUNTIFS($Y$2:$Y$200,$G136)&gt;0,
    COUNTIFS($Z$2:$Z$200,$G136)&gt;0,
    COUNTIFS($AA$2:$AA$200,$G136)&gt;0,
    COUNTIFS($AB$2:$AB$200,$G136)&gt;0,
    COUNTIFS($AC$2:$AC$200,$G136)&gt;0,
    COUNTIFS($AD$2:$AD$200,$G136)&gt;0,
    COUNTIFS($AE$2:$AE$200,$G136)&gt;0,
    COUNTIFS($AF$2:$AF$200,$G136)&gt;0,
    COUNTIFS($AG$2:$AG$200,$G136)&gt;0,
    COUNTIFS($AH$2:$AH$200,$G136)&gt;0,
    COUNTIFS($AI$2:$AI$200,$G136)&gt;0,
    COUNTIFS($AJ$2:$AJ$200,$G136)&gt;0,
    COUNTIFS($AK$2:$AK$200,$G136)&gt;0,
    COUNTIFS($AL$2:$AL$200,$G136)&gt;0,
    COUNTIFS($AM$2:$AM$200,$G136)&gt;0,
    COUNTIFS($AN$2:$AN$200,$G136)&gt;0,
    COUNTIFS($AO$2:$AO$200,$G136)&gt;0,
    COUNTIFS($AP$2:$AP$200,$G136)&gt;0,
    COUNTIFS($AQ$2:$AQ$200,$G136)&gt;0,
    COUNTIFS($AR$2:$AR$200,$G136)&gt;0,
    COUNTIFS($AS$2:$AS$200,$G136)&gt;0,
    COUNTIFS($AT$2:$AT$200,$G136)&gt;0,
    COUNTIFS($AU$2:$AU$200,$G136)&gt;0,
    COUNTIFS($AV$2:$AV$200,$G136)&gt;0,
    COUNTIFS($AW$2:$AW$200,$G136)&gt;0,
    COUNTIFS($AX$2:$AX$200,$G136)&gt;0
   ),
  0)
 ),
"")</f>
        <v>Piratas</v>
      </c>
      <c r="D136" s="3" t="str" cm="1">
        <f t="array" aca="1" ref="D136" ca="1">IFERROR(
 INDEX(
  _xlfn._xlws.FILTER($U$1:$AX$1,
   TRANSPOSE(
    CHOOSE({1;2;3;4;5;6;7;8;9;10;11;12;13;14;15;16;17;18;19;20;21;22;23;24;25;26;27;28;29;30},
     COUNTIFS($U$2:$U$200,$G136)&gt;0,
     COUNTIFS($V$2:$V$200,$G136)&gt;0,
     COUNTIFS($W$2:$W$200,$G136)&gt;0,
     COUNTIFS($X$2:$X$200,$G136)&gt;0,
     COUNTIFS($Y$2:$Y$200,$G136)&gt;0,
     COUNTIFS($Z$2:$Z$200,$G136)&gt;0,
     COUNTIFS($AA$2:$AA$200,$G136)&gt;0,
     COUNTIFS($AB$2:$AB$200,$G136)&gt;0,
     COUNTIFS($AC$2:$AC$200,$G136)&gt;0,
     COUNTIFS($AD$2:$AD$200,$G136)&gt;0,
     COUNTIFS($AE$2:$AE$200,$G136)&gt;0,
     COUNTIFS($AF$2:$AF$200,$G136)&gt;0,
     COUNTIFS($AG$2:$AG$200,$G136)&gt;0,
     COUNTIFS($AH$2:$AH$200,$G136)&gt;0,
     COUNTIFS($AI$2:$AI$200,$G136)&gt;0,
     COUNTIFS($AJ$2:$AJ$200,$G136)&gt;0,
     COUNTIFS($AK$2:$AK$200,$G136)&gt;0,
     COUNTIFS($AL$2:$AL$200,$G136)&gt;0,
     COUNTIFS($AM$2:$AM$200,$G136)&gt;0,
     COUNTIFS($AN$2:$AN$200,$G136)&gt;0,
     COUNTIFS($AO$2:$AO$200,$G136)&gt;0,
     COUNTIFS($AP$2:$AP$200,$G136)&gt;0,
     COUNTIFS($AQ$2:$AQ$200,$G136)&gt;0,
     COUNTIFS($AR$2:$AR$200,$G136)&gt;0,
     COUNTIFS($AS$2:$AS$200,$G136)&gt;0,
     COUNTIFS($AT$2:$AT$200,$G136)&gt;0,
     COUNTIFS($AU$2:$AU$200,$G136)&gt;0,
     COUNTIFS($AV$2:$AV$200,$G136)&gt;0,
     COUNTIFS($AW$2:$AW$200,$G136)&gt;0,
     COUNTIFS($AX$2:$AX$200,$G136)&gt;0
   )),
  ),
  2
 ),
"")</f>
        <v/>
      </c>
      <c r="E136" s="3" t="str" cm="1">
        <f t="array" aca="1" ref="E136" ca="1">IFERROR(
 INDEX(
  _xlfn._xlws.FILTER($U$1:$AX$1,
   TRANSPOSE(
    CHOOSE({1;2;3;4;5;6;7;8;9;10;11;12;13;14;15;16;17;18;19;20;21;22;23;24;25;26;27;28;29;30},
     COUNTIFS($U$2:$U$200,$G136)&gt;0,
     COUNTIFS($V$2:$V$200,$G136)&gt;0,
     COUNTIFS($W$2:$W$200,$G136)&gt;0,
     COUNTIFS($X$2:$X$200,$G136)&gt;0,
     COUNTIFS($Y$2:$Y$200,$G136)&gt;0,
     COUNTIFS($Z$2:$Z$200,$G136)&gt;0,
     COUNTIFS($AA$2:$AA$200,$G136)&gt;0,
     COUNTIFS($AB$2:$AB$200,$G136)&gt;0,
     COUNTIFS($AC$2:$AC$200,$G136)&gt;0,
     COUNTIFS($AD$2:$AD$200,$G136)&gt;0,
     COUNTIFS($AE$2:$AE$200,$G136)&gt;0,
     COUNTIFS($AF$2:$AF$200,$G136)&gt;0,
     COUNTIFS($AG$2:$AG$200,$G136)&gt;0,
     COUNTIFS($AH$2:$AH$200,$G136)&gt;0,
     COUNTIFS($AI$2:$AI$200,$G136)&gt;0,
     COUNTIFS($AJ$2:$AJ$200,$G136)&gt;0,
     COUNTIFS($AK$2:$AK$200,$G136)&gt;0,
     COUNTIFS($AL$2:$AL$200,$G136)&gt;0,
     COUNTIFS($AM$2:$AM$200,$G136)&gt;0,
     COUNTIFS($AN$2:$AN$200,$G136)&gt;0,
     COUNTIFS($AO$2:$AO$200,$G136)&gt;0,
     COUNTIFS($AP$2:$AP$200,$G136)&gt;0,
     COUNTIFS($AQ$2:$AQ$200,$G136)&gt;0,
     COUNTIFS($AR$2:$AR$200,$G136)&gt;0,
     COUNTIFS($AS$2:$AS$200,$G136)&gt;0,
     COUNTIFS($AT$2:$AT$200,$G136)&gt;0,
     COUNTIFS($AU$2:$AU$200,$G136)&gt;0,
     COUNTIFS($AV$2:$AV$200,$G136)&gt;0,
     COUNTIFS($AW$2:$AW$200,$G136)&gt;0,
     COUNTIFS($AX$2:$AX$200,$G136)&gt;0
   )),
  ),
  3
 ),
"")</f>
        <v/>
      </c>
      <c r="F136" s="3" t="str" cm="1">
        <f t="array" aca="1" ref="F136" ca="1">IFERROR(
 INDEX(
  _xlfn._xlws.FILTER($U$1:$AX$1,
   TRANSPOSE(
    CHOOSE({1;2;3;4;5;6;7;8;9;10;11;12;13;14;15;16;17;18;19;20;21;22;23;24;25;26;27;28;29;30},
     COUNTIFS($U$2:$U$200,$G136)&gt;0,
     COUNTIFS($V$2:$V$200,$G136)&gt;0,
     COUNTIFS($W$2:$W$200,$G136)&gt;0,
     COUNTIFS($X$2:$X$200,$G136)&gt;0,
     COUNTIFS($Y$2:$Y$200,$G136)&gt;0,
     COUNTIFS($Z$2:$Z$200,$G136)&gt;0,
     COUNTIFS($AA$2:$AA$200,$G136)&gt;0,
     COUNTIFS($AB$2:$AB$200,$G136)&gt;0,
     COUNTIFS($AC$2:$AC$200,$G136)&gt;0,
     COUNTIFS($AD$2:$AD$200,$G136)&gt;0,
     COUNTIFS($AE$2:$AE$200,$G136)&gt;0,
     COUNTIFS($AF$2:$AF$200,$G136)&gt;0,
     COUNTIFS($AG$2:$AG$200,$G136)&gt;0,
     COUNTIFS($AH$2:$AH$200,$G136)&gt;0,
     COUNTIFS($AI$2:$AI$200,$G136)&gt;0,
     COUNTIFS($AJ$2:$AJ$200,$G136)&gt;0,
     COUNTIFS($AK$2:$AK$200,$G136)&gt;0,
     COUNTIFS($AL$2:$AL$200,$G136)&gt;0,
     COUNTIFS($AM$2:$AM$200,$G136)&gt;0,
     COUNTIFS($AN$2:$AN$200,$G136)&gt;0,
     COUNTIFS($AO$2:$AO$200,$G136)&gt;0,
     COUNTIFS($AP$2:$AP$200,$G136)&gt;0,
     COUNTIFS($AQ$2:$AQ$200,$G136)&gt;0,
     COUNTIFS($AR$2:$AR$200,$G136)&gt;0,
     COUNTIFS($AS$2:$AS$200,$G136)&gt;0,
     COUNTIFS($AT$2:$AT$200,$G136)&gt;0,
     COUNTIFS($AU$2:$AU$200,$G136)&gt;0,
     COUNTIFS($AV$2:$AV$200,$G136)&gt;0,
     COUNTIFS($AW$2:$AW$200,$G136)&gt;0,
     COUNTIFS($AX$2:$AX$200,$G136)&gt;0
   )),
  ),
  4
 ),
"")</f>
        <v/>
      </c>
      <c r="G136" t="str">
        <f ca="1"/>
        <v>Glint-Horn Buccaneer</v>
      </c>
      <c r="BO136" t="str">
        <f ca="1"/>
        <v>Shelinda, Yevon Acolyte</v>
      </c>
      <c r="BR136" t="str">
        <f ca="1"/>
        <v>Tishana, Voice of Thunder</v>
      </c>
      <c r="BT136" t="str">
        <f ca="1"/>
        <v>Phyrexian Tower</v>
      </c>
    </row>
    <row r="137" spans="1:72" x14ac:dyDescent="0.25">
      <c r="A137" s="3" t="str">
        <f t="shared" ca="1" si="6"/>
        <v>2</v>
      </c>
      <c r="B137" s="3">
        <f t="shared" ca="1" si="7"/>
        <v>1</v>
      </c>
      <c r="C137" s="3" t="str">
        <f ca="1">IFERROR(
 INDEX($U$1:$AX$1,
  MATCH(TRUE,
   CHOOSE({1;2;3;4;5;6;7;8;9;10;11;12;13;14;15;16;17;18;19;20;21;22;23;24;25;26;27;28;29;30;31;32},
    COUNTIFS($U$2:$U$200,$G137)&gt;0,
    COUNTIFS($V$2:$V$200,$G137)&gt;0,
    COUNTIFS($W$2:$W$200,$G137)&gt;0,
    COUNTIFS($X$2:$X$200,$G137)&gt;0,
    COUNTIFS($Y$2:$Y$200,$G137)&gt;0,
    COUNTIFS($Z$2:$Z$200,$G137)&gt;0,
    COUNTIFS($AA$2:$AA$200,$G137)&gt;0,
    COUNTIFS($AB$2:$AB$200,$G137)&gt;0,
    COUNTIFS($AC$2:$AC$200,$G137)&gt;0,
    COUNTIFS($AD$2:$AD$200,$G137)&gt;0,
    COUNTIFS($AE$2:$AE$200,$G137)&gt;0,
    COUNTIFS($AF$2:$AF$200,$G137)&gt;0,
    COUNTIFS($AG$2:$AG$200,$G137)&gt;0,
    COUNTIFS($AH$2:$AH$200,$G137)&gt;0,
    COUNTIFS($AI$2:$AI$200,$G137)&gt;0,
    COUNTIFS($AJ$2:$AJ$200,$G137)&gt;0,
    COUNTIFS($AK$2:$AK$200,$G137)&gt;0,
    COUNTIFS($AL$2:$AL$200,$G137)&gt;0,
    COUNTIFS($AM$2:$AM$200,$G137)&gt;0,
    COUNTIFS($AN$2:$AN$200,$G137)&gt;0,
    COUNTIFS($AO$2:$AO$200,$G137)&gt;0,
    COUNTIFS($AP$2:$AP$200,$G137)&gt;0,
    COUNTIFS($AQ$2:$AQ$200,$G137)&gt;0,
    COUNTIFS($AR$2:$AR$200,$G137)&gt;0,
    COUNTIFS($AS$2:$AS$200,$G137)&gt;0,
    COUNTIFS($AT$2:$AT$200,$G137)&gt;0,
    COUNTIFS($AU$2:$AU$200,$G137)&gt;0,
    COUNTIFS($AV$2:$AV$200,$G137)&gt;0,
    COUNTIFS($AW$2:$AW$200,$G137)&gt;0,
    COUNTIFS($AX$2:$AX$200,$G137)&gt;0
   ),
  0)
 ),
"")</f>
        <v>Piratas</v>
      </c>
      <c r="D137" s="3" t="str" cm="1">
        <f t="array" aca="1" ref="D137" ca="1">IFERROR(
 INDEX(
  _xlfn._xlws.FILTER($U$1:$AX$1,
   TRANSPOSE(
    CHOOSE({1;2;3;4;5;6;7;8;9;10;11;12;13;14;15;16;17;18;19;20;21;22;23;24;25;26;27;28;29;30},
     COUNTIFS($U$2:$U$200,$G137)&gt;0,
     COUNTIFS($V$2:$V$200,$G137)&gt;0,
     COUNTIFS($W$2:$W$200,$G137)&gt;0,
     COUNTIFS($X$2:$X$200,$G137)&gt;0,
     COUNTIFS($Y$2:$Y$200,$G137)&gt;0,
     COUNTIFS($Z$2:$Z$200,$G137)&gt;0,
     COUNTIFS($AA$2:$AA$200,$G137)&gt;0,
     COUNTIFS($AB$2:$AB$200,$G137)&gt;0,
     COUNTIFS($AC$2:$AC$200,$G137)&gt;0,
     COUNTIFS($AD$2:$AD$200,$G137)&gt;0,
     COUNTIFS($AE$2:$AE$200,$G137)&gt;0,
     COUNTIFS($AF$2:$AF$200,$G137)&gt;0,
     COUNTIFS($AG$2:$AG$200,$G137)&gt;0,
     COUNTIFS($AH$2:$AH$200,$G137)&gt;0,
     COUNTIFS($AI$2:$AI$200,$G137)&gt;0,
     COUNTIFS($AJ$2:$AJ$200,$G137)&gt;0,
     COUNTIFS($AK$2:$AK$200,$G137)&gt;0,
     COUNTIFS($AL$2:$AL$200,$G137)&gt;0,
     COUNTIFS($AM$2:$AM$200,$G137)&gt;0,
     COUNTIFS($AN$2:$AN$200,$G137)&gt;0,
     COUNTIFS($AO$2:$AO$200,$G137)&gt;0,
     COUNTIFS($AP$2:$AP$200,$G137)&gt;0,
     COUNTIFS($AQ$2:$AQ$200,$G137)&gt;0,
     COUNTIFS($AR$2:$AR$200,$G137)&gt;0,
     COUNTIFS($AS$2:$AS$200,$G137)&gt;0,
     COUNTIFS($AT$2:$AT$200,$G137)&gt;0,
     COUNTIFS($AU$2:$AU$200,$G137)&gt;0,
     COUNTIFS($AV$2:$AV$200,$G137)&gt;0,
     COUNTIFS($AW$2:$AW$200,$G137)&gt;0,
     COUNTIFS($AX$2:$AX$200,$G137)&gt;0
   )),
  ),
  2
 ),
"")</f>
        <v/>
      </c>
      <c r="E137" s="3" t="str" cm="1">
        <f t="array" aca="1" ref="E137" ca="1">IFERROR(
 INDEX(
  _xlfn._xlws.FILTER($U$1:$AX$1,
   TRANSPOSE(
    CHOOSE({1;2;3;4;5;6;7;8;9;10;11;12;13;14;15;16;17;18;19;20;21;22;23;24;25;26;27;28;29;30},
     COUNTIFS($U$2:$U$200,$G137)&gt;0,
     COUNTIFS($V$2:$V$200,$G137)&gt;0,
     COUNTIFS($W$2:$W$200,$G137)&gt;0,
     COUNTIFS($X$2:$X$200,$G137)&gt;0,
     COUNTIFS($Y$2:$Y$200,$G137)&gt;0,
     COUNTIFS($Z$2:$Z$200,$G137)&gt;0,
     COUNTIFS($AA$2:$AA$200,$G137)&gt;0,
     COUNTIFS($AB$2:$AB$200,$G137)&gt;0,
     COUNTIFS($AC$2:$AC$200,$G137)&gt;0,
     COUNTIFS($AD$2:$AD$200,$G137)&gt;0,
     COUNTIFS($AE$2:$AE$200,$G137)&gt;0,
     COUNTIFS($AF$2:$AF$200,$G137)&gt;0,
     COUNTIFS($AG$2:$AG$200,$G137)&gt;0,
     COUNTIFS($AH$2:$AH$200,$G137)&gt;0,
     COUNTIFS($AI$2:$AI$200,$G137)&gt;0,
     COUNTIFS($AJ$2:$AJ$200,$G137)&gt;0,
     COUNTIFS($AK$2:$AK$200,$G137)&gt;0,
     COUNTIFS($AL$2:$AL$200,$G137)&gt;0,
     COUNTIFS($AM$2:$AM$200,$G137)&gt;0,
     COUNTIFS($AN$2:$AN$200,$G137)&gt;0,
     COUNTIFS($AO$2:$AO$200,$G137)&gt;0,
     COUNTIFS($AP$2:$AP$200,$G137)&gt;0,
     COUNTIFS($AQ$2:$AQ$200,$G137)&gt;0,
     COUNTIFS($AR$2:$AR$200,$G137)&gt;0,
     COUNTIFS($AS$2:$AS$200,$G137)&gt;0,
     COUNTIFS($AT$2:$AT$200,$G137)&gt;0,
     COUNTIFS($AU$2:$AU$200,$G137)&gt;0,
     COUNTIFS($AV$2:$AV$200,$G137)&gt;0,
     COUNTIFS($AW$2:$AW$200,$G137)&gt;0,
     COUNTIFS($AX$2:$AX$200,$G137)&gt;0
   )),
  ),
  3
 ),
"")</f>
        <v/>
      </c>
      <c r="F137" s="3" t="str" cm="1">
        <f t="array" aca="1" ref="F137" ca="1">IFERROR(
 INDEX(
  _xlfn._xlws.FILTER($U$1:$AX$1,
   TRANSPOSE(
    CHOOSE({1;2;3;4;5;6;7;8;9;10;11;12;13;14;15;16;17;18;19;20;21;22;23;24;25;26;27;28;29;30},
     COUNTIFS($U$2:$U$200,$G137)&gt;0,
     COUNTIFS($V$2:$V$200,$G137)&gt;0,
     COUNTIFS($W$2:$W$200,$G137)&gt;0,
     COUNTIFS($X$2:$X$200,$G137)&gt;0,
     COUNTIFS($Y$2:$Y$200,$G137)&gt;0,
     COUNTIFS($Z$2:$Z$200,$G137)&gt;0,
     COUNTIFS($AA$2:$AA$200,$G137)&gt;0,
     COUNTIFS($AB$2:$AB$200,$G137)&gt;0,
     COUNTIFS($AC$2:$AC$200,$G137)&gt;0,
     COUNTIFS($AD$2:$AD$200,$G137)&gt;0,
     COUNTIFS($AE$2:$AE$200,$G137)&gt;0,
     COUNTIFS($AF$2:$AF$200,$G137)&gt;0,
     COUNTIFS($AG$2:$AG$200,$G137)&gt;0,
     COUNTIFS($AH$2:$AH$200,$G137)&gt;0,
     COUNTIFS($AI$2:$AI$200,$G137)&gt;0,
     COUNTIFS($AJ$2:$AJ$200,$G137)&gt;0,
     COUNTIFS($AK$2:$AK$200,$G137)&gt;0,
     COUNTIFS($AL$2:$AL$200,$G137)&gt;0,
     COUNTIFS($AM$2:$AM$200,$G137)&gt;0,
     COUNTIFS($AN$2:$AN$200,$G137)&gt;0,
     COUNTIFS($AO$2:$AO$200,$G137)&gt;0,
     COUNTIFS($AP$2:$AP$200,$G137)&gt;0,
     COUNTIFS($AQ$2:$AQ$200,$G137)&gt;0,
     COUNTIFS($AR$2:$AR$200,$G137)&gt;0,
     COUNTIFS($AS$2:$AS$200,$G137)&gt;0,
     COUNTIFS($AT$2:$AT$200,$G137)&gt;0,
     COUNTIFS($AU$2:$AU$200,$G137)&gt;0,
     COUNTIFS($AV$2:$AV$200,$G137)&gt;0,
     COUNTIFS($AW$2:$AW$200,$G137)&gt;0,
     COUNTIFS($AX$2:$AX$200,$G137)&gt;0
   )),
  ),
  4
 ),
"")</f>
        <v/>
      </c>
      <c r="G137" t="str">
        <f ca="1"/>
        <v>Go for the Throat</v>
      </c>
      <c r="BO137" t="str">
        <f ca="1"/>
        <v>Shoot the Sheriff</v>
      </c>
      <c r="BR137" t="str">
        <f ca="1"/>
        <v>Training Center</v>
      </c>
      <c r="BT137" t="str">
        <f ca="1"/>
        <v>Planetary Annihilation</v>
      </c>
    </row>
    <row r="138" spans="1:72" x14ac:dyDescent="0.25">
      <c r="A138" s="3" t="str">
        <f t="shared" ca="1" si="6"/>
        <v>1</v>
      </c>
      <c r="B138" s="3">
        <f t="shared" ca="1" si="7"/>
        <v>1</v>
      </c>
      <c r="C138" s="3" t="str">
        <f ca="1">IFERROR(
 INDEX($U$1:$AX$1,
  MATCH(TRUE,
   CHOOSE({1;2;3;4;5;6;7;8;9;10;11;12;13;14;15;16;17;18;19;20;21;22;23;24;25;26;27;28;29;30;31;32},
    COUNTIFS($U$2:$U$200,$G138)&gt;0,
    COUNTIFS($V$2:$V$200,$G138)&gt;0,
    COUNTIFS($W$2:$W$200,$G138)&gt;0,
    COUNTIFS($X$2:$X$200,$G138)&gt;0,
    COUNTIFS($Y$2:$Y$200,$G138)&gt;0,
    COUNTIFS($Z$2:$Z$200,$G138)&gt;0,
    COUNTIFS($AA$2:$AA$200,$G138)&gt;0,
    COUNTIFS($AB$2:$AB$200,$G138)&gt;0,
    COUNTIFS($AC$2:$AC$200,$G138)&gt;0,
    COUNTIFS($AD$2:$AD$200,$G138)&gt;0,
    COUNTIFS($AE$2:$AE$200,$G138)&gt;0,
    COUNTIFS($AF$2:$AF$200,$G138)&gt;0,
    COUNTIFS($AG$2:$AG$200,$G138)&gt;0,
    COUNTIFS($AH$2:$AH$200,$G138)&gt;0,
    COUNTIFS($AI$2:$AI$200,$G138)&gt;0,
    COUNTIFS($AJ$2:$AJ$200,$G138)&gt;0,
    COUNTIFS($AK$2:$AK$200,$G138)&gt;0,
    COUNTIFS($AL$2:$AL$200,$G138)&gt;0,
    COUNTIFS($AM$2:$AM$200,$G138)&gt;0,
    COUNTIFS($AN$2:$AN$200,$G138)&gt;0,
    COUNTIFS($AO$2:$AO$200,$G138)&gt;0,
    COUNTIFS($AP$2:$AP$200,$G138)&gt;0,
    COUNTIFS($AQ$2:$AQ$200,$G138)&gt;0,
    COUNTIFS($AR$2:$AR$200,$G138)&gt;0,
    COUNTIFS($AS$2:$AS$200,$G138)&gt;0,
    COUNTIFS($AT$2:$AT$200,$G138)&gt;0,
    COUNTIFS($AU$2:$AU$200,$G138)&gt;0,
    COUNTIFS($AV$2:$AV$200,$G138)&gt;0,
    COUNTIFS($AW$2:$AW$200,$G138)&gt;0,
    COUNTIFS($AX$2:$AX$200,$G138)&gt;0
   ),
  0)
 ),
"")</f>
        <v>Modular</v>
      </c>
      <c r="D138" s="3" t="str" cm="1">
        <f t="array" aca="1" ref="D138" ca="1">IFERROR(
 INDEX(
  _xlfn._xlws.FILTER($U$1:$AX$1,
   TRANSPOSE(
    CHOOSE({1;2;3;4;5;6;7;8;9;10;11;12;13;14;15;16;17;18;19;20;21;22;23;24;25;26;27;28;29;30},
     COUNTIFS($U$2:$U$200,$G138)&gt;0,
     COUNTIFS($V$2:$V$200,$G138)&gt;0,
     COUNTIFS($W$2:$W$200,$G138)&gt;0,
     COUNTIFS($X$2:$X$200,$G138)&gt;0,
     COUNTIFS($Y$2:$Y$200,$G138)&gt;0,
     COUNTIFS($Z$2:$Z$200,$G138)&gt;0,
     COUNTIFS($AA$2:$AA$200,$G138)&gt;0,
     COUNTIFS($AB$2:$AB$200,$G138)&gt;0,
     COUNTIFS($AC$2:$AC$200,$G138)&gt;0,
     COUNTIFS($AD$2:$AD$200,$G138)&gt;0,
     COUNTIFS($AE$2:$AE$200,$G138)&gt;0,
     COUNTIFS($AF$2:$AF$200,$G138)&gt;0,
     COUNTIFS($AG$2:$AG$200,$G138)&gt;0,
     COUNTIFS($AH$2:$AH$200,$G138)&gt;0,
     COUNTIFS($AI$2:$AI$200,$G138)&gt;0,
     COUNTIFS($AJ$2:$AJ$200,$G138)&gt;0,
     COUNTIFS($AK$2:$AK$200,$G138)&gt;0,
     COUNTIFS($AL$2:$AL$200,$G138)&gt;0,
     COUNTIFS($AM$2:$AM$200,$G138)&gt;0,
     COUNTIFS($AN$2:$AN$200,$G138)&gt;0,
     COUNTIFS($AO$2:$AO$200,$G138)&gt;0,
     COUNTIFS($AP$2:$AP$200,$G138)&gt;0,
     COUNTIFS($AQ$2:$AQ$200,$G138)&gt;0,
     COUNTIFS($AR$2:$AR$200,$G138)&gt;0,
     COUNTIFS($AS$2:$AS$200,$G138)&gt;0,
     COUNTIFS($AT$2:$AT$200,$G138)&gt;0,
     COUNTIFS($AU$2:$AU$200,$G138)&gt;0,
     COUNTIFS($AV$2:$AV$200,$G138)&gt;0,
     COUNTIFS($AW$2:$AW$200,$G138)&gt;0,
     COUNTIFS($AX$2:$AX$200,$G138)&gt;0
   )),
  ),
  2
 ),
"")</f>
        <v/>
      </c>
      <c r="E138" s="3" t="str" cm="1">
        <f t="array" aca="1" ref="E138" ca="1">IFERROR(
 INDEX(
  _xlfn._xlws.FILTER($U$1:$AX$1,
   TRANSPOSE(
    CHOOSE({1;2;3;4;5;6;7;8;9;10;11;12;13;14;15;16;17;18;19;20;21;22;23;24;25;26;27;28;29;30},
     COUNTIFS($U$2:$U$200,$G138)&gt;0,
     COUNTIFS($V$2:$V$200,$G138)&gt;0,
     COUNTIFS($W$2:$W$200,$G138)&gt;0,
     COUNTIFS($X$2:$X$200,$G138)&gt;0,
     COUNTIFS($Y$2:$Y$200,$G138)&gt;0,
     COUNTIFS($Z$2:$Z$200,$G138)&gt;0,
     COUNTIFS($AA$2:$AA$200,$G138)&gt;0,
     COUNTIFS($AB$2:$AB$200,$G138)&gt;0,
     COUNTIFS($AC$2:$AC$200,$G138)&gt;0,
     COUNTIFS($AD$2:$AD$200,$G138)&gt;0,
     COUNTIFS($AE$2:$AE$200,$G138)&gt;0,
     COUNTIFS($AF$2:$AF$200,$G138)&gt;0,
     COUNTIFS($AG$2:$AG$200,$G138)&gt;0,
     COUNTIFS($AH$2:$AH$200,$G138)&gt;0,
     COUNTIFS($AI$2:$AI$200,$G138)&gt;0,
     COUNTIFS($AJ$2:$AJ$200,$G138)&gt;0,
     COUNTIFS($AK$2:$AK$200,$G138)&gt;0,
     COUNTIFS($AL$2:$AL$200,$G138)&gt;0,
     COUNTIFS($AM$2:$AM$200,$G138)&gt;0,
     COUNTIFS($AN$2:$AN$200,$G138)&gt;0,
     COUNTIFS($AO$2:$AO$200,$G138)&gt;0,
     COUNTIFS($AP$2:$AP$200,$G138)&gt;0,
     COUNTIFS($AQ$2:$AQ$200,$G138)&gt;0,
     COUNTIFS($AR$2:$AR$200,$G138)&gt;0,
     COUNTIFS($AS$2:$AS$200,$G138)&gt;0,
     COUNTIFS($AT$2:$AT$200,$G138)&gt;0,
     COUNTIFS($AU$2:$AU$200,$G138)&gt;0,
     COUNTIFS($AV$2:$AV$200,$G138)&gt;0,
     COUNTIFS($AW$2:$AW$200,$G138)&gt;0,
     COUNTIFS($AX$2:$AX$200,$G138)&gt;0
   )),
  ),
  3
 ),
"")</f>
        <v/>
      </c>
      <c r="F138" s="3" t="str" cm="1">
        <f t="array" aca="1" ref="F138" ca="1">IFERROR(
 INDEX(
  _xlfn._xlws.FILTER($U$1:$AX$1,
   TRANSPOSE(
    CHOOSE({1;2;3;4;5;6;7;8;9;10;11;12;13;14;15;16;17;18;19;20;21;22;23;24;25;26;27;28;29;30},
     COUNTIFS($U$2:$U$200,$G138)&gt;0,
     COUNTIFS($V$2:$V$200,$G138)&gt;0,
     COUNTIFS($W$2:$W$200,$G138)&gt;0,
     COUNTIFS($X$2:$X$200,$G138)&gt;0,
     COUNTIFS($Y$2:$Y$200,$G138)&gt;0,
     COUNTIFS($Z$2:$Z$200,$G138)&gt;0,
     COUNTIFS($AA$2:$AA$200,$G138)&gt;0,
     COUNTIFS($AB$2:$AB$200,$G138)&gt;0,
     COUNTIFS($AC$2:$AC$200,$G138)&gt;0,
     COUNTIFS($AD$2:$AD$200,$G138)&gt;0,
     COUNTIFS($AE$2:$AE$200,$G138)&gt;0,
     COUNTIFS($AF$2:$AF$200,$G138)&gt;0,
     COUNTIFS($AG$2:$AG$200,$G138)&gt;0,
     COUNTIFS($AH$2:$AH$200,$G138)&gt;0,
     COUNTIFS($AI$2:$AI$200,$G138)&gt;0,
     COUNTIFS($AJ$2:$AJ$200,$G138)&gt;0,
     COUNTIFS($AK$2:$AK$200,$G138)&gt;0,
     COUNTIFS($AL$2:$AL$200,$G138)&gt;0,
     COUNTIFS($AM$2:$AM$200,$G138)&gt;0,
     COUNTIFS($AN$2:$AN$200,$G138)&gt;0,
     COUNTIFS($AO$2:$AO$200,$G138)&gt;0,
     COUNTIFS($AP$2:$AP$200,$G138)&gt;0,
     COUNTIFS($AQ$2:$AQ$200,$G138)&gt;0,
     COUNTIFS($AR$2:$AR$200,$G138)&gt;0,
     COUNTIFS($AS$2:$AS$200,$G138)&gt;0,
     COUNTIFS($AT$2:$AT$200,$G138)&gt;0,
     COUNTIFS($AU$2:$AU$200,$G138)&gt;0,
     COUNTIFS($AV$2:$AV$200,$G138)&gt;0,
     COUNTIFS($AW$2:$AW$200,$G138)&gt;0,
     COUNTIFS($AX$2:$AX$200,$G138)&gt;0
   )),
  ),
  4
 ),
"")</f>
        <v/>
      </c>
      <c r="G138" t="str">
        <f ca="1"/>
        <v>Goblin Engineer</v>
      </c>
      <c r="BO138" t="str">
        <f ca="1"/>
        <v>Siren Stormtamer</v>
      </c>
      <c r="BR138" t="str">
        <f ca="1"/>
        <v>Trenzalore Clocktower</v>
      </c>
      <c r="BT138" t="str">
        <f ca="1"/>
        <v>Polluted Delta</v>
      </c>
    </row>
    <row r="139" spans="1:72" x14ac:dyDescent="0.25">
      <c r="A139" s="3" t="str">
        <f t="shared" ca="1" si="6"/>
        <v>1</v>
      </c>
      <c r="B139" s="3">
        <f t="shared" ca="1" si="7"/>
        <v>1</v>
      </c>
      <c r="C139" s="3" t="str">
        <f ca="1">IFERROR(
 INDEX($U$1:$AX$1,
  MATCH(TRUE,
   CHOOSE({1;2;3;4;5;6;7;8;9;10;11;12;13;14;15;16;17;18;19;20;21;22;23;24;25;26;27;28;29;30;31;32},
    COUNTIFS($U$2:$U$200,$G139)&gt;0,
    COUNTIFS($V$2:$V$200,$G139)&gt;0,
    COUNTIFS($W$2:$W$200,$G139)&gt;0,
    COUNTIFS($X$2:$X$200,$G139)&gt;0,
    COUNTIFS($Y$2:$Y$200,$G139)&gt;0,
    COUNTIFS($Z$2:$Z$200,$G139)&gt;0,
    COUNTIFS($AA$2:$AA$200,$G139)&gt;0,
    COUNTIFS($AB$2:$AB$200,$G139)&gt;0,
    COUNTIFS($AC$2:$AC$200,$G139)&gt;0,
    COUNTIFS($AD$2:$AD$200,$G139)&gt;0,
    COUNTIFS($AE$2:$AE$200,$G139)&gt;0,
    COUNTIFS($AF$2:$AF$200,$G139)&gt;0,
    COUNTIFS($AG$2:$AG$200,$G139)&gt;0,
    COUNTIFS($AH$2:$AH$200,$G139)&gt;0,
    COUNTIFS($AI$2:$AI$200,$G139)&gt;0,
    COUNTIFS($AJ$2:$AJ$200,$G139)&gt;0,
    COUNTIFS($AK$2:$AK$200,$G139)&gt;0,
    COUNTIFS($AL$2:$AL$200,$G139)&gt;0,
    COUNTIFS($AM$2:$AM$200,$G139)&gt;0,
    COUNTIFS($AN$2:$AN$200,$G139)&gt;0,
    COUNTIFS($AO$2:$AO$200,$G139)&gt;0,
    COUNTIFS($AP$2:$AP$200,$G139)&gt;0,
    COUNTIFS($AQ$2:$AQ$200,$G139)&gt;0,
    COUNTIFS($AR$2:$AR$200,$G139)&gt;0,
    COUNTIFS($AS$2:$AS$200,$G139)&gt;0,
    COUNTIFS($AT$2:$AT$200,$G139)&gt;0,
    COUNTIFS($AU$2:$AU$200,$G139)&gt;0,
    COUNTIFS($AV$2:$AV$200,$G139)&gt;0,
    COUNTIFS($AW$2:$AW$200,$G139)&gt;0,
    COUNTIFS($AX$2:$AX$200,$G139)&gt;0
   ),
  0)
 ),
"")</f>
        <v>Modular</v>
      </c>
      <c r="D139" s="3" t="str" cm="1">
        <f t="array" aca="1" ref="D139" ca="1">IFERROR(
 INDEX(
  _xlfn._xlws.FILTER($U$1:$AX$1,
   TRANSPOSE(
    CHOOSE({1;2;3;4;5;6;7;8;9;10;11;12;13;14;15;16;17;18;19;20;21;22;23;24;25;26;27;28;29;30},
     COUNTIFS($U$2:$U$200,$G139)&gt;0,
     COUNTIFS($V$2:$V$200,$G139)&gt;0,
     COUNTIFS($W$2:$W$200,$G139)&gt;0,
     COUNTIFS($X$2:$X$200,$G139)&gt;0,
     COUNTIFS($Y$2:$Y$200,$G139)&gt;0,
     COUNTIFS($Z$2:$Z$200,$G139)&gt;0,
     COUNTIFS($AA$2:$AA$200,$G139)&gt;0,
     COUNTIFS($AB$2:$AB$200,$G139)&gt;0,
     COUNTIFS($AC$2:$AC$200,$G139)&gt;0,
     COUNTIFS($AD$2:$AD$200,$G139)&gt;0,
     COUNTIFS($AE$2:$AE$200,$G139)&gt;0,
     COUNTIFS($AF$2:$AF$200,$G139)&gt;0,
     COUNTIFS($AG$2:$AG$200,$G139)&gt;0,
     COUNTIFS($AH$2:$AH$200,$G139)&gt;0,
     COUNTIFS($AI$2:$AI$200,$G139)&gt;0,
     COUNTIFS($AJ$2:$AJ$200,$G139)&gt;0,
     COUNTIFS($AK$2:$AK$200,$G139)&gt;0,
     COUNTIFS($AL$2:$AL$200,$G139)&gt;0,
     COUNTIFS($AM$2:$AM$200,$G139)&gt;0,
     COUNTIFS($AN$2:$AN$200,$G139)&gt;0,
     COUNTIFS($AO$2:$AO$200,$G139)&gt;0,
     COUNTIFS($AP$2:$AP$200,$G139)&gt;0,
     COUNTIFS($AQ$2:$AQ$200,$G139)&gt;0,
     COUNTIFS($AR$2:$AR$200,$G139)&gt;0,
     COUNTIFS($AS$2:$AS$200,$G139)&gt;0,
     COUNTIFS($AT$2:$AT$200,$G139)&gt;0,
     COUNTIFS($AU$2:$AU$200,$G139)&gt;0,
     COUNTIFS($AV$2:$AV$200,$G139)&gt;0,
     COUNTIFS($AW$2:$AW$200,$G139)&gt;0,
     COUNTIFS($AX$2:$AX$200,$G139)&gt;0
   )),
  ),
  2
 ),
"")</f>
        <v/>
      </c>
      <c r="E139" s="3" t="str" cm="1">
        <f t="array" aca="1" ref="E139" ca="1">IFERROR(
 INDEX(
  _xlfn._xlws.FILTER($U$1:$AX$1,
   TRANSPOSE(
    CHOOSE({1;2;3;4;5;6;7;8;9;10;11;12;13;14;15;16;17;18;19;20;21;22;23;24;25;26;27;28;29;30},
     COUNTIFS($U$2:$U$200,$G139)&gt;0,
     COUNTIFS($V$2:$V$200,$G139)&gt;0,
     COUNTIFS($W$2:$W$200,$G139)&gt;0,
     COUNTIFS($X$2:$X$200,$G139)&gt;0,
     COUNTIFS($Y$2:$Y$200,$G139)&gt;0,
     COUNTIFS($Z$2:$Z$200,$G139)&gt;0,
     COUNTIFS($AA$2:$AA$200,$G139)&gt;0,
     COUNTIFS($AB$2:$AB$200,$G139)&gt;0,
     COUNTIFS($AC$2:$AC$200,$G139)&gt;0,
     COUNTIFS($AD$2:$AD$200,$G139)&gt;0,
     COUNTIFS($AE$2:$AE$200,$G139)&gt;0,
     COUNTIFS($AF$2:$AF$200,$G139)&gt;0,
     COUNTIFS($AG$2:$AG$200,$G139)&gt;0,
     COUNTIFS($AH$2:$AH$200,$G139)&gt;0,
     COUNTIFS($AI$2:$AI$200,$G139)&gt;0,
     COUNTIFS($AJ$2:$AJ$200,$G139)&gt;0,
     COUNTIFS($AK$2:$AK$200,$G139)&gt;0,
     COUNTIFS($AL$2:$AL$200,$G139)&gt;0,
     COUNTIFS($AM$2:$AM$200,$G139)&gt;0,
     COUNTIFS($AN$2:$AN$200,$G139)&gt;0,
     COUNTIFS($AO$2:$AO$200,$G139)&gt;0,
     COUNTIFS($AP$2:$AP$200,$G139)&gt;0,
     COUNTIFS($AQ$2:$AQ$200,$G139)&gt;0,
     COUNTIFS($AR$2:$AR$200,$G139)&gt;0,
     COUNTIFS($AS$2:$AS$200,$G139)&gt;0,
     COUNTIFS($AT$2:$AT$200,$G139)&gt;0,
     COUNTIFS($AU$2:$AU$200,$G139)&gt;0,
     COUNTIFS($AV$2:$AV$200,$G139)&gt;0,
     COUNTIFS($AW$2:$AW$200,$G139)&gt;0,
     COUNTIFS($AX$2:$AX$200,$G139)&gt;0
   )),
  ),
  3
 ),
"")</f>
        <v/>
      </c>
      <c r="F139" s="3" t="str" cm="1">
        <f t="array" aca="1" ref="F139" ca="1">IFERROR(
 INDEX(
  _xlfn._xlws.FILTER($U$1:$AX$1,
   TRANSPOSE(
    CHOOSE({1;2;3;4;5;6;7;8;9;10;11;12;13;14;15;16;17;18;19;20;21;22;23;24;25;26;27;28;29;30},
     COUNTIFS($U$2:$U$200,$G139)&gt;0,
     COUNTIFS($V$2:$V$200,$G139)&gt;0,
     COUNTIFS($W$2:$W$200,$G139)&gt;0,
     COUNTIFS($X$2:$X$200,$G139)&gt;0,
     COUNTIFS($Y$2:$Y$200,$G139)&gt;0,
     COUNTIFS($Z$2:$Z$200,$G139)&gt;0,
     COUNTIFS($AA$2:$AA$200,$G139)&gt;0,
     COUNTIFS($AB$2:$AB$200,$G139)&gt;0,
     COUNTIFS($AC$2:$AC$200,$G139)&gt;0,
     COUNTIFS($AD$2:$AD$200,$G139)&gt;0,
     COUNTIFS($AE$2:$AE$200,$G139)&gt;0,
     COUNTIFS($AF$2:$AF$200,$G139)&gt;0,
     COUNTIFS($AG$2:$AG$200,$G139)&gt;0,
     COUNTIFS($AH$2:$AH$200,$G139)&gt;0,
     COUNTIFS($AI$2:$AI$200,$G139)&gt;0,
     COUNTIFS($AJ$2:$AJ$200,$G139)&gt;0,
     COUNTIFS($AK$2:$AK$200,$G139)&gt;0,
     COUNTIFS($AL$2:$AL$200,$G139)&gt;0,
     COUNTIFS($AM$2:$AM$200,$G139)&gt;0,
     COUNTIFS($AN$2:$AN$200,$G139)&gt;0,
     COUNTIFS($AO$2:$AO$200,$G139)&gt;0,
     COUNTIFS($AP$2:$AP$200,$G139)&gt;0,
     COUNTIFS($AQ$2:$AQ$200,$G139)&gt;0,
     COUNTIFS($AR$2:$AR$200,$G139)&gt;0,
     COUNTIFS($AS$2:$AS$200,$G139)&gt;0,
     COUNTIFS($AT$2:$AT$200,$G139)&gt;0,
     COUNTIFS($AU$2:$AU$200,$G139)&gt;0,
     COUNTIFS($AV$2:$AV$200,$G139)&gt;0,
     COUNTIFS($AW$2:$AW$200,$G139)&gt;0,
     COUNTIFS($AX$2:$AX$200,$G139)&gt;0
   )),
  ),
  4
 ),
"")</f>
        <v/>
      </c>
      <c r="G139" t="str">
        <f ca="1"/>
        <v>Goblin Welder</v>
      </c>
      <c r="BO139" t="str">
        <f ca="1"/>
        <v>Slagwoods Bridge</v>
      </c>
      <c r="BR139" t="str">
        <f ca="1"/>
        <v>Três Passos à Frente</v>
      </c>
      <c r="BT139" t="str">
        <f ca="1"/>
        <v>Portal to Phyrexia</v>
      </c>
    </row>
    <row r="140" spans="1:72" x14ac:dyDescent="0.25">
      <c r="A140" s="3" t="str">
        <f t="shared" ca="1" si="6"/>
        <v>3</v>
      </c>
      <c r="B140" s="3">
        <f t="shared" ca="1" si="7"/>
        <v>1</v>
      </c>
      <c r="C140" s="3" t="str">
        <f ca="1">IFERROR(
 INDEX($U$1:$AX$1,
  MATCH(TRUE,
   CHOOSE({1;2;3;4;5;6;7;8;9;10;11;12;13;14;15;16;17;18;19;20;21;22;23;24;25;26;27;28;29;30;31;32},
    COUNTIFS($U$2:$U$200,$G140)&gt;0,
    COUNTIFS($V$2:$V$200,$G140)&gt;0,
    COUNTIFS($W$2:$W$200,$G140)&gt;0,
    COUNTIFS($X$2:$X$200,$G140)&gt;0,
    COUNTIFS($Y$2:$Y$200,$G140)&gt;0,
    COUNTIFS($Z$2:$Z$200,$G140)&gt;0,
    COUNTIFS($AA$2:$AA$200,$G140)&gt;0,
    COUNTIFS($AB$2:$AB$200,$G140)&gt;0,
    COUNTIFS($AC$2:$AC$200,$G140)&gt;0,
    COUNTIFS($AD$2:$AD$200,$G140)&gt;0,
    COUNTIFS($AE$2:$AE$200,$G140)&gt;0,
    COUNTIFS($AF$2:$AF$200,$G140)&gt;0,
    COUNTIFS($AG$2:$AG$200,$G140)&gt;0,
    COUNTIFS($AH$2:$AH$200,$G140)&gt;0,
    COUNTIFS($AI$2:$AI$200,$G140)&gt;0,
    COUNTIFS($AJ$2:$AJ$200,$G140)&gt;0,
    COUNTIFS($AK$2:$AK$200,$G140)&gt;0,
    COUNTIFS($AL$2:$AL$200,$G140)&gt;0,
    COUNTIFS($AM$2:$AM$200,$G140)&gt;0,
    COUNTIFS($AN$2:$AN$200,$G140)&gt;0,
    COUNTIFS($AO$2:$AO$200,$G140)&gt;0,
    COUNTIFS($AP$2:$AP$200,$G140)&gt;0,
    COUNTIFS($AQ$2:$AQ$200,$G140)&gt;0,
    COUNTIFS($AR$2:$AR$200,$G140)&gt;0,
    COUNTIFS($AS$2:$AS$200,$G140)&gt;0,
    COUNTIFS($AT$2:$AT$200,$G140)&gt;0,
    COUNTIFS($AU$2:$AU$200,$G140)&gt;0,
    COUNTIFS($AV$2:$AV$200,$G140)&gt;0,
    COUNTIFS($AW$2:$AW$200,$G140)&gt;0,
    COUNTIFS($AX$2:$AX$200,$G140)&gt;0
   ),
  0)
 ),
"")</f>
        <v>Zimone</v>
      </c>
      <c r="D140" s="3" t="str" cm="1">
        <f t="array" aca="1" ref="D140" ca="1">IFERROR(
 INDEX(
  _xlfn._xlws.FILTER($U$1:$AX$1,
   TRANSPOSE(
    CHOOSE({1;2;3;4;5;6;7;8;9;10;11;12;13;14;15;16;17;18;19;20;21;22;23;24;25;26;27;28;29;30},
     COUNTIFS($U$2:$U$200,$G140)&gt;0,
     COUNTIFS($V$2:$V$200,$G140)&gt;0,
     COUNTIFS($W$2:$W$200,$G140)&gt;0,
     COUNTIFS($X$2:$X$200,$G140)&gt;0,
     COUNTIFS($Y$2:$Y$200,$G140)&gt;0,
     COUNTIFS($Z$2:$Z$200,$G140)&gt;0,
     COUNTIFS($AA$2:$AA$200,$G140)&gt;0,
     COUNTIFS($AB$2:$AB$200,$G140)&gt;0,
     COUNTIFS($AC$2:$AC$200,$G140)&gt;0,
     COUNTIFS($AD$2:$AD$200,$G140)&gt;0,
     COUNTIFS($AE$2:$AE$200,$G140)&gt;0,
     COUNTIFS($AF$2:$AF$200,$G140)&gt;0,
     COUNTIFS($AG$2:$AG$200,$G140)&gt;0,
     COUNTIFS($AH$2:$AH$200,$G140)&gt;0,
     COUNTIFS($AI$2:$AI$200,$G140)&gt;0,
     COUNTIFS($AJ$2:$AJ$200,$G140)&gt;0,
     COUNTIFS($AK$2:$AK$200,$G140)&gt;0,
     COUNTIFS($AL$2:$AL$200,$G140)&gt;0,
     COUNTIFS($AM$2:$AM$200,$G140)&gt;0,
     COUNTIFS($AN$2:$AN$200,$G140)&gt;0,
     COUNTIFS($AO$2:$AO$200,$G140)&gt;0,
     COUNTIFS($AP$2:$AP$200,$G140)&gt;0,
     COUNTIFS($AQ$2:$AQ$200,$G140)&gt;0,
     COUNTIFS($AR$2:$AR$200,$G140)&gt;0,
     COUNTIFS($AS$2:$AS$200,$G140)&gt;0,
     COUNTIFS($AT$2:$AT$200,$G140)&gt;0,
     COUNTIFS($AU$2:$AU$200,$G140)&gt;0,
     COUNTIFS($AV$2:$AV$200,$G140)&gt;0,
     COUNTIFS($AW$2:$AW$200,$G140)&gt;0,
     COUNTIFS($AX$2:$AX$200,$G140)&gt;0
   )),
  ),
  2
 ),
"")</f>
        <v/>
      </c>
      <c r="E140" s="3" t="str" cm="1">
        <f t="array" aca="1" ref="E140" ca="1">IFERROR(
 INDEX(
  _xlfn._xlws.FILTER($U$1:$AX$1,
   TRANSPOSE(
    CHOOSE({1;2;3;4;5;6;7;8;9;10;11;12;13;14;15;16;17;18;19;20;21;22;23;24;25;26;27;28;29;30},
     COUNTIFS($U$2:$U$200,$G140)&gt;0,
     COUNTIFS($V$2:$V$200,$G140)&gt;0,
     COUNTIFS($W$2:$W$200,$G140)&gt;0,
     COUNTIFS($X$2:$X$200,$G140)&gt;0,
     COUNTIFS($Y$2:$Y$200,$G140)&gt;0,
     COUNTIFS($Z$2:$Z$200,$G140)&gt;0,
     COUNTIFS($AA$2:$AA$200,$G140)&gt;0,
     COUNTIFS($AB$2:$AB$200,$G140)&gt;0,
     COUNTIFS($AC$2:$AC$200,$G140)&gt;0,
     COUNTIFS($AD$2:$AD$200,$G140)&gt;0,
     COUNTIFS($AE$2:$AE$200,$G140)&gt;0,
     COUNTIFS($AF$2:$AF$200,$G140)&gt;0,
     COUNTIFS($AG$2:$AG$200,$G140)&gt;0,
     COUNTIFS($AH$2:$AH$200,$G140)&gt;0,
     COUNTIFS($AI$2:$AI$200,$G140)&gt;0,
     COUNTIFS($AJ$2:$AJ$200,$G140)&gt;0,
     COUNTIFS($AK$2:$AK$200,$G140)&gt;0,
     COUNTIFS($AL$2:$AL$200,$G140)&gt;0,
     COUNTIFS($AM$2:$AM$200,$G140)&gt;0,
     COUNTIFS($AN$2:$AN$200,$G140)&gt;0,
     COUNTIFS($AO$2:$AO$200,$G140)&gt;0,
     COUNTIFS($AP$2:$AP$200,$G140)&gt;0,
     COUNTIFS($AQ$2:$AQ$200,$G140)&gt;0,
     COUNTIFS($AR$2:$AR$200,$G140)&gt;0,
     COUNTIFS($AS$2:$AS$200,$G140)&gt;0,
     COUNTIFS($AT$2:$AT$200,$G140)&gt;0,
     COUNTIFS($AU$2:$AU$200,$G140)&gt;0,
     COUNTIFS($AV$2:$AV$200,$G140)&gt;0,
     COUNTIFS($AW$2:$AW$200,$G140)&gt;0,
     COUNTIFS($AX$2:$AX$200,$G140)&gt;0
   )),
  ),
  3
 ),
"")</f>
        <v/>
      </c>
      <c r="F140" s="3" t="str" cm="1">
        <f t="array" aca="1" ref="F140" ca="1">IFERROR(
 INDEX(
  _xlfn._xlws.FILTER($U$1:$AX$1,
   TRANSPOSE(
    CHOOSE({1;2;3;4;5;6;7;8;9;10;11;12;13;14;15;16;17;18;19;20;21;22;23;24;25;26;27;28;29;30},
     COUNTIFS($U$2:$U$200,$G140)&gt;0,
     COUNTIFS($V$2:$V$200,$G140)&gt;0,
     COUNTIFS($W$2:$W$200,$G140)&gt;0,
     COUNTIFS($X$2:$X$200,$G140)&gt;0,
     COUNTIFS($Y$2:$Y$200,$G140)&gt;0,
     COUNTIFS($Z$2:$Z$200,$G140)&gt;0,
     COUNTIFS($AA$2:$AA$200,$G140)&gt;0,
     COUNTIFS($AB$2:$AB$200,$G140)&gt;0,
     COUNTIFS($AC$2:$AC$200,$G140)&gt;0,
     COUNTIFS($AD$2:$AD$200,$G140)&gt;0,
     COUNTIFS($AE$2:$AE$200,$G140)&gt;0,
     COUNTIFS($AF$2:$AF$200,$G140)&gt;0,
     COUNTIFS($AG$2:$AG$200,$G140)&gt;0,
     COUNTIFS($AH$2:$AH$200,$G140)&gt;0,
     COUNTIFS($AI$2:$AI$200,$G140)&gt;0,
     COUNTIFS($AJ$2:$AJ$200,$G140)&gt;0,
     COUNTIFS($AK$2:$AK$200,$G140)&gt;0,
     COUNTIFS($AL$2:$AL$200,$G140)&gt;0,
     COUNTIFS($AM$2:$AM$200,$G140)&gt;0,
     COUNTIFS($AN$2:$AN$200,$G140)&gt;0,
     COUNTIFS($AO$2:$AO$200,$G140)&gt;0,
     COUNTIFS($AP$2:$AP$200,$G140)&gt;0,
     COUNTIFS($AQ$2:$AQ$200,$G140)&gt;0,
     COUNTIFS($AR$2:$AR$200,$G140)&gt;0,
     COUNTIFS($AS$2:$AS$200,$G140)&gt;0,
     COUNTIFS($AT$2:$AT$200,$G140)&gt;0,
     COUNTIFS($AU$2:$AU$200,$G140)&gt;0,
     COUNTIFS($AV$2:$AV$200,$G140)&gt;0,
     COUNTIFS($AW$2:$AW$200,$G140)&gt;0,
     COUNTIFS($AX$2:$AX$200,$G140)&gt;0
   )),
  ),
  4
 ),
"")</f>
        <v/>
      </c>
      <c r="G140" t="str">
        <f ca="1"/>
        <v>Grave Pact</v>
      </c>
      <c r="BO140" t="str">
        <f ca="1"/>
        <v>Sol Ring</v>
      </c>
      <c r="BR140" t="str">
        <f ca="1"/>
        <v>Unholy Annex // Ritual Chamber</v>
      </c>
      <c r="BT140" t="str">
        <f ca="1"/>
        <v>Prismatic Strands</v>
      </c>
    </row>
    <row r="141" spans="1:72" x14ac:dyDescent="0.25">
      <c r="A141" s="3" t="str">
        <f t="shared" ca="1" si="6"/>
        <v>1</v>
      </c>
      <c r="B141" s="3">
        <f t="shared" ca="1" si="7"/>
        <v>1</v>
      </c>
      <c r="C141" s="3" t="str">
        <f ca="1">IFERROR(
 INDEX($U$1:$AX$1,
  MATCH(TRUE,
   CHOOSE({1;2;3;4;5;6;7;8;9;10;11;12;13;14;15;16;17;18;19;20;21;22;23;24;25;26;27;28;29;30;31;32},
    COUNTIFS($U$2:$U$200,$G141)&gt;0,
    COUNTIFS($V$2:$V$200,$G141)&gt;0,
    COUNTIFS($W$2:$W$200,$G141)&gt;0,
    COUNTIFS($X$2:$X$200,$G141)&gt;0,
    COUNTIFS($Y$2:$Y$200,$G141)&gt;0,
    COUNTIFS($Z$2:$Z$200,$G141)&gt;0,
    COUNTIFS($AA$2:$AA$200,$G141)&gt;0,
    COUNTIFS($AB$2:$AB$200,$G141)&gt;0,
    COUNTIFS($AC$2:$AC$200,$G141)&gt;0,
    COUNTIFS($AD$2:$AD$200,$G141)&gt;0,
    COUNTIFS($AE$2:$AE$200,$G141)&gt;0,
    COUNTIFS($AF$2:$AF$200,$G141)&gt;0,
    COUNTIFS($AG$2:$AG$200,$G141)&gt;0,
    COUNTIFS($AH$2:$AH$200,$G141)&gt;0,
    COUNTIFS($AI$2:$AI$200,$G141)&gt;0,
    COUNTIFS($AJ$2:$AJ$200,$G141)&gt;0,
    COUNTIFS($AK$2:$AK$200,$G141)&gt;0,
    COUNTIFS($AL$2:$AL$200,$G141)&gt;0,
    COUNTIFS($AM$2:$AM$200,$G141)&gt;0,
    COUNTIFS($AN$2:$AN$200,$G141)&gt;0,
    COUNTIFS($AO$2:$AO$200,$G141)&gt;0,
    COUNTIFS($AP$2:$AP$200,$G141)&gt;0,
    COUNTIFS($AQ$2:$AQ$200,$G141)&gt;0,
    COUNTIFS($AR$2:$AR$200,$G141)&gt;0,
    COUNTIFS($AS$2:$AS$200,$G141)&gt;0,
    COUNTIFS($AT$2:$AT$200,$G141)&gt;0,
    COUNTIFS($AU$2:$AU$200,$G141)&gt;0,
    COUNTIFS($AV$2:$AV$200,$G141)&gt;0,
    COUNTIFS($AW$2:$AW$200,$G141)&gt;0,
    COUNTIFS($AX$2:$AX$200,$G141)&gt;0
   ),
  0)
 ),
"")</f>
        <v>Modular</v>
      </c>
      <c r="D141" s="3" t="str" cm="1">
        <f t="array" aca="1" ref="D141" ca="1">IFERROR(
 INDEX(
  _xlfn._xlws.FILTER($U$1:$AX$1,
   TRANSPOSE(
    CHOOSE({1;2;3;4;5;6;7;8;9;10;11;12;13;14;15;16;17;18;19;20;21;22;23;24;25;26;27;28;29;30},
     COUNTIFS($U$2:$U$200,$G141)&gt;0,
     COUNTIFS($V$2:$V$200,$G141)&gt;0,
     COUNTIFS($W$2:$W$200,$G141)&gt;0,
     COUNTIFS($X$2:$X$200,$G141)&gt;0,
     COUNTIFS($Y$2:$Y$200,$G141)&gt;0,
     COUNTIFS($Z$2:$Z$200,$G141)&gt;0,
     COUNTIFS($AA$2:$AA$200,$G141)&gt;0,
     COUNTIFS($AB$2:$AB$200,$G141)&gt;0,
     COUNTIFS($AC$2:$AC$200,$G141)&gt;0,
     COUNTIFS($AD$2:$AD$200,$G141)&gt;0,
     COUNTIFS($AE$2:$AE$200,$G141)&gt;0,
     COUNTIFS($AF$2:$AF$200,$G141)&gt;0,
     COUNTIFS($AG$2:$AG$200,$G141)&gt;0,
     COUNTIFS($AH$2:$AH$200,$G141)&gt;0,
     COUNTIFS($AI$2:$AI$200,$G141)&gt;0,
     COUNTIFS($AJ$2:$AJ$200,$G141)&gt;0,
     COUNTIFS($AK$2:$AK$200,$G141)&gt;0,
     COUNTIFS($AL$2:$AL$200,$G141)&gt;0,
     COUNTIFS($AM$2:$AM$200,$G141)&gt;0,
     COUNTIFS($AN$2:$AN$200,$G141)&gt;0,
     COUNTIFS($AO$2:$AO$200,$G141)&gt;0,
     COUNTIFS($AP$2:$AP$200,$G141)&gt;0,
     COUNTIFS($AQ$2:$AQ$200,$G141)&gt;0,
     COUNTIFS($AR$2:$AR$200,$G141)&gt;0,
     COUNTIFS($AS$2:$AS$200,$G141)&gt;0,
     COUNTIFS($AT$2:$AT$200,$G141)&gt;0,
     COUNTIFS($AU$2:$AU$200,$G141)&gt;0,
     COUNTIFS($AV$2:$AV$200,$G141)&gt;0,
     COUNTIFS($AW$2:$AW$200,$G141)&gt;0,
     COUNTIFS($AX$2:$AX$200,$G141)&gt;0
   )),
  ),
  2
 ),
"")</f>
        <v/>
      </c>
      <c r="E141" s="3" t="str" cm="1">
        <f t="array" aca="1" ref="E141" ca="1">IFERROR(
 INDEX(
  _xlfn._xlws.FILTER($U$1:$AX$1,
   TRANSPOSE(
    CHOOSE({1;2;3;4;5;6;7;8;9;10;11;12;13;14;15;16;17;18;19;20;21;22;23;24;25;26;27;28;29;30},
     COUNTIFS($U$2:$U$200,$G141)&gt;0,
     COUNTIFS($V$2:$V$200,$G141)&gt;0,
     COUNTIFS($W$2:$W$200,$G141)&gt;0,
     COUNTIFS($X$2:$X$200,$G141)&gt;0,
     COUNTIFS($Y$2:$Y$200,$G141)&gt;0,
     COUNTIFS($Z$2:$Z$200,$G141)&gt;0,
     COUNTIFS($AA$2:$AA$200,$G141)&gt;0,
     COUNTIFS($AB$2:$AB$200,$G141)&gt;0,
     COUNTIFS($AC$2:$AC$200,$G141)&gt;0,
     COUNTIFS($AD$2:$AD$200,$G141)&gt;0,
     COUNTIFS($AE$2:$AE$200,$G141)&gt;0,
     COUNTIFS($AF$2:$AF$200,$G141)&gt;0,
     COUNTIFS($AG$2:$AG$200,$G141)&gt;0,
     COUNTIFS($AH$2:$AH$200,$G141)&gt;0,
     COUNTIFS($AI$2:$AI$200,$G141)&gt;0,
     COUNTIFS($AJ$2:$AJ$200,$G141)&gt;0,
     COUNTIFS($AK$2:$AK$200,$G141)&gt;0,
     COUNTIFS($AL$2:$AL$200,$G141)&gt;0,
     COUNTIFS($AM$2:$AM$200,$G141)&gt;0,
     COUNTIFS($AN$2:$AN$200,$G141)&gt;0,
     COUNTIFS($AO$2:$AO$200,$G141)&gt;0,
     COUNTIFS($AP$2:$AP$200,$G141)&gt;0,
     COUNTIFS($AQ$2:$AQ$200,$G141)&gt;0,
     COUNTIFS($AR$2:$AR$200,$G141)&gt;0,
     COUNTIFS($AS$2:$AS$200,$G141)&gt;0,
     COUNTIFS($AT$2:$AT$200,$G141)&gt;0,
     COUNTIFS($AU$2:$AU$200,$G141)&gt;0,
     COUNTIFS($AV$2:$AV$200,$G141)&gt;0,
     COUNTIFS($AW$2:$AW$200,$G141)&gt;0,
     COUNTIFS($AX$2:$AX$200,$G141)&gt;0
   )),
  ),
  3
 ),
"")</f>
        <v/>
      </c>
      <c r="F141" s="3" t="str" cm="1">
        <f t="array" aca="1" ref="F141" ca="1">IFERROR(
 INDEX(
  _xlfn._xlws.FILTER($U$1:$AX$1,
   TRANSPOSE(
    CHOOSE({1;2;3;4;5;6;7;8;9;10;11;12;13;14;15;16;17;18;19;20;21;22;23;24;25;26;27;28;29;30},
     COUNTIFS($U$2:$U$200,$G141)&gt;0,
     COUNTIFS($V$2:$V$200,$G141)&gt;0,
     COUNTIFS($W$2:$W$200,$G141)&gt;0,
     COUNTIFS($X$2:$X$200,$G141)&gt;0,
     COUNTIFS($Y$2:$Y$200,$G141)&gt;0,
     COUNTIFS($Z$2:$Z$200,$G141)&gt;0,
     COUNTIFS($AA$2:$AA$200,$G141)&gt;0,
     COUNTIFS($AB$2:$AB$200,$G141)&gt;0,
     COUNTIFS($AC$2:$AC$200,$G141)&gt;0,
     COUNTIFS($AD$2:$AD$200,$G141)&gt;0,
     COUNTIFS($AE$2:$AE$200,$G141)&gt;0,
     COUNTIFS($AF$2:$AF$200,$G141)&gt;0,
     COUNTIFS($AG$2:$AG$200,$G141)&gt;0,
     COUNTIFS($AH$2:$AH$200,$G141)&gt;0,
     COUNTIFS($AI$2:$AI$200,$G141)&gt;0,
     COUNTIFS($AJ$2:$AJ$200,$G141)&gt;0,
     COUNTIFS($AK$2:$AK$200,$G141)&gt;0,
     COUNTIFS($AL$2:$AL$200,$G141)&gt;0,
     COUNTIFS($AM$2:$AM$200,$G141)&gt;0,
     COUNTIFS($AN$2:$AN$200,$G141)&gt;0,
     COUNTIFS($AO$2:$AO$200,$G141)&gt;0,
     COUNTIFS($AP$2:$AP$200,$G141)&gt;0,
     COUNTIFS($AQ$2:$AQ$200,$G141)&gt;0,
     COUNTIFS($AR$2:$AR$200,$G141)&gt;0,
     COUNTIFS($AS$2:$AS$200,$G141)&gt;0,
     COUNTIFS($AT$2:$AT$200,$G141)&gt;0,
     COUNTIFS($AU$2:$AU$200,$G141)&gt;0,
     COUNTIFS($AV$2:$AV$200,$G141)&gt;0,
     COUNTIFS($AW$2:$AW$200,$G141)&gt;0,
     COUNTIFS($AX$2:$AX$200,$G141)&gt;0
   )),
  ),
  4
 ),
"")</f>
        <v/>
      </c>
      <c r="G141" t="str">
        <f ca="1"/>
        <v>Great Furnace</v>
      </c>
      <c r="BO141" t="str">
        <f ca="1"/>
        <v>Solemn Simulacrum</v>
      </c>
      <c r="BR141" t="str">
        <f ca="1"/>
        <v>Unstoppable Plan</v>
      </c>
      <c r="BT141" t="str">
        <f ca="1"/>
        <v>Psychic Corrosion</v>
      </c>
    </row>
    <row r="142" spans="1:72" x14ac:dyDescent="0.25">
      <c r="A142" s="3" t="str">
        <f t="shared" ca="1" si="6"/>
        <v>1</v>
      </c>
      <c r="B142" s="3">
        <f t="shared" ca="1" si="7"/>
        <v>1</v>
      </c>
      <c r="C142" s="3" t="str">
        <f ca="1">IFERROR(
 INDEX($U$1:$AX$1,
  MATCH(TRUE,
   CHOOSE({1;2;3;4;5;6;7;8;9;10;11;12;13;14;15;16;17;18;19;20;21;22;23;24;25;26;27;28;29;30;31;32},
    COUNTIFS($U$2:$U$200,$G142)&gt;0,
    COUNTIFS($V$2:$V$200,$G142)&gt;0,
    COUNTIFS($W$2:$W$200,$G142)&gt;0,
    COUNTIFS($X$2:$X$200,$G142)&gt;0,
    COUNTIFS($Y$2:$Y$200,$G142)&gt;0,
    COUNTIFS($Z$2:$Z$200,$G142)&gt;0,
    COUNTIFS($AA$2:$AA$200,$G142)&gt;0,
    COUNTIFS($AB$2:$AB$200,$G142)&gt;0,
    COUNTIFS($AC$2:$AC$200,$G142)&gt;0,
    COUNTIFS($AD$2:$AD$200,$G142)&gt;0,
    COUNTIFS($AE$2:$AE$200,$G142)&gt;0,
    COUNTIFS($AF$2:$AF$200,$G142)&gt;0,
    COUNTIFS($AG$2:$AG$200,$G142)&gt;0,
    COUNTIFS($AH$2:$AH$200,$G142)&gt;0,
    COUNTIFS($AI$2:$AI$200,$G142)&gt;0,
    COUNTIFS($AJ$2:$AJ$200,$G142)&gt;0,
    COUNTIFS($AK$2:$AK$200,$G142)&gt;0,
    COUNTIFS($AL$2:$AL$200,$G142)&gt;0,
    COUNTIFS($AM$2:$AM$200,$G142)&gt;0,
    COUNTIFS($AN$2:$AN$200,$G142)&gt;0,
    COUNTIFS($AO$2:$AO$200,$G142)&gt;0,
    COUNTIFS($AP$2:$AP$200,$G142)&gt;0,
    COUNTIFS($AQ$2:$AQ$200,$G142)&gt;0,
    COUNTIFS($AR$2:$AR$200,$G142)&gt;0,
    COUNTIFS($AS$2:$AS$200,$G142)&gt;0,
    COUNTIFS($AT$2:$AT$200,$G142)&gt;0,
    COUNTIFS($AU$2:$AU$200,$G142)&gt;0,
    COUNTIFS($AV$2:$AV$200,$G142)&gt;0,
    COUNTIFS($AW$2:$AW$200,$G142)&gt;0,
    COUNTIFS($AX$2:$AX$200,$G142)&gt;0
   ),
  0)
 ),
"")</f>
        <v>Modular</v>
      </c>
      <c r="D142" s="3" t="str" cm="1">
        <f t="array" aca="1" ref="D142" ca="1">IFERROR(
 INDEX(
  _xlfn._xlws.FILTER($U$1:$AX$1,
   TRANSPOSE(
    CHOOSE({1;2;3;4;5;6;7;8;9;10;11;12;13;14;15;16;17;18;19;20;21;22;23;24;25;26;27;28;29;30},
     COUNTIFS($U$2:$U$200,$G142)&gt;0,
     COUNTIFS($V$2:$V$200,$G142)&gt;0,
     COUNTIFS($W$2:$W$200,$G142)&gt;0,
     COUNTIFS($X$2:$X$200,$G142)&gt;0,
     COUNTIFS($Y$2:$Y$200,$G142)&gt;0,
     COUNTIFS($Z$2:$Z$200,$G142)&gt;0,
     COUNTIFS($AA$2:$AA$200,$G142)&gt;0,
     COUNTIFS($AB$2:$AB$200,$G142)&gt;0,
     COUNTIFS($AC$2:$AC$200,$G142)&gt;0,
     COUNTIFS($AD$2:$AD$200,$G142)&gt;0,
     COUNTIFS($AE$2:$AE$200,$G142)&gt;0,
     COUNTIFS($AF$2:$AF$200,$G142)&gt;0,
     COUNTIFS($AG$2:$AG$200,$G142)&gt;0,
     COUNTIFS($AH$2:$AH$200,$G142)&gt;0,
     COUNTIFS($AI$2:$AI$200,$G142)&gt;0,
     COUNTIFS($AJ$2:$AJ$200,$G142)&gt;0,
     COUNTIFS($AK$2:$AK$200,$G142)&gt;0,
     COUNTIFS($AL$2:$AL$200,$G142)&gt;0,
     COUNTIFS($AM$2:$AM$200,$G142)&gt;0,
     COUNTIFS($AN$2:$AN$200,$G142)&gt;0,
     COUNTIFS($AO$2:$AO$200,$G142)&gt;0,
     COUNTIFS($AP$2:$AP$200,$G142)&gt;0,
     COUNTIFS($AQ$2:$AQ$200,$G142)&gt;0,
     COUNTIFS($AR$2:$AR$200,$G142)&gt;0,
     COUNTIFS($AS$2:$AS$200,$G142)&gt;0,
     COUNTIFS($AT$2:$AT$200,$G142)&gt;0,
     COUNTIFS($AU$2:$AU$200,$G142)&gt;0,
     COUNTIFS($AV$2:$AV$200,$G142)&gt;0,
     COUNTIFS($AW$2:$AW$200,$G142)&gt;0,
     COUNTIFS($AX$2:$AX$200,$G142)&gt;0
   )),
  ),
  2
 ),
"")</f>
        <v/>
      </c>
      <c r="E142" s="3" t="str" cm="1">
        <f t="array" aca="1" ref="E142" ca="1">IFERROR(
 INDEX(
  _xlfn._xlws.FILTER($U$1:$AX$1,
   TRANSPOSE(
    CHOOSE({1;2;3;4;5;6;7;8;9;10;11;12;13;14;15;16;17;18;19;20;21;22;23;24;25;26;27;28;29;30},
     COUNTIFS($U$2:$U$200,$G142)&gt;0,
     COUNTIFS($V$2:$V$200,$G142)&gt;0,
     COUNTIFS($W$2:$W$200,$G142)&gt;0,
     COUNTIFS($X$2:$X$200,$G142)&gt;0,
     COUNTIFS($Y$2:$Y$200,$G142)&gt;0,
     COUNTIFS($Z$2:$Z$200,$G142)&gt;0,
     COUNTIFS($AA$2:$AA$200,$G142)&gt;0,
     COUNTIFS($AB$2:$AB$200,$G142)&gt;0,
     COUNTIFS($AC$2:$AC$200,$G142)&gt;0,
     COUNTIFS($AD$2:$AD$200,$G142)&gt;0,
     COUNTIFS($AE$2:$AE$200,$G142)&gt;0,
     COUNTIFS($AF$2:$AF$200,$G142)&gt;0,
     COUNTIFS($AG$2:$AG$200,$G142)&gt;0,
     COUNTIFS($AH$2:$AH$200,$G142)&gt;0,
     COUNTIFS($AI$2:$AI$200,$G142)&gt;0,
     COUNTIFS($AJ$2:$AJ$200,$G142)&gt;0,
     COUNTIFS($AK$2:$AK$200,$G142)&gt;0,
     COUNTIFS($AL$2:$AL$200,$G142)&gt;0,
     COUNTIFS($AM$2:$AM$200,$G142)&gt;0,
     COUNTIFS($AN$2:$AN$200,$G142)&gt;0,
     COUNTIFS($AO$2:$AO$200,$G142)&gt;0,
     COUNTIFS($AP$2:$AP$200,$G142)&gt;0,
     COUNTIFS($AQ$2:$AQ$200,$G142)&gt;0,
     COUNTIFS($AR$2:$AR$200,$G142)&gt;0,
     COUNTIFS($AS$2:$AS$200,$G142)&gt;0,
     COUNTIFS($AT$2:$AT$200,$G142)&gt;0,
     COUNTIFS($AU$2:$AU$200,$G142)&gt;0,
     COUNTIFS($AV$2:$AV$200,$G142)&gt;0,
     COUNTIFS($AW$2:$AW$200,$G142)&gt;0,
     COUNTIFS($AX$2:$AX$200,$G142)&gt;0
   )),
  ),
  3
 ),
"")</f>
        <v/>
      </c>
      <c r="F142" s="3" t="str" cm="1">
        <f t="array" aca="1" ref="F142" ca="1">IFERROR(
 INDEX(
  _xlfn._xlws.FILTER($U$1:$AX$1,
   TRANSPOSE(
    CHOOSE({1;2;3;4;5;6;7;8;9;10;11;12;13;14;15;16;17;18;19;20;21;22;23;24;25;26;27;28;29;30},
     COUNTIFS($U$2:$U$200,$G142)&gt;0,
     COUNTIFS($V$2:$V$200,$G142)&gt;0,
     COUNTIFS($W$2:$W$200,$G142)&gt;0,
     COUNTIFS($X$2:$X$200,$G142)&gt;0,
     COUNTIFS($Y$2:$Y$200,$G142)&gt;0,
     COUNTIFS($Z$2:$Z$200,$G142)&gt;0,
     COUNTIFS($AA$2:$AA$200,$G142)&gt;0,
     COUNTIFS($AB$2:$AB$200,$G142)&gt;0,
     COUNTIFS($AC$2:$AC$200,$G142)&gt;0,
     COUNTIFS($AD$2:$AD$200,$G142)&gt;0,
     COUNTIFS($AE$2:$AE$200,$G142)&gt;0,
     COUNTIFS($AF$2:$AF$200,$G142)&gt;0,
     COUNTIFS($AG$2:$AG$200,$G142)&gt;0,
     COUNTIFS($AH$2:$AH$200,$G142)&gt;0,
     COUNTIFS($AI$2:$AI$200,$G142)&gt;0,
     COUNTIFS($AJ$2:$AJ$200,$G142)&gt;0,
     COUNTIFS($AK$2:$AK$200,$G142)&gt;0,
     COUNTIFS($AL$2:$AL$200,$G142)&gt;0,
     COUNTIFS($AM$2:$AM$200,$G142)&gt;0,
     COUNTIFS($AN$2:$AN$200,$G142)&gt;0,
     COUNTIFS($AO$2:$AO$200,$G142)&gt;0,
     COUNTIFS($AP$2:$AP$200,$G142)&gt;0,
     COUNTIFS($AQ$2:$AQ$200,$G142)&gt;0,
     COUNTIFS($AR$2:$AR$200,$G142)&gt;0,
     COUNTIFS($AS$2:$AS$200,$G142)&gt;0,
     COUNTIFS($AT$2:$AT$200,$G142)&gt;0,
     COUNTIFS($AU$2:$AU$200,$G142)&gt;0,
     COUNTIFS($AV$2:$AV$200,$G142)&gt;0,
     COUNTIFS($AW$2:$AW$200,$G142)&gt;0,
     COUNTIFS($AX$2:$AX$200,$G142)&gt;0
   )),
  ),
  4
 ),
"")</f>
        <v/>
      </c>
      <c r="G142" t="str">
        <f ca="1"/>
        <v>Gruul Signet</v>
      </c>
      <c r="BO142" t="str">
        <f ca="1"/>
        <v>Song of Freyalise</v>
      </c>
      <c r="BR142" t="str">
        <f ca="1"/>
        <v>Vanquisher's Banner</v>
      </c>
      <c r="BT142" t="str">
        <f ca="1"/>
        <v>Raffine's Tower</v>
      </c>
    </row>
    <row r="143" spans="1:72" x14ac:dyDescent="0.25">
      <c r="A143" s="3" t="str">
        <f t="shared" ca="1" si="6"/>
        <v>3</v>
      </c>
      <c r="B143" s="3">
        <f t="shared" ca="1" si="7"/>
        <v>1</v>
      </c>
      <c r="C143" s="3" t="str">
        <f ca="1">IFERROR(
 INDEX($U$1:$AX$1,
  MATCH(TRUE,
   CHOOSE({1;2;3;4;5;6;7;8;9;10;11;12;13;14;15;16;17;18;19;20;21;22;23;24;25;26;27;28;29;30;31;32},
    COUNTIFS($U$2:$U$200,$G143)&gt;0,
    COUNTIFS($V$2:$V$200,$G143)&gt;0,
    COUNTIFS($W$2:$W$200,$G143)&gt;0,
    COUNTIFS($X$2:$X$200,$G143)&gt;0,
    COUNTIFS($Y$2:$Y$200,$G143)&gt;0,
    COUNTIFS($Z$2:$Z$200,$G143)&gt;0,
    COUNTIFS($AA$2:$AA$200,$G143)&gt;0,
    COUNTIFS($AB$2:$AB$200,$G143)&gt;0,
    COUNTIFS($AC$2:$AC$200,$G143)&gt;0,
    COUNTIFS($AD$2:$AD$200,$G143)&gt;0,
    COUNTIFS($AE$2:$AE$200,$G143)&gt;0,
    COUNTIFS($AF$2:$AF$200,$G143)&gt;0,
    COUNTIFS($AG$2:$AG$200,$G143)&gt;0,
    COUNTIFS($AH$2:$AH$200,$G143)&gt;0,
    COUNTIFS($AI$2:$AI$200,$G143)&gt;0,
    COUNTIFS($AJ$2:$AJ$200,$G143)&gt;0,
    COUNTIFS($AK$2:$AK$200,$G143)&gt;0,
    COUNTIFS($AL$2:$AL$200,$G143)&gt;0,
    COUNTIFS($AM$2:$AM$200,$G143)&gt;0,
    COUNTIFS($AN$2:$AN$200,$G143)&gt;0,
    COUNTIFS($AO$2:$AO$200,$G143)&gt;0,
    COUNTIFS($AP$2:$AP$200,$G143)&gt;0,
    COUNTIFS($AQ$2:$AQ$200,$G143)&gt;0,
    COUNTIFS($AR$2:$AR$200,$G143)&gt;0,
    COUNTIFS($AS$2:$AS$200,$G143)&gt;0,
    COUNTIFS($AT$2:$AT$200,$G143)&gt;0,
    COUNTIFS($AU$2:$AU$200,$G143)&gt;0,
    COUNTIFS($AV$2:$AV$200,$G143)&gt;0,
    COUNTIFS($AW$2:$AW$200,$G143)&gt;0,
    COUNTIFS($AX$2:$AX$200,$G143)&gt;0
   ),
  0)
 ),
"")</f>
        <v>Carlos</v>
      </c>
      <c r="D143" s="3" t="str" cm="1">
        <f t="array" aca="1" ref="D143" ca="1">IFERROR(
 INDEX(
  _xlfn._xlws.FILTER($U$1:$AX$1,
   TRANSPOSE(
    CHOOSE({1;2;3;4;5;6;7;8;9;10;11;12;13;14;15;16;17;18;19;20;21;22;23;24;25;26;27;28;29;30},
     COUNTIFS($U$2:$U$200,$G143)&gt;0,
     COUNTIFS($V$2:$V$200,$G143)&gt;0,
     COUNTIFS($W$2:$W$200,$G143)&gt;0,
     COUNTIFS($X$2:$X$200,$G143)&gt;0,
     COUNTIFS($Y$2:$Y$200,$G143)&gt;0,
     COUNTIFS($Z$2:$Z$200,$G143)&gt;0,
     COUNTIFS($AA$2:$AA$200,$G143)&gt;0,
     COUNTIFS($AB$2:$AB$200,$G143)&gt;0,
     COUNTIFS($AC$2:$AC$200,$G143)&gt;0,
     COUNTIFS($AD$2:$AD$200,$G143)&gt;0,
     COUNTIFS($AE$2:$AE$200,$G143)&gt;0,
     COUNTIFS($AF$2:$AF$200,$G143)&gt;0,
     COUNTIFS($AG$2:$AG$200,$G143)&gt;0,
     COUNTIFS($AH$2:$AH$200,$G143)&gt;0,
     COUNTIFS($AI$2:$AI$200,$G143)&gt;0,
     COUNTIFS($AJ$2:$AJ$200,$G143)&gt;0,
     COUNTIFS($AK$2:$AK$200,$G143)&gt;0,
     COUNTIFS($AL$2:$AL$200,$G143)&gt;0,
     COUNTIFS($AM$2:$AM$200,$G143)&gt;0,
     COUNTIFS($AN$2:$AN$200,$G143)&gt;0,
     COUNTIFS($AO$2:$AO$200,$G143)&gt;0,
     COUNTIFS($AP$2:$AP$200,$G143)&gt;0,
     COUNTIFS($AQ$2:$AQ$200,$G143)&gt;0,
     COUNTIFS($AR$2:$AR$200,$G143)&gt;0,
     COUNTIFS($AS$2:$AS$200,$G143)&gt;0,
     COUNTIFS($AT$2:$AT$200,$G143)&gt;0,
     COUNTIFS($AU$2:$AU$200,$G143)&gt;0,
     COUNTIFS($AV$2:$AV$200,$G143)&gt;0,
     COUNTIFS($AW$2:$AW$200,$G143)&gt;0,
     COUNTIFS($AX$2:$AX$200,$G143)&gt;0
   )),
  ),
  2
 ),
"")</f>
        <v/>
      </c>
      <c r="E143" s="3" t="str" cm="1">
        <f t="array" aca="1" ref="E143" ca="1">IFERROR(
 INDEX(
  _xlfn._xlws.FILTER($U$1:$AX$1,
   TRANSPOSE(
    CHOOSE({1;2;3;4;5;6;7;8;9;10;11;12;13;14;15;16;17;18;19;20;21;22;23;24;25;26;27;28;29;30},
     COUNTIFS($U$2:$U$200,$G143)&gt;0,
     COUNTIFS($V$2:$V$200,$G143)&gt;0,
     COUNTIFS($W$2:$W$200,$G143)&gt;0,
     COUNTIFS($X$2:$X$200,$G143)&gt;0,
     COUNTIFS($Y$2:$Y$200,$G143)&gt;0,
     COUNTIFS($Z$2:$Z$200,$G143)&gt;0,
     COUNTIFS($AA$2:$AA$200,$G143)&gt;0,
     COUNTIFS($AB$2:$AB$200,$G143)&gt;0,
     COUNTIFS($AC$2:$AC$200,$G143)&gt;0,
     COUNTIFS($AD$2:$AD$200,$G143)&gt;0,
     COUNTIFS($AE$2:$AE$200,$G143)&gt;0,
     COUNTIFS($AF$2:$AF$200,$G143)&gt;0,
     COUNTIFS($AG$2:$AG$200,$G143)&gt;0,
     COUNTIFS($AH$2:$AH$200,$G143)&gt;0,
     COUNTIFS($AI$2:$AI$200,$G143)&gt;0,
     COUNTIFS($AJ$2:$AJ$200,$G143)&gt;0,
     COUNTIFS($AK$2:$AK$200,$G143)&gt;0,
     COUNTIFS($AL$2:$AL$200,$G143)&gt;0,
     COUNTIFS($AM$2:$AM$200,$G143)&gt;0,
     COUNTIFS($AN$2:$AN$200,$G143)&gt;0,
     COUNTIFS($AO$2:$AO$200,$G143)&gt;0,
     COUNTIFS($AP$2:$AP$200,$G143)&gt;0,
     COUNTIFS($AQ$2:$AQ$200,$G143)&gt;0,
     COUNTIFS($AR$2:$AR$200,$G143)&gt;0,
     COUNTIFS($AS$2:$AS$200,$G143)&gt;0,
     COUNTIFS($AT$2:$AT$200,$G143)&gt;0,
     COUNTIFS($AU$2:$AU$200,$G143)&gt;0,
     COUNTIFS($AV$2:$AV$200,$G143)&gt;0,
     COUNTIFS($AW$2:$AW$200,$G143)&gt;0,
     COUNTIFS($AX$2:$AX$200,$G143)&gt;0
   )),
  ),
  3
 ),
"")</f>
        <v/>
      </c>
      <c r="F143" s="3" t="str" cm="1">
        <f t="array" aca="1" ref="F143" ca="1">IFERROR(
 INDEX(
  _xlfn._xlws.FILTER($U$1:$AX$1,
   TRANSPOSE(
    CHOOSE({1;2;3;4;5;6;7;8;9;10;11;12;13;14;15;16;17;18;19;20;21;22;23;24;25;26;27;28;29;30},
     COUNTIFS($U$2:$U$200,$G143)&gt;0,
     COUNTIFS($V$2:$V$200,$G143)&gt;0,
     COUNTIFS($W$2:$W$200,$G143)&gt;0,
     COUNTIFS($X$2:$X$200,$G143)&gt;0,
     COUNTIFS($Y$2:$Y$200,$G143)&gt;0,
     COUNTIFS($Z$2:$Z$200,$G143)&gt;0,
     COUNTIFS($AA$2:$AA$200,$G143)&gt;0,
     COUNTIFS($AB$2:$AB$200,$G143)&gt;0,
     COUNTIFS($AC$2:$AC$200,$G143)&gt;0,
     COUNTIFS($AD$2:$AD$200,$G143)&gt;0,
     COUNTIFS($AE$2:$AE$200,$G143)&gt;0,
     COUNTIFS($AF$2:$AF$200,$G143)&gt;0,
     COUNTIFS($AG$2:$AG$200,$G143)&gt;0,
     COUNTIFS($AH$2:$AH$200,$G143)&gt;0,
     COUNTIFS($AI$2:$AI$200,$G143)&gt;0,
     COUNTIFS($AJ$2:$AJ$200,$G143)&gt;0,
     COUNTIFS($AK$2:$AK$200,$G143)&gt;0,
     COUNTIFS($AL$2:$AL$200,$G143)&gt;0,
     COUNTIFS($AM$2:$AM$200,$G143)&gt;0,
     COUNTIFS($AN$2:$AN$200,$G143)&gt;0,
     COUNTIFS($AO$2:$AO$200,$G143)&gt;0,
     COUNTIFS($AP$2:$AP$200,$G143)&gt;0,
     COUNTIFS($AQ$2:$AQ$200,$G143)&gt;0,
     COUNTIFS($AR$2:$AR$200,$G143)&gt;0,
     COUNTIFS($AS$2:$AS$200,$G143)&gt;0,
     COUNTIFS($AT$2:$AT$200,$G143)&gt;0,
     COUNTIFS($AU$2:$AU$200,$G143)&gt;0,
     COUNTIFS($AV$2:$AV$200,$G143)&gt;0,
     COUNTIFS($AW$2:$AW$200,$G143)&gt;0,
     COUNTIFS($AX$2:$AX$200,$G143)&gt;0
   )),
  ),
  4
 ),
"")</f>
        <v/>
      </c>
      <c r="G143" t="str">
        <f ca="1"/>
        <v>Guia das Almas</v>
      </c>
      <c r="BO143" t="str">
        <f ca="1"/>
        <v>Sphere Grid</v>
      </c>
      <c r="BR143" t="str">
        <f ca="1"/>
        <v>Vault of the Archangel</v>
      </c>
      <c r="BT143" t="str">
        <f ca="1"/>
        <v>Red XIII, Proud Warrior</v>
      </c>
    </row>
    <row r="144" spans="1:72" x14ac:dyDescent="0.25">
      <c r="A144" s="3" t="str">
        <f t="shared" ca="1" si="6"/>
        <v>1</v>
      </c>
      <c r="B144" s="3">
        <f t="shared" ca="1" si="7"/>
        <v>1</v>
      </c>
      <c r="C144" s="3" t="str">
        <f ca="1">IFERROR(
 INDEX($U$1:$AX$1,
  MATCH(TRUE,
   CHOOSE({1;2;3;4;5;6;7;8;9;10;11;12;13;14;15;16;17;18;19;20;21;22;23;24;25;26;27;28;29;30;31;32},
    COUNTIFS($U$2:$U$200,$G144)&gt;0,
    COUNTIFS($V$2:$V$200,$G144)&gt;0,
    COUNTIFS($W$2:$W$200,$G144)&gt;0,
    COUNTIFS($X$2:$X$200,$G144)&gt;0,
    COUNTIFS($Y$2:$Y$200,$G144)&gt;0,
    COUNTIFS($Z$2:$Z$200,$G144)&gt;0,
    COUNTIFS($AA$2:$AA$200,$G144)&gt;0,
    COUNTIFS($AB$2:$AB$200,$G144)&gt;0,
    COUNTIFS($AC$2:$AC$200,$G144)&gt;0,
    COUNTIFS($AD$2:$AD$200,$G144)&gt;0,
    COUNTIFS($AE$2:$AE$200,$G144)&gt;0,
    COUNTIFS($AF$2:$AF$200,$G144)&gt;0,
    COUNTIFS($AG$2:$AG$200,$G144)&gt;0,
    COUNTIFS($AH$2:$AH$200,$G144)&gt;0,
    COUNTIFS($AI$2:$AI$200,$G144)&gt;0,
    COUNTIFS($AJ$2:$AJ$200,$G144)&gt;0,
    COUNTIFS($AK$2:$AK$200,$G144)&gt;0,
    COUNTIFS($AL$2:$AL$200,$G144)&gt;0,
    COUNTIFS($AM$2:$AM$200,$G144)&gt;0,
    COUNTIFS($AN$2:$AN$200,$G144)&gt;0,
    COUNTIFS($AO$2:$AO$200,$G144)&gt;0,
    COUNTIFS($AP$2:$AP$200,$G144)&gt;0,
    COUNTIFS($AQ$2:$AQ$200,$G144)&gt;0,
    COUNTIFS($AR$2:$AR$200,$G144)&gt;0,
    COUNTIFS($AS$2:$AS$200,$G144)&gt;0,
    COUNTIFS($AT$2:$AT$200,$G144)&gt;0,
    COUNTIFS($AU$2:$AU$200,$G144)&gt;0,
    COUNTIFS($AV$2:$AV$200,$G144)&gt;0,
    COUNTIFS($AW$2:$AW$200,$G144)&gt;0,
    COUNTIFS($AX$2:$AX$200,$G144)&gt;0
   ),
  0)
 ),
"")</f>
        <v>Tayam</v>
      </c>
      <c r="D144" s="3" t="str" cm="1">
        <f t="array" aca="1" ref="D144" ca="1">IFERROR(
 INDEX(
  _xlfn._xlws.FILTER($U$1:$AX$1,
   TRANSPOSE(
    CHOOSE({1;2;3;4;5;6;7;8;9;10;11;12;13;14;15;16;17;18;19;20;21;22;23;24;25;26;27;28;29;30},
     COUNTIFS($U$2:$U$200,$G144)&gt;0,
     COUNTIFS($V$2:$V$200,$G144)&gt;0,
     COUNTIFS($W$2:$W$200,$G144)&gt;0,
     COUNTIFS($X$2:$X$200,$G144)&gt;0,
     COUNTIFS($Y$2:$Y$200,$G144)&gt;0,
     COUNTIFS($Z$2:$Z$200,$G144)&gt;0,
     COUNTIFS($AA$2:$AA$200,$G144)&gt;0,
     COUNTIFS($AB$2:$AB$200,$G144)&gt;0,
     COUNTIFS($AC$2:$AC$200,$G144)&gt;0,
     COUNTIFS($AD$2:$AD$200,$G144)&gt;0,
     COUNTIFS($AE$2:$AE$200,$G144)&gt;0,
     COUNTIFS($AF$2:$AF$200,$G144)&gt;0,
     COUNTIFS($AG$2:$AG$200,$G144)&gt;0,
     COUNTIFS($AH$2:$AH$200,$G144)&gt;0,
     COUNTIFS($AI$2:$AI$200,$G144)&gt;0,
     COUNTIFS($AJ$2:$AJ$200,$G144)&gt;0,
     COUNTIFS($AK$2:$AK$200,$G144)&gt;0,
     COUNTIFS($AL$2:$AL$200,$G144)&gt;0,
     COUNTIFS($AM$2:$AM$200,$G144)&gt;0,
     COUNTIFS($AN$2:$AN$200,$G144)&gt;0,
     COUNTIFS($AO$2:$AO$200,$G144)&gt;0,
     COUNTIFS($AP$2:$AP$200,$G144)&gt;0,
     COUNTIFS($AQ$2:$AQ$200,$G144)&gt;0,
     COUNTIFS($AR$2:$AR$200,$G144)&gt;0,
     COUNTIFS($AS$2:$AS$200,$G144)&gt;0,
     COUNTIFS($AT$2:$AT$200,$G144)&gt;0,
     COUNTIFS($AU$2:$AU$200,$G144)&gt;0,
     COUNTIFS($AV$2:$AV$200,$G144)&gt;0,
     COUNTIFS($AW$2:$AW$200,$G144)&gt;0,
     COUNTIFS($AX$2:$AX$200,$G144)&gt;0
   )),
  ),
  2
 ),
"")</f>
        <v/>
      </c>
      <c r="E144" s="3" t="str" cm="1">
        <f t="array" aca="1" ref="E144" ca="1">IFERROR(
 INDEX(
  _xlfn._xlws.FILTER($U$1:$AX$1,
   TRANSPOSE(
    CHOOSE({1;2;3;4;5;6;7;8;9;10;11;12;13;14;15;16;17;18;19;20;21;22;23;24;25;26;27;28;29;30},
     COUNTIFS($U$2:$U$200,$G144)&gt;0,
     COUNTIFS($V$2:$V$200,$G144)&gt;0,
     COUNTIFS($W$2:$W$200,$G144)&gt;0,
     COUNTIFS($X$2:$X$200,$G144)&gt;0,
     COUNTIFS($Y$2:$Y$200,$G144)&gt;0,
     COUNTIFS($Z$2:$Z$200,$G144)&gt;0,
     COUNTIFS($AA$2:$AA$200,$G144)&gt;0,
     COUNTIFS($AB$2:$AB$200,$G144)&gt;0,
     COUNTIFS($AC$2:$AC$200,$G144)&gt;0,
     COUNTIFS($AD$2:$AD$200,$G144)&gt;0,
     COUNTIFS($AE$2:$AE$200,$G144)&gt;0,
     COUNTIFS($AF$2:$AF$200,$G144)&gt;0,
     COUNTIFS($AG$2:$AG$200,$G144)&gt;0,
     COUNTIFS($AH$2:$AH$200,$G144)&gt;0,
     COUNTIFS($AI$2:$AI$200,$G144)&gt;0,
     COUNTIFS($AJ$2:$AJ$200,$G144)&gt;0,
     COUNTIFS($AK$2:$AK$200,$G144)&gt;0,
     COUNTIFS($AL$2:$AL$200,$G144)&gt;0,
     COUNTIFS($AM$2:$AM$200,$G144)&gt;0,
     COUNTIFS($AN$2:$AN$200,$G144)&gt;0,
     COUNTIFS($AO$2:$AO$200,$G144)&gt;0,
     COUNTIFS($AP$2:$AP$200,$G144)&gt;0,
     COUNTIFS($AQ$2:$AQ$200,$G144)&gt;0,
     COUNTIFS($AR$2:$AR$200,$G144)&gt;0,
     COUNTIFS($AS$2:$AS$200,$G144)&gt;0,
     COUNTIFS($AT$2:$AT$200,$G144)&gt;0,
     COUNTIFS($AU$2:$AU$200,$G144)&gt;0,
     COUNTIFS($AV$2:$AV$200,$G144)&gt;0,
     COUNTIFS($AW$2:$AW$200,$G144)&gt;0,
     COUNTIFS($AX$2:$AX$200,$G144)&gt;0
   )),
  ),
  3
 ),
"")</f>
        <v/>
      </c>
      <c r="F144" s="3" t="str" cm="1">
        <f t="array" aca="1" ref="F144" ca="1">IFERROR(
 INDEX(
  _xlfn._xlws.FILTER($U$1:$AX$1,
   TRANSPOSE(
    CHOOSE({1;2;3;4;5;6;7;8;9;10;11;12;13;14;15;16;17;18;19;20;21;22;23;24;25;26;27;28;29;30},
     COUNTIFS($U$2:$U$200,$G144)&gt;0,
     COUNTIFS($V$2:$V$200,$G144)&gt;0,
     COUNTIFS($W$2:$W$200,$G144)&gt;0,
     COUNTIFS($X$2:$X$200,$G144)&gt;0,
     COUNTIFS($Y$2:$Y$200,$G144)&gt;0,
     COUNTIFS($Z$2:$Z$200,$G144)&gt;0,
     COUNTIFS($AA$2:$AA$200,$G144)&gt;0,
     COUNTIFS($AB$2:$AB$200,$G144)&gt;0,
     COUNTIFS($AC$2:$AC$200,$G144)&gt;0,
     COUNTIFS($AD$2:$AD$200,$G144)&gt;0,
     COUNTIFS($AE$2:$AE$200,$G144)&gt;0,
     COUNTIFS($AF$2:$AF$200,$G144)&gt;0,
     COUNTIFS($AG$2:$AG$200,$G144)&gt;0,
     COUNTIFS($AH$2:$AH$200,$G144)&gt;0,
     COUNTIFS($AI$2:$AI$200,$G144)&gt;0,
     COUNTIFS($AJ$2:$AJ$200,$G144)&gt;0,
     COUNTIFS($AK$2:$AK$200,$G144)&gt;0,
     COUNTIFS($AL$2:$AL$200,$G144)&gt;0,
     COUNTIFS($AM$2:$AM$200,$G144)&gt;0,
     COUNTIFS($AN$2:$AN$200,$G144)&gt;0,
     COUNTIFS($AO$2:$AO$200,$G144)&gt;0,
     COUNTIFS($AP$2:$AP$200,$G144)&gt;0,
     COUNTIFS($AQ$2:$AQ$200,$G144)&gt;0,
     COUNTIFS($AR$2:$AR$200,$G144)&gt;0,
     COUNTIFS($AS$2:$AS$200,$G144)&gt;0,
     COUNTIFS($AT$2:$AT$200,$G144)&gt;0,
     COUNTIFS($AU$2:$AU$200,$G144)&gt;0,
     COUNTIFS($AV$2:$AV$200,$G144)&gt;0,
     COUNTIFS($AW$2:$AW$200,$G144)&gt;0,
     COUNTIFS($AX$2:$AX$200,$G144)&gt;0
   )),
  ),
  4
 ),
"")</f>
        <v/>
      </c>
      <c r="G144" t="str">
        <f ca="1"/>
        <v>Gyre Sage</v>
      </c>
      <c r="BO144" t="str">
        <f ca="1"/>
        <v>Spyglass Siren</v>
      </c>
      <c r="BR144" t="str">
        <f ca="1"/>
        <v>Vronos, Masked Inquisitor</v>
      </c>
      <c r="BT144" t="str">
        <f ca="1"/>
        <v>Reflecting Pool</v>
      </c>
    </row>
    <row r="145" spans="1:72" x14ac:dyDescent="0.25">
      <c r="A145" s="3" t="str">
        <f t="shared" ca="1" si="6"/>
        <v>1</v>
      </c>
      <c r="B145" s="3">
        <f t="shared" ca="1" si="7"/>
        <v>1</v>
      </c>
      <c r="C145" s="3" t="str">
        <f ca="1">IFERROR(
 INDEX($U$1:$AX$1,
  MATCH(TRUE,
   CHOOSE({1;2;3;4;5;6;7;8;9;10;11;12;13;14;15;16;17;18;19;20;21;22;23;24;25;26;27;28;29;30;31;32},
    COUNTIFS($U$2:$U$200,$G145)&gt;0,
    COUNTIFS($V$2:$V$200,$G145)&gt;0,
    COUNTIFS($W$2:$W$200,$G145)&gt;0,
    COUNTIFS($X$2:$X$200,$G145)&gt;0,
    COUNTIFS($Y$2:$Y$200,$G145)&gt;0,
    COUNTIFS($Z$2:$Z$200,$G145)&gt;0,
    COUNTIFS($AA$2:$AA$200,$G145)&gt;0,
    COUNTIFS($AB$2:$AB$200,$G145)&gt;0,
    COUNTIFS($AC$2:$AC$200,$G145)&gt;0,
    COUNTIFS($AD$2:$AD$200,$G145)&gt;0,
    COUNTIFS($AE$2:$AE$200,$G145)&gt;0,
    COUNTIFS($AF$2:$AF$200,$G145)&gt;0,
    COUNTIFS($AG$2:$AG$200,$G145)&gt;0,
    COUNTIFS($AH$2:$AH$200,$G145)&gt;0,
    COUNTIFS($AI$2:$AI$200,$G145)&gt;0,
    COUNTIFS($AJ$2:$AJ$200,$G145)&gt;0,
    COUNTIFS($AK$2:$AK$200,$G145)&gt;0,
    COUNTIFS($AL$2:$AL$200,$G145)&gt;0,
    COUNTIFS($AM$2:$AM$200,$G145)&gt;0,
    COUNTIFS($AN$2:$AN$200,$G145)&gt;0,
    COUNTIFS($AO$2:$AO$200,$G145)&gt;0,
    COUNTIFS($AP$2:$AP$200,$G145)&gt;0,
    COUNTIFS($AQ$2:$AQ$200,$G145)&gt;0,
    COUNTIFS($AR$2:$AR$200,$G145)&gt;0,
    COUNTIFS($AS$2:$AS$200,$G145)&gt;0,
    COUNTIFS($AT$2:$AT$200,$G145)&gt;0,
    COUNTIFS($AU$2:$AU$200,$G145)&gt;0,
    COUNTIFS($AV$2:$AV$200,$G145)&gt;0,
    COUNTIFS($AW$2:$AW$200,$G145)&gt;0,
    COUNTIFS($AX$2:$AX$200,$G145)&gt;0
   ),
  0)
 ),
"")</f>
        <v>Modular</v>
      </c>
      <c r="D145" s="3" t="str" cm="1">
        <f t="array" aca="1" ref="D145" ca="1">IFERROR(
 INDEX(
  _xlfn._xlws.FILTER($U$1:$AX$1,
   TRANSPOSE(
    CHOOSE({1;2;3;4;5;6;7;8;9;10;11;12;13;14;15;16;17;18;19;20;21;22;23;24;25;26;27;28;29;30},
     COUNTIFS($U$2:$U$200,$G145)&gt;0,
     COUNTIFS($V$2:$V$200,$G145)&gt;0,
     COUNTIFS($W$2:$W$200,$G145)&gt;0,
     COUNTIFS($X$2:$X$200,$G145)&gt;0,
     COUNTIFS($Y$2:$Y$200,$G145)&gt;0,
     COUNTIFS($Z$2:$Z$200,$G145)&gt;0,
     COUNTIFS($AA$2:$AA$200,$G145)&gt;0,
     COUNTIFS($AB$2:$AB$200,$G145)&gt;0,
     COUNTIFS($AC$2:$AC$200,$G145)&gt;0,
     COUNTIFS($AD$2:$AD$200,$G145)&gt;0,
     COUNTIFS($AE$2:$AE$200,$G145)&gt;0,
     COUNTIFS($AF$2:$AF$200,$G145)&gt;0,
     COUNTIFS($AG$2:$AG$200,$G145)&gt;0,
     COUNTIFS($AH$2:$AH$200,$G145)&gt;0,
     COUNTIFS($AI$2:$AI$200,$G145)&gt;0,
     COUNTIFS($AJ$2:$AJ$200,$G145)&gt;0,
     COUNTIFS($AK$2:$AK$200,$G145)&gt;0,
     COUNTIFS($AL$2:$AL$200,$G145)&gt;0,
     COUNTIFS($AM$2:$AM$200,$G145)&gt;0,
     COUNTIFS($AN$2:$AN$200,$G145)&gt;0,
     COUNTIFS($AO$2:$AO$200,$G145)&gt;0,
     COUNTIFS($AP$2:$AP$200,$G145)&gt;0,
     COUNTIFS($AQ$2:$AQ$200,$G145)&gt;0,
     COUNTIFS($AR$2:$AR$200,$G145)&gt;0,
     COUNTIFS($AS$2:$AS$200,$G145)&gt;0,
     COUNTIFS($AT$2:$AT$200,$G145)&gt;0,
     COUNTIFS($AU$2:$AU$200,$G145)&gt;0,
     COUNTIFS($AV$2:$AV$200,$G145)&gt;0,
     COUNTIFS($AW$2:$AW$200,$G145)&gt;0,
     COUNTIFS($AX$2:$AX$200,$G145)&gt;0
   )),
  ),
  2
 ),
"")</f>
        <v/>
      </c>
      <c r="E145" s="3" t="str" cm="1">
        <f t="array" aca="1" ref="E145" ca="1">IFERROR(
 INDEX(
  _xlfn._xlws.FILTER($U$1:$AX$1,
   TRANSPOSE(
    CHOOSE({1;2;3;4;5;6;7;8;9;10;11;12;13;14;15;16;17;18;19;20;21;22;23;24;25;26;27;28;29;30},
     COUNTIFS($U$2:$U$200,$G145)&gt;0,
     COUNTIFS($V$2:$V$200,$G145)&gt;0,
     COUNTIFS($W$2:$W$200,$G145)&gt;0,
     COUNTIFS($X$2:$X$200,$G145)&gt;0,
     COUNTIFS($Y$2:$Y$200,$G145)&gt;0,
     COUNTIFS($Z$2:$Z$200,$G145)&gt;0,
     COUNTIFS($AA$2:$AA$200,$G145)&gt;0,
     COUNTIFS($AB$2:$AB$200,$G145)&gt;0,
     COUNTIFS($AC$2:$AC$200,$G145)&gt;0,
     COUNTIFS($AD$2:$AD$200,$G145)&gt;0,
     COUNTIFS($AE$2:$AE$200,$G145)&gt;0,
     COUNTIFS($AF$2:$AF$200,$G145)&gt;0,
     COUNTIFS($AG$2:$AG$200,$G145)&gt;0,
     COUNTIFS($AH$2:$AH$200,$G145)&gt;0,
     COUNTIFS($AI$2:$AI$200,$G145)&gt;0,
     COUNTIFS($AJ$2:$AJ$200,$G145)&gt;0,
     COUNTIFS($AK$2:$AK$200,$G145)&gt;0,
     COUNTIFS($AL$2:$AL$200,$G145)&gt;0,
     COUNTIFS($AM$2:$AM$200,$G145)&gt;0,
     COUNTIFS($AN$2:$AN$200,$G145)&gt;0,
     COUNTIFS($AO$2:$AO$200,$G145)&gt;0,
     COUNTIFS($AP$2:$AP$200,$G145)&gt;0,
     COUNTIFS($AQ$2:$AQ$200,$G145)&gt;0,
     COUNTIFS($AR$2:$AR$200,$G145)&gt;0,
     COUNTIFS($AS$2:$AS$200,$G145)&gt;0,
     COUNTIFS($AT$2:$AT$200,$G145)&gt;0,
     COUNTIFS($AU$2:$AU$200,$G145)&gt;0,
     COUNTIFS($AV$2:$AV$200,$G145)&gt;0,
     COUNTIFS($AW$2:$AW$200,$G145)&gt;0,
     COUNTIFS($AX$2:$AX$200,$G145)&gt;0
   )),
  ),
  3
 ),
"")</f>
        <v/>
      </c>
      <c r="F145" s="3" t="str" cm="1">
        <f t="array" aca="1" ref="F145" ca="1">IFERROR(
 INDEX(
  _xlfn._xlws.FILTER($U$1:$AX$1,
   TRANSPOSE(
    CHOOSE({1;2;3;4;5;6;7;8;9;10;11;12;13;14;15;16;17;18;19;20;21;22;23;24;25;26;27;28;29;30},
     COUNTIFS($U$2:$U$200,$G145)&gt;0,
     COUNTIFS($V$2:$V$200,$G145)&gt;0,
     COUNTIFS($W$2:$W$200,$G145)&gt;0,
     COUNTIFS($X$2:$X$200,$G145)&gt;0,
     COUNTIFS($Y$2:$Y$200,$G145)&gt;0,
     COUNTIFS($Z$2:$Z$200,$G145)&gt;0,
     COUNTIFS($AA$2:$AA$200,$G145)&gt;0,
     COUNTIFS($AB$2:$AB$200,$G145)&gt;0,
     COUNTIFS($AC$2:$AC$200,$G145)&gt;0,
     COUNTIFS($AD$2:$AD$200,$G145)&gt;0,
     COUNTIFS($AE$2:$AE$200,$G145)&gt;0,
     COUNTIFS($AF$2:$AF$200,$G145)&gt;0,
     COUNTIFS($AG$2:$AG$200,$G145)&gt;0,
     COUNTIFS($AH$2:$AH$200,$G145)&gt;0,
     COUNTIFS($AI$2:$AI$200,$G145)&gt;0,
     COUNTIFS($AJ$2:$AJ$200,$G145)&gt;0,
     COUNTIFS($AK$2:$AK$200,$G145)&gt;0,
     COUNTIFS($AL$2:$AL$200,$G145)&gt;0,
     COUNTIFS($AM$2:$AM$200,$G145)&gt;0,
     COUNTIFS($AN$2:$AN$200,$G145)&gt;0,
     COUNTIFS($AO$2:$AO$200,$G145)&gt;0,
     COUNTIFS($AP$2:$AP$200,$G145)&gt;0,
     COUNTIFS($AQ$2:$AQ$200,$G145)&gt;0,
     COUNTIFS($AR$2:$AR$200,$G145)&gt;0,
     COUNTIFS($AS$2:$AS$200,$G145)&gt;0,
     COUNTIFS($AT$2:$AT$200,$G145)&gt;0,
     COUNTIFS($AU$2:$AU$200,$G145)&gt;0,
     COUNTIFS($AV$2:$AV$200,$G145)&gt;0,
     COUNTIFS($AW$2:$AW$200,$G145)&gt;0,
     COUNTIFS($AX$2:$AX$200,$G145)&gt;0
   )),
  ),
  4
 ),
"")</f>
        <v/>
      </c>
      <c r="G145" t="str">
        <f ca="1"/>
        <v>Hangarback Walker</v>
      </c>
      <c r="BO145" t="str">
        <f ca="1"/>
        <v>Steel Overseer</v>
      </c>
      <c r="BR145" t="str">
        <f ca="1"/>
        <v>Warren Soultrader</v>
      </c>
      <c r="BT145" t="str">
        <f ca="1"/>
        <v>Reforge the Soul</v>
      </c>
    </row>
    <row r="146" spans="1:72" x14ac:dyDescent="0.25">
      <c r="A146" s="3" t="str">
        <f t="shared" ca="1" si="6"/>
        <v>1</v>
      </c>
      <c r="B146" s="3">
        <f t="shared" ca="1" si="7"/>
        <v>1</v>
      </c>
      <c r="C146" s="3" t="str">
        <f ca="1">IFERROR(
 INDEX($U$1:$AX$1,
  MATCH(TRUE,
   CHOOSE({1;2;3;4;5;6;7;8;9;10;11;12;13;14;15;16;17;18;19;20;21;22;23;24;25;26;27;28;29;30;31;32},
    COUNTIFS($U$2:$U$200,$G146)&gt;0,
    COUNTIFS($V$2:$V$200,$G146)&gt;0,
    COUNTIFS($W$2:$W$200,$G146)&gt;0,
    COUNTIFS($X$2:$X$200,$G146)&gt;0,
    COUNTIFS($Y$2:$Y$200,$G146)&gt;0,
    COUNTIFS($Z$2:$Z$200,$G146)&gt;0,
    COUNTIFS($AA$2:$AA$200,$G146)&gt;0,
    COUNTIFS($AB$2:$AB$200,$G146)&gt;0,
    COUNTIFS($AC$2:$AC$200,$G146)&gt;0,
    COUNTIFS($AD$2:$AD$200,$G146)&gt;0,
    COUNTIFS($AE$2:$AE$200,$G146)&gt;0,
    COUNTIFS($AF$2:$AF$200,$G146)&gt;0,
    COUNTIFS($AG$2:$AG$200,$G146)&gt;0,
    COUNTIFS($AH$2:$AH$200,$G146)&gt;0,
    COUNTIFS($AI$2:$AI$200,$G146)&gt;0,
    COUNTIFS($AJ$2:$AJ$200,$G146)&gt;0,
    COUNTIFS($AK$2:$AK$200,$G146)&gt;0,
    COUNTIFS($AL$2:$AL$200,$G146)&gt;0,
    COUNTIFS($AM$2:$AM$200,$G146)&gt;0,
    COUNTIFS($AN$2:$AN$200,$G146)&gt;0,
    COUNTIFS($AO$2:$AO$200,$G146)&gt;0,
    COUNTIFS($AP$2:$AP$200,$G146)&gt;0,
    COUNTIFS($AQ$2:$AQ$200,$G146)&gt;0,
    COUNTIFS($AR$2:$AR$200,$G146)&gt;0,
    COUNTIFS($AS$2:$AS$200,$G146)&gt;0,
    COUNTIFS($AT$2:$AT$200,$G146)&gt;0,
    COUNTIFS($AU$2:$AU$200,$G146)&gt;0,
    COUNTIFS($AV$2:$AV$200,$G146)&gt;0,
    COUNTIFS($AW$2:$AW$200,$G146)&gt;0,
    COUNTIFS($AX$2:$AX$200,$G146)&gt;0
   ),
  0)
 ),
"")</f>
        <v>Modular</v>
      </c>
      <c r="D146" s="3" t="str" cm="1">
        <f t="array" aca="1" ref="D146" ca="1">IFERROR(
 INDEX(
  _xlfn._xlws.FILTER($U$1:$AX$1,
   TRANSPOSE(
    CHOOSE({1;2;3;4;5;6;7;8;9;10;11;12;13;14;15;16;17;18;19;20;21;22;23;24;25;26;27;28;29;30},
     COUNTIFS($U$2:$U$200,$G146)&gt;0,
     COUNTIFS($V$2:$V$200,$G146)&gt;0,
     COUNTIFS($W$2:$W$200,$G146)&gt;0,
     COUNTIFS($X$2:$X$200,$G146)&gt;0,
     COUNTIFS($Y$2:$Y$200,$G146)&gt;0,
     COUNTIFS($Z$2:$Z$200,$G146)&gt;0,
     COUNTIFS($AA$2:$AA$200,$G146)&gt;0,
     COUNTIFS($AB$2:$AB$200,$G146)&gt;0,
     COUNTIFS($AC$2:$AC$200,$G146)&gt;0,
     COUNTIFS($AD$2:$AD$200,$G146)&gt;0,
     COUNTIFS($AE$2:$AE$200,$G146)&gt;0,
     COUNTIFS($AF$2:$AF$200,$G146)&gt;0,
     COUNTIFS($AG$2:$AG$200,$G146)&gt;0,
     COUNTIFS($AH$2:$AH$200,$G146)&gt;0,
     COUNTIFS($AI$2:$AI$200,$G146)&gt;0,
     COUNTIFS($AJ$2:$AJ$200,$G146)&gt;0,
     COUNTIFS($AK$2:$AK$200,$G146)&gt;0,
     COUNTIFS($AL$2:$AL$200,$G146)&gt;0,
     COUNTIFS($AM$2:$AM$200,$G146)&gt;0,
     COUNTIFS($AN$2:$AN$200,$G146)&gt;0,
     COUNTIFS($AO$2:$AO$200,$G146)&gt;0,
     COUNTIFS($AP$2:$AP$200,$G146)&gt;0,
     COUNTIFS($AQ$2:$AQ$200,$G146)&gt;0,
     COUNTIFS($AR$2:$AR$200,$G146)&gt;0,
     COUNTIFS($AS$2:$AS$200,$G146)&gt;0,
     COUNTIFS($AT$2:$AT$200,$G146)&gt;0,
     COUNTIFS($AU$2:$AU$200,$G146)&gt;0,
     COUNTIFS($AV$2:$AV$200,$G146)&gt;0,
     COUNTIFS($AW$2:$AW$200,$G146)&gt;0,
     COUNTIFS($AX$2:$AX$200,$G146)&gt;0
   )),
  ),
  2
 ),
"")</f>
        <v/>
      </c>
      <c r="E146" s="3" t="str" cm="1">
        <f t="array" aca="1" ref="E146" ca="1">IFERROR(
 INDEX(
  _xlfn._xlws.FILTER($U$1:$AX$1,
   TRANSPOSE(
    CHOOSE({1;2;3;4;5;6;7;8;9;10;11;12;13;14;15;16;17;18;19;20;21;22;23;24;25;26;27;28;29;30},
     COUNTIFS($U$2:$U$200,$G146)&gt;0,
     COUNTIFS($V$2:$V$200,$G146)&gt;0,
     COUNTIFS($W$2:$W$200,$G146)&gt;0,
     COUNTIFS($X$2:$X$200,$G146)&gt;0,
     COUNTIFS($Y$2:$Y$200,$G146)&gt;0,
     COUNTIFS($Z$2:$Z$200,$G146)&gt;0,
     COUNTIFS($AA$2:$AA$200,$G146)&gt;0,
     COUNTIFS($AB$2:$AB$200,$G146)&gt;0,
     COUNTIFS($AC$2:$AC$200,$G146)&gt;0,
     COUNTIFS($AD$2:$AD$200,$G146)&gt;0,
     COUNTIFS($AE$2:$AE$200,$G146)&gt;0,
     COUNTIFS($AF$2:$AF$200,$G146)&gt;0,
     COUNTIFS($AG$2:$AG$200,$G146)&gt;0,
     COUNTIFS($AH$2:$AH$200,$G146)&gt;0,
     COUNTIFS($AI$2:$AI$200,$G146)&gt;0,
     COUNTIFS($AJ$2:$AJ$200,$G146)&gt;0,
     COUNTIFS($AK$2:$AK$200,$G146)&gt;0,
     COUNTIFS($AL$2:$AL$200,$G146)&gt;0,
     COUNTIFS($AM$2:$AM$200,$G146)&gt;0,
     COUNTIFS($AN$2:$AN$200,$G146)&gt;0,
     COUNTIFS($AO$2:$AO$200,$G146)&gt;0,
     COUNTIFS($AP$2:$AP$200,$G146)&gt;0,
     COUNTIFS($AQ$2:$AQ$200,$G146)&gt;0,
     COUNTIFS($AR$2:$AR$200,$G146)&gt;0,
     COUNTIFS($AS$2:$AS$200,$G146)&gt;0,
     COUNTIFS($AT$2:$AT$200,$G146)&gt;0,
     COUNTIFS($AU$2:$AU$200,$G146)&gt;0,
     COUNTIFS($AV$2:$AV$200,$G146)&gt;0,
     COUNTIFS($AW$2:$AW$200,$G146)&gt;0,
     COUNTIFS($AX$2:$AX$200,$G146)&gt;0
   )),
  ),
  3
 ),
"")</f>
        <v/>
      </c>
      <c r="F146" s="3" t="str" cm="1">
        <f t="array" aca="1" ref="F146" ca="1">IFERROR(
 INDEX(
  _xlfn._xlws.FILTER($U$1:$AX$1,
   TRANSPOSE(
    CHOOSE({1;2;3;4;5;6;7;8;9;10;11;12;13;14;15;16;17;18;19;20;21;22;23;24;25;26;27;28;29;30},
     COUNTIFS($U$2:$U$200,$G146)&gt;0,
     COUNTIFS($V$2:$V$200,$G146)&gt;0,
     COUNTIFS($W$2:$W$200,$G146)&gt;0,
     COUNTIFS($X$2:$X$200,$G146)&gt;0,
     COUNTIFS($Y$2:$Y$200,$G146)&gt;0,
     COUNTIFS($Z$2:$Z$200,$G146)&gt;0,
     COUNTIFS($AA$2:$AA$200,$G146)&gt;0,
     COUNTIFS($AB$2:$AB$200,$G146)&gt;0,
     COUNTIFS($AC$2:$AC$200,$G146)&gt;0,
     COUNTIFS($AD$2:$AD$200,$G146)&gt;0,
     COUNTIFS($AE$2:$AE$200,$G146)&gt;0,
     COUNTIFS($AF$2:$AF$200,$G146)&gt;0,
     COUNTIFS($AG$2:$AG$200,$G146)&gt;0,
     COUNTIFS($AH$2:$AH$200,$G146)&gt;0,
     COUNTIFS($AI$2:$AI$200,$G146)&gt;0,
     COUNTIFS($AJ$2:$AJ$200,$G146)&gt;0,
     COUNTIFS($AK$2:$AK$200,$G146)&gt;0,
     COUNTIFS($AL$2:$AL$200,$G146)&gt;0,
     COUNTIFS($AM$2:$AM$200,$G146)&gt;0,
     COUNTIFS($AN$2:$AN$200,$G146)&gt;0,
     COUNTIFS($AO$2:$AO$200,$G146)&gt;0,
     COUNTIFS($AP$2:$AP$200,$G146)&gt;0,
     COUNTIFS($AQ$2:$AQ$200,$G146)&gt;0,
     COUNTIFS($AR$2:$AR$200,$G146)&gt;0,
     COUNTIFS($AS$2:$AS$200,$G146)&gt;0,
     COUNTIFS($AT$2:$AT$200,$G146)&gt;0,
     COUNTIFS($AU$2:$AU$200,$G146)&gt;0,
     COUNTIFS($AV$2:$AV$200,$G146)&gt;0,
     COUNTIFS($AW$2:$AW$200,$G146)&gt;0,
     COUNTIFS($AX$2:$AX$200,$G146)&gt;0
   )),
  ),
  4
 ),
"")</f>
        <v/>
      </c>
      <c r="G146" t="str">
        <f ca="1"/>
        <v>Hanza, Guardian of Arashin</v>
      </c>
      <c r="BO146" t="str">
        <f ca="1"/>
        <v>Stocking the Pantry</v>
      </c>
      <c r="BR146" t="str">
        <f ca="1"/>
        <v>Windcrag Siege</v>
      </c>
      <c r="BT146" t="str">
        <f ca="1"/>
        <v>Relentless Assault</v>
      </c>
    </row>
    <row r="147" spans="1:72" x14ac:dyDescent="0.25">
      <c r="A147" s="3" t="str">
        <f t="shared" ca="1" si="6"/>
        <v>1</v>
      </c>
      <c r="B147" s="3">
        <f t="shared" ca="1" si="7"/>
        <v>1</v>
      </c>
      <c r="C147" s="3" t="str">
        <f ca="1">IFERROR(
 INDEX($U$1:$AX$1,
  MATCH(TRUE,
   CHOOSE({1;2;3;4;5;6;7;8;9;10;11;12;13;14;15;16;17;18;19;20;21;22;23;24;25;26;27;28;29;30;31;32},
    COUNTIFS($U$2:$U$200,$G147)&gt;0,
    COUNTIFS($V$2:$V$200,$G147)&gt;0,
    COUNTIFS($W$2:$W$200,$G147)&gt;0,
    COUNTIFS($X$2:$X$200,$G147)&gt;0,
    COUNTIFS($Y$2:$Y$200,$G147)&gt;0,
    COUNTIFS($Z$2:$Z$200,$G147)&gt;0,
    COUNTIFS($AA$2:$AA$200,$G147)&gt;0,
    COUNTIFS($AB$2:$AB$200,$G147)&gt;0,
    COUNTIFS($AC$2:$AC$200,$G147)&gt;0,
    COUNTIFS($AD$2:$AD$200,$G147)&gt;0,
    COUNTIFS($AE$2:$AE$200,$G147)&gt;0,
    COUNTIFS($AF$2:$AF$200,$G147)&gt;0,
    COUNTIFS($AG$2:$AG$200,$G147)&gt;0,
    COUNTIFS($AH$2:$AH$200,$G147)&gt;0,
    COUNTIFS($AI$2:$AI$200,$G147)&gt;0,
    COUNTIFS($AJ$2:$AJ$200,$G147)&gt;0,
    COUNTIFS($AK$2:$AK$200,$G147)&gt;0,
    COUNTIFS($AL$2:$AL$200,$G147)&gt;0,
    COUNTIFS($AM$2:$AM$200,$G147)&gt;0,
    COUNTIFS($AN$2:$AN$200,$G147)&gt;0,
    COUNTIFS($AO$2:$AO$200,$G147)&gt;0,
    COUNTIFS($AP$2:$AP$200,$G147)&gt;0,
    COUNTIFS($AQ$2:$AQ$200,$G147)&gt;0,
    COUNTIFS($AR$2:$AR$200,$G147)&gt;0,
    COUNTIFS($AS$2:$AS$200,$G147)&gt;0,
    COUNTIFS($AT$2:$AT$200,$G147)&gt;0,
    COUNTIFS($AU$2:$AU$200,$G147)&gt;0,
    COUNTIFS($AV$2:$AV$200,$G147)&gt;0,
    COUNTIFS($AW$2:$AW$200,$G147)&gt;0,
    COUNTIFS($AX$2:$AX$200,$G147)&gt;0
   ),
  0)
 ),
"")</f>
        <v>Modular</v>
      </c>
      <c r="D147" s="3" t="str" cm="1">
        <f t="array" aca="1" ref="D147" ca="1">IFERROR(
 INDEX(
  _xlfn._xlws.FILTER($U$1:$AX$1,
   TRANSPOSE(
    CHOOSE({1;2;3;4;5;6;7;8;9;10;11;12;13;14;15;16;17;18;19;20;21;22;23;24;25;26;27;28;29;30},
     COUNTIFS($U$2:$U$200,$G147)&gt;0,
     COUNTIFS($V$2:$V$200,$G147)&gt;0,
     COUNTIFS($W$2:$W$200,$G147)&gt;0,
     COUNTIFS($X$2:$X$200,$G147)&gt;0,
     COUNTIFS($Y$2:$Y$200,$G147)&gt;0,
     COUNTIFS($Z$2:$Z$200,$G147)&gt;0,
     COUNTIFS($AA$2:$AA$200,$G147)&gt;0,
     COUNTIFS($AB$2:$AB$200,$G147)&gt;0,
     COUNTIFS($AC$2:$AC$200,$G147)&gt;0,
     COUNTIFS($AD$2:$AD$200,$G147)&gt;0,
     COUNTIFS($AE$2:$AE$200,$G147)&gt;0,
     COUNTIFS($AF$2:$AF$200,$G147)&gt;0,
     COUNTIFS($AG$2:$AG$200,$G147)&gt;0,
     COUNTIFS($AH$2:$AH$200,$G147)&gt;0,
     COUNTIFS($AI$2:$AI$200,$G147)&gt;0,
     COUNTIFS($AJ$2:$AJ$200,$G147)&gt;0,
     COUNTIFS($AK$2:$AK$200,$G147)&gt;0,
     COUNTIFS($AL$2:$AL$200,$G147)&gt;0,
     COUNTIFS($AM$2:$AM$200,$G147)&gt;0,
     COUNTIFS($AN$2:$AN$200,$G147)&gt;0,
     COUNTIFS($AO$2:$AO$200,$G147)&gt;0,
     COUNTIFS($AP$2:$AP$200,$G147)&gt;0,
     COUNTIFS($AQ$2:$AQ$200,$G147)&gt;0,
     COUNTIFS($AR$2:$AR$200,$G147)&gt;0,
     COUNTIFS($AS$2:$AS$200,$G147)&gt;0,
     COUNTIFS($AT$2:$AT$200,$G147)&gt;0,
     COUNTIFS($AU$2:$AU$200,$G147)&gt;0,
     COUNTIFS($AV$2:$AV$200,$G147)&gt;0,
     COUNTIFS($AW$2:$AW$200,$G147)&gt;0,
     COUNTIFS($AX$2:$AX$200,$G147)&gt;0
   )),
  ),
  2
 ),
"")</f>
        <v/>
      </c>
      <c r="E147" s="3" t="str" cm="1">
        <f t="array" aca="1" ref="E147" ca="1">IFERROR(
 INDEX(
  _xlfn._xlws.FILTER($U$1:$AX$1,
   TRANSPOSE(
    CHOOSE({1;2;3;4;5;6;7;8;9;10;11;12;13;14;15;16;17;18;19;20;21;22;23;24;25;26;27;28;29;30},
     COUNTIFS($U$2:$U$200,$G147)&gt;0,
     COUNTIFS($V$2:$V$200,$G147)&gt;0,
     COUNTIFS($W$2:$W$200,$G147)&gt;0,
     COUNTIFS($X$2:$X$200,$G147)&gt;0,
     COUNTIFS($Y$2:$Y$200,$G147)&gt;0,
     COUNTIFS($Z$2:$Z$200,$G147)&gt;0,
     COUNTIFS($AA$2:$AA$200,$G147)&gt;0,
     COUNTIFS($AB$2:$AB$200,$G147)&gt;0,
     COUNTIFS($AC$2:$AC$200,$G147)&gt;0,
     COUNTIFS($AD$2:$AD$200,$G147)&gt;0,
     COUNTIFS($AE$2:$AE$200,$G147)&gt;0,
     COUNTIFS($AF$2:$AF$200,$G147)&gt;0,
     COUNTIFS($AG$2:$AG$200,$G147)&gt;0,
     COUNTIFS($AH$2:$AH$200,$G147)&gt;0,
     COUNTIFS($AI$2:$AI$200,$G147)&gt;0,
     COUNTIFS($AJ$2:$AJ$200,$G147)&gt;0,
     COUNTIFS($AK$2:$AK$200,$G147)&gt;0,
     COUNTIFS($AL$2:$AL$200,$G147)&gt;0,
     COUNTIFS($AM$2:$AM$200,$G147)&gt;0,
     COUNTIFS($AN$2:$AN$200,$G147)&gt;0,
     COUNTIFS($AO$2:$AO$200,$G147)&gt;0,
     COUNTIFS($AP$2:$AP$200,$G147)&gt;0,
     COUNTIFS($AQ$2:$AQ$200,$G147)&gt;0,
     COUNTIFS($AR$2:$AR$200,$G147)&gt;0,
     COUNTIFS($AS$2:$AS$200,$G147)&gt;0,
     COUNTIFS($AT$2:$AT$200,$G147)&gt;0,
     COUNTIFS($AU$2:$AU$200,$G147)&gt;0,
     COUNTIFS($AV$2:$AV$200,$G147)&gt;0,
     COUNTIFS($AW$2:$AW$200,$G147)&gt;0,
     COUNTIFS($AX$2:$AX$200,$G147)&gt;0
   )),
  ),
  3
 ),
"")</f>
        <v/>
      </c>
      <c r="F147" s="3" t="str" cm="1">
        <f t="array" aca="1" ref="F147" ca="1">IFERROR(
 INDEX(
  _xlfn._xlws.FILTER($U$1:$AX$1,
   TRANSPOSE(
    CHOOSE({1;2;3;4;5;6;7;8;9;10;11;12;13;14;15;16;17;18;19;20;21;22;23;24;25;26;27;28;29;30},
     COUNTIFS($U$2:$U$200,$G147)&gt;0,
     COUNTIFS($V$2:$V$200,$G147)&gt;0,
     COUNTIFS($W$2:$W$200,$G147)&gt;0,
     COUNTIFS($X$2:$X$200,$G147)&gt;0,
     COUNTIFS($Y$2:$Y$200,$G147)&gt;0,
     COUNTIFS($Z$2:$Z$200,$G147)&gt;0,
     COUNTIFS($AA$2:$AA$200,$G147)&gt;0,
     COUNTIFS($AB$2:$AB$200,$G147)&gt;0,
     COUNTIFS($AC$2:$AC$200,$G147)&gt;0,
     COUNTIFS($AD$2:$AD$200,$G147)&gt;0,
     COUNTIFS($AE$2:$AE$200,$G147)&gt;0,
     COUNTIFS($AF$2:$AF$200,$G147)&gt;0,
     COUNTIFS($AG$2:$AG$200,$G147)&gt;0,
     COUNTIFS($AH$2:$AH$200,$G147)&gt;0,
     COUNTIFS($AI$2:$AI$200,$G147)&gt;0,
     COUNTIFS($AJ$2:$AJ$200,$G147)&gt;0,
     COUNTIFS($AK$2:$AK$200,$G147)&gt;0,
     COUNTIFS($AL$2:$AL$200,$G147)&gt;0,
     COUNTIFS($AM$2:$AM$200,$G147)&gt;0,
     COUNTIFS($AN$2:$AN$200,$G147)&gt;0,
     COUNTIFS($AO$2:$AO$200,$G147)&gt;0,
     COUNTIFS($AP$2:$AP$200,$G147)&gt;0,
     COUNTIFS($AQ$2:$AQ$200,$G147)&gt;0,
     COUNTIFS($AR$2:$AR$200,$G147)&gt;0,
     COUNTIFS($AS$2:$AS$200,$G147)&gt;0,
     COUNTIFS($AT$2:$AT$200,$G147)&gt;0,
     COUNTIFS($AU$2:$AU$200,$G147)&gt;0,
     COUNTIFS($AV$2:$AV$200,$G147)&gt;0,
     COUNTIFS($AW$2:$AW$200,$G147)&gt;0,
     COUNTIFS($AX$2:$AX$200,$G147)&gt;0
   )),
  ),
  4
 ),
"")</f>
        <v/>
      </c>
      <c r="G147" t="str">
        <f ca="1"/>
        <v>Haru, Hidden Talent</v>
      </c>
      <c r="BO147" t="str">
        <f ca="1"/>
        <v>Storm the Vault</v>
      </c>
      <c r="BR147" t="str">
        <f ca="1"/>
        <v>World at War</v>
      </c>
      <c r="BT147" t="str">
        <f ca="1"/>
        <v>Reliquary Tower</v>
      </c>
    </row>
    <row r="148" spans="1:72" x14ac:dyDescent="0.25">
      <c r="A148" s="3" t="str">
        <f t="shared" ca="1" si="6"/>
        <v>2</v>
      </c>
      <c r="B148" s="3">
        <f t="shared" ca="1" si="7"/>
        <v>1</v>
      </c>
      <c r="C148" s="3" t="str">
        <f ca="1">IFERROR(
 INDEX($U$1:$AX$1,
  MATCH(TRUE,
   CHOOSE({1;2;3;4;5;6;7;8;9;10;11;12;13;14;15;16;17;18;19;20;21;22;23;24;25;26;27;28;29;30;31;32},
    COUNTIFS($U$2:$U$200,$G148)&gt;0,
    COUNTIFS($V$2:$V$200,$G148)&gt;0,
    COUNTIFS($W$2:$W$200,$G148)&gt;0,
    COUNTIFS($X$2:$X$200,$G148)&gt;0,
    COUNTIFS($Y$2:$Y$200,$G148)&gt;0,
    COUNTIFS($Z$2:$Z$200,$G148)&gt;0,
    COUNTIFS($AA$2:$AA$200,$G148)&gt;0,
    COUNTIFS($AB$2:$AB$200,$G148)&gt;0,
    COUNTIFS($AC$2:$AC$200,$G148)&gt;0,
    COUNTIFS($AD$2:$AD$200,$G148)&gt;0,
    COUNTIFS($AE$2:$AE$200,$G148)&gt;0,
    COUNTIFS($AF$2:$AF$200,$G148)&gt;0,
    COUNTIFS($AG$2:$AG$200,$G148)&gt;0,
    COUNTIFS($AH$2:$AH$200,$G148)&gt;0,
    COUNTIFS($AI$2:$AI$200,$G148)&gt;0,
    COUNTIFS($AJ$2:$AJ$200,$G148)&gt;0,
    COUNTIFS($AK$2:$AK$200,$G148)&gt;0,
    COUNTIFS($AL$2:$AL$200,$G148)&gt;0,
    COUNTIFS($AM$2:$AM$200,$G148)&gt;0,
    COUNTIFS($AN$2:$AN$200,$G148)&gt;0,
    COUNTIFS($AO$2:$AO$200,$G148)&gt;0,
    COUNTIFS($AP$2:$AP$200,$G148)&gt;0,
    COUNTIFS($AQ$2:$AQ$200,$G148)&gt;0,
    COUNTIFS($AR$2:$AR$200,$G148)&gt;0,
    COUNTIFS($AS$2:$AS$200,$G148)&gt;0,
    COUNTIFS($AT$2:$AT$200,$G148)&gt;0,
    COUNTIFS($AU$2:$AU$200,$G148)&gt;0,
    COUNTIFS($AV$2:$AV$200,$G148)&gt;0,
    COUNTIFS($AW$2:$AW$200,$G148)&gt;0,
    COUNTIFS($AX$2:$AX$200,$G148)&gt;0
   ),
  0)
 ),
"")</f>
        <v>Kumena</v>
      </c>
      <c r="D148" s="3" t="str" cm="1">
        <f t="array" aca="1" ref="D148" ca="1">IFERROR(
 INDEX(
  _xlfn._xlws.FILTER($U$1:$AX$1,
   TRANSPOSE(
    CHOOSE({1;2;3;4;5;6;7;8;9;10;11;12;13;14;15;16;17;18;19;20;21;22;23;24;25;26;27;28;29;30},
     COUNTIFS($U$2:$U$200,$G148)&gt;0,
     COUNTIFS($V$2:$V$200,$G148)&gt;0,
     COUNTIFS($W$2:$W$200,$G148)&gt;0,
     COUNTIFS($X$2:$X$200,$G148)&gt;0,
     COUNTIFS($Y$2:$Y$200,$G148)&gt;0,
     COUNTIFS($Z$2:$Z$200,$G148)&gt;0,
     COUNTIFS($AA$2:$AA$200,$G148)&gt;0,
     COUNTIFS($AB$2:$AB$200,$G148)&gt;0,
     COUNTIFS($AC$2:$AC$200,$G148)&gt;0,
     COUNTIFS($AD$2:$AD$200,$G148)&gt;0,
     COUNTIFS($AE$2:$AE$200,$G148)&gt;0,
     COUNTIFS($AF$2:$AF$200,$G148)&gt;0,
     COUNTIFS($AG$2:$AG$200,$G148)&gt;0,
     COUNTIFS($AH$2:$AH$200,$G148)&gt;0,
     COUNTIFS($AI$2:$AI$200,$G148)&gt;0,
     COUNTIFS($AJ$2:$AJ$200,$G148)&gt;0,
     COUNTIFS($AK$2:$AK$200,$G148)&gt;0,
     COUNTIFS($AL$2:$AL$200,$G148)&gt;0,
     COUNTIFS($AM$2:$AM$200,$G148)&gt;0,
     COUNTIFS($AN$2:$AN$200,$G148)&gt;0,
     COUNTIFS($AO$2:$AO$200,$G148)&gt;0,
     COUNTIFS($AP$2:$AP$200,$G148)&gt;0,
     COUNTIFS($AQ$2:$AQ$200,$G148)&gt;0,
     COUNTIFS($AR$2:$AR$200,$G148)&gt;0,
     COUNTIFS($AS$2:$AS$200,$G148)&gt;0,
     COUNTIFS($AT$2:$AT$200,$G148)&gt;0,
     COUNTIFS($AU$2:$AU$200,$G148)&gt;0,
     COUNTIFS($AV$2:$AV$200,$G148)&gt;0,
     COUNTIFS($AW$2:$AW$200,$G148)&gt;0,
     COUNTIFS($AX$2:$AX$200,$G148)&gt;0
   )),
  ),
  2
 ),
"")</f>
        <v/>
      </c>
      <c r="E148" s="3" t="str" cm="1">
        <f t="array" aca="1" ref="E148" ca="1">IFERROR(
 INDEX(
  _xlfn._xlws.FILTER($U$1:$AX$1,
   TRANSPOSE(
    CHOOSE({1;2;3;4;5;6;7;8;9;10;11;12;13;14;15;16;17;18;19;20;21;22;23;24;25;26;27;28;29;30},
     COUNTIFS($U$2:$U$200,$G148)&gt;0,
     COUNTIFS($V$2:$V$200,$G148)&gt;0,
     COUNTIFS($W$2:$W$200,$G148)&gt;0,
     COUNTIFS($X$2:$X$200,$G148)&gt;0,
     COUNTIFS($Y$2:$Y$200,$G148)&gt;0,
     COUNTIFS($Z$2:$Z$200,$G148)&gt;0,
     COUNTIFS($AA$2:$AA$200,$G148)&gt;0,
     COUNTIFS($AB$2:$AB$200,$G148)&gt;0,
     COUNTIFS($AC$2:$AC$200,$G148)&gt;0,
     COUNTIFS($AD$2:$AD$200,$G148)&gt;0,
     COUNTIFS($AE$2:$AE$200,$G148)&gt;0,
     COUNTIFS($AF$2:$AF$200,$G148)&gt;0,
     COUNTIFS($AG$2:$AG$200,$G148)&gt;0,
     COUNTIFS($AH$2:$AH$200,$G148)&gt;0,
     COUNTIFS($AI$2:$AI$200,$G148)&gt;0,
     COUNTIFS($AJ$2:$AJ$200,$G148)&gt;0,
     COUNTIFS($AK$2:$AK$200,$G148)&gt;0,
     COUNTIFS($AL$2:$AL$200,$G148)&gt;0,
     COUNTIFS($AM$2:$AM$200,$G148)&gt;0,
     COUNTIFS($AN$2:$AN$200,$G148)&gt;0,
     COUNTIFS($AO$2:$AO$200,$G148)&gt;0,
     COUNTIFS($AP$2:$AP$200,$G148)&gt;0,
     COUNTIFS($AQ$2:$AQ$200,$G148)&gt;0,
     COUNTIFS($AR$2:$AR$200,$G148)&gt;0,
     COUNTIFS($AS$2:$AS$200,$G148)&gt;0,
     COUNTIFS($AT$2:$AT$200,$G148)&gt;0,
     COUNTIFS($AU$2:$AU$200,$G148)&gt;0,
     COUNTIFS($AV$2:$AV$200,$G148)&gt;0,
     COUNTIFS($AW$2:$AW$200,$G148)&gt;0,
     COUNTIFS($AX$2:$AX$200,$G148)&gt;0
   )),
  ),
  3
 ),
"")</f>
        <v/>
      </c>
      <c r="F148" s="3" t="str" cm="1">
        <f t="array" aca="1" ref="F148" ca="1">IFERROR(
 INDEX(
  _xlfn._xlws.FILTER($U$1:$AX$1,
   TRANSPOSE(
    CHOOSE({1;2;3;4;5;6;7;8;9;10;11;12;13;14;15;16;17;18;19;20;21;22;23;24;25;26;27;28;29;30},
     COUNTIFS($U$2:$U$200,$G148)&gt;0,
     COUNTIFS($V$2:$V$200,$G148)&gt;0,
     COUNTIFS($W$2:$W$200,$G148)&gt;0,
     COUNTIFS($X$2:$X$200,$G148)&gt;0,
     COUNTIFS($Y$2:$Y$200,$G148)&gt;0,
     COUNTIFS($Z$2:$Z$200,$G148)&gt;0,
     COUNTIFS($AA$2:$AA$200,$G148)&gt;0,
     COUNTIFS($AB$2:$AB$200,$G148)&gt;0,
     COUNTIFS($AC$2:$AC$200,$G148)&gt;0,
     COUNTIFS($AD$2:$AD$200,$G148)&gt;0,
     COUNTIFS($AE$2:$AE$200,$G148)&gt;0,
     COUNTIFS($AF$2:$AF$200,$G148)&gt;0,
     COUNTIFS($AG$2:$AG$200,$G148)&gt;0,
     COUNTIFS($AH$2:$AH$200,$G148)&gt;0,
     COUNTIFS($AI$2:$AI$200,$G148)&gt;0,
     COUNTIFS($AJ$2:$AJ$200,$G148)&gt;0,
     COUNTIFS($AK$2:$AK$200,$G148)&gt;0,
     COUNTIFS($AL$2:$AL$200,$G148)&gt;0,
     COUNTIFS($AM$2:$AM$200,$G148)&gt;0,
     COUNTIFS($AN$2:$AN$200,$G148)&gt;0,
     COUNTIFS($AO$2:$AO$200,$G148)&gt;0,
     COUNTIFS($AP$2:$AP$200,$G148)&gt;0,
     COUNTIFS($AQ$2:$AQ$200,$G148)&gt;0,
     COUNTIFS($AR$2:$AR$200,$G148)&gt;0,
     COUNTIFS($AS$2:$AS$200,$G148)&gt;0,
     COUNTIFS($AT$2:$AT$200,$G148)&gt;0,
     COUNTIFS($AU$2:$AU$200,$G148)&gt;0,
     COUNTIFS($AV$2:$AV$200,$G148)&gt;0,
     COUNTIFS($AW$2:$AW$200,$G148)&gt;0,
     COUNTIFS($AX$2:$AX$200,$G148)&gt;0
   )),
  ),
  4
 ),
"")</f>
        <v/>
      </c>
      <c r="G148" t="str">
        <f ca="1"/>
        <v>Harvest Season</v>
      </c>
      <c r="BO148" t="str">
        <f ca="1"/>
        <v>Strionic Resonator</v>
      </c>
      <c r="BR148" t="str">
        <f ca="1"/>
        <v>Xantcha, Agente Adormecida</v>
      </c>
      <c r="BT148" t="str">
        <f ca="1"/>
        <v>Renewed Solidarity</v>
      </c>
    </row>
    <row r="149" spans="1:72" x14ac:dyDescent="0.25">
      <c r="A149" s="3" t="str">
        <f t="shared" ca="1" si="6"/>
        <v>2</v>
      </c>
      <c r="B149" s="3">
        <f t="shared" ca="1" si="7"/>
        <v>1</v>
      </c>
      <c r="C149" s="3" t="str">
        <f ca="1">IFERROR(
 INDEX($U$1:$AX$1,
  MATCH(TRUE,
   CHOOSE({1;2;3;4;5;6;7;8;9;10;11;12;13;14;15;16;17;18;19;20;21;22;23;24;25;26;27;28;29;30;31;32},
    COUNTIFS($U$2:$U$200,$G149)&gt;0,
    COUNTIFS($V$2:$V$200,$G149)&gt;0,
    COUNTIFS($W$2:$W$200,$G149)&gt;0,
    COUNTIFS($X$2:$X$200,$G149)&gt;0,
    COUNTIFS($Y$2:$Y$200,$G149)&gt;0,
    COUNTIFS($Z$2:$Z$200,$G149)&gt;0,
    COUNTIFS($AA$2:$AA$200,$G149)&gt;0,
    COUNTIFS($AB$2:$AB$200,$G149)&gt;0,
    COUNTIFS($AC$2:$AC$200,$G149)&gt;0,
    COUNTIFS($AD$2:$AD$200,$G149)&gt;0,
    COUNTIFS($AE$2:$AE$200,$G149)&gt;0,
    COUNTIFS($AF$2:$AF$200,$G149)&gt;0,
    COUNTIFS($AG$2:$AG$200,$G149)&gt;0,
    COUNTIFS($AH$2:$AH$200,$G149)&gt;0,
    COUNTIFS($AI$2:$AI$200,$G149)&gt;0,
    COUNTIFS($AJ$2:$AJ$200,$G149)&gt;0,
    COUNTIFS($AK$2:$AK$200,$G149)&gt;0,
    COUNTIFS($AL$2:$AL$200,$G149)&gt;0,
    COUNTIFS($AM$2:$AM$200,$G149)&gt;0,
    COUNTIFS($AN$2:$AN$200,$G149)&gt;0,
    COUNTIFS($AO$2:$AO$200,$G149)&gt;0,
    COUNTIFS($AP$2:$AP$200,$G149)&gt;0,
    COUNTIFS($AQ$2:$AQ$200,$G149)&gt;0,
    COUNTIFS($AR$2:$AR$200,$G149)&gt;0,
    COUNTIFS($AS$2:$AS$200,$G149)&gt;0,
    COUNTIFS($AT$2:$AT$200,$G149)&gt;0,
    COUNTIFS($AU$2:$AU$200,$G149)&gt;0,
    COUNTIFS($AV$2:$AV$200,$G149)&gt;0,
    COUNTIFS($AW$2:$AW$200,$G149)&gt;0,
    COUNTIFS($AX$2:$AX$200,$G149)&gt;0
   ),
  0)
 ),
"")</f>
        <v>Rani</v>
      </c>
      <c r="D149" s="3" t="str" cm="1">
        <f t="array" aca="1" ref="D149" ca="1">IFERROR(
 INDEX(
  _xlfn._xlws.FILTER($U$1:$AX$1,
   TRANSPOSE(
    CHOOSE({1;2;3;4;5;6;7;8;9;10;11;12;13;14;15;16;17;18;19;20;21;22;23;24;25;26;27;28;29;30},
     COUNTIFS($U$2:$U$200,$G149)&gt;0,
     COUNTIFS($V$2:$V$200,$G149)&gt;0,
     COUNTIFS($W$2:$W$200,$G149)&gt;0,
     COUNTIFS($X$2:$X$200,$G149)&gt;0,
     COUNTIFS($Y$2:$Y$200,$G149)&gt;0,
     COUNTIFS($Z$2:$Z$200,$G149)&gt;0,
     COUNTIFS($AA$2:$AA$200,$G149)&gt;0,
     COUNTIFS($AB$2:$AB$200,$G149)&gt;0,
     COUNTIFS($AC$2:$AC$200,$G149)&gt;0,
     COUNTIFS($AD$2:$AD$200,$G149)&gt;0,
     COUNTIFS($AE$2:$AE$200,$G149)&gt;0,
     COUNTIFS($AF$2:$AF$200,$G149)&gt;0,
     COUNTIFS($AG$2:$AG$200,$G149)&gt;0,
     COUNTIFS($AH$2:$AH$200,$G149)&gt;0,
     COUNTIFS($AI$2:$AI$200,$G149)&gt;0,
     COUNTIFS($AJ$2:$AJ$200,$G149)&gt;0,
     COUNTIFS($AK$2:$AK$200,$G149)&gt;0,
     COUNTIFS($AL$2:$AL$200,$G149)&gt;0,
     COUNTIFS($AM$2:$AM$200,$G149)&gt;0,
     COUNTIFS($AN$2:$AN$200,$G149)&gt;0,
     COUNTIFS($AO$2:$AO$200,$G149)&gt;0,
     COUNTIFS($AP$2:$AP$200,$G149)&gt;0,
     COUNTIFS($AQ$2:$AQ$200,$G149)&gt;0,
     COUNTIFS($AR$2:$AR$200,$G149)&gt;0,
     COUNTIFS($AS$2:$AS$200,$G149)&gt;0,
     COUNTIFS($AT$2:$AT$200,$G149)&gt;0,
     COUNTIFS($AU$2:$AU$200,$G149)&gt;0,
     COUNTIFS($AV$2:$AV$200,$G149)&gt;0,
     COUNTIFS($AW$2:$AW$200,$G149)&gt;0,
     COUNTIFS($AX$2:$AX$200,$G149)&gt;0
   )),
  ),
  2
 ),
"")</f>
        <v/>
      </c>
      <c r="E149" s="3" t="str" cm="1">
        <f t="array" aca="1" ref="E149" ca="1">IFERROR(
 INDEX(
  _xlfn._xlws.FILTER($U$1:$AX$1,
   TRANSPOSE(
    CHOOSE({1;2;3;4;5;6;7;8;9;10;11;12;13;14;15;16;17;18;19;20;21;22;23;24;25;26;27;28;29;30},
     COUNTIFS($U$2:$U$200,$G149)&gt;0,
     COUNTIFS($V$2:$V$200,$G149)&gt;0,
     COUNTIFS($W$2:$W$200,$G149)&gt;0,
     COUNTIFS($X$2:$X$200,$G149)&gt;0,
     COUNTIFS($Y$2:$Y$200,$G149)&gt;0,
     COUNTIFS($Z$2:$Z$200,$G149)&gt;0,
     COUNTIFS($AA$2:$AA$200,$G149)&gt;0,
     COUNTIFS($AB$2:$AB$200,$G149)&gt;0,
     COUNTIFS($AC$2:$AC$200,$G149)&gt;0,
     COUNTIFS($AD$2:$AD$200,$G149)&gt;0,
     COUNTIFS($AE$2:$AE$200,$G149)&gt;0,
     COUNTIFS($AF$2:$AF$200,$G149)&gt;0,
     COUNTIFS($AG$2:$AG$200,$G149)&gt;0,
     COUNTIFS($AH$2:$AH$200,$G149)&gt;0,
     COUNTIFS($AI$2:$AI$200,$G149)&gt;0,
     COUNTIFS($AJ$2:$AJ$200,$G149)&gt;0,
     COUNTIFS($AK$2:$AK$200,$G149)&gt;0,
     COUNTIFS($AL$2:$AL$200,$G149)&gt;0,
     COUNTIFS($AM$2:$AM$200,$G149)&gt;0,
     COUNTIFS($AN$2:$AN$200,$G149)&gt;0,
     COUNTIFS($AO$2:$AO$200,$G149)&gt;0,
     COUNTIFS($AP$2:$AP$200,$G149)&gt;0,
     COUNTIFS($AQ$2:$AQ$200,$G149)&gt;0,
     COUNTIFS($AR$2:$AR$200,$G149)&gt;0,
     COUNTIFS($AS$2:$AS$200,$G149)&gt;0,
     COUNTIFS($AT$2:$AT$200,$G149)&gt;0,
     COUNTIFS($AU$2:$AU$200,$G149)&gt;0,
     COUNTIFS($AV$2:$AV$200,$G149)&gt;0,
     COUNTIFS($AW$2:$AW$200,$G149)&gt;0,
     COUNTIFS($AX$2:$AX$200,$G149)&gt;0
   )),
  ),
  3
 ),
"")</f>
        <v/>
      </c>
      <c r="F149" s="3" t="str" cm="1">
        <f t="array" aca="1" ref="F149" ca="1">IFERROR(
 INDEX(
  _xlfn._xlws.FILTER($U$1:$AX$1,
   TRANSPOSE(
    CHOOSE({1;2;3;4;5;6;7;8;9;10;11;12;13;14;15;16;17;18;19;20;21;22;23;24;25;26;27;28;29;30},
     COUNTIFS($U$2:$U$200,$G149)&gt;0,
     COUNTIFS($V$2:$V$200,$G149)&gt;0,
     COUNTIFS($W$2:$W$200,$G149)&gt;0,
     COUNTIFS($X$2:$X$200,$G149)&gt;0,
     COUNTIFS($Y$2:$Y$200,$G149)&gt;0,
     COUNTIFS($Z$2:$Z$200,$G149)&gt;0,
     COUNTIFS($AA$2:$AA$200,$G149)&gt;0,
     COUNTIFS($AB$2:$AB$200,$G149)&gt;0,
     COUNTIFS($AC$2:$AC$200,$G149)&gt;0,
     COUNTIFS($AD$2:$AD$200,$G149)&gt;0,
     COUNTIFS($AE$2:$AE$200,$G149)&gt;0,
     COUNTIFS($AF$2:$AF$200,$G149)&gt;0,
     COUNTIFS($AG$2:$AG$200,$G149)&gt;0,
     COUNTIFS($AH$2:$AH$200,$G149)&gt;0,
     COUNTIFS($AI$2:$AI$200,$G149)&gt;0,
     COUNTIFS($AJ$2:$AJ$200,$G149)&gt;0,
     COUNTIFS($AK$2:$AK$200,$G149)&gt;0,
     COUNTIFS($AL$2:$AL$200,$G149)&gt;0,
     COUNTIFS($AM$2:$AM$200,$G149)&gt;0,
     COUNTIFS($AN$2:$AN$200,$G149)&gt;0,
     COUNTIFS($AO$2:$AO$200,$G149)&gt;0,
     COUNTIFS($AP$2:$AP$200,$G149)&gt;0,
     COUNTIFS($AQ$2:$AQ$200,$G149)&gt;0,
     COUNTIFS($AR$2:$AR$200,$G149)&gt;0,
     COUNTIFS($AS$2:$AS$200,$G149)&gt;0,
     COUNTIFS($AT$2:$AT$200,$G149)&gt;0,
     COUNTIFS($AU$2:$AU$200,$G149)&gt;0,
     COUNTIFS($AV$2:$AV$200,$G149)&gt;0,
     COUNTIFS($AW$2:$AW$200,$G149)&gt;0,
     COUNTIFS($AX$2:$AX$200,$G149)&gt;0
   )),
  ),
  4
 ),
"")</f>
        <v/>
      </c>
      <c r="G149" t="str">
        <f ca="1"/>
        <v>Havengul Laboratory</v>
      </c>
      <c r="BO149" t="str">
        <f ca="1"/>
        <v>Summon: Fenrir</v>
      </c>
      <c r="BR149" t="str">
        <f ca="1"/>
        <v>Zagoth Triome</v>
      </c>
      <c r="BT149" t="str">
        <f ca="1"/>
        <v>Rings of Brighthearth</v>
      </c>
    </row>
    <row r="150" spans="1:72" x14ac:dyDescent="0.25">
      <c r="A150" s="3" t="str">
        <f t="shared" ca="1" si="6"/>
        <v>1</v>
      </c>
      <c r="B150" s="3">
        <f t="shared" ca="1" si="7"/>
        <v>1</v>
      </c>
      <c r="C150" s="3" t="str">
        <f ca="1">IFERROR(
 INDEX($U$1:$AX$1,
  MATCH(TRUE,
   CHOOSE({1;2;3;4;5;6;7;8;9;10;11;12;13;14;15;16;17;18;19;20;21;22;23;24;25;26;27;28;29;30;31;32},
    COUNTIFS($U$2:$U$200,$G150)&gt;0,
    COUNTIFS($V$2:$V$200,$G150)&gt;0,
    COUNTIFS($W$2:$W$200,$G150)&gt;0,
    COUNTIFS($X$2:$X$200,$G150)&gt;0,
    COUNTIFS($Y$2:$Y$200,$G150)&gt;0,
    COUNTIFS($Z$2:$Z$200,$G150)&gt;0,
    COUNTIFS($AA$2:$AA$200,$G150)&gt;0,
    COUNTIFS($AB$2:$AB$200,$G150)&gt;0,
    COUNTIFS($AC$2:$AC$200,$G150)&gt;0,
    COUNTIFS($AD$2:$AD$200,$G150)&gt;0,
    COUNTIFS($AE$2:$AE$200,$G150)&gt;0,
    COUNTIFS($AF$2:$AF$200,$G150)&gt;0,
    COUNTIFS($AG$2:$AG$200,$G150)&gt;0,
    COUNTIFS($AH$2:$AH$200,$G150)&gt;0,
    COUNTIFS($AI$2:$AI$200,$G150)&gt;0,
    COUNTIFS($AJ$2:$AJ$200,$G150)&gt;0,
    COUNTIFS($AK$2:$AK$200,$G150)&gt;0,
    COUNTIFS($AL$2:$AL$200,$G150)&gt;0,
    COUNTIFS($AM$2:$AM$200,$G150)&gt;0,
    COUNTIFS($AN$2:$AN$200,$G150)&gt;0,
    COUNTIFS($AO$2:$AO$200,$G150)&gt;0,
    COUNTIFS($AP$2:$AP$200,$G150)&gt;0,
    COUNTIFS($AQ$2:$AQ$200,$G150)&gt;0,
    COUNTIFS($AR$2:$AR$200,$G150)&gt;0,
    COUNTIFS($AS$2:$AS$200,$G150)&gt;0,
    COUNTIFS($AT$2:$AT$200,$G150)&gt;0,
    COUNTIFS($AU$2:$AU$200,$G150)&gt;0,
    COUNTIFS($AV$2:$AV$200,$G150)&gt;0,
    COUNTIFS($AW$2:$AW$200,$G150)&gt;0,
    COUNTIFS($AX$2:$AX$200,$G150)&gt;0
   ),
  0)
 ),
"")</f>
        <v>Modular</v>
      </c>
      <c r="D150" s="3" t="str" cm="1">
        <f t="array" aca="1" ref="D150" ca="1">IFERROR(
 INDEX(
  _xlfn._xlws.FILTER($U$1:$AX$1,
   TRANSPOSE(
    CHOOSE({1;2;3;4;5;6;7;8;9;10;11;12;13;14;15;16;17;18;19;20;21;22;23;24;25;26;27;28;29;30},
     COUNTIFS($U$2:$U$200,$G150)&gt;0,
     COUNTIFS($V$2:$V$200,$G150)&gt;0,
     COUNTIFS($W$2:$W$200,$G150)&gt;0,
     COUNTIFS($X$2:$X$200,$G150)&gt;0,
     COUNTIFS($Y$2:$Y$200,$G150)&gt;0,
     COUNTIFS($Z$2:$Z$200,$G150)&gt;0,
     COUNTIFS($AA$2:$AA$200,$G150)&gt;0,
     COUNTIFS($AB$2:$AB$200,$G150)&gt;0,
     COUNTIFS($AC$2:$AC$200,$G150)&gt;0,
     COUNTIFS($AD$2:$AD$200,$G150)&gt;0,
     COUNTIFS($AE$2:$AE$200,$G150)&gt;0,
     COUNTIFS($AF$2:$AF$200,$G150)&gt;0,
     COUNTIFS($AG$2:$AG$200,$G150)&gt;0,
     COUNTIFS($AH$2:$AH$200,$G150)&gt;0,
     COUNTIFS($AI$2:$AI$200,$G150)&gt;0,
     COUNTIFS($AJ$2:$AJ$200,$G150)&gt;0,
     COUNTIFS($AK$2:$AK$200,$G150)&gt;0,
     COUNTIFS($AL$2:$AL$200,$G150)&gt;0,
     COUNTIFS($AM$2:$AM$200,$G150)&gt;0,
     COUNTIFS($AN$2:$AN$200,$G150)&gt;0,
     COUNTIFS($AO$2:$AO$200,$G150)&gt;0,
     COUNTIFS($AP$2:$AP$200,$G150)&gt;0,
     COUNTIFS($AQ$2:$AQ$200,$G150)&gt;0,
     COUNTIFS($AR$2:$AR$200,$G150)&gt;0,
     COUNTIFS($AS$2:$AS$200,$G150)&gt;0,
     COUNTIFS($AT$2:$AT$200,$G150)&gt;0,
     COUNTIFS($AU$2:$AU$200,$G150)&gt;0,
     COUNTIFS($AV$2:$AV$200,$G150)&gt;0,
     COUNTIFS($AW$2:$AW$200,$G150)&gt;0,
     COUNTIFS($AX$2:$AX$200,$G150)&gt;0
   )),
  ),
  2
 ),
"")</f>
        <v/>
      </c>
      <c r="E150" s="3" t="str" cm="1">
        <f t="array" aca="1" ref="E150" ca="1">IFERROR(
 INDEX(
  _xlfn._xlws.FILTER($U$1:$AX$1,
   TRANSPOSE(
    CHOOSE({1;2;3;4;5;6;7;8;9;10;11;12;13;14;15;16;17;18;19;20;21;22;23;24;25;26;27;28;29;30},
     COUNTIFS($U$2:$U$200,$G150)&gt;0,
     COUNTIFS($V$2:$V$200,$G150)&gt;0,
     COUNTIFS($W$2:$W$200,$G150)&gt;0,
     COUNTIFS($X$2:$X$200,$G150)&gt;0,
     COUNTIFS($Y$2:$Y$200,$G150)&gt;0,
     COUNTIFS($Z$2:$Z$200,$G150)&gt;0,
     COUNTIFS($AA$2:$AA$200,$G150)&gt;0,
     COUNTIFS($AB$2:$AB$200,$G150)&gt;0,
     COUNTIFS($AC$2:$AC$200,$G150)&gt;0,
     COUNTIFS($AD$2:$AD$200,$G150)&gt;0,
     COUNTIFS($AE$2:$AE$200,$G150)&gt;0,
     COUNTIFS($AF$2:$AF$200,$G150)&gt;0,
     COUNTIFS($AG$2:$AG$200,$G150)&gt;0,
     COUNTIFS($AH$2:$AH$200,$G150)&gt;0,
     COUNTIFS($AI$2:$AI$200,$G150)&gt;0,
     COUNTIFS($AJ$2:$AJ$200,$G150)&gt;0,
     COUNTIFS($AK$2:$AK$200,$G150)&gt;0,
     COUNTIFS($AL$2:$AL$200,$G150)&gt;0,
     COUNTIFS($AM$2:$AM$200,$G150)&gt;0,
     COUNTIFS($AN$2:$AN$200,$G150)&gt;0,
     COUNTIFS($AO$2:$AO$200,$G150)&gt;0,
     COUNTIFS($AP$2:$AP$200,$G150)&gt;0,
     COUNTIFS($AQ$2:$AQ$200,$G150)&gt;0,
     COUNTIFS($AR$2:$AR$200,$G150)&gt;0,
     COUNTIFS($AS$2:$AS$200,$G150)&gt;0,
     COUNTIFS($AT$2:$AT$200,$G150)&gt;0,
     COUNTIFS($AU$2:$AU$200,$G150)&gt;0,
     COUNTIFS($AV$2:$AV$200,$G150)&gt;0,
     COUNTIFS($AW$2:$AW$200,$G150)&gt;0,
     COUNTIFS($AX$2:$AX$200,$G150)&gt;0
   )),
  ),
  3
 ),
"")</f>
        <v/>
      </c>
      <c r="F150" s="3" t="str" cm="1">
        <f t="array" aca="1" ref="F150" ca="1">IFERROR(
 INDEX(
  _xlfn._xlws.FILTER($U$1:$AX$1,
   TRANSPOSE(
    CHOOSE({1;2;3;4;5;6;7;8;9;10;11;12;13;14;15;16;17;18;19;20;21;22;23;24;25;26;27;28;29;30},
     COUNTIFS($U$2:$U$200,$G150)&gt;0,
     COUNTIFS($V$2:$V$200,$G150)&gt;0,
     COUNTIFS($W$2:$W$200,$G150)&gt;0,
     COUNTIFS($X$2:$X$200,$G150)&gt;0,
     COUNTIFS($Y$2:$Y$200,$G150)&gt;0,
     COUNTIFS($Z$2:$Z$200,$G150)&gt;0,
     COUNTIFS($AA$2:$AA$200,$G150)&gt;0,
     COUNTIFS($AB$2:$AB$200,$G150)&gt;0,
     COUNTIFS($AC$2:$AC$200,$G150)&gt;0,
     COUNTIFS($AD$2:$AD$200,$G150)&gt;0,
     COUNTIFS($AE$2:$AE$200,$G150)&gt;0,
     COUNTIFS($AF$2:$AF$200,$G150)&gt;0,
     COUNTIFS($AG$2:$AG$200,$G150)&gt;0,
     COUNTIFS($AH$2:$AH$200,$G150)&gt;0,
     COUNTIFS($AI$2:$AI$200,$G150)&gt;0,
     COUNTIFS($AJ$2:$AJ$200,$G150)&gt;0,
     COUNTIFS($AK$2:$AK$200,$G150)&gt;0,
     COUNTIFS($AL$2:$AL$200,$G150)&gt;0,
     COUNTIFS($AM$2:$AM$200,$G150)&gt;0,
     COUNTIFS($AN$2:$AN$200,$G150)&gt;0,
     COUNTIFS($AO$2:$AO$200,$G150)&gt;0,
     COUNTIFS($AP$2:$AP$200,$G150)&gt;0,
     COUNTIFS($AQ$2:$AQ$200,$G150)&gt;0,
     COUNTIFS($AR$2:$AR$200,$G150)&gt;0,
     COUNTIFS($AS$2:$AS$200,$G150)&gt;0,
     COUNTIFS($AT$2:$AT$200,$G150)&gt;0,
     COUNTIFS($AU$2:$AU$200,$G150)&gt;0,
     COUNTIFS($AV$2:$AV$200,$G150)&gt;0,
     COUNTIFS($AW$2:$AW$200,$G150)&gt;0,
     COUNTIFS($AX$2:$AX$200,$G150)&gt;0
   )),
  ),
  4
 ),
"")</f>
        <v/>
      </c>
      <c r="G150" t="str">
        <f ca="1"/>
        <v>Haywire Mite</v>
      </c>
      <c r="BO150" t="str">
        <f ca="1"/>
        <v>Summon: Ixion</v>
      </c>
      <c r="BR150" t="str">
        <f ca="1"/>
        <v>Zellix, Sanity Flayer</v>
      </c>
      <c r="BT150" t="str">
        <f ca="1"/>
        <v>Ripples of Potential</v>
      </c>
    </row>
    <row r="151" spans="1:72" x14ac:dyDescent="0.25">
      <c r="A151" s="3" t="str">
        <f t="shared" ca="1" si="6"/>
        <v>3</v>
      </c>
      <c r="B151" s="3">
        <f t="shared" ca="1" si="7"/>
        <v>1</v>
      </c>
      <c r="C151" s="3" t="str">
        <f ca="1">IFERROR(
 INDEX($U$1:$AX$1,
  MATCH(TRUE,
   CHOOSE({1;2;3;4;5;6;7;8;9;10;11;12;13;14;15;16;17;18;19;20;21;22;23;24;25;26;27;28;29;30;31;32},
    COUNTIFS($U$2:$U$200,$G151)&gt;0,
    COUNTIFS($V$2:$V$200,$G151)&gt;0,
    COUNTIFS($W$2:$W$200,$G151)&gt;0,
    COUNTIFS($X$2:$X$200,$G151)&gt;0,
    COUNTIFS($Y$2:$Y$200,$G151)&gt;0,
    COUNTIFS($Z$2:$Z$200,$G151)&gt;0,
    COUNTIFS($AA$2:$AA$200,$G151)&gt;0,
    COUNTIFS($AB$2:$AB$200,$G151)&gt;0,
    COUNTIFS($AC$2:$AC$200,$G151)&gt;0,
    COUNTIFS($AD$2:$AD$200,$G151)&gt;0,
    COUNTIFS($AE$2:$AE$200,$G151)&gt;0,
    COUNTIFS($AF$2:$AF$200,$G151)&gt;0,
    COUNTIFS($AG$2:$AG$200,$G151)&gt;0,
    COUNTIFS($AH$2:$AH$200,$G151)&gt;0,
    COUNTIFS($AI$2:$AI$200,$G151)&gt;0,
    COUNTIFS($AJ$2:$AJ$200,$G151)&gt;0,
    COUNTIFS($AK$2:$AK$200,$G151)&gt;0,
    COUNTIFS($AL$2:$AL$200,$G151)&gt;0,
    COUNTIFS($AM$2:$AM$200,$G151)&gt;0,
    COUNTIFS($AN$2:$AN$200,$G151)&gt;0,
    COUNTIFS($AO$2:$AO$200,$G151)&gt;0,
    COUNTIFS($AP$2:$AP$200,$G151)&gt;0,
    COUNTIFS($AQ$2:$AQ$200,$G151)&gt;0,
    COUNTIFS($AR$2:$AR$200,$G151)&gt;0,
    COUNTIFS($AS$2:$AS$200,$G151)&gt;0,
    COUNTIFS($AT$2:$AT$200,$G151)&gt;0,
    COUNTIFS($AU$2:$AU$200,$G151)&gt;0,
    COUNTIFS($AV$2:$AV$200,$G151)&gt;0,
    COUNTIFS($AW$2:$AW$200,$G151)&gt;0,
    COUNTIFS($AX$2:$AX$200,$G151)&gt;0
   ),
  0)
 ),
"")</f>
        <v>Gritrog</v>
      </c>
      <c r="D151" s="3" t="str" cm="1">
        <f t="array" aca="1" ref="D151" ca="1">IFERROR(
 INDEX(
  _xlfn._xlws.FILTER($U$1:$AX$1,
   TRANSPOSE(
    CHOOSE({1;2;3;4;5;6;7;8;9;10;11;12;13;14;15;16;17;18;19;20;21;22;23;24;25;26;27;28;29;30},
     COUNTIFS($U$2:$U$200,$G151)&gt;0,
     COUNTIFS($V$2:$V$200,$G151)&gt;0,
     COUNTIFS($W$2:$W$200,$G151)&gt;0,
     COUNTIFS($X$2:$X$200,$G151)&gt;0,
     COUNTIFS($Y$2:$Y$200,$G151)&gt;0,
     COUNTIFS($Z$2:$Z$200,$G151)&gt;0,
     COUNTIFS($AA$2:$AA$200,$G151)&gt;0,
     COUNTIFS($AB$2:$AB$200,$G151)&gt;0,
     COUNTIFS($AC$2:$AC$200,$G151)&gt;0,
     COUNTIFS($AD$2:$AD$200,$G151)&gt;0,
     COUNTIFS($AE$2:$AE$200,$G151)&gt;0,
     COUNTIFS($AF$2:$AF$200,$G151)&gt;0,
     COUNTIFS($AG$2:$AG$200,$G151)&gt;0,
     COUNTIFS($AH$2:$AH$200,$G151)&gt;0,
     COUNTIFS($AI$2:$AI$200,$G151)&gt;0,
     COUNTIFS($AJ$2:$AJ$200,$G151)&gt;0,
     COUNTIFS($AK$2:$AK$200,$G151)&gt;0,
     COUNTIFS($AL$2:$AL$200,$G151)&gt;0,
     COUNTIFS($AM$2:$AM$200,$G151)&gt;0,
     COUNTIFS($AN$2:$AN$200,$G151)&gt;0,
     COUNTIFS($AO$2:$AO$200,$G151)&gt;0,
     COUNTIFS($AP$2:$AP$200,$G151)&gt;0,
     COUNTIFS($AQ$2:$AQ$200,$G151)&gt;0,
     COUNTIFS($AR$2:$AR$200,$G151)&gt;0,
     COUNTIFS($AS$2:$AS$200,$G151)&gt;0,
     COUNTIFS($AT$2:$AT$200,$G151)&gt;0,
     COUNTIFS($AU$2:$AU$200,$G151)&gt;0,
     COUNTIFS($AV$2:$AV$200,$G151)&gt;0,
     COUNTIFS($AW$2:$AW$200,$G151)&gt;0,
     COUNTIFS($AX$2:$AX$200,$G151)&gt;0
   )),
  ),
  2
 ),
"")</f>
        <v/>
      </c>
      <c r="E151" s="3" t="str" cm="1">
        <f t="array" aca="1" ref="E151" ca="1">IFERROR(
 INDEX(
  _xlfn._xlws.FILTER($U$1:$AX$1,
   TRANSPOSE(
    CHOOSE({1;2;3;4;5;6;7;8;9;10;11;12;13;14;15;16;17;18;19;20;21;22;23;24;25;26;27;28;29;30},
     COUNTIFS($U$2:$U$200,$G151)&gt;0,
     COUNTIFS($V$2:$V$200,$G151)&gt;0,
     COUNTIFS($W$2:$W$200,$G151)&gt;0,
     COUNTIFS($X$2:$X$200,$G151)&gt;0,
     COUNTIFS($Y$2:$Y$200,$G151)&gt;0,
     COUNTIFS($Z$2:$Z$200,$G151)&gt;0,
     COUNTIFS($AA$2:$AA$200,$G151)&gt;0,
     COUNTIFS($AB$2:$AB$200,$G151)&gt;0,
     COUNTIFS($AC$2:$AC$200,$G151)&gt;0,
     COUNTIFS($AD$2:$AD$200,$G151)&gt;0,
     COUNTIFS($AE$2:$AE$200,$G151)&gt;0,
     COUNTIFS($AF$2:$AF$200,$G151)&gt;0,
     COUNTIFS($AG$2:$AG$200,$G151)&gt;0,
     COUNTIFS($AH$2:$AH$200,$G151)&gt;0,
     COUNTIFS($AI$2:$AI$200,$G151)&gt;0,
     COUNTIFS($AJ$2:$AJ$200,$G151)&gt;0,
     COUNTIFS($AK$2:$AK$200,$G151)&gt;0,
     COUNTIFS($AL$2:$AL$200,$G151)&gt;0,
     COUNTIFS($AM$2:$AM$200,$G151)&gt;0,
     COUNTIFS($AN$2:$AN$200,$G151)&gt;0,
     COUNTIFS($AO$2:$AO$200,$G151)&gt;0,
     COUNTIFS($AP$2:$AP$200,$G151)&gt;0,
     COUNTIFS($AQ$2:$AQ$200,$G151)&gt;0,
     COUNTIFS($AR$2:$AR$200,$G151)&gt;0,
     COUNTIFS($AS$2:$AS$200,$G151)&gt;0,
     COUNTIFS($AT$2:$AT$200,$G151)&gt;0,
     COUNTIFS($AU$2:$AU$200,$G151)&gt;0,
     COUNTIFS($AV$2:$AV$200,$G151)&gt;0,
     COUNTIFS($AW$2:$AW$200,$G151)&gt;0,
     COUNTIFS($AX$2:$AX$200,$G151)&gt;0
   )),
  ),
  3
 ),
"")</f>
        <v/>
      </c>
      <c r="F151" s="3" t="str" cm="1">
        <f t="array" aca="1" ref="F151" ca="1">IFERROR(
 INDEX(
  _xlfn._xlws.FILTER($U$1:$AX$1,
   TRANSPOSE(
    CHOOSE({1;2;3;4;5;6;7;8;9;10;11;12;13;14;15;16;17;18;19;20;21;22;23;24;25;26;27;28;29;30},
     COUNTIFS($U$2:$U$200,$G151)&gt;0,
     COUNTIFS($V$2:$V$200,$G151)&gt;0,
     COUNTIFS($W$2:$W$200,$G151)&gt;0,
     COUNTIFS($X$2:$X$200,$G151)&gt;0,
     COUNTIFS($Y$2:$Y$200,$G151)&gt;0,
     COUNTIFS($Z$2:$Z$200,$G151)&gt;0,
     COUNTIFS($AA$2:$AA$200,$G151)&gt;0,
     COUNTIFS($AB$2:$AB$200,$G151)&gt;0,
     COUNTIFS($AC$2:$AC$200,$G151)&gt;0,
     COUNTIFS($AD$2:$AD$200,$G151)&gt;0,
     COUNTIFS($AE$2:$AE$200,$G151)&gt;0,
     COUNTIFS($AF$2:$AF$200,$G151)&gt;0,
     COUNTIFS($AG$2:$AG$200,$G151)&gt;0,
     COUNTIFS($AH$2:$AH$200,$G151)&gt;0,
     COUNTIFS($AI$2:$AI$200,$G151)&gt;0,
     COUNTIFS($AJ$2:$AJ$200,$G151)&gt;0,
     COUNTIFS($AK$2:$AK$200,$G151)&gt;0,
     COUNTIFS($AL$2:$AL$200,$G151)&gt;0,
     COUNTIFS($AM$2:$AM$200,$G151)&gt;0,
     COUNTIFS($AN$2:$AN$200,$G151)&gt;0,
     COUNTIFS($AO$2:$AO$200,$G151)&gt;0,
     COUNTIFS($AP$2:$AP$200,$G151)&gt;0,
     COUNTIFS($AQ$2:$AQ$200,$G151)&gt;0,
     COUNTIFS($AR$2:$AR$200,$G151)&gt;0,
     COUNTIFS($AS$2:$AS$200,$G151)&gt;0,
     COUNTIFS($AT$2:$AT$200,$G151)&gt;0,
     COUNTIFS($AU$2:$AU$200,$G151)&gt;0,
     COUNTIFS($AV$2:$AV$200,$G151)&gt;0,
     COUNTIFS($AW$2:$AW$200,$G151)&gt;0,
     COUNTIFS($AX$2:$AX$200,$G151)&gt;0
   )),
  ),
  4
 ),
"")</f>
        <v/>
      </c>
      <c r="G151" t="str">
        <f ca="1"/>
        <v>Hedge Shredder</v>
      </c>
      <c r="BO151" t="str">
        <f ca="1"/>
        <v>Sunhome, Fortress of the Legion</v>
      </c>
      <c r="BT151" t="str">
        <f ca="1"/>
        <v>Ripples of Undeath</v>
      </c>
    </row>
    <row r="152" spans="1:72" x14ac:dyDescent="0.25">
      <c r="A152" s="3" t="str">
        <f t="shared" ca="1" si="6"/>
        <v>2</v>
      </c>
      <c r="B152" s="3">
        <f t="shared" ca="1" si="7"/>
        <v>1</v>
      </c>
      <c r="C152" s="3" t="str">
        <f ca="1">IFERROR(
 INDEX($U$1:$AX$1,
  MATCH(TRUE,
   CHOOSE({1;2;3;4;5;6;7;8;9;10;11;12;13;14;15;16;17;18;19;20;21;22;23;24;25;26;27;28;29;30;31;32},
    COUNTIFS($U$2:$U$200,$G152)&gt;0,
    COUNTIFS($V$2:$V$200,$G152)&gt;0,
    COUNTIFS($W$2:$W$200,$G152)&gt;0,
    COUNTIFS($X$2:$X$200,$G152)&gt;0,
    COUNTIFS($Y$2:$Y$200,$G152)&gt;0,
    COUNTIFS($Z$2:$Z$200,$G152)&gt;0,
    COUNTIFS($AA$2:$AA$200,$G152)&gt;0,
    COUNTIFS($AB$2:$AB$200,$G152)&gt;0,
    COUNTIFS($AC$2:$AC$200,$G152)&gt;0,
    COUNTIFS($AD$2:$AD$200,$G152)&gt;0,
    COUNTIFS($AE$2:$AE$200,$G152)&gt;0,
    COUNTIFS($AF$2:$AF$200,$G152)&gt;0,
    COUNTIFS($AG$2:$AG$200,$G152)&gt;0,
    COUNTIFS($AH$2:$AH$200,$G152)&gt;0,
    COUNTIFS($AI$2:$AI$200,$G152)&gt;0,
    COUNTIFS($AJ$2:$AJ$200,$G152)&gt;0,
    COUNTIFS($AK$2:$AK$200,$G152)&gt;0,
    COUNTIFS($AL$2:$AL$200,$G152)&gt;0,
    COUNTIFS($AM$2:$AM$200,$G152)&gt;0,
    COUNTIFS($AN$2:$AN$200,$G152)&gt;0,
    COUNTIFS($AO$2:$AO$200,$G152)&gt;0,
    COUNTIFS($AP$2:$AP$200,$G152)&gt;0,
    COUNTIFS($AQ$2:$AQ$200,$G152)&gt;0,
    COUNTIFS($AR$2:$AR$200,$G152)&gt;0,
    COUNTIFS($AS$2:$AS$200,$G152)&gt;0,
    COUNTIFS($AT$2:$AT$200,$G152)&gt;0,
    COUNTIFS($AU$2:$AU$200,$G152)&gt;0,
    COUNTIFS($AV$2:$AV$200,$G152)&gt;0,
    COUNTIFS($AW$2:$AW$200,$G152)&gt;0,
    COUNTIFS($AX$2:$AX$200,$G152)&gt;0
   ),
  0)
 ),
"")</f>
        <v>Piratas</v>
      </c>
      <c r="D152" s="3" t="str" cm="1">
        <f t="array" aca="1" ref="D152" ca="1">IFERROR(
 INDEX(
  _xlfn._xlws.FILTER($U$1:$AX$1,
   TRANSPOSE(
    CHOOSE({1;2;3;4;5;6;7;8;9;10;11;12;13;14;15;16;17;18;19;20;21;22;23;24;25;26;27;28;29;30},
     COUNTIFS($U$2:$U$200,$G152)&gt;0,
     COUNTIFS($V$2:$V$200,$G152)&gt;0,
     COUNTIFS($W$2:$W$200,$G152)&gt;0,
     COUNTIFS($X$2:$X$200,$G152)&gt;0,
     COUNTIFS($Y$2:$Y$200,$G152)&gt;0,
     COUNTIFS($Z$2:$Z$200,$G152)&gt;0,
     COUNTIFS($AA$2:$AA$200,$G152)&gt;0,
     COUNTIFS($AB$2:$AB$200,$G152)&gt;0,
     COUNTIFS($AC$2:$AC$200,$G152)&gt;0,
     COUNTIFS($AD$2:$AD$200,$G152)&gt;0,
     COUNTIFS($AE$2:$AE$200,$G152)&gt;0,
     COUNTIFS($AF$2:$AF$200,$G152)&gt;0,
     COUNTIFS($AG$2:$AG$200,$G152)&gt;0,
     COUNTIFS($AH$2:$AH$200,$G152)&gt;0,
     COUNTIFS($AI$2:$AI$200,$G152)&gt;0,
     COUNTIFS($AJ$2:$AJ$200,$G152)&gt;0,
     COUNTIFS($AK$2:$AK$200,$G152)&gt;0,
     COUNTIFS($AL$2:$AL$200,$G152)&gt;0,
     COUNTIFS($AM$2:$AM$200,$G152)&gt;0,
     COUNTIFS($AN$2:$AN$200,$G152)&gt;0,
     COUNTIFS($AO$2:$AO$200,$G152)&gt;0,
     COUNTIFS($AP$2:$AP$200,$G152)&gt;0,
     COUNTIFS($AQ$2:$AQ$200,$G152)&gt;0,
     COUNTIFS($AR$2:$AR$200,$G152)&gt;0,
     COUNTIFS($AS$2:$AS$200,$G152)&gt;0,
     COUNTIFS($AT$2:$AT$200,$G152)&gt;0,
     COUNTIFS($AU$2:$AU$200,$G152)&gt;0,
     COUNTIFS($AV$2:$AV$200,$G152)&gt;0,
     COUNTIFS($AW$2:$AW$200,$G152)&gt;0,
     COUNTIFS($AX$2:$AX$200,$G152)&gt;0
   )),
  ),
  2
 ),
"")</f>
        <v/>
      </c>
      <c r="E152" s="3" t="str" cm="1">
        <f t="array" aca="1" ref="E152" ca="1">IFERROR(
 INDEX(
  _xlfn._xlws.FILTER($U$1:$AX$1,
   TRANSPOSE(
    CHOOSE({1;2;3;4;5;6;7;8;9;10;11;12;13;14;15;16;17;18;19;20;21;22;23;24;25;26;27;28;29;30},
     COUNTIFS($U$2:$U$200,$G152)&gt;0,
     COUNTIFS($V$2:$V$200,$G152)&gt;0,
     COUNTIFS($W$2:$W$200,$G152)&gt;0,
     COUNTIFS($X$2:$X$200,$G152)&gt;0,
     COUNTIFS($Y$2:$Y$200,$G152)&gt;0,
     COUNTIFS($Z$2:$Z$200,$G152)&gt;0,
     COUNTIFS($AA$2:$AA$200,$G152)&gt;0,
     COUNTIFS($AB$2:$AB$200,$G152)&gt;0,
     COUNTIFS($AC$2:$AC$200,$G152)&gt;0,
     COUNTIFS($AD$2:$AD$200,$G152)&gt;0,
     COUNTIFS($AE$2:$AE$200,$G152)&gt;0,
     COUNTIFS($AF$2:$AF$200,$G152)&gt;0,
     COUNTIFS($AG$2:$AG$200,$G152)&gt;0,
     COUNTIFS($AH$2:$AH$200,$G152)&gt;0,
     COUNTIFS($AI$2:$AI$200,$G152)&gt;0,
     COUNTIFS($AJ$2:$AJ$200,$G152)&gt;0,
     COUNTIFS($AK$2:$AK$200,$G152)&gt;0,
     COUNTIFS($AL$2:$AL$200,$G152)&gt;0,
     COUNTIFS($AM$2:$AM$200,$G152)&gt;0,
     COUNTIFS($AN$2:$AN$200,$G152)&gt;0,
     COUNTIFS($AO$2:$AO$200,$G152)&gt;0,
     COUNTIFS($AP$2:$AP$200,$G152)&gt;0,
     COUNTIFS($AQ$2:$AQ$200,$G152)&gt;0,
     COUNTIFS($AR$2:$AR$200,$G152)&gt;0,
     COUNTIFS($AS$2:$AS$200,$G152)&gt;0,
     COUNTIFS($AT$2:$AT$200,$G152)&gt;0,
     COUNTIFS($AU$2:$AU$200,$G152)&gt;0,
     COUNTIFS($AV$2:$AV$200,$G152)&gt;0,
     COUNTIFS($AW$2:$AW$200,$G152)&gt;0,
     COUNTIFS($AX$2:$AX$200,$G152)&gt;0
   )),
  ),
  3
 ),
"")</f>
        <v/>
      </c>
      <c r="F152" s="3" t="str" cm="1">
        <f t="array" aca="1" ref="F152" ca="1">IFERROR(
 INDEX(
  _xlfn._xlws.FILTER($U$1:$AX$1,
   TRANSPOSE(
    CHOOSE({1;2;3;4;5;6;7;8;9;10;11;12;13;14;15;16;17;18;19;20;21;22;23;24;25;26;27;28;29;30},
     COUNTIFS($U$2:$U$200,$G152)&gt;0,
     COUNTIFS($V$2:$V$200,$G152)&gt;0,
     COUNTIFS($W$2:$W$200,$G152)&gt;0,
     COUNTIFS($X$2:$X$200,$G152)&gt;0,
     COUNTIFS($Y$2:$Y$200,$G152)&gt;0,
     COUNTIFS($Z$2:$Z$200,$G152)&gt;0,
     COUNTIFS($AA$2:$AA$200,$G152)&gt;0,
     COUNTIFS($AB$2:$AB$200,$G152)&gt;0,
     COUNTIFS($AC$2:$AC$200,$G152)&gt;0,
     COUNTIFS($AD$2:$AD$200,$G152)&gt;0,
     COUNTIFS($AE$2:$AE$200,$G152)&gt;0,
     COUNTIFS($AF$2:$AF$200,$G152)&gt;0,
     COUNTIFS($AG$2:$AG$200,$G152)&gt;0,
     COUNTIFS($AH$2:$AH$200,$G152)&gt;0,
     COUNTIFS($AI$2:$AI$200,$G152)&gt;0,
     COUNTIFS($AJ$2:$AJ$200,$G152)&gt;0,
     COUNTIFS($AK$2:$AK$200,$G152)&gt;0,
     COUNTIFS($AL$2:$AL$200,$G152)&gt;0,
     COUNTIFS($AM$2:$AM$200,$G152)&gt;0,
     COUNTIFS($AN$2:$AN$200,$G152)&gt;0,
     COUNTIFS($AO$2:$AO$200,$G152)&gt;0,
     COUNTIFS($AP$2:$AP$200,$G152)&gt;0,
     COUNTIFS($AQ$2:$AQ$200,$G152)&gt;0,
     COUNTIFS($AR$2:$AR$200,$G152)&gt;0,
     COUNTIFS($AS$2:$AS$200,$G152)&gt;0,
     COUNTIFS($AT$2:$AT$200,$G152)&gt;0,
     COUNTIFS($AU$2:$AU$200,$G152)&gt;0,
     COUNTIFS($AV$2:$AV$200,$G152)&gt;0,
     COUNTIFS($AW$2:$AW$200,$G152)&gt;0,
     COUNTIFS($AX$2:$AX$200,$G152)&gt;0
   )),
  ),
  4
 ),
"")</f>
        <v/>
      </c>
      <c r="G152" t="str">
        <f ca="1"/>
        <v>Hedron Detonator</v>
      </c>
      <c r="BO152" t="str">
        <f ca="1"/>
        <v>Sunscorched Divide</v>
      </c>
      <c r="BT152" t="str">
        <f ca="1"/>
        <v>Rogue's Passage</v>
      </c>
    </row>
    <row r="153" spans="1:72" x14ac:dyDescent="0.25">
      <c r="A153" s="3" t="str">
        <f t="shared" ca="1" si="6"/>
        <v>2</v>
      </c>
      <c r="B153" s="3">
        <f t="shared" ca="1" si="7"/>
        <v>1</v>
      </c>
      <c r="C153" s="3" t="str">
        <f ca="1">IFERROR(
 INDEX($U$1:$AX$1,
  MATCH(TRUE,
   CHOOSE({1;2;3;4;5;6;7;8;9;10;11;12;13;14;15;16;17;18;19;20;21;22;23;24;25;26;27;28;29;30;31;32},
    COUNTIFS($U$2:$U$200,$G153)&gt;0,
    COUNTIFS($V$2:$V$200,$G153)&gt;0,
    COUNTIFS($W$2:$W$200,$G153)&gt;0,
    COUNTIFS($X$2:$X$200,$G153)&gt;0,
    COUNTIFS($Y$2:$Y$200,$G153)&gt;0,
    COUNTIFS($Z$2:$Z$200,$G153)&gt;0,
    COUNTIFS($AA$2:$AA$200,$G153)&gt;0,
    COUNTIFS($AB$2:$AB$200,$G153)&gt;0,
    COUNTIFS($AC$2:$AC$200,$G153)&gt;0,
    COUNTIFS($AD$2:$AD$200,$G153)&gt;0,
    COUNTIFS($AE$2:$AE$200,$G153)&gt;0,
    COUNTIFS($AF$2:$AF$200,$G153)&gt;0,
    COUNTIFS($AG$2:$AG$200,$G153)&gt;0,
    COUNTIFS($AH$2:$AH$200,$G153)&gt;0,
    COUNTIFS($AI$2:$AI$200,$G153)&gt;0,
    COUNTIFS($AJ$2:$AJ$200,$G153)&gt;0,
    COUNTIFS($AK$2:$AK$200,$G153)&gt;0,
    COUNTIFS($AL$2:$AL$200,$G153)&gt;0,
    COUNTIFS($AM$2:$AM$200,$G153)&gt;0,
    COUNTIFS($AN$2:$AN$200,$G153)&gt;0,
    COUNTIFS($AO$2:$AO$200,$G153)&gt;0,
    COUNTIFS($AP$2:$AP$200,$G153)&gt;0,
    COUNTIFS($AQ$2:$AQ$200,$G153)&gt;0,
    COUNTIFS($AR$2:$AR$200,$G153)&gt;0,
    COUNTIFS($AS$2:$AS$200,$G153)&gt;0,
    COUNTIFS($AT$2:$AT$200,$G153)&gt;0,
    COUNTIFS($AU$2:$AU$200,$G153)&gt;0,
    COUNTIFS($AV$2:$AV$200,$G153)&gt;0,
    COUNTIFS($AW$2:$AW$200,$G153)&gt;0,
    COUNTIFS($AX$2:$AX$200,$G153)&gt;0
   ),
  0)
 ),
"")</f>
        <v>Kumena</v>
      </c>
      <c r="D153" s="3" t="str" cm="1">
        <f t="array" aca="1" ref="D153" ca="1">IFERROR(
 INDEX(
  _xlfn._xlws.FILTER($U$1:$AX$1,
   TRANSPOSE(
    CHOOSE({1;2;3;4;5;6;7;8;9;10;11;12;13;14;15;16;17;18;19;20;21;22;23;24;25;26;27;28;29;30},
     COUNTIFS($U$2:$U$200,$G153)&gt;0,
     COUNTIFS($V$2:$V$200,$G153)&gt;0,
     COUNTIFS($W$2:$W$200,$G153)&gt;0,
     COUNTIFS($X$2:$X$200,$G153)&gt;0,
     COUNTIFS($Y$2:$Y$200,$G153)&gt;0,
     COUNTIFS($Z$2:$Z$200,$G153)&gt;0,
     COUNTIFS($AA$2:$AA$200,$G153)&gt;0,
     COUNTIFS($AB$2:$AB$200,$G153)&gt;0,
     COUNTIFS($AC$2:$AC$200,$G153)&gt;0,
     COUNTIFS($AD$2:$AD$200,$G153)&gt;0,
     COUNTIFS($AE$2:$AE$200,$G153)&gt;0,
     COUNTIFS($AF$2:$AF$200,$G153)&gt;0,
     COUNTIFS($AG$2:$AG$200,$G153)&gt;0,
     COUNTIFS($AH$2:$AH$200,$G153)&gt;0,
     COUNTIFS($AI$2:$AI$200,$G153)&gt;0,
     COUNTIFS($AJ$2:$AJ$200,$G153)&gt;0,
     COUNTIFS($AK$2:$AK$200,$G153)&gt;0,
     COUNTIFS($AL$2:$AL$200,$G153)&gt;0,
     COUNTIFS($AM$2:$AM$200,$G153)&gt;0,
     COUNTIFS($AN$2:$AN$200,$G153)&gt;0,
     COUNTIFS($AO$2:$AO$200,$G153)&gt;0,
     COUNTIFS($AP$2:$AP$200,$G153)&gt;0,
     COUNTIFS($AQ$2:$AQ$200,$G153)&gt;0,
     COUNTIFS($AR$2:$AR$200,$G153)&gt;0,
     COUNTIFS($AS$2:$AS$200,$G153)&gt;0,
     COUNTIFS($AT$2:$AT$200,$G153)&gt;0,
     COUNTIFS($AU$2:$AU$200,$G153)&gt;0,
     COUNTIFS($AV$2:$AV$200,$G153)&gt;0,
     COUNTIFS($AW$2:$AW$200,$G153)&gt;0,
     COUNTIFS($AX$2:$AX$200,$G153)&gt;0
   )),
  ),
  2
 ),
"")</f>
        <v/>
      </c>
      <c r="E153" s="3" t="str" cm="1">
        <f t="array" aca="1" ref="E153" ca="1">IFERROR(
 INDEX(
  _xlfn._xlws.FILTER($U$1:$AX$1,
   TRANSPOSE(
    CHOOSE({1;2;3;4;5;6;7;8;9;10;11;12;13;14;15;16;17;18;19;20;21;22;23;24;25;26;27;28;29;30},
     COUNTIFS($U$2:$U$200,$G153)&gt;0,
     COUNTIFS($V$2:$V$200,$G153)&gt;0,
     COUNTIFS($W$2:$W$200,$G153)&gt;0,
     COUNTIFS($X$2:$X$200,$G153)&gt;0,
     COUNTIFS($Y$2:$Y$200,$G153)&gt;0,
     COUNTIFS($Z$2:$Z$200,$G153)&gt;0,
     COUNTIFS($AA$2:$AA$200,$G153)&gt;0,
     COUNTIFS($AB$2:$AB$200,$G153)&gt;0,
     COUNTIFS($AC$2:$AC$200,$G153)&gt;0,
     COUNTIFS($AD$2:$AD$200,$G153)&gt;0,
     COUNTIFS($AE$2:$AE$200,$G153)&gt;0,
     COUNTIFS($AF$2:$AF$200,$G153)&gt;0,
     COUNTIFS($AG$2:$AG$200,$G153)&gt;0,
     COUNTIFS($AH$2:$AH$200,$G153)&gt;0,
     COUNTIFS($AI$2:$AI$200,$G153)&gt;0,
     COUNTIFS($AJ$2:$AJ$200,$G153)&gt;0,
     COUNTIFS($AK$2:$AK$200,$G153)&gt;0,
     COUNTIFS($AL$2:$AL$200,$G153)&gt;0,
     COUNTIFS($AM$2:$AM$200,$G153)&gt;0,
     COUNTIFS($AN$2:$AN$200,$G153)&gt;0,
     COUNTIFS($AO$2:$AO$200,$G153)&gt;0,
     COUNTIFS($AP$2:$AP$200,$G153)&gt;0,
     COUNTIFS($AQ$2:$AQ$200,$G153)&gt;0,
     COUNTIFS($AR$2:$AR$200,$G153)&gt;0,
     COUNTIFS($AS$2:$AS$200,$G153)&gt;0,
     COUNTIFS($AT$2:$AT$200,$G153)&gt;0,
     COUNTIFS($AU$2:$AU$200,$G153)&gt;0,
     COUNTIFS($AV$2:$AV$200,$G153)&gt;0,
     COUNTIFS($AW$2:$AW$200,$G153)&gt;0,
     COUNTIFS($AX$2:$AX$200,$G153)&gt;0
   )),
  ),
  3
 ),
"")</f>
        <v/>
      </c>
      <c r="F153" s="3" t="str" cm="1">
        <f t="array" aca="1" ref="F153" ca="1">IFERROR(
 INDEX(
  _xlfn._xlws.FILTER($U$1:$AX$1,
   TRANSPOSE(
    CHOOSE({1;2;3;4;5;6;7;8;9;10;11;12;13;14;15;16;17;18;19;20;21;22;23;24;25;26;27;28;29;30},
     COUNTIFS($U$2:$U$200,$G153)&gt;0,
     COUNTIFS($V$2:$V$200,$G153)&gt;0,
     COUNTIFS($W$2:$W$200,$G153)&gt;0,
     COUNTIFS($X$2:$X$200,$G153)&gt;0,
     COUNTIFS($Y$2:$Y$200,$G153)&gt;0,
     COUNTIFS($Z$2:$Z$200,$G153)&gt;0,
     COUNTIFS($AA$2:$AA$200,$G153)&gt;0,
     COUNTIFS($AB$2:$AB$200,$G153)&gt;0,
     COUNTIFS($AC$2:$AC$200,$G153)&gt;0,
     COUNTIFS($AD$2:$AD$200,$G153)&gt;0,
     COUNTIFS($AE$2:$AE$200,$G153)&gt;0,
     COUNTIFS($AF$2:$AF$200,$G153)&gt;0,
     COUNTIFS($AG$2:$AG$200,$G153)&gt;0,
     COUNTIFS($AH$2:$AH$200,$G153)&gt;0,
     COUNTIFS($AI$2:$AI$200,$G153)&gt;0,
     COUNTIFS($AJ$2:$AJ$200,$G153)&gt;0,
     COUNTIFS($AK$2:$AK$200,$G153)&gt;0,
     COUNTIFS($AL$2:$AL$200,$G153)&gt;0,
     COUNTIFS($AM$2:$AM$200,$G153)&gt;0,
     COUNTIFS($AN$2:$AN$200,$G153)&gt;0,
     COUNTIFS($AO$2:$AO$200,$G153)&gt;0,
     COUNTIFS($AP$2:$AP$200,$G153)&gt;0,
     COUNTIFS($AQ$2:$AQ$200,$G153)&gt;0,
     COUNTIFS($AR$2:$AR$200,$G153)&gt;0,
     COUNTIFS($AS$2:$AS$200,$G153)&gt;0,
     COUNTIFS($AT$2:$AT$200,$G153)&gt;0,
     COUNTIFS($AU$2:$AU$200,$G153)&gt;0,
     COUNTIFS($AV$2:$AV$200,$G153)&gt;0,
     COUNTIFS($AW$2:$AW$200,$G153)&gt;0,
     COUNTIFS($AX$2:$AX$200,$G153)&gt;0
   )),
  ),
  4
 ),
"")</f>
        <v/>
      </c>
      <c r="G153" t="str">
        <f ca="1"/>
        <v>Herald of Secret Streams</v>
      </c>
      <c r="BO153" t="str">
        <f ca="1"/>
        <v>Surge Conductor</v>
      </c>
      <c r="BT153" t="str">
        <f ca="1"/>
        <v>Saqueador Amaldiçoado</v>
      </c>
    </row>
    <row r="154" spans="1:72" x14ac:dyDescent="0.25">
      <c r="A154" s="3" t="str">
        <f t="shared" ca="1" si="6"/>
        <v>3</v>
      </c>
      <c r="B154" s="3">
        <f t="shared" ca="1" si="7"/>
        <v>1</v>
      </c>
      <c r="C154" s="3" t="str">
        <f ca="1">IFERROR(
 INDEX($U$1:$AX$1,
  MATCH(TRUE,
   CHOOSE({1;2;3;4;5;6;7;8;9;10;11;12;13;14;15;16;17;18;19;20;21;22;23;24;25;26;27;28;29;30;31;32},
    COUNTIFS($U$2:$U$200,$G154)&gt;0,
    COUNTIFS($V$2:$V$200,$G154)&gt;0,
    COUNTIFS($W$2:$W$200,$G154)&gt;0,
    COUNTIFS($X$2:$X$200,$G154)&gt;0,
    COUNTIFS($Y$2:$Y$200,$G154)&gt;0,
    COUNTIFS($Z$2:$Z$200,$G154)&gt;0,
    COUNTIFS($AA$2:$AA$200,$G154)&gt;0,
    COUNTIFS($AB$2:$AB$200,$G154)&gt;0,
    COUNTIFS($AC$2:$AC$200,$G154)&gt;0,
    COUNTIFS($AD$2:$AD$200,$G154)&gt;0,
    COUNTIFS($AE$2:$AE$200,$G154)&gt;0,
    COUNTIFS($AF$2:$AF$200,$G154)&gt;0,
    COUNTIFS($AG$2:$AG$200,$G154)&gt;0,
    COUNTIFS($AH$2:$AH$200,$G154)&gt;0,
    COUNTIFS($AI$2:$AI$200,$G154)&gt;0,
    COUNTIFS($AJ$2:$AJ$200,$G154)&gt;0,
    COUNTIFS($AK$2:$AK$200,$G154)&gt;0,
    COUNTIFS($AL$2:$AL$200,$G154)&gt;0,
    COUNTIFS($AM$2:$AM$200,$G154)&gt;0,
    COUNTIFS($AN$2:$AN$200,$G154)&gt;0,
    COUNTIFS($AO$2:$AO$200,$G154)&gt;0,
    COUNTIFS($AP$2:$AP$200,$G154)&gt;0,
    COUNTIFS($AQ$2:$AQ$200,$G154)&gt;0,
    COUNTIFS($AR$2:$AR$200,$G154)&gt;0,
    COUNTIFS($AS$2:$AS$200,$G154)&gt;0,
    COUNTIFS($AT$2:$AT$200,$G154)&gt;0,
    COUNTIFS($AU$2:$AU$200,$G154)&gt;0,
    COUNTIFS($AV$2:$AV$200,$G154)&gt;0,
    COUNTIFS($AW$2:$AW$200,$G154)&gt;0,
    COUNTIFS($AX$2:$AX$200,$G154)&gt;0
   ),
  0)
 ),
"")</f>
        <v>Carlos</v>
      </c>
      <c r="D154" s="3" t="str" cm="1">
        <f t="array" aca="1" ref="D154" ca="1">IFERROR(
 INDEX(
  _xlfn._xlws.FILTER($U$1:$AX$1,
   TRANSPOSE(
    CHOOSE({1;2;3;4;5;6;7;8;9;10;11;12;13;14;15;16;17;18;19;20;21;22;23;24;25;26;27;28;29;30},
     COUNTIFS($U$2:$U$200,$G154)&gt;0,
     COUNTIFS($V$2:$V$200,$G154)&gt;0,
     COUNTIFS($W$2:$W$200,$G154)&gt;0,
     COUNTIFS($X$2:$X$200,$G154)&gt;0,
     COUNTIFS($Y$2:$Y$200,$G154)&gt;0,
     COUNTIFS($Z$2:$Z$200,$G154)&gt;0,
     COUNTIFS($AA$2:$AA$200,$G154)&gt;0,
     COUNTIFS($AB$2:$AB$200,$G154)&gt;0,
     COUNTIFS($AC$2:$AC$200,$G154)&gt;0,
     COUNTIFS($AD$2:$AD$200,$G154)&gt;0,
     COUNTIFS($AE$2:$AE$200,$G154)&gt;0,
     COUNTIFS($AF$2:$AF$200,$G154)&gt;0,
     COUNTIFS($AG$2:$AG$200,$G154)&gt;0,
     COUNTIFS($AH$2:$AH$200,$G154)&gt;0,
     COUNTIFS($AI$2:$AI$200,$G154)&gt;0,
     COUNTIFS($AJ$2:$AJ$200,$G154)&gt;0,
     COUNTIFS($AK$2:$AK$200,$G154)&gt;0,
     COUNTIFS($AL$2:$AL$200,$G154)&gt;0,
     COUNTIFS($AM$2:$AM$200,$G154)&gt;0,
     COUNTIFS($AN$2:$AN$200,$G154)&gt;0,
     COUNTIFS($AO$2:$AO$200,$G154)&gt;0,
     COUNTIFS($AP$2:$AP$200,$G154)&gt;0,
     COUNTIFS($AQ$2:$AQ$200,$G154)&gt;0,
     COUNTIFS($AR$2:$AR$200,$G154)&gt;0,
     COUNTIFS($AS$2:$AS$200,$G154)&gt;0,
     COUNTIFS($AT$2:$AT$200,$G154)&gt;0,
     COUNTIFS($AU$2:$AU$200,$G154)&gt;0,
     COUNTIFS($AV$2:$AV$200,$G154)&gt;0,
     COUNTIFS($AW$2:$AW$200,$G154)&gt;0,
     COUNTIFS($AX$2:$AX$200,$G154)&gt;0
   )),
  ),
  2
 ),
"")</f>
        <v/>
      </c>
      <c r="E154" s="3" t="str" cm="1">
        <f t="array" aca="1" ref="E154" ca="1">IFERROR(
 INDEX(
  _xlfn._xlws.FILTER($U$1:$AX$1,
   TRANSPOSE(
    CHOOSE({1;2;3;4;5;6;7;8;9;10;11;12;13;14;15;16;17;18;19;20;21;22;23;24;25;26;27;28;29;30},
     COUNTIFS($U$2:$U$200,$G154)&gt;0,
     COUNTIFS($V$2:$V$200,$G154)&gt;0,
     COUNTIFS($W$2:$W$200,$G154)&gt;0,
     COUNTIFS($X$2:$X$200,$G154)&gt;0,
     COUNTIFS($Y$2:$Y$200,$G154)&gt;0,
     COUNTIFS($Z$2:$Z$200,$G154)&gt;0,
     COUNTIFS($AA$2:$AA$200,$G154)&gt;0,
     COUNTIFS($AB$2:$AB$200,$G154)&gt;0,
     COUNTIFS($AC$2:$AC$200,$G154)&gt;0,
     COUNTIFS($AD$2:$AD$200,$G154)&gt;0,
     COUNTIFS($AE$2:$AE$200,$G154)&gt;0,
     COUNTIFS($AF$2:$AF$200,$G154)&gt;0,
     COUNTIFS($AG$2:$AG$200,$G154)&gt;0,
     COUNTIFS($AH$2:$AH$200,$G154)&gt;0,
     COUNTIFS($AI$2:$AI$200,$G154)&gt;0,
     COUNTIFS($AJ$2:$AJ$200,$G154)&gt;0,
     COUNTIFS($AK$2:$AK$200,$G154)&gt;0,
     COUNTIFS($AL$2:$AL$200,$G154)&gt;0,
     COUNTIFS($AM$2:$AM$200,$G154)&gt;0,
     COUNTIFS($AN$2:$AN$200,$G154)&gt;0,
     COUNTIFS($AO$2:$AO$200,$G154)&gt;0,
     COUNTIFS($AP$2:$AP$200,$G154)&gt;0,
     COUNTIFS($AQ$2:$AQ$200,$G154)&gt;0,
     COUNTIFS($AR$2:$AR$200,$G154)&gt;0,
     COUNTIFS($AS$2:$AS$200,$G154)&gt;0,
     COUNTIFS($AT$2:$AT$200,$G154)&gt;0,
     COUNTIFS($AU$2:$AU$200,$G154)&gt;0,
     COUNTIFS($AV$2:$AV$200,$G154)&gt;0,
     COUNTIFS($AW$2:$AW$200,$G154)&gt;0,
     COUNTIFS($AX$2:$AX$200,$G154)&gt;0
   )),
  ),
  3
 ),
"")</f>
        <v/>
      </c>
      <c r="F154" s="3" t="str" cm="1">
        <f t="array" aca="1" ref="F154" ca="1">IFERROR(
 INDEX(
  _xlfn._xlws.FILTER($U$1:$AX$1,
   TRANSPOSE(
    CHOOSE({1;2;3;4;5;6;7;8;9;10;11;12;13;14;15;16;17;18;19;20;21;22;23;24;25;26;27;28;29;30},
     COUNTIFS($U$2:$U$200,$G154)&gt;0,
     COUNTIFS($V$2:$V$200,$G154)&gt;0,
     COUNTIFS($W$2:$W$200,$G154)&gt;0,
     COUNTIFS($X$2:$X$200,$G154)&gt;0,
     COUNTIFS($Y$2:$Y$200,$G154)&gt;0,
     COUNTIFS($Z$2:$Z$200,$G154)&gt;0,
     COUNTIFS($AA$2:$AA$200,$G154)&gt;0,
     COUNTIFS($AB$2:$AB$200,$G154)&gt;0,
     COUNTIFS($AC$2:$AC$200,$G154)&gt;0,
     COUNTIFS($AD$2:$AD$200,$G154)&gt;0,
     COUNTIFS($AE$2:$AE$200,$G154)&gt;0,
     COUNTIFS($AF$2:$AF$200,$G154)&gt;0,
     COUNTIFS($AG$2:$AG$200,$G154)&gt;0,
     COUNTIFS($AH$2:$AH$200,$G154)&gt;0,
     COUNTIFS($AI$2:$AI$200,$G154)&gt;0,
     COUNTIFS($AJ$2:$AJ$200,$G154)&gt;0,
     COUNTIFS($AK$2:$AK$200,$G154)&gt;0,
     COUNTIFS($AL$2:$AL$200,$G154)&gt;0,
     COUNTIFS($AM$2:$AM$200,$G154)&gt;0,
     COUNTIFS($AN$2:$AN$200,$G154)&gt;0,
     COUNTIFS($AO$2:$AO$200,$G154)&gt;0,
     COUNTIFS($AP$2:$AP$200,$G154)&gt;0,
     COUNTIFS($AQ$2:$AQ$200,$G154)&gt;0,
     COUNTIFS($AR$2:$AR$200,$G154)&gt;0,
     COUNTIFS($AS$2:$AS$200,$G154)&gt;0,
     COUNTIFS($AT$2:$AT$200,$G154)&gt;0,
     COUNTIFS($AU$2:$AU$200,$G154)&gt;0,
     COUNTIFS($AV$2:$AV$200,$G154)&gt;0,
     COUNTIFS($AW$2:$AW$200,$G154)&gt;0,
     COUNTIFS($AX$2:$AX$200,$G154)&gt;0
   )),
  ),
  4
 ),
"")</f>
        <v/>
      </c>
      <c r="G154" t="str">
        <f ca="1"/>
        <v>Hierofante de Elenda</v>
      </c>
      <c r="BO154" t="str">
        <f ca="1"/>
        <v>Swords to Plowshares</v>
      </c>
      <c r="BT154" t="str">
        <f ca="1"/>
        <v>Satoru, the Infiltrator</v>
      </c>
    </row>
    <row r="155" spans="1:72" x14ac:dyDescent="0.25">
      <c r="A155" s="3" t="str">
        <f t="shared" ca="1" si="6"/>
        <v>1</v>
      </c>
      <c r="B155" s="3">
        <f t="shared" ca="1" si="7"/>
        <v>1</v>
      </c>
      <c r="C155" s="3" t="str">
        <f ca="1">IFERROR(
 INDEX($U$1:$AX$1,
  MATCH(TRUE,
   CHOOSE({1;2;3;4;5;6;7;8;9;10;11;12;13;14;15;16;17;18;19;20;21;22;23;24;25;26;27;28;29;30;31;32},
    COUNTIFS($U$2:$U$200,$G155)&gt;0,
    COUNTIFS($V$2:$V$200,$G155)&gt;0,
    COUNTIFS($W$2:$W$200,$G155)&gt;0,
    COUNTIFS($X$2:$X$200,$G155)&gt;0,
    COUNTIFS($Y$2:$Y$200,$G155)&gt;0,
    COUNTIFS($Z$2:$Z$200,$G155)&gt;0,
    COUNTIFS($AA$2:$AA$200,$G155)&gt;0,
    COUNTIFS($AB$2:$AB$200,$G155)&gt;0,
    COUNTIFS($AC$2:$AC$200,$G155)&gt;0,
    COUNTIFS($AD$2:$AD$200,$G155)&gt;0,
    COUNTIFS($AE$2:$AE$200,$G155)&gt;0,
    COUNTIFS($AF$2:$AF$200,$G155)&gt;0,
    COUNTIFS($AG$2:$AG$200,$G155)&gt;0,
    COUNTIFS($AH$2:$AH$200,$G155)&gt;0,
    COUNTIFS($AI$2:$AI$200,$G155)&gt;0,
    COUNTIFS($AJ$2:$AJ$200,$G155)&gt;0,
    COUNTIFS($AK$2:$AK$200,$G155)&gt;0,
    COUNTIFS($AL$2:$AL$200,$G155)&gt;0,
    COUNTIFS($AM$2:$AM$200,$G155)&gt;0,
    COUNTIFS($AN$2:$AN$200,$G155)&gt;0,
    COUNTIFS($AO$2:$AO$200,$G155)&gt;0,
    COUNTIFS($AP$2:$AP$200,$G155)&gt;0,
    COUNTIFS($AQ$2:$AQ$200,$G155)&gt;0,
    COUNTIFS($AR$2:$AR$200,$G155)&gt;0,
    COUNTIFS($AS$2:$AS$200,$G155)&gt;0,
    COUNTIFS($AT$2:$AT$200,$G155)&gt;0,
    COUNTIFS($AU$2:$AU$200,$G155)&gt;0,
    COUNTIFS($AV$2:$AV$200,$G155)&gt;0,
    COUNTIFS($AW$2:$AW$200,$G155)&gt;0,
    COUNTIFS($AX$2:$AX$200,$G155)&gt;0
   ),
  0)
 ),
"")</f>
        <v>Modular</v>
      </c>
      <c r="D155" s="3" t="str" cm="1">
        <f t="array" aca="1" ref="D155" ca="1">IFERROR(
 INDEX(
  _xlfn._xlws.FILTER($U$1:$AX$1,
   TRANSPOSE(
    CHOOSE({1;2;3;4;5;6;7;8;9;10;11;12;13;14;15;16;17;18;19;20;21;22;23;24;25;26;27;28;29;30},
     COUNTIFS($U$2:$U$200,$G155)&gt;0,
     COUNTIFS($V$2:$V$200,$G155)&gt;0,
     COUNTIFS($W$2:$W$200,$G155)&gt;0,
     COUNTIFS($X$2:$X$200,$G155)&gt;0,
     COUNTIFS($Y$2:$Y$200,$G155)&gt;0,
     COUNTIFS($Z$2:$Z$200,$G155)&gt;0,
     COUNTIFS($AA$2:$AA$200,$G155)&gt;0,
     COUNTIFS($AB$2:$AB$200,$G155)&gt;0,
     COUNTIFS($AC$2:$AC$200,$G155)&gt;0,
     COUNTIFS($AD$2:$AD$200,$G155)&gt;0,
     COUNTIFS($AE$2:$AE$200,$G155)&gt;0,
     COUNTIFS($AF$2:$AF$200,$G155)&gt;0,
     COUNTIFS($AG$2:$AG$200,$G155)&gt;0,
     COUNTIFS($AH$2:$AH$200,$G155)&gt;0,
     COUNTIFS($AI$2:$AI$200,$G155)&gt;0,
     COUNTIFS($AJ$2:$AJ$200,$G155)&gt;0,
     COUNTIFS($AK$2:$AK$200,$G155)&gt;0,
     COUNTIFS($AL$2:$AL$200,$G155)&gt;0,
     COUNTIFS($AM$2:$AM$200,$G155)&gt;0,
     COUNTIFS($AN$2:$AN$200,$G155)&gt;0,
     COUNTIFS($AO$2:$AO$200,$G155)&gt;0,
     COUNTIFS($AP$2:$AP$200,$G155)&gt;0,
     COUNTIFS($AQ$2:$AQ$200,$G155)&gt;0,
     COUNTIFS($AR$2:$AR$200,$G155)&gt;0,
     COUNTIFS($AS$2:$AS$200,$G155)&gt;0,
     COUNTIFS($AT$2:$AT$200,$G155)&gt;0,
     COUNTIFS($AU$2:$AU$200,$G155)&gt;0,
     COUNTIFS($AV$2:$AV$200,$G155)&gt;0,
     COUNTIFS($AW$2:$AW$200,$G155)&gt;0,
     COUNTIFS($AX$2:$AX$200,$G155)&gt;0
   )),
  ),
  2
 ),
"")</f>
        <v/>
      </c>
      <c r="E155" s="3" t="str" cm="1">
        <f t="array" aca="1" ref="E155" ca="1">IFERROR(
 INDEX(
  _xlfn._xlws.FILTER($U$1:$AX$1,
   TRANSPOSE(
    CHOOSE({1;2;3;4;5;6;7;8;9;10;11;12;13;14;15;16;17;18;19;20;21;22;23;24;25;26;27;28;29;30},
     COUNTIFS($U$2:$U$200,$G155)&gt;0,
     COUNTIFS($V$2:$V$200,$G155)&gt;0,
     COUNTIFS($W$2:$W$200,$G155)&gt;0,
     COUNTIFS($X$2:$X$200,$G155)&gt;0,
     COUNTIFS($Y$2:$Y$200,$G155)&gt;0,
     COUNTIFS($Z$2:$Z$200,$G155)&gt;0,
     COUNTIFS($AA$2:$AA$200,$G155)&gt;0,
     COUNTIFS($AB$2:$AB$200,$G155)&gt;0,
     COUNTIFS($AC$2:$AC$200,$G155)&gt;0,
     COUNTIFS($AD$2:$AD$200,$G155)&gt;0,
     COUNTIFS($AE$2:$AE$200,$G155)&gt;0,
     COUNTIFS($AF$2:$AF$200,$G155)&gt;0,
     COUNTIFS($AG$2:$AG$200,$G155)&gt;0,
     COUNTIFS($AH$2:$AH$200,$G155)&gt;0,
     COUNTIFS($AI$2:$AI$200,$G155)&gt;0,
     COUNTIFS($AJ$2:$AJ$200,$G155)&gt;0,
     COUNTIFS($AK$2:$AK$200,$G155)&gt;0,
     COUNTIFS($AL$2:$AL$200,$G155)&gt;0,
     COUNTIFS($AM$2:$AM$200,$G155)&gt;0,
     COUNTIFS($AN$2:$AN$200,$G155)&gt;0,
     COUNTIFS($AO$2:$AO$200,$G155)&gt;0,
     COUNTIFS($AP$2:$AP$200,$G155)&gt;0,
     COUNTIFS($AQ$2:$AQ$200,$G155)&gt;0,
     COUNTIFS($AR$2:$AR$200,$G155)&gt;0,
     COUNTIFS($AS$2:$AS$200,$G155)&gt;0,
     COUNTIFS($AT$2:$AT$200,$G155)&gt;0,
     COUNTIFS($AU$2:$AU$200,$G155)&gt;0,
     COUNTIFS($AV$2:$AV$200,$G155)&gt;0,
     COUNTIFS($AW$2:$AW$200,$G155)&gt;0,
     COUNTIFS($AX$2:$AX$200,$G155)&gt;0
   )),
  ),
  3
 ),
"")</f>
        <v/>
      </c>
      <c r="F155" s="3" t="str" cm="1">
        <f t="array" aca="1" ref="F155" ca="1">IFERROR(
 INDEX(
  _xlfn._xlws.FILTER($U$1:$AX$1,
   TRANSPOSE(
    CHOOSE({1;2;3;4;5;6;7;8;9;10;11;12;13;14;15;16;17;18;19;20;21;22;23;24;25;26;27;28;29;30},
     COUNTIFS($U$2:$U$200,$G155)&gt;0,
     COUNTIFS($V$2:$V$200,$G155)&gt;0,
     COUNTIFS($W$2:$W$200,$G155)&gt;0,
     COUNTIFS($X$2:$X$200,$G155)&gt;0,
     COUNTIFS($Y$2:$Y$200,$G155)&gt;0,
     COUNTIFS($Z$2:$Z$200,$G155)&gt;0,
     COUNTIFS($AA$2:$AA$200,$G155)&gt;0,
     COUNTIFS($AB$2:$AB$200,$G155)&gt;0,
     COUNTIFS($AC$2:$AC$200,$G155)&gt;0,
     COUNTIFS($AD$2:$AD$200,$G155)&gt;0,
     COUNTIFS($AE$2:$AE$200,$G155)&gt;0,
     COUNTIFS($AF$2:$AF$200,$G155)&gt;0,
     COUNTIFS($AG$2:$AG$200,$G155)&gt;0,
     COUNTIFS($AH$2:$AH$200,$G155)&gt;0,
     COUNTIFS($AI$2:$AI$200,$G155)&gt;0,
     COUNTIFS($AJ$2:$AJ$200,$G155)&gt;0,
     COUNTIFS($AK$2:$AK$200,$G155)&gt;0,
     COUNTIFS($AL$2:$AL$200,$G155)&gt;0,
     COUNTIFS($AM$2:$AM$200,$G155)&gt;0,
     COUNTIFS($AN$2:$AN$200,$G155)&gt;0,
     COUNTIFS($AO$2:$AO$200,$G155)&gt;0,
     COUNTIFS($AP$2:$AP$200,$G155)&gt;0,
     COUNTIFS($AQ$2:$AQ$200,$G155)&gt;0,
     COUNTIFS($AR$2:$AR$200,$G155)&gt;0,
     COUNTIFS($AS$2:$AS$200,$G155)&gt;0,
     COUNTIFS($AT$2:$AT$200,$G155)&gt;0,
     COUNTIFS($AU$2:$AU$200,$G155)&gt;0,
     COUNTIFS($AV$2:$AV$200,$G155)&gt;0,
     COUNTIFS($AW$2:$AW$200,$G155)&gt;0,
     COUNTIFS($AX$2:$AX$200,$G155)&gt;0
   )),
  ),
  4
 ),
"")</f>
        <v/>
      </c>
      <c r="G155" t="str">
        <f ca="1"/>
        <v>High Market</v>
      </c>
      <c r="BO155" t="str">
        <f ca="1"/>
        <v>Syr Vondam, Sunstar Exemplar</v>
      </c>
      <c r="BT155" t="str">
        <f ca="1"/>
        <v>Saw in Half</v>
      </c>
    </row>
    <row r="156" spans="1:72" x14ac:dyDescent="0.25">
      <c r="A156" s="3" t="str">
        <f t="shared" ca="1" si="6"/>
        <v>4</v>
      </c>
      <c r="B156" s="3">
        <f t="shared" ca="1" si="7"/>
        <v>1</v>
      </c>
      <c r="C156" s="3" t="str">
        <f ca="1">IFERROR(
 INDEX($U$1:$AX$1,
  MATCH(TRUE,
   CHOOSE({1;2;3;4;5;6;7;8;9;10;11;12;13;14;15;16;17;18;19;20;21;22;23;24;25;26;27;28;29;30;31;32},
    COUNTIFS($U$2:$U$200,$G156)&gt;0,
    COUNTIFS($V$2:$V$200,$G156)&gt;0,
    COUNTIFS($W$2:$W$200,$G156)&gt;0,
    COUNTIFS($X$2:$X$200,$G156)&gt;0,
    COUNTIFS($Y$2:$Y$200,$G156)&gt;0,
    COUNTIFS($Z$2:$Z$200,$G156)&gt;0,
    COUNTIFS($AA$2:$AA$200,$G156)&gt;0,
    COUNTIFS($AB$2:$AB$200,$G156)&gt;0,
    COUNTIFS($AC$2:$AC$200,$G156)&gt;0,
    COUNTIFS($AD$2:$AD$200,$G156)&gt;0,
    COUNTIFS($AE$2:$AE$200,$G156)&gt;0,
    COUNTIFS($AF$2:$AF$200,$G156)&gt;0,
    COUNTIFS($AG$2:$AG$200,$G156)&gt;0,
    COUNTIFS($AH$2:$AH$200,$G156)&gt;0,
    COUNTIFS($AI$2:$AI$200,$G156)&gt;0,
    COUNTIFS($AJ$2:$AJ$200,$G156)&gt;0,
    COUNTIFS($AK$2:$AK$200,$G156)&gt;0,
    COUNTIFS($AL$2:$AL$200,$G156)&gt;0,
    COUNTIFS($AM$2:$AM$200,$G156)&gt;0,
    COUNTIFS($AN$2:$AN$200,$G156)&gt;0,
    COUNTIFS($AO$2:$AO$200,$G156)&gt;0,
    COUNTIFS($AP$2:$AP$200,$G156)&gt;0,
    COUNTIFS($AQ$2:$AQ$200,$G156)&gt;0,
    COUNTIFS($AR$2:$AR$200,$G156)&gt;0,
    COUNTIFS($AS$2:$AS$200,$G156)&gt;0,
    COUNTIFS($AT$2:$AT$200,$G156)&gt;0,
    COUNTIFS($AU$2:$AU$200,$G156)&gt;0,
    COUNTIFS($AV$2:$AV$200,$G156)&gt;0,
    COUNTIFS($AW$2:$AW$200,$G156)&gt;0,
    COUNTIFS($AX$2:$AX$200,$G156)&gt;0
   ),
  0)
 ),
"")</f>
        <v>Kresh</v>
      </c>
      <c r="D156" s="3" t="str" cm="1">
        <f t="array" aca="1" ref="D156" ca="1">IFERROR(
 INDEX(
  _xlfn._xlws.FILTER($U$1:$AX$1,
   TRANSPOSE(
    CHOOSE({1;2;3;4;5;6;7;8;9;10;11;12;13;14;15;16;17;18;19;20;21;22;23;24;25;26;27;28;29;30},
     COUNTIFS($U$2:$U$200,$G156)&gt;0,
     COUNTIFS($V$2:$V$200,$G156)&gt;0,
     COUNTIFS($W$2:$W$200,$G156)&gt;0,
     COUNTIFS($X$2:$X$200,$G156)&gt;0,
     COUNTIFS($Y$2:$Y$200,$G156)&gt;0,
     COUNTIFS($Z$2:$Z$200,$G156)&gt;0,
     COUNTIFS($AA$2:$AA$200,$G156)&gt;0,
     COUNTIFS($AB$2:$AB$200,$G156)&gt;0,
     COUNTIFS($AC$2:$AC$200,$G156)&gt;0,
     COUNTIFS($AD$2:$AD$200,$G156)&gt;0,
     COUNTIFS($AE$2:$AE$200,$G156)&gt;0,
     COUNTIFS($AF$2:$AF$200,$G156)&gt;0,
     COUNTIFS($AG$2:$AG$200,$G156)&gt;0,
     COUNTIFS($AH$2:$AH$200,$G156)&gt;0,
     COUNTIFS($AI$2:$AI$200,$G156)&gt;0,
     COUNTIFS($AJ$2:$AJ$200,$G156)&gt;0,
     COUNTIFS($AK$2:$AK$200,$G156)&gt;0,
     COUNTIFS($AL$2:$AL$200,$G156)&gt;0,
     COUNTIFS($AM$2:$AM$200,$G156)&gt;0,
     COUNTIFS($AN$2:$AN$200,$G156)&gt;0,
     COUNTIFS($AO$2:$AO$200,$G156)&gt;0,
     COUNTIFS($AP$2:$AP$200,$G156)&gt;0,
     COUNTIFS($AQ$2:$AQ$200,$G156)&gt;0,
     COUNTIFS($AR$2:$AR$200,$G156)&gt;0,
     COUNTIFS($AS$2:$AS$200,$G156)&gt;0,
     COUNTIFS($AT$2:$AT$200,$G156)&gt;0,
     COUNTIFS($AU$2:$AU$200,$G156)&gt;0,
     COUNTIFS($AV$2:$AV$200,$G156)&gt;0,
     COUNTIFS($AW$2:$AW$200,$G156)&gt;0,
     COUNTIFS($AX$2:$AX$200,$G156)&gt;0
   )),
  ),
  2
 ),
"")</f>
        <v/>
      </c>
      <c r="E156" s="3" t="str" cm="1">
        <f t="array" aca="1" ref="E156" ca="1">IFERROR(
 INDEX(
  _xlfn._xlws.FILTER($U$1:$AX$1,
   TRANSPOSE(
    CHOOSE({1;2;3;4;5;6;7;8;9;10;11;12;13;14;15;16;17;18;19;20;21;22;23;24;25;26;27;28;29;30},
     COUNTIFS($U$2:$U$200,$G156)&gt;0,
     COUNTIFS($V$2:$V$200,$G156)&gt;0,
     COUNTIFS($W$2:$W$200,$G156)&gt;0,
     COUNTIFS($X$2:$X$200,$G156)&gt;0,
     COUNTIFS($Y$2:$Y$200,$G156)&gt;0,
     COUNTIFS($Z$2:$Z$200,$G156)&gt;0,
     COUNTIFS($AA$2:$AA$200,$G156)&gt;0,
     COUNTIFS($AB$2:$AB$200,$G156)&gt;0,
     COUNTIFS($AC$2:$AC$200,$G156)&gt;0,
     COUNTIFS($AD$2:$AD$200,$G156)&gt;0,
     COUNTIFS($AE$2:$AE$200,$G156)&gt;0,
     COUNTIFS($AF$2:$AF$200,$G156)&gt;0,
     COUNTIFS($AG$2:$AG$200,$G156)&gt;0,
     COUNTIFS($AH$2:$AH$200,$G156)&gt;0,
     COUNTIFS($AI$2:$AI$200,$G156)&gt;0,
     COUNTIFS($AJ$2:$AJ$200,$G156)&gt;0,
     COUNTIFS($AK$2:$AK$200,$G156)&gt;0,
     COUNTIFS($AL$2:$AL$200,$G156)&gt;0,
     COUNTIFS($AM$2:$AM$200,$G156)&gt;0,
     COUNTIFS($AN$2:$AN$200,$G156)&gt;0,
     COUNTIFS($AO$2:$AO$200,$G156)&gt;0,
     COUNTIFS($AP$2:$AP$200,$G156)&gt;0,
     COUNTIFS($AQ$2:$AQ$200,$G156)&gt;0,
     COUNTIFS($AR$2:$AR$200,$G156)&gt;0,
     COUNTIFS($AS$2:$AS$200,$G156)&gt;0,
     COUNTIFS($AT$2:$AT$200,$G156)&gt;0,
     COUNTIFS($AU$2:$AU$200,$G156)&gt;0,
     COUNTIFS($AV$2:$AV$200,$G156)&gt;0,
     COUNTIFS($AW$2:$AW$200,$G156)&gt;0,
     COUNTIFS($AX$2:$AX$200,$G156)&gt;0
   )),
  ),
  3
 ),
"")</f>
        <v/>
      </c>
      <c r="F156" s="3" t="str" cm="1">
        <f t="array" aca="1" ref="F156" ca="1">IFERROR(
 INDEX(
  _xlfn._xlws.FILTER($U$1:$AX$1,
   TRANSPOSE(
    CHOOSE({1;2;3;4;5;6;7;8;9;10;11;12;13;14;15;16;17;18;19;20;21;22;23;24;25;26;27;28;29;30},
     COUNTIFS($U$2:$U$200,$G156)&gt;0,
     COUNTIFS($V$2:$V$200,$G156)&gt;0,
     COUNTIFS($W$2:$W$200,$G156)&gt;0,
     COUNTIFS($X$2:$X$200,$G156)&gt;0,
     COUNTIFS($Y$2:$Y$200,$G156)&gt;0,
     COUNTIFS($Z$2:$Z$200,$G156)&gt;0,
     COUNTIFS($AA$2:$AA$200,$G156)&gt;0,
     COUNTIFS($AB$2:$AB$200,$G156)&gt;0,
     COUNTIFS($AC$2:$AC$200,$G156)&gt;0,
     COUNTIFS($AD$2:$AD$200,$G156)&gt;0,
     COUNTIFS($AE$2:$AE$200,$G156)&gt;0,
     COUNTIFS($AF$2:$AF$200,$G156)&gt;0,
     COUNTIFS($AG$2:$AG$200,$G156)&gt;0,
     COUNTIFS($AH$2:$AH$200,$G156)&gt;0,
     COUNTIFS($AI$2:$AI$200,$G156)&gt;0,
     COUNTIFS($AJ$2:$AJ$200,$G156)&gt;0,
     COUNTIFS($AK$2:$AK$200,$G156)&gt;0,
     COUNTIFS($AL$2:$AL$200,$G156)&gt;0,
     COUNTIFS($AM$2:$AM$200,$G156)&gt;0,
     COUNTIFS($AN$2:$AN$200,$G156)&gt;0,
     COUNTIFS($AO$2:$AO$200,$G156)&gt;0,
     COUNTIFS($AP$2:$AP$200,$G156)&gt;0,
     COUNTIFS($AQ$2:$AQ$200,$G156)&gt;0,
     COUNTIFS($AR$2:$AR$200,$G156)&gt;0,
     COUNTIFS($AS$2:$AS$200,$G156)&gt;0,
     COUNTIFS($AT$2:$AT$200,$G156)&gt;0,
     COUNTIFS($AU$2:$AU$200,$G156)&gt;0,
     COUNTIFS($AV$2:$AV$200,$G156)&gt;0,
     COUNTIFS($AW$2:$AW$200,$G156)&gt;0,
     COUNTIFS($AX$2:$AX$200,$G156)&gt;0
   )),
  ),
  4
 ),
"")</f>
        <v/>
      </c>
      <c r="G156" t="str">
        <f ca="1"/>
        <v>High-Society Hunter</v>
      </c>
      <c r="BO156" t="str">
        <f ca="1"/>
        <v>Tannuk, Memorial Ensign</v>
      </c>
      <c r="BT156" t="str">
        <f ca="1"/>
        <v>Scalding Tarn</v>
      </c>
    </row>
    <row r="157" spans="1:72" x14ac:dyDescent="0.25">
      <c r="A157" s="3" t="str">
        <f t="shared" ca="1" si="6"/>
        <v>5</v>
      </c>
      <c r="B157" s="3">
        <f t="shared" ca="1" si="7"/>
        <v>1</v>
      </c>
      <c r="C157" s="3" t="str">
        <f ca="1">IFERROR(
 INDEX($U$1:$AX$1,
  MATCH(TRUE,
   CHOOSE({1;2;3;4;5;6;7;8;9;10;11;12;13;14;15;16;17;18;19;20;21;22;23;24;25;26;27;28;29;30;31;32},
    COUNTIFS($U$2:$U$200,$G157)&gt;0,
    COUNTIFS($V$2:$V$200,$G157)&gt;0,
    COUNTIFS($W$2:$W$200,$G157)&gt;0,
    COUNTIFS($X$2:$X$200,$G157)&gt;0,
    COUNTIFS($Y$2:$Y$200,$G157)&gt;0,
    COUNTIFS($Z$2:$Z$200,$G157)&gt;0,
    COUNTIFS($AA$2:$AA$200,$G157)&gt;0,
    COUNTIFS($AB$2:$AB$200,$G157)&gt;0,
    COUNTIFS($AC$2:$AC$200,$G157)&gt;0,
    COUNTIFS($AD$2:$AD$200,$G157)&gt;0,
    COUNTIFS($AE$2:$AE$200,$G157)&gt;0,
    COUNTIFS($AF$2:$AF$200,$G157)&gt;0,
    COUNTIFS($AG$2:$AG$200,$G157)&gt;0,
    COUNTIFS($AH$2:$AH$200,$G157)&gt;0,
    COUNTIFS($AI$2:$AI$200,$G157)&gt;0,
    COUNTIFS($AJ$2:$AJ$200,$G157)&gt;0,
    COUNTIFS($AK$2:$AK$200,$G157)&gt;0,
    COUNTIFS($AL$2:$AL$200,$G157)&gt;0,
    COUNTIFS($AM$2:$AM$200,$G157)&gt;0,
    COUNTIFS($AN$2:$AN$200,$G157)&gt;0,
    COUNTIFS($AO$2:$AO$200,$G157)&gt;0,
    COUNTIFS($AP$2:$AP$200,$G157)&gt;0,
    COUNTIFS($AQ$2:$AQ$200,$G157)&gt;0,
    COUNTIFS($AR$2:$AR$200,$G157)&gt;0,
    COUNTIFS($AS$2:$AS$200,$G157)&gt;0,
    COUNTIFS($AT$2:$AT$200,$G157)&gt;0,
    COUNTIFS($AU$2:$AU$200,$G157)&gt;0,
    COUNTIFS($AV$2:$AV$200,$G157)&gt;0,
    COUNTIFS($AW$2:$AW$200,$G157)&gt;0,
    COUNTIFS($AX$2:$AX$200,$G157)&gt;0
   ),
  0)
 ),
"")</f>
        <v>Zedruu</v>
      </c>
      <c r="D157" s="3" t="str" cm="1">
        <f t="array" aca="1" ref="D157" ca="1">IFERROR(
 INDEX(
  _xlfn._xlws.FILTER($U$1:$AX$1,
   TRANSPOSE(
    CHOOSE({1;2;3;4;5;6;7;8;9;10;11;12;13;14;15;16;17;18;19;20;21;22;23;24;25;26;27;28;29;30},
     COUNTIFS($U$2:$U$200,$G157)&gt;0,
     COUNTIFS($V$2:$V$200,$G157)&gt;0,
     COUNTIFS($W$2:$W$200,$G157)&gt;0,
     COUNTIFS($X$2:$X$200,$G157)&gt;0,
     COUNTIFS($Y$2:$Y$200,$G157)&gt;0,
     COUNTIFS($Z$2:$Z$200,$G157)&gt;0,
     COUNTIFS($AA$2:$AA$200,$G157)&gt;0,
     COUNTIFS($AB$2:$AB$200,$G157)&gt;0,
     COUNTIFS($AC$2:$AC$200,$G157)&gt;0,
     COUNTIFS($AD$2:$AD$200,$G157)&gt;0,
     COUNTIFS($AE$2:$AE$200,$G157)&gt;0,
     COUNTIFS($AF$2:$AF$200,$G157)&gt;0,
     COUNTIFS($AG$2:$AG$200,$G157)&gt;0,
     COUNTIFS($AH$2:$AH$200,$G157)&gt;0,
     COUNTIFS($AI$2:$AI$200,$G157)&gt;0,
     COUNTIFS($AJ$2:$AJ$200,$G157)&gt;0,
     COUNTIFS($AK$2:$AK$200,$G157)&gt;0,
     COUNTIFS($AL$2:$AL$200,$G157)&gt;0,
     COUNTIFS($AM$2:$AM$200,$G157)&gt;0,
     COUNTIFS($AN$2:$AN$200,$G157)&gt;0,
     COUNTIFS($AO$2:$AO$200,$G157)&gt;0,
     COUNTIFS($AP$2:$AP$200,$G157)&gt;0,
     COUNTIFS($AQ$2:$AQ$200,$G157)&gt;0,
     COUNTIFS($AR$2:$AR$200,$G157)&gt;0,
     COUNTIFS($AS$2:$AS$200,$G157)&gt;0,
     COUNTIFS($AT$2:$AT$200,$G157)&gt;0,
     COUNTIFS($AU$2:$AU$200,$G157)&gt;0,
     COUNTIFS($AV$2:$AV$200,$G157)&gt;0,
     COUNTIFS($AW$2:$AW$200,$G157)&gt;0,
     COUNTIFS($AX$2:$AX$200,$G157)&gt;0
   )),
  ),
  2
 ),
"")</f>
        <v/>
      </c>
      <c r="E157" s="3" t="str" cm="1">
        <f t="array" aca="1" ref="E157" ca="1">IFERROR(
 INDEX(
  _xlfn._xlws.FILTER($U$1:$AX$1,
   TRANSPOSE(
    CHOOSE({1;2;3;4;5;6;7;8;9;10;11;12;13;14;15;16;17;18;19;20;21;22;23;24;25;26;27;28;29;30},
     COUNTIFS($U$2:$U$200,$G157)&gt;0,
     COUNTIFS($V$2:$V$200,$G157)&gt;0,
     COUNTIFS($W$2:$W$200,$G157)&gt;0,
     COUNTIFS($X$2:$X$200,$G157)&gt;0,
     COUNTIFS($Y$2:$Y$200,$G157)&gt;0,
     COUNTIFS($Z$2:$Z$200,$G157)&gt;0,
     COUNTIFS($AA$2:$AA$200,$G157)&gt;0,
     COUNTIFS($AB$2:$AB$200,$G157)&gt;0,
     COUNTIFS($AC$2:$AC$200,$G157)&gt;0,
     COUNTIFS($AD$2:$AD$200,$G157)&gt;0,
     COUNTIFS($AE$2:$AE$200,$G157)&gt;0,
     COUNTIFS($AF$2:$AF$200,$G157)&gt;0,
     COUNTIFS($AG$2:$AG$200,$G157)&gt;0,
     COUNTIFS($AH$2:$AH$200,$G157)&gt;0,
     COUNTIFS($AI$2:$AI$200,$G157)&gt;0,
     COUNTIFS($AJ$2:$AJ$200,$G157)&gt;0,
     COUNTIFS($AK$2:$AK$200,$G157)&gt;0,
     COUNTIFS($AL$2:$AL$200,$G157)&gt;0,
     COUNTIFS($AM$2:$AM$200,$G157)&gt;0,
     COUNTIFS($AN$2:$AN$200,$G157)&gt;0,
     COUNTIFS($AO$2:$AO$200,$G157)&gt;0,
     COUNTIFS($AP$2:$AP$200,$G157)&gt;0,
     COUNTIFS($AQ$2:$AQ$200,$G157)&gt;0,
     COUNTIFS($AR$2:$AR$200,$G157)&gt;0,
     COUNTIFS($AS$2:$AS$200,$G157)&gt;0,
     COUNTIFS($AT$2:$AT$200,$G157)&gt;0,
     COUNTIFS($AU$2:$AU$200,$G157)&gt;0,
     COUNTIFS($AV$2:$AV$200,$G157)&gt;0,
     COUNTIFS($AW$2:$AW$200,$G157)&gt;0,
     COUNTIFS($AX$2:$AX$200,$G157)&gt;0
   )),
  ),
  3
 ),
"")</f>
        <v/>
      </c>
      <c r="F157" s="3" t="str" cm="1">
        <f t="array" aca="1" ref="F157" ca="1">IFERROR(
 INDEX(
  _xlfn._xlws.FILTER($U$1:$AX$1,
   TRANSPOSE(
    CHOOSE({1;2;3;4;5;6;7;8;9;10;11;12;13;14;15;16;17;18;19;20;21;22;23;24;25;26;27;28;29;30},
     COUNTIFS($U$2:$U$200,$G157)&gt;0,
     COUNTIFS($V$2:$V$200,$G157)&gt;0,
     COUNTIFS($W$2:$W$200,$G157)&gt;0,
     COUNTIFS($X$2:$X$200,$G157)&gt;0,
     COUNTIFS($Y$2:$Y$200,$G157)&gt;0,
     COUNTIFS($Z$2:$Z$200,$G157)&gt;0,
     COUNTIFS($AA$2:$AA$200,$G157)&gt;0,
     COUNTIFS($AB$2:$AB$200,$G157)&gt;0,
     COUNTIFS($AC$2:$AC$200,$G157)&gt;0,
     COUNTIFS($AD$2:$AD$200,$G157)&gt;0,
     COUNTIFS($AE$2:$AE$200,$G157)&gt;0,
     COUNTIFS($AF$2:$AF$200,$G157)&gt;0,
     COUNTIFS($AG$2:$AG$200,$G157)&gt;0,
     COUNTIFS($AH$2:$AH$200,$G157)&gt;0,
     COUNTIFS($AI$2:$AI$200,$G157)&gt;0,
     COUNTIFS($AJ$2:$AJ$200,$G157)&gt;0,
     COUNTIFS($AK$2:$AK$200,$G157)&gt;0,
     COUNTIFS($AL$2:$AL$200,$G157)&gt;0,
     COUNTIFS($AM$2:$AM$200,$G157)&gt;0,
     COUNTIFS($AN$2:$AN$200,$G157)&gt;0,
     COUNTIFS($AO$2:$AO$200,$G157)&gt;0,
     COUNTIFS($AP$2:$AP$200,$G157)&gt;0,
     COUNTIFS($AQ$2:$AQ$200,$G157)&gt;0,
     COUNTIFS($AR$2:$AR$200,$G157)&gt;0,
     COUNTIFS($AS$2:$AS$200,$G157)&gt;0,
     COUNTIFS($AT$2:$AT$200,$G157)&gt;0,
     COUNTIFS($AU$2:$AU$200,$G157)&gt;0,
     COUNTIFS($AV$2:$AV$200,$G157)&gt;0,
     COUNTIFS($AW$2:$AW$200,$G157)&gt;0,
     COUNTIFS($AX$2:$AX$200,$G157)&gt;0
   )),
  ),
  4
 ),
"")</f>
        <v/>
      </c>
      <c r="G157" t="str">
        <f ca="1"/>
        <v>Homeward Path</v>
      </c>
      <c r="BO157" t="str">
        <f ca="1"/>
        <v>Tayam, Luminous Enigma</v>
      </c>
      <c r="BT157" t="str">
        <f ca="1"/>
        <v>Scattered Groves</v>
      </c>
    </row>
    <row r="158" spans="1:72" x14ac:dyDescent="0.25">
      <c r="A158" s="3" t="str">
        <f t="shared" ca="1" si="6"/>
        <v>3</v>
      </c>
      <c r="B158" s="3">
        <f t="shared" ca="1" si="7"/>
        <v>1</v>
      </c>
      <c r="C158" s="3" t="str">
        <f ca="1">IFERROR(
 INDEX($U$1:$AX$1,
  MATCH(TRUE,
   CHOOSE({1;2;3;4;5;6;7;8;9;10;11;12;13;14;15;16;17;18;19;20;21;22;23;24;25;26;27;28;29;30;31;32},
    COUNTIFS($U$2:$U$200,$G158)&gt;0,
    COUNTIFS($V$2:$V$200,$G158)&gt;0,
    COUNTIFS($W$2:$W$200,$G158)&gt;0,
    COUNTIFS($X$2:$X$200,$G158)&gt;0,
    COUNTIFS($Y$2:$Y$200,$G158)&gt;0,
    COUNTIFS($Z$2:$Z$200,$G158)&gt;0,
    COUNTIFS($AA$2:$AA$200,$G158)&gt;0,
    COUNTIFS($AB$2:$AB$200,$G158)&gt;0,
    COUNTIFS($AC$2:$AC$200,$G158)&gt;0,
    COUNTIFS($AD$2:$AD$200,$G158)&gt;0,
    COUNTIFS($AE$2:$AE$200,$G158)&gt;0,
    COUNTIFS($AF$2:$AF$200,$G158)&gt;0,
    COUNTIFS($AG$2:$AG$200,$G158)&gt;0,
    COUNTIFS($AH$2:$AH$200,$G158)&gt;0,
    COUNTIFS($AI$2:$AI$200,$G158)&gt;0,
    COUNTIFS($AJ$2:$AJ$200,$G158)&gt;0,
    COUNTIFS($AK$2:$AK$200,$G158)&gt;0,
    COUNTIFS($AL$2:$AL$200,$G158)&gt;0,
    COUNTIFS($AM$2:$AM$200,$G158)&gt;0,
    COUNTIFS($AN$2:$AN$200,$G158)&gt;0,
    COUNTIFS($AO$2:$AO$200,$G158)&gt;0,
    COUNTIFS($AP$2:$AP$200,$G158)&gt;0,
    COUNTIFS($AQ$2:$AQ$200,$G158)&gt;0,
    COUNTIFS($AR$2:$AR$200,$G158)&gt;0,
    COUNTIFS($AS$2:$AS$200,$G158)&gt;0,
    COUNTIFS($AT$2:$AT$200,$G158)&gt;0,
    COUNTIFS($AU$2:$AU$200,$G158)&gt;0,
    COUNTIFS($AV$2:$AV$200,$G158)&gt;0,
    COUNTIFS($AW$2:$AW$200,$G158)&gt;0,
    COUNTIFS($AX$2:$AX$200,$G158)&gt;0
   ),
  0)
 ),
"")</f>
        <v>Zimone</v>
      </c>
      <c r="D158" s="3" t="str" cm="1">
        <f t="array" aca="1" ref="D158" ca="1">IFERROR(
 INDEX(
  _xlfn._xlws.FILTER($U$1:$AX$1,
   TRANSPOSE(
    CHOOSE({1;2;3;4;5;6;7;8;9;10;11;12;13;14;15;16;17;18;19;20;21;22;23;24;25;26;27;28;29;30},
     COUNTIFS($U$2:$U$200,$G158)&gt;0,
     COUNTIFS($V$2:$V$200,$G158)&gt;0,
     COUNTIFS($W$2:$W$200,$G158)&gt;0,
     COUNTIFS($X$2:$X$200,$G158)&gt;0,
     COUNTIFS($Y$2:$Y$200,$G158)&gt;0,
     COUNTIFS($Z$2:$Z$200,$G158)&gt;0,
     COUNTIFS($AA$2:$AA$200,$G158)&gt;0,
     COUNTIFS($AB$2:$AB$200,$G158)&gt;0,
     COUNTIFS($AC$2:$AC$200,$G158)&gt;0,
     COUNTIFS($AD$2:$AD$200,$G158)&gt;0,
     COUNTIFS($AE$2:$AE$200,$G158)&gt;0,
     COUNTIFS($AF$2:$AF$200,$G158)&gt;0,
     COUNTIFS($AG$2:$AG$200,$G158)&gt;0,
     COUNTIFS($AH$2:$AH$200,$G158)&gt;0,
     COUNTIFS($AI$2:$AI$200,$G158)&gt;0,
     COUNTIFS($AJ$2:$AJ$200,$G158)&gt;0,
     COUNTIFS($AK$2:$AK$200,$G158)&gt;0,
     COUNTIFS($AL$2:$AL$200,$G158)&gt;0,
     COUNTIFS($AM$2:$AM$200,$G158)&gt;0,
     COUNTIFS($AN$2:$AN$200,$G158)&gt;0,
     COUNTIFS($AO$2:$AO$200,$G158)&gt;0,
     COUNTIFS($AP$2:$AP$200,$G158)&gt;0,
     COUNTIFS($AQ$2:$AQ$200,$G158)&gt;0,
     COUNTIFS($AR$2:$AR$200,$G158)&gt;0,
     COUNTIFS($AS$2:$AS$200,$G158)&gt;0,
     COUNTIFS($AT$2:$AT$200,$G158)&gt;0,
     COUNTIFS($AU$2:$AU$200,$G158)&gt;0,
     COUNTIFS($AV$2:$AV$200,$G158)&gt;0,
     COUNTIFS($AW$2:$AW$200,$G158)&gt;0,
     COUNTIFS($AX$2:$AX$200,$G158)&gt;0
   )),
  ),
  2
 ),
"")</f>
        <v/>
      </c>
      <c r="E158" s="3" t="str" cm="1">
        <f t="array" aca="1" ref="E158" ca="1">IFERROR(
 INDEX(
  _xlfn._xlws.FILTER($U$1:$AX$1,
   TRANSPOSE(
    CHOOSE({1;2;3;4;5;6;7;8;9;10;11;12;13;14;15;16;17;18;19;20;21;22;23;24;25;26;27;28;29;30},
     COUNTIFS($U$2:$U$200,$G158)&gt;0,
     COUNTIFS($V$2:$V$200,$G158)&gt;0,
     COUNTIFS($W$2:$W$200,$G158)&gt;0,
     COUNTIFS($X$2:$X$200,$G158)&gt;0,
     COUNTIFS($Y$2:$Y$200,$G158)&gt;0,
     COUNTIFS($Z$2:$Z$200,$G158)&gt;0,
     COUNTIFS($AA$2:$AA$200,$G158)&gt;0,
     COUNTIFS($AB$2:$AB$200,$G158)&gt;0,
     COUNTIFS($AC$2:$AC$200,$G158)&gt;0,
     COUNTIFS($AD$2:$AD$200,$G158)&gt;0,
     COUNTIFS($AE$2:$AE$200,$G158)&gt;0,
     COUNTIFS($AF$2:$AF$200,$G158)&gt;0,
     COUNTIFS($AG$2:$AG$200,$G158)&gt;0,
     COUNTIFS($AH$2:$AH$200,$G158)&gt;0,
     COUNTIFS($AI$2:$AI$200,$G158)&gt;0,
     COUNTIFS($AJ$2:$AJ$200,$G158)&gt;0,
     COUNTIFS($AK$2:$AK$200,$G158)&gt;0,
     COUNTIFS($AL$2:$AL$200,$G158)&gt;0,
     COUNTIFS($AM$2:$AM$200,$G158)&gt;0,
     COUNTIFS($AN$2:$AN$200,$G158)&gt;0,
     COUNTIFS($AO$2:$AO$200,$G158)&gt;0,
     COUNTIFS($AP$2:$AP$200,$G158)&gt;0,
     COUNTIFS($AQ$2:$AQ$200,$G158)&gt;0,
     COUNTIFS($AR$2:$AR$200,$G158)&gt;0,
     COUNTIFS($AS$2:$AS$200,$G158)&gt;0,
     COUNTIFS($AT$2:$AT$200,$G158)&gt;0,
     COUNTIFS($AU$2:$AU$200,$G158)&gt;0,
     COUNTIFS($AV$2:$AV$200,$G158)&gt;0,
     COUNTIFS($AW$2:$AW$200,$G158)&gt;0,
     COUNTIFS($AX$2:$AX$200,$G158)&gt;0
   )),
  ),
  3
 ),
"")</f>
        <v/>
      </c>
      <c r="F158" s="3" t="str" cm="1">
        <f t="array" aca="1" ref="F158" ca="1">IFERROR(
 INDEX(
  _xlfn._xlws.FILTER($U$1:$AX$1,
   TRANSPOSE(
    CHOOSE({1;2;3;4;5;6;7;8;9;10;11;12;13;14;15;16;17;18;19;20;21;22;23;24;25;26;27;28;29;30},
     COUNTIFS($U$2:$U$200,$G158)&gt;0,
     COUNTIFS($V$2:$V$200,$G158)&gt;0,
     COUNTIFS($W$2:$W$200,$G158)&gt;0,
     COUNTIFS($X$2:$X$200,$G158)&gt;0,
     COUNTIFS($Y$2:$Y$200,$G158)&gt;0,
     COUNTIFS($Z$2:$Z$200,$G158)&gt;0,
     COUNTIFS($AA$2:$AA$200,$G158)&gt;0,
     COUNTIFS($AB$2:$AB$200,$G158)&gt;0,
     COUNTIFS($AC$2:$AC$200,$G158)&gt;0,
     COUNTIFS($AD$2:$AD$200,$G158)&gt;0,
     COUNTIFS($AE$2:$AE$200,$G158)&gt;0,
     COUNTIFS($AF$2:$AF$200,$G158)&gt;0,
     COUNTIFS($AG$2:$AG$200,$G158)&gt;0,
     COUNTIFS($AH$2:$AH$200,$G158)&gt;0,
     COUNTIFS($AI$2:$AI$200,$G158)&gt;0,
     COUNTIFS($AJ$2:$AJ$200,$G158)&gt;0,
     COUNTIFS($AK$2:$AK$200,$G158)&gt;0,
     COUNTIFS($AL$2:$AL$200,$G158)&gt;0,
     COUNTIFS($AM$2:$AM$200,$G158)&gt;0,
     COUNTIFS($AN$2:$AN$200,$G158)&gt;0,
     COUNTIFS($AO$2:$AO$200,$G158)&gt;0,
     COUNTIFS($AP$2:$AP$200,$G158)&gt;0,
     COUNTIFS($AQ$2:$AQ$200,$G158)&gt;0,
     COUNTIFS($AR$2:$AR$200,$G158)&gt;0,
     COUNTIFS($AS$2:$AS$200,$G158)&gt;0,
     COUNTIFS($AT$2:$AT$200,$G158)&gt;0,
     COUNTIFS($AU$2:$AU$200,$G158)&gt;0,
     COUNTIFS($AV$2:$AV$200,$G158)&gt;0,
     COUNTIFS($AW$2:$AW$200,$G158)&gt;0,
     COUNTIFS($AX$2:$AX$200,$G158)&gt;0
   )),
  ),
  4
 ),
"")</f>
        <v/>
      </c>
      <c r="G158" t="str">
        <f ca="1"/>
        <v>Horizon Explorer</v>
      </c>
      <c r="BO158" t="str">
        <f ca="1"/>
        <v>Teferi's Protection</v>
      </c>
      <c r="BT158" t="str">
        <f ca="1"/>
        <v>Scour for Scrap</v>
      </c>
    </row>
    <row r="159" spans="1:72" x14ac:dyDescent="0.25">
      <c r="A159" s="3" t="str">
        <f t="shared" ca="1" si="6"/>
        <v>1</v>
      </c>
      <c r="B159" s="3">
        <f t="shared" ca="1" si="7"/>
        <v>1</v>
      </c>
      <c r="C159" s="3" t="str">
        <f ca="1">IFERROR(
 INDEX($U$1:$AX$1,
  MATCH(TRUE,
   CHOOSE({1;2;3;4;5;6;7;8;9;10;11;12;13;14;15;16;17;18;19;20;21;22;23;24;25;26;27;28;29;30;31;32},
    COUNTIFS($U$2:$U$200,$G159)&gt;0,
    COUNTIFS($V$2:$V$200,$G159)&gt;0,
    COUNTIFS($W$2:$W$200,$G159)&gt;0,
    COUNTIFS($X$2:$X$200,$G159)&gt;0,
    COUNTIFS($Y$2:$Y$200,$G159)&gt;0,
    COUNTIFS($Z$2:$Z$200,$G159)&gt;0,
    COUNTIFS($AA$2:$AA$200,$G159)&gt;0,
    COUNTIFS($AB$2:$AB$200,$G159)&gt;0,
    COUNTIFS($AC$2:$AC$200,$G159)&gt;0,
    COUNTIFS($AD$2:$AD$200,$G159)&gt;0,
    COUNTIFS($AE$2:$AE$200,$G159)&gt;0,
    COUNTIFS($AF$2:$AF$200,$G159)&gt;0,
    COUNTIFS($AG$2:$AG$200,$G159)&gt;0,
    COUNTIFS($AH$2:$AH$200,$G159)&gt;0,
    COUNTIFS($AI$2:$AI$200,$G159)&gt;0,
    COUNTIFS($AJ$2:$AJ$200,$G159)&gt;0,
    COUNTIFS($AK$2:$AK$200,$G159)&gt;0,
    COUNTIFS($AL$2:$AL$200,$G159)&gt;0,
    COUNTIFS($AM$2:$AM$200,$G159)&gt;0,
    COUNTIFS($AN$2:$AN$200,$G159)&gt;0,
    COUNTIFS($AO$2:$AO$200,$G159)&gt;0,
    COUNTIFS($AP$2:$AP$200,$G159)&gt;0,
    COUNTIFS($AQ$2:$AQ$200,$G159)&gt;0,
    COUNTIFS($AR$2:$AR$200,$G159)&gt;0,
    COUNTIFS($AS$2:$AS$200,$G159)&gt;0,
    COUNTIFS($AT$2:$AT$200,$G159)&gt;0,
    COUNTIFS($AU$2:$AU$200,$G159)&gt;0,
    COUNTIFS($AV$2:$AV$200,$G159)&gt;0,
    COUNTIFS($AW$2:$AW$200,$G159)&gt;0,
    COUNTIFS($AX$2:$AX$200,$G159)&gt;0
   ),
  0)
 ),
"")</f>
        <v>Tayam</v>
      </c>
      <c r="D159" s="3" t="str" cm="1">
        <f t="array" aca="1" ref="D159" ca="1">IFERROR(
 INDEX(
  _xlfn._xlws.FILTER($U$1:$AX$1,
   TRANSPOSE(
    CHOOSE({1;2;3;4;5;6;7;8;9;10;11;12;13;14;15;16;17;18;19;20;21;22;23;24;25;26;27;28;29;30},
     COUNTIFS($U$2:$U$200,$G159)&gt;0,
     COUNTIFS($V$2:$V$200,$G159)&gt;0,
     COUNTIFS($W$2:$W$200,$G159)&gt;0,
     COUNTIFS($X$2:$X$200,$G159)&gt;0,
     COUNTIFS($Y$2:$Y$200,$G159)&gt;0,
     COUNTIFS($Z$2:$Z$200,$G159)&gt;0,
     COUNTIFS($AA$2:$AA$200,$G159)&gt;0,
     COUNTIFS($AB$2:$AB$200,$G159)&gt;0,
     COUNTIFS($AC$2:$AC$200,$G159)&gt;0,
     COUNTIFS($AD$2:$AD$200,$G159)&gt;0,
     COUNTIFS($AE$2:$AE$200,$G159)&gt;0,
     COUNTIFS($AF$2:$AF$200,$G159)&gt;0,
     COUNTIFS($AG$2:$AG$200,$G159)&gt;0,
     COUNTIFS($AH$2:$AH$200,$G159)&gt;0,
     COUNTIFS($AI$2:$AI$200,$G159)&gt;0,
     COUNTIFS($AJ$2:$AJ$200,$G159)&gt;0,
     COUNTIFS($AK$2:$AK$200,$G159)&gt;0,
     COUNTIFS($AL$2:$AL$200,$G159)&gt;0,
     COUNTIFS($AM$2:$AM$200,$G159)&gt;0,
     COUNTIFS($AN$2:$AN$200,$G159)&gt;0,
     COUNTIFS($AO$2:$AO$200,$G159)&gt;0,
     COUNTIFS($AP$2:$AP$200,$G159)&gt;0,
     COUNTIFS($AQ$2:$AQ$200,$G159)&gt;0,
     COUNTIFS($AR$2:$AR$200,$G159)&gt;0,
     COUNTIFS($AS$2:$AS$200,$G159)&gt;0,
     COUNTIFS($AT$2:$AT$200,$G159)&gt;0,
     COUNTIFS($AU$2:$AU$200,$G159)&gt;0,
     COUNTIFS($AV$2:$AV$200,$G159)&gt;0,
     COUNTIFS($AW$2:$AW$200,$G159)&gt;0,
     COUNTIFS($AX$2:$AX$200,$G159)&gt;0
   )),
  ),
  2
 ),
"")</f>
        <v/>
      </c>
      <c r="E159" s="3" t="str" cm="1">
        <f t="array" aca="1" ref="E159" ca="1">IFERROR(
 INDEX(
  _xlfn._xlws.FILTER($U$1:$AX$1,
   TRANSPOSE(
    CHOOSE({1;2;3;4;5;6;7;8;9;10;11;12;13;14;15;16;17;18;19;20;21;22;23;24;25;26;27;28;29;30},
     COUNTIFS($U$2:$U$200,$G159)&gt;0,
     COUNTIFS($V$2:$V$200,$G159)&gt;0,
     COUNTIFS($W$2:$W$200,$G159)&gt;0,
     COUNTIFS($X$2:$X$200,$G159)&gt;0,
     COUNTIFS($Y$2:$Y$200,$G159)&gt;0,
     COUNTIFS($Z$2:$Z$200,$G159)&gt;0,
     COUNTIFS($AA$2:$AA$200,$G159)&gt;0,
     COUNTIFS($AB$2:$AB$200,$G159)&gt;0,
     COUNTIFS($AC$2:$AC$200,$G159)&gt;0,
     COUNTIFS($AD$2:$AD$200,$G159)&gt;0,
     COUNTIFS($AE$2:$AE$200,$G159)&gt;0,
     COUNTIFS($AF$2:$AF$200,$G159)&gt;0,
     COUNTIFS($AG$2:$AG$200,$G159)&gt;0,
     COUNTIFS($AH$2:$AH$200,$G159)&gt;0,
     COUNTIFS($AI$2:$AI$200,$G159)&gt;0,
     COUNTIFS($AJ$2:$AJ$200,$G159)&gt;0,
     COUNTIFS($AK$2:$AK$200,$G159)&gt;0,
     COUNTIFS($AL$2:$AL$200,$G159)&gt;0,
     COUNTIFS($AM$2:$AM$200,$G159)&gt;0,
     COUNTIFS($AN$2:$AN$200,$G159)&gt;0,
     COUNTIFS($AO$2:$AO$200,$G159)&gt;0,
     COUNTIFS($AP$2:$AP$200,$G159)&gt;0,
     COUNTIFS($AQ$2:$AQ$200,$G159)&gt;0,
     COUNTIFS($AR$2:$AR$200,$G159)&gt;0,
     COUNTIFS($AS$2:$AS$200,$G159)&gt;0,
     COUNTIFS($AT$2:$AT$200,$G159)&gt;0,
     COUNTIFS($AU$2:$AU$200,$G159)&gt;0,
     COUNTIFS($AV$2:$AV$200,$G159)&gt;0,
     COUNTIFS($AW$2:$AW$200,$G159)&gt;0,
     COUNTIFS($AX$2:$AX$200,$G159)&gt;0
   )),
  ),
  3
 ),
"")</f>
        <v/>
      </c>
      <c r="F159" s="3" t="str" cm="1">
        <f t="array" aca="1" ref="F159" ca="1">IFERROR(
 INDEX(
  _xlfn._xlws.FILTER($U$1:$AX$1,
   TRANSPOSE(
    CHOOSE({1;2;3;4;5;6;7;8;9;10;11;12;13;14;15;16;17;18;19;20;21;22;23;24;25;26;27;28;29;30},
     COUNTIFS($U$2:$U$200,$G159)&gt;0,
     COUNTIFS($V$2:$V$200,$G159)&gt;0,
     COUNTIFS($W$2:$W$200,$G159)&gt;0,
     COUNTIFS($X$2:$X$200,$G159)&gt;0,
     COUNTIFS($Y$2:$Y$200,$G159)&gt;0,
     COUNTIFS($Z$2:$Z$200,$G159)&gt;0,
     COUNTIFS($AA$2:$AA$200,$G159)&gt;0,
     COUNTIFS($AB$2:$AB$200,$G159)&gt;0,
     COUNTIFS($AC$2:$AC$200,$G159)&gt;0,
     COUNTIFS($AD$2:$AD$200,$G159)&gt;0,
     COUNTIFS($AE$2:$AE$200,$G159)&gt;0,
     COUNTIFS($AF$2:$AF$200,$G159)&gt;0,
     COUNTIFS($AG$2:$AG$200,$G159)&gt;0,
     COUNTIFS($AH$2:$AH$200,$G159)&gt;0,
     COUNTIFS($AI$2:$AI$200,$G159)&gt;0,
     COUNTIFS($AJ$2:$AJ$200,$G159)&gt;0,
     COUNTIFS($AK$2:$AK$200,$G159)&gt;0,
     COUNTIFS($AL$2:$AL$200,$G159)&gt;0,
     COUNTIFS($AM$2:$AM$200,$G159)&gt;0,
     COUNTIFS($AN$2:$AN$200,$G159)&gt;0,
     COUNTIFS($AO$2:$AO$200,$G159)&gt;0,
     COUNTIFS($AP$2:$AP$200,$G159)&gt;0,
     COUNTIFS($AQ$2:$AQ$200,$G159)&gt;0,
     COUNTIFS($AR$2:$AR$200,$G159)&gt;0,
     COUNTIFS($AS$2:$AS$200,$G159)&gt;0,
     COUNTIFS($AT$2:$AT$200,$G159)&gt;0,
     COUNTIFS($AU$2:$AU$200,$G159)&gt;0,
     COUNTIFS($AV$2:$AV$200,$G159)&gt;0,
     COUNTIFS($AW$2:$AW$200,$G159)&gt;0,
     COUNTIFS($AX$2:$AX$200,$G159)&gt;0
   )),
  ),
  4
 ),
"")</f>
        <v/>
      </c>
      <c r="G159" t="str">
        <f ca="1"/>
        <v>Hydraw's Growth</v>
      </c>
      <c r="BO159" t="str">
        <f ca="1"/>
        <v>Temple of Malice</v>
      </c>
      <c r="BT159" t="str">
        <f ca="1"/>
        <v>Sea Gate Restoration</v>
      </c>
    </row>
    <row r="160" spans="1:72" x14ac:dyDescent="0.25">
      <c r="A160" s="3" t="str">
        <f t="shared" ca="1" si="6"/>
        <v>4</v>
      </c>
      <c r="B160" s="3">
        <f t="shared" ca="1" si="7"/>
        <v>1</v>
      </c>
      <c r="C160" s="3" t="str">
        <f ca="1">IFERROR(
 INDEX($U$1:$AX$1,
  MATCH(TRUE,
   CHOOSE({1;2;3;4;5;6;7;8;9;10;11;12;13;14;15;16;17;18;19;20;21;22;23;24;25;26;27;28;29;30;31;32},
    COUNTIFS($U$2:$U$200,$G160)&gt;0,
    COUNTIFS($V$2:$V$200,$G160)&gt;0,
    COUNTIFS($W$2:$W$200,$G160)&gt;0,
    COUNTIFS($X$2:$X$200,$G160)&gt;0,
    COUNTIFS($Y$2:$Y$200,$G160)&gt;0,
    COUNTIFS($Z$2:$Z$200,$G160)&gt;0,
    COUNTIFS($AA$2:$AA$200,$G160)&gt;0,
    COUNTIFS($AB$2:$AB$200,$G160)&gt;0,
    COUNTIFS($AC$2:$AC$200,$G160)&gt;0,
    COUNTIFS($AD$2:$AD$200,$G160)&gt;0,
    COUNTIFS($AE$2:$AE$200,$G160)&gt;0,
    COUNTIFS($AF$2:$AF$200,$G160)&gt;0,
    COUNTIFS($AG$2:$AG$200,$G160)&gt;0,
    COUNTIFS($AH$2:$AH$200,$G160)&gt;0,
    COUNTIFS($AI$2:$AI$200,$G160)&gt;0,
    COUNTIFS($AJ$2:$AJ$200,$G160)&gt;0,
    COUNTIFS($AK$2:$AK$200,$G160)&gt;0,
    COUNTIFS($AL$2:$AL$200,$G160)&gt;0,
    COUNTIFS($AM$2:$AM$200,$G160)&gt;0,
    COUNTIFS($AN$2:$AN$200,$G160)&gt;0,
    COUNTIFS($AO$2:$AO$200,$G160)&gt;0,
    COUNTIFS($AP$2:$AP$200,$G160)&gt;0,
    COUNTIFS($AQ$2:$AQ$200,$G160)&gt;0,
    COUNTIFS($AR$2:$AR$200,$G160)&gt;0,
    COUNTIFS($AS$2:$AS$200,$G160)&gt;0,
    COUNTIFS($AT$2:$AT$200,$G160)&gt;0,
    COUNTIFS($AU$2:$AU$200,$G160)&gt;0,
    COUNTIFS($AV$2:$AV$200,$G160)&gt;0,
    COUNTIFS($AW$2:$AW$200,$G160)&gt;0,
    COUNTIFS($AX$2:$AX$200,$G160)&gt;0
   ),
  0)
 ),
"")</f>
        <v>OWA</v>
      </c>
      <c r="D160" s="3" t="str" cm="1">
        <f t="array" aca="1" ref="D160" ca="1">IFERROR(
 INDEX(
  _xlfn._xlws.FILTER($U$1:$AX$1,
   TRANSPOSE(
    CHOOSE({1;2;3;4;5;6;7;8;9;10;11;12;13;14;15;16;17;18;19;20;21;22;23;24;25;26;27;28;29;30},
     COUNTIFS($U$2:$U$200,$G160)&gt;0,
     COUNTIFS($V$2:$V$200,$G160)&gt;0,
     COUNTIFS($W$2:$W$200,$G160)&gt;0,
     COUNTIFS($X$2:$X$200,$G160)&gt;0,
     COUNTIFS($Y$2:$Y$200,$G160)&gt;0,
     COUNTIFS($Z$2:$Z$200,$G160)&gt;0,
     COUNTIFS($AA$2:$AA$200,$G160)&gt;0,
     COUNTIFS($AB$2:$AB$200,$G160)&gt;0,
     COUNTIFS($AC$2:$AC$200,$G160)&gt;0,
     COUNTIFS($AD$2:$AD$200,$G160)&gt;0,
     COUNTIFS($AE$2:$AE$200,$G160)&gt;0,
     COUNTIFS($AF$2:$AF$200,$G160)&gt;0,
     COUNTIFS($AG$2:$AG$200,$G160)&gt;0,
     COUNTIFS($AH$2:$AH$200,$G160)&gt;0,
     COUNTIFS($AI$2:$AI$200,$G160)&gt;0,
     COUNTIFS($AJ$2:$AJ$200,$G160)&gt;0,
     COUNTIFS($AK$2:$AK$200,$G160)&gt;0,
     COUNTIFS($AL$2:$AL$200,$G160)&gt;0,
     COUNTIFS($AM$2:$AM$200,$G160)&gt;0,
     COUNTIFS($AN$2:$AN$200,$G160)&gt;0,
     COUNTIFS($AO$2:$AO$200,$G160)&gt;0,
     COUNTIFS($AP$2:$AP$200,$G160)&gt;0,
     COUNTIFS($AQ$2:$AQ$200,$G160)&gt;0,
     COUNTIFS($AR$2:$AR$200,$G160)&gt;0,
     COUNTIFS($AS$2:$AS$200,$G160)&gt;0,
     COUNTIFS($AT$2:$AT$200,$G160)&gt;0,
     COUNTIFS($AU$2:$AU$200,$G160)&gt;0,
     COUNTIFS($AV$2:$AV$200,$G160)&gt;0,
     COUNTIFS($AW$2:$AW$200,$G160)&gt;0,
     COUNTIFS($AX$2:$AX$200,$G160)&gt;0
   )),
  ),
  2
 ),
"")</f>
        <v/>
      </c>
      <c r="E160" s="3" t="str" cm="1">
        <f t="array" aca="1" ref="E160" ca="1">IFERROR(
 INDEX(
  _xlfn._xlws.FILTER($U$1:$AX$1,
   TRANSPOSE(
    CHOOSE({1;2;3;4;5;6;7;8;9;10;11;12;13;14;15;16;17;18;19;20;21;22;23;24;25;26;27;28;29;30},
     COUNTIFS($U$2:$U$200,$G160)&gt;0,
     COUNTIFS($V$2:$V$200,$G160)&gt;0,
     COUNTIFS($W$2:$W$200,$G160)&gt;0,
     COUNTIFS($X$2:$X$200,$G160)&gt;0,
     COUNTIFS($Y$2:$Y$200,$G160)&gt;0,
     COUNTIFS($Z$2:$Z$200,$G160)&gt;0,
     COUNTIFS($AA$2:$AA$200,$G160)&gt;0,
     COUNTIFS($AB$2:$AB$200,$G160)&gt;0,
     COUNTIFS($AC$2:$AC$200,$G160)&gt;0,
     COUNTIFS($AD$2:$AD$200,$G160)&gt;0,
     COUNTIFS($AE$2:$AE$200,$G160)&gt;0,
     COUNTIFS($AF$2:$AF$200,$G160)&gt;0,
     COUNTIFS($AG$2:$AG$200,$G160)&gt;0,
     COUNTIFS($AH$2:$AH$200,$G160)&gt;0,
     COUNTIFS($AI$2:$AI$200,$G160)&gt;0,
     COUNTIFS($AJ$2:$AJ$200,$G160)&gt;0,
     COUNTIFS($AK$2:$AK$200,$G160)&gt;0,
     COUNTIFS($AL$2:$AL$200,$G160)&gt;0,
     COUNTIFS($AM$2:$AM$200,$G160)&gt;0,
     COUNTIFS($AN$2:$AN$200,$G160)&gt;0,
     COUNTIFS($AO$2:$AO$200,$G160)&gt;0,
     COUNTIFS($AP$2:$AP$200,$G160)&gt;0,
     COUNTIFS($AQ$2:$AQ$200,$G160)&gt;0,
     COUNTIFS($AR$2:$AR$200,$G160)&gt;0,
     COUNTIFS($AS$2:$AS$200,$G160)&gt;0,
     COUNTIFS($AT$2:$AT$200,$G160)&gt;0,
     COUNTIFS($AU$2:$AU$200,$G160)&gt;0,
     COUNTIFS($AV$2:$AV$200,$G160)&gt;0,
     COUNTIFS($AW$2:$AW$200,$G160)&gt;0,
     COUNTIFS($AX$2:$AX$200,$G160)&gt;0
   )),
  ),
  3
 ),
"")</f>
        <v/>
      </c>
      <c r="F160" s="3" t="str" cm="1">
        <f t="array" aca="1" ref="F160" ca="1">IFERROR(
 INDEX(
  _xlfn._xlws.FILTER($U$1:$AX$1,
   TRANSPOSE(
    CHOOSE({1;2;3;4;5;6;7;8;9;10;11;12;13;14;15;16;17;18;19;20;21;22;23;24;25;26;27;28;29;30},
     COUNTIFS($U$2:$U$200,$G160)&gt;0,
     COUNTIFS($V$2:$V$200,$G160)&gt;0,
     COUNTIFS($W$2:$W$200,$G160)&gt;0,
     COUNTIFS($X$2:$X$200,$G160)&gt;0,
     COUNTIFS($Y$2:$Y$200,$G160)&gt;0,
     COUNTIFS($Z$2:$Z$200,$G160)&gt;0,
     COUNTIFS($AA$2:$AA$200,$G160)&gt;0,
     COUNTIFS($AB$2:$AB$200,$G160)&gt;0,
     COUNTIFS($AC$2:$AC$200,$G160)&gt;0,
     COUNTIFS($AD$2:$AD$200,$G160)&gt;0,
     COUNTIFS($AE$2:$AE$200,$G160)&gt;0,
     COUNTIFS($AF$2:$AF$200,$G160)&gt;0,
     COUNTIFS($AG$2:$AG$200,$G160)&gt;0,
     COUNTIFS($AH$2:$AH$200,$G160)&gt;0,
     COUNTIFS($AI$2:$AI$200,$G160)&gt;0,
     COUNTIFS($AJ$2:$AJ$200,$G160)&gt;0,
     COUNTIFS($AK$2:$AK$200,$G160)&gt;0,
     COUNTIFS($AL$2:$AL$200,$G160)&gt;0,
     COUNTIFS($AM$2:$AM$200,$G160)&gt;0,
     COUNTIFS($AN$2:$AN$200,$G160)&gt;0,
     COUNTIFS($AO$2:$AO$200,$G160)&gt;0,
     COUNTIFS($AP$2:$AP$200,$G160)&gt;0,
     COUNTIFS($AQ$2:$AQ$200,$G160)&gt;0,
     COUNTIFS($AR$2:$AR$200,$G160)&gt;0,
     COUNTIFS($AS$2:$AS$200,$G160)&gt;0,
     COUNTIFS($AT$2:$AT$200,$G160)&gt;0,
     COUNTIFS($AU$2:$AU$200,$G160)&gt;0,
     COUNTIFS($AV$2:$AV$200,$G160)&gt;0,
     COUNTIFS($AW$2:$AW$200,$G160)&gt;0,
     COUNTIFS($AX$2:$AX$200,$G160)&gt;0
   )),
  ),
  4
 ),
"")</f>
        <v/>
      </c>
      <c r="G160" t="str">
        <f ca="1"/>
        <v>Illustrious Wanderglyph</v>
      </c>
      <c r="BO160" t="str">
        <f ca="1"/>
        <v>Terra Eternal</v>
      </c>
      <c r="BT160" t="str">
        <f ca="1"/>
        <v>Sea of Clouds</v>
      </c>
    </row>
    <row r="161" spans="1:72" x14ac:dyDescent="0.25">
      <c r="A161" s="3" t="str">
        <f t="shared" ca="1" si="6"/>
        <v>2</v>
      </c>
      <c r="B161" s="3">
        <f t="shared" ca="1" si="7"/>
        <v>1</v>
      </c>
      <c r="C161" s="3" t="str">
        <f ca="1">IFERROR(
 INDEX($U$1:$AX$1,
  MATCH(TRUE,
   CHOOSE({1;2;3;4;5;6;7;8;9;10;11;12;13;14;15;16;17;18;19;20;21;22;23;24;25;26;27;28;29;30;31;32},
    COUNTIFS($U$2:$U$200,$G161)&gt;0,
    COUNTIFS($V$2:$V$200,$G161)&gt;0,
    COUNTIFS($W$2:$W$200,$G161)&gt;0,
    COUNTIFS($X$2:$X$200,$G161)&gt;0,
    COUNTIFS($Y$2:$Y$200,$G161)&gt;0,
    COUNTIFS($Z$2:$Z$200,$G161)&gt;0,
    COUNTIFS($AA$2:$AA$200,$G161)&gt;0,
    COUNTIFS($AB$2:$AB$200,$G161)&gt;0,
    COUNTIFS($AC$2:$AC$200,$G161)&gt;0,
    COUNTIFS($AD$2:$AD$200,$G161)&gt;0,
    COUNTIFS($AE$2:$AE$200,$G161)&gt;0,
    COUNTIFS($AF$2:$AF$200,$G161)&gt;0,
    COUNTIFS($AG$2:$AG$200,$G161)&gt;0,
    COUNTIFS($AH$2:$AH$200,$G161)&gt;0,
    COUNTIFS($AI$2:$AI$200,$G161)&gt;0,
    COUNTIFS($AJ$2:$AJ$200,$G161)&gt;0,
    COUNTIFS($AK$2:$AK$200,$G161)&gt;0,
    COUNTIFS($AL$2:$AL$200,$G161)&gt;0,
    COUNTIFS($AM$2:$AM$200,$G161)&gt;0,
    COUNTIFS($AN$2:$AN$200,$G161)&gt;0,
    COUNTIFS($AO$2:$AO$200,$G161)&gt;0,
    COUNTIFS($AP$2:$AP$200,$G161)&gt;0,
    COUNTIFS($AQ$2:$AQ$200,$G161)&gt;0,
    COUNTIFS($AR$2:$AR$200,$G161)&gt;0,
    COUNTIFS($AS$2:$AS$200,$G161)&gt;0,
    COUNTIFS($AT$2:$AT$200,$G161)&gt;0,
    COUNTIFS($AU$2:$AU$200,$G161)&gt;0,
    COUNTIFS($AV$2:$AV$200,$G161)&gt;0,
    COUNTIFS($AW$2:$AW$200,$G161)&gt;0,
    COUNTIFS($AX$2:$AX$200,$G161)&gt;0
   ),
  0)
 ),
"")</f>
        <v>Narset</v>
      </c>
      <c r="D161" s="3" t="str" cm="1">
        <f t="array" aca="1" ref="D161" ca="1">IFERROR(
 INDEX(
  _xlfn._xlws.FILTER($U$1:$AX$1,
   TRANSPOSE(
    CHOOSE({1;2;3;4;5;6;7;8;9;10;11;12;13;14;15;16;17;18;19;20;21;22;23;24;25;26;27;28;29;30},
     COUNTIFS($U$2:$U$200,$G161)&gt;0,
     COUNTIFS($V$2:$V$200,$G161)&gt;0,
     COUNTIFS($W$2:$W$200,$G161)&gt;0,
     COUNTIFS($X$2:$X$200,$G161)&gt;0,
     COUNTIFS($Y$2:$Y$200,$G161)&gt;0,
     COUNTIFS($Z$2:$Z$200,$G161)&gt;0,
     COUNTIFS($AA$2:$AA$200,$G161)&gt;0,
     COUNTIFS($AB$2:$AB$200,$G161)&gt;0,
     COUNTIFS($AC$2:$AC$200,$G161)&gt;0,
     COUNTIFS($AD$2:$AD$200,$G161)&gt;0,
     COUNTIFS($AE$2:$AE$200,$G161)&gt;0,
     COUNTIFS($AF$2:$AF$200,$G161)&gt;0,
     COUNTIFS($AG$2:$AG$200,$G161)&gt;0,
     COUNTIFS($AH$2:$AH$200,$G161)&gt;0,
     COUNTIFS($AI$2:$AI$200,$G161)&gt;0,
     COUNTIFS($AJ$2:$AJ$200,$G161)&gt;0,
     COUNTIFS($AK$2:$AK$200,$G161)&gt;0,
     COUNTIFS($AL$2:$AL$200,$G161)&gt;0,
     COUNTIFS($AM$2:$AM$200,$G161)&gt;0,
     COUNTIFS($AN$2:$AN$200,$G161)&gt;0,
     COUNTIFS($AO$2:$AO$200,$G161)&gt;0,
     COUNTIFS($AP$2:$AP$200,$G161)&gt;0,
     COUNTIFS($AQ$2:$AQ$200,$G161)&gt;0,
     COUNTIFS($AR$2:$AR$200,$G161)&gt;0,
     COUNTIFS($AS$2:$AS$200,$G161)&gt;0,
     COUNTIFS($AT$2:$AT$200,$G161)&gt;0,
     COUNTIFS($AU$2:$AU$200,$G161)&gt;0,
     COUNTIFS($AV$2:$AV$200,$G161)&gt;0,
     COUNTIFS($AW$2:$AW$200,$G161)&gt;0,
     COUNTIFS($AX$2:$AX$200,$G161)&gt;0
   )),
  ),
  2
 ),
"")</f>
        <v/>
      </c>
      <c r="E161" s="3" t="str" cm="1">
        <f t="array" aca="1" ref="E161" ca="1">IFERROR(
 INDEX(
  _xlfn._xlws.FILTER($U$1:$AX$1,
   TRANSPOSE(
    CHOOSE({1;2;3;4;5;6;7;8;9;10;11;12;13;14;15;16;17;18;19;20;21;22;23;24;25;26;27;28;29;30},
     COUNTIFS($U$2:$U$200,$G161)&gt;0,
     COUNTIFS($V$2:$V$200,$G161)&gt;0,
     COUNTIFS($W$2:$W$200,$G161)&gt;0,
     COUNTIFS($X$2:$X$200,$G161)&gt;0,
     COUNTIFS($Y$2:$Y$200,$G161)&gt;0,
     COUNTIFS($Z$2:$Z$200,$G161)&gt;0,
     COUNTIFS($AA$2:$AA$200,$G161)&gt;0,
     COUNTIFS($AB$2:$AB$200,$G161)&gt;0,
     COUNTIFS($AC$2:$AC$200,$G161)&gt;0,
     COUNTIFS($AD$2:$AD$200,$G161)&gt;0,
     COUNTIFS($AE$2:$AE$200,$G161)&gt;0,
     COUNTIFS($AF$2:$AF$200,$G161)&gt;0,
     COUNTIFS($AG$2:$AG$200,$G161)&gt;0,
     COUNTIFS($AH$2:$AH$200,$G161)&gt;0,
     COUNTIFS($AI$2:$AI$200,$G161)&gt;0,
     COUNTIFS($AJ$2:$AJ$200,$G161)&gt;0,
     COUNTIFS($AK$2:$AK$200,$G161)&gt;0,
     COUNTIFS($AL$2:$AL$200,$G161)&gt;0,
     COUNTIFS($AM$2:$AM$200,$G161)&gt;0,
     COUNTIFS($AN$2:$AN$200,$G161)&gt;0,
     COUNTIFS($AO$2:$AO$200,$G161)&gt;0,
     COUNTIFS($AP$2:$AP$200,$G161)&gt;0,
     COUNTIFS($AQ$2:$AQ$200,$G161)&gt;0,
     COUNTIFS($AR$2:$AR$200,$G161)&gt;0,
     COUNTIFS($AS$2:$AS$200,$G161)&gt;0,
     COUNTIFS($AT$2:$AT$200,$G161)&gt;0,
     COUNTIFS($AU$2:$AU$200,$G161)&gt;0,
     COUNTIFS($AV$2:$AV$200,$G161)&gt;0,
     COUNTIFS($AW$2:$AW$200,$G161)&gt;0,
     COUNTIFS($AX$2:$AX$200,$G161)&gt;0
   )),
  ),
  3
 ),
"")</f>
        <v/>
      </c>
      <c r="F161" s="3" t="str" cm="1">
        <f t="array" aca="1" ref="F161" ca="1">IFERROR(
 INDEX(
  _xlfn._xlws.FILTER($U$1:$AX$1,
   TRANSPOSE(
    CHOOSE({1;2;3;4;5;6;7;8;9;10;11;12;13;14;15;16;17;18;19;20;21;22;23;24;25;26;27;28;29;30},
     COUNTIFS($U$2:$U$200,$G161)&gt;0,
     COUNTIFS($V$2:$V$200,$G161)&gt;0,
     COUNTIFS($W$2:$W$200,$G161)&gt;0,
     COUNTIFS($X$2:$X$200,$G161)&gt;0,
     COUNTIFS($Y$2:$Y$200,$G161)&gt;0,
     COUNTIFS($Z$2:$Z$200,$G161)&gt;0,
     COUNTIFS($AA$2:$AA$200,$G161)&gt;0,
     COUNTIFS($AB$2:$AB$200,$G161)&gt;0,
     COUNTIFS($AC$2:$AC$200,$G161)&gt;0,
     COUNTIFS($AD$2:$AD$200,$G161)&gt;0,
     COUNTIFS($AE$2:$AE$200,$G161)&gt;0,
     COUNTIFS($AF$2:$AF$200,$G161)&gt;0,
     COUNTIFS($AG$2:$AG$200,$G161)&gt;0,
     COUNTIFS($AH$2:$AH$200,$G161)&gt;0,
     COUNTIFS($AI$2:$AI$200,$G161)&gt;0,
     COUNTIFS($AJ$2:$AJ$200,$G161)&gt;0,
     COUNTIFS($AK$2:$AK$200,$G161)&gt;0,
     COUNTIFS($AL$2:$AL$200,$G161)&gt;0,
     COUNTIFS($AM$2:$AM$200,$G161)&gt;0,
     COUNTIFS($AN$2:$AN$200,$G161)&gt;0,
     COUNTIFS($AO$2:$AO$200,$G161)&gt;0,
     COUNTIFS($AP$2:$AP$200,$G161)&gt;0,
     COUNTIFS($AQ$2:$AQ$200,$G161)&gt;0,
     COUNTIFS($AR$2:$AR$200,$G161)&gt;0,
     COUNTIFS($AS$2:$AS$200,$G161)&gt;0,
     COUNTIFS($AT$2:$AT$200,$G161)&gt;0,
     COUNTIFS($AU$2:$AU$200,$G161)&gt;0,
     COUNTIFS($AV$2:$AV$200,$G161)&gt;0,
     COUNTIFS($AW$2:$AW$200,$G161)&gt;0,
     COUNTIFS($AX$2:$AX$200,$G161)&gt;0
   )),
  ),
  4
 ),
"")</f>
        <v/>
      </c>
      <c r="G161" t="str">
        <f ca="1"/>
        <v>Incendiary Command</v>
      </c>
      <c r="BO161" t="str">
        <f ca="1"/>
        <v>Terrasymbiosis</v>
      </c>
      <c r="BT161" t="str">
        <f ca="1"/>
        <v>Seahunter</v>
      </c>
    </row>
    <row r="162" spans="1:72" x14ac:dyDescent="0.25">
      <c r="A162" s="3" t="str">
        <f t="shared" ca="1" si="6"/>
        <v>1</v>
      </c>
      <c r="B162" s="3">
        <f t="shared" ca="1" si="7"/>
        <v>1</v>
      </c>
      <c r="C162" s="3" t="str">
        <f ca="1">IFERROR(
 INDEX($U$1:$AX$1,
  MATCH(TRUE,
   CHOOSE({1;2;3;4;5;6;7;8;9;10;11;12;13;14;15;16;17;18;19;20;21;22;23;24;25;26;27;28;29;30;31;32},
    COUNTIFS($U$2:$U$200,$G162)&gt;0,
    COUNTIFS($V$2:$V$200,$G162)&gt;0,
    COUNTIFS($W$2:$W$200,$G162)&gt;0,
    COUNTIFS($X$2:$X$200,$G162)&gt;0,
    COUNTIFS($Y$2:$Y$200,$G162)&gt;0,
    COUNTIFS($Z$2:$Z$200,$G162)&gt;0,
    COUNTIFS($AA$2:$AA$200,$G162)&gt;0,
    COUNTIFS($AB$2:$AB$200,$G162)&gt;0,
    COUNTIFS($AC$2:$AC$200,$G162)&gt;0,
    COUNTIFS($AD$2:$AD$200,$G162)&gt;0,
    COUNTIFS($AE$2:$AE$200,$G162)&gt;0,
    COUNTIFS($AF$2:$AF$200,$G162)&gt;0,
    COUNTIFS($AG$2:$AG$200,$G162)&gt;0,
    COUNTIFS($AH$2:$AH$200,$G162)&gt;0,
    COUNTIFS($AI$2:$AI$200,$G162)&gt;0,
    COUNTIFS($AJ$2:$AJ$200,$G162)&gt;0,
    COUNTIFS($AK$2:$AK$200,$G162)&gt;0,
    COUNTIFS($AL$2:$AL$200,$G162)&gt;0,
    COUNTIFS($AM$2:$AM$200,$G162)&gt;0,
    COUNTIFS($AN$2:$AN$200,$G162)&gt;0,
    COUNTIFS($AO$2:$AO$200,$G162)&gt;0,
    COUNTIFS($AP$2:$AP$200,$G162)&gt;0,
    COUNTIFS($AQ$2:$AQ$200,$G162)&gt;0,
    COUNTIFS($AR$2:$AR$200,$G162)&gt;0,
    COUNTIFS($AS$2:$AS$200,$G162)&gt;0,
    COUNTIFS($AT$2:$AT$200,$G162)&gt;0,
    COUNTIFS($AU$2:$AU$200,$G162)&gt;0,
    COUNTIFS($AV$2:$AV$200,$G162)&gt;0,
    COUNTIFS($AW$2:$AW$200,$G162)&gt;0,
    COUNTIFS($AX$2:$AX$200,$G162)&gt;0
   ),
  0)
 ),
"")</f>
        <v>Tayam</v>
      </c>
      <c r="D162" s="3" t="str" cm="1">
        <f t="array" aca="1" ref="D162" ca="1">IFERROR(
 INDEX(
  _xlfn._xlws.FILTER($U$1:$AX$1,
   TRANSPOSE(
    CHOOSE({1;2;3;4;5;6;7;8;9;10;11;12;13;14;15;16;17;18;19;20;21;22;23;24;25;26;27;28;29;30},
     COUNTIFS($U$2:$U$200,$G162)&gt;0,
     COUNTIFS($V$2:$V$200,$G162)&gt;0,
     COUNTIFS($W$2:$W$200,$G162)&gt;0,
     COUNTIFS($X$2:$X$200,$G162)&gt;0,
     COUNTIFS($Y$2:$Y$200,$G162)&gt;0,
     COUNTIFS($Z$2:$Z$200,$G162)&gt;0,
     COUNTIFS($AA$2:$AA$200,$G162)&gt;0,
     COUNTIFS($AB$2:$AB$200,$G162)&gt;0,
     COUNTIFS($AC$2:$AC$200,$G162)&gt;0,
     COUNTIFS($AD$2:$AD$200,$G162)&gt;0,
     COUNTIFS($AE$2:$AE$200,$G162)&gt;0,
     COUNTIFS($AF$2:$AF$200,$G162)&gt;0,
     COUNTIFS($AG$2:$AG$200,$G162)&gt;0,
     COUNTIFS($AH$2:$AH$200,$G162)&gt;0,
     COUNTIFS($AI$2:$AI$200,$G162)&gt;0,
     COUNTIFS($AJ$2:$AJ$200,$G162)&gt;0,
     COUNTIFS($AK$2:$AK$200,$G162)&gt;0,
     COUNTIFS($AL$2:$AL$200,$G162)&gt;0,
     COUNTIFS($AM$2:$AM$200,$G162)&gt;0,
     COUNTIFS($AN$2:$AN$200,$G162)&gt;0,
     COUNTIFS($AO$2:$AO$200,$G162)&gt;0,
     COUNTIFS($AP$2:$AP$200,$G162)&gt;0,
     COUNTIFS($AQ$2:$AQ$200,$G162)&gt;0,
     COUNTIFS($AR$2:$AR$200,$G162)&gt;0,
     COUNTIFS($AS$2:$AS$200,$G162)&gt;0,
     COUNTIFS($AT$2:$AT$200,$G162)&gt;0,
     COUNTIFS($AU$2:$AU$200,$G162)&gt;0,
     COUNTIFS($AV$2:$AV$200,$G162)&gt;0,
     COUNTIFS($AW$2:$AW$200,$G162)&gt;0,
     COUNTIFS($AX$2:$AX$200,$G162)&gt;0
   )),
  ),
  2
 ),
"")</f>
        <v/>
      </c>
      <c r="E162" s="3" t="str" cm="1">
        <f t="array" aca="1" ref="E162" ca="1">IFERROR(
 INDEX(
  _xlfn._xlws.FILTER($U$1:$AX$1,
   TRANSPOSE(
    CHOOSE({1;2;3;4;5;6;7;8;9;10;11;12;13;14;15;16;17;18;19;20;21;22;23;24;25;26;27;28;29;30},
     COUNTIFS($U$2:$U$200,$G162)&gt;0,
     COUNTIFS($V$2:$V$200,$G162)&gt;0,
     COUNTIFS($W$2:$W$200,$G162)&gt;0,
     COUNTIFS($X$2:$X$200,$G162)&gt;0,
     COUNTIFS($Y$2:$Y$200,$G162)&gt;0,
     COUNTIFS($Z$2:$Z$200,$G162)&gt;0,
     COUNTIFS($AA$2:$AA$200,$G162)&gt;0,
     COUNTIFS($AB$2:$AB$200,$G162)&gt;0,
     COUNTIFS($AC$2:$AC$200,$G162)&gt;0,
     COUNTIFS($AD$2:$AD$200,$G162)&gt;0,
     COUNTIFS($AE$2:$AE$200,$G162)&gt;0,
     COUNTIFS($AF$2:$AF$200,$G162)&gt;0,
     COUNTIFS($AG$2:$AG$200,$G162)&gt;0,
     COUNTIFS($AH$2:$AH$200,$G162)&gt;0,
     COUNTIFS($AI$2:$AI$200,$G162)&gt;0,
     COUNTIFS($AJ$2:$AJ$200,$G162)&gt;0,
     COUNTIFS($AK$2:$AK$200,$G162)&gt;0,
     COUNTIFS($AL$2:$AL$200,$G162)&gt;0,
     COUNTIFS($AM$2:$AM$200,$G162)&gt;0,
     COUNTIFS($AN$2:$AN$200,$G162)&gt;0,
     COUNTIFS($AO$2:$AO$200,$G162)&gt;0,
     COUNTIFS($AP$2:$AP$200,$G162)&gt;0,
     COUNTIFS($AQ$2:$AQ$200,$G162)&gt;0,
     COUNTIFS($AR$2:$AR$200,$G162)&gt;0,
     COUNTIFS($AS$2:$AS$200,$G162)&gt;0,
     COUNTIFS($AT$2:$AT$200,$G162)&gt;0,
     COUNTIFS($AU$2:$AU$200,$G162)&gt;0,
     COUNTIFS($AV$2:$AV$200,$G162)&gt;0,
     COUNTIFS($AW$2:$AW$200,$G162)&gt;0,
     COUNTIFS($AX$2:$AX$200,$G162)&gt;0
   )),
  ),
  3
 ),
"")</f>
        <v/>
      </c>
      <c r="F162" s="3" t="str" cm="1">
        <f t="array" aca="1" ref="F162" ca="1">IFERROR(
 INDEX(
  _xlfn._xlws.FILTER($U$1:$AX$1,
   TRANSPOSE(
    CHOOSE({1;2;3;4;5;6;7;8;9;10;11;12;13;14;15;16;17;18;19;20;21;22;23;24;25;26;27;28;29;30},
     COUNTIFS($U$2:$U$200,$G162)&gt;0,
     COUNTIFS($V$2:$V$200,$G162)&gt;0,
     COUNTIFS($W$2:$W$200,$G162)&gt;0,
     COUNTIFS($X$2:$X$200,$G162)&gt;0,
     COUNTIFS($Y$2:$Y$200,$G162)&gt;0,
     COUNTIFS($Z$2:$Z$200,$G162)&gt;0,
     COUNTIFS($AA$2:$AA$200,$G162)&gt;0,
     COUNTIFS($AB$2:$AB$200,$G162)&gt;0,
     COUNTIFS($AC$2:$AC$200,$G162)&gt;0,
     COUNTIFS($AD$2:$AD$200,$G162)&gt;0,
     COUNTIFS($AE$2:$AE$200,$G162)&gt;0,
     COUNTIFS($AF$2:$AF$200,$G162)&gt;0,
     COUNTIFS($AG$2:$AG$200,$G162)&gt;0,
     COUNTIFS($AH$2:$AH$200,$G162)&gt;0,
     COUNTIFS($AI$2:$AI$200,$G162)&gt;0,
     COUNTIFS($AJ$2:$AJ$200,$G162)&gt;0,
     COUNTIFS($AK$2:$AK$200,$G162)&gt;0,
     COUNTIFS($AL$2:$AL$200,$G162)&gt;0,
     COUNTIFS($AM$2:$AM$200,$G162)&gt;0,
     COUNTIFS($AN$2:$AN$200,$G162)&gt;0,
     COUNTIFS($AO$2:$AO$200,$G162)&gt;0,
     COUNTIFS($AP$2:$AP$200,$G162)&gt;0,
     COUNTIFS($AQ$2:$AQ$200,$G162)&gt;0,
     COUNTIFS($AR$2:$AR$200,$G162)&gt;0,
     COUNTIFS($AS$2:$AS$200,$G162)&gt;0,
     COUNTIFS($AT$2:$AT$200,$G162)&gt;0,
     COUNTIFS($AU$2:$AU$200,$G162)&gt;0,
     COUNTIFS($AV$2:$AV$200,$G162)&gt;0,
     COUNTIFS($AW$2:$AW$200,$G162)&gt;0,
     COUNTIFS($AX$2:$AX$200,$G162)&gt;0
   )),
  ),
  4
 ),
"")</f>
        <v/>
      </c>
      <c r="G162" t="str">
        <f ca="1"/>
        <v>Incubation Druid</v>
      </c>
      <c r="BO162" t="str">
        <f ca="1"/>
        <v>The Great Henge</v>
      </c>
      <c r="BT162" t="str">
        <f ca="1"/>
        <v>Season of Weaving</v>
      </c>
    </row>
    <row r="163" spans="1:72" x14ac:dyDescent="0.25">
      <c r="A163" s="3" t="str">
        <f t="shared" ca="1" si="6"/>
        <v>1</v>
      </c>
      <c r="B163" s="3">
        <f t="shared" ca="1" si="7"/>
        <v>1</v>
      </c>
      <c r="C163" s="3" t="str">
        <f ca="1">IFERROR(
 INDEX($U$1:$AX$1,
  MATCH(TRUE,
   CHOOSE({1;2;3;4;5;6;7;8;9;10;11;12;13;14;15;16;17;18;19;20;21;22;23;24;25;26;27;28;29;30;31;32},
    COUNTIFS($U$2:$U$200,$G163)&gt;0,
    COUNTIFS($V$2:$V$200,$G163)&gt;0,
    COUNTIFS($W$2:$W$200,$G163)&gt;0,
    COUNTIFS($X$2:$X$200,$G163)&gt;0,
    COUNTIFS($Y$2:$Y$200,$G163)&gt;0,
    COUNTIFS($Z$2:$Z$200,$G163)&gt;0,
    COUNTIFS($AA$2:$AA$200,$G163)&gt;0,
    COUNTIFS($AB$2:$AB$200,$G163)&gt;0,
    COUNTIFS($AC$2:$AC$200,$G163)&gt;0,
    COUNTIFS($AD$2:$AD$200,$G163)&gt;0,
    COUNTIFS($AE$2:$AE$200,$G163)&gt;0,
    COUNTIFS($AF$2:$AF$200,$G163)&gt;0,
    COUNTIFS($AG$2:$AG$200,$G163)&gt;0,
    COUNTIFS($AH$2:$AH$200,$G163)&gt;0,
    COUNTIFS($AI$2:$AI$200,$G163)&gt;0,
    COUNTIFS($AJ$2:$AJ$200,$G163)&gt;0,
    COUNTIFS($AK$2:$AK$200,$G163)&gt;0,
    COUNTIFS($AL$2:$AL$200,$G163)&gt;0,
    COUNTIFS($AM$2:$AM$200,$G163)&gt;0,
    COUNTIFS($AN$2:$AN$200,$G163)&gt;0,
    COUNTIFS($AO$2:$AO$200,$G163)&gt;0,
    COUNTIFS($AP$2:$AP$200,$G163)&gt;0,
    COUNTIFS($AQ$2:$AQ$200,$G163)&gt;0,
    COUNTIFS($AR$2:$AR$200,$G163)&gt;0,
    COUNTIFS($AS$2:$AS$200,$G163)&gt;0,
    COUNTIFS($AT$2:$AT$200,$G163)&gt;0,
    COUNTIFS($AU$2:$AU$200,$G163)&gt;0,
    COUNTIFS($AV$2:$AV$200,$G163)&gt;0,
    COUNTIFS($AW$2:$AW$200,$G163)&gt;0,
    COUNTIFS($AX$2:$AX$200,$G163)&gt;0
   ),
  0)
 ),
"")</f>
        <v>Modular</v>
      </c>
      <c r="D163" s="3" t="str" cm="1">
        <f t="array" aca="1" ref="D163" ca="1">IFERROR(
 INDEX(
  _xlfn._xlws.FILTER($U$1:$AX$1,
   TRANSPOSE(
    CHOOSE({1;2;3;4;5;6;7;8;9;10;11;12;13;14;15;16;17;18;19;20;21;22;23;24;25;26;27;28;29;30},
     COUNTIFS($U$2:$U$200,$G163)&gt;0,
     COUNTIFS($V$2:$V$200,$G163)&gt;0,
     COUNTIFS($W$2:$W$200,$G163)&gt;0,
     COUNTIFS($X$2:$X$200,$G163)&gt;0,
     COUNTIFS($Y$2:$Y$200,$G163)&gt;0,
     COUNTIFS($Z$2:$Z$200,$G163)&gt;0,
     COUNTIFS($AA$2:$AA$200,$G163)&gt;0,
     COUNTIFS($AB$2:$AB$200,$G163)&gt;0,
     COUNTIFS($AC$2:$AC$200,$G163)&gt;0,
     COUNTIFS($AD$2:$AD$200,$G163)&gt;0,
     COUNTIFS($AE$2:$AE$200,$G163)&gt;0,
     COUNTIFS($AF$2:$AF$200,$G163)&gt;0,
     COUNTIFS($AG$2:$AG$200,$G163)&gt;0,
     COUNTIFS($AH$2:$AH$200,$G163)&gt;0,
     COUNTIFS($AI$2:$AI$200,$G163)&gt;0,
     COUNTIFS($AJ$2:$AJ$200,$G163)&gt;0,
     COUNTIFS($AK$2:$AK$200,$G163)&gt;0,
     COUNTIFS($AL$2:$AL$200,$G163)&gt;0,
     COUNTIFS($AM$2:$AM$200,$G163)&gt;0,
     COUNTIFS($AN$2:$AN$200,$G163)&gt;0,
     COUNTIFS($AO$2:$AO$200,$G163)&gt;0,
     COUNTIFS($AP$2:$AP$200,$G163)&gt;0,
     COUNTIFS($AQ$2:$AQ$200,$G163)&gt;0,
     COUNTIFS($AR$2:$AR$200,$G163)&gt;0,
     COUNTIFS($AS$2:$AS$200,$G163)&gt;0,
     COUNTIFS($AT$2:$AT$200,$G163)&gt;0,
     COUNTIFS($AU$2:$AU$200,$G163)&gt;0,
     COUNTIFS($AV$2:$AV$200,$G163)&gt;0,
     COUNTIFS($AW$2:$AW$200,$G163)&gt;0,
     COUNTIFS($AX$2:$AX$200,$G163)&gt;0
   )),
  ),
  2
 ),
"")</f>
        <v/>
      </c>
      <c r="E163" s="3" t="str" cm="1">
        <f t="array" aca="1" ref="E163" ca="1">IFERROR(
 INDEX(
  _xlfn._xlws.FILTER($U$1:$AX$1,
   TRANSPOSE(
    CHOOSE({1;2;3;4;5;6;7;8;9;10;11;12;13;14;15;16;17;18;19;20;21;22;23;24;25;26;27;28;29;30},
     COUNTIFS($U$2:$U$200,$G163)&gt;0,
     COUNTIFS($V$2:$V$200,$G163)&gt;0,
     COUNTIFS($W$2:$W$200,$G163)&gt;0,
     COUNTIFS($X$2:$X$200,$G163)&gt;0,
     COUNTIFS($Y$2:$Y$200,$G163)&gt;0,
     COUNTIFS($Z$2:$Z$200,$G163)&gt;0,
     COUNTIFS($AA$2:$AA$200,$G163)&gt;0,
     COUNTIFS($AB$2:$AB$200,$G163)&gt;0,
     COUNTIFS($AC$2:$AC$200,$G163)&gt;0,
     COUNTIFS($AD$2:$AD$200,$G163)&gt;0,
     COUNTIFS($AE$2:$AE$200,$G163)&gt;0,
     COUNTIFS($AF$2:$AF$200,$G163)&gt;0,
     COUNTIFS($AG$2:$AG$200,$G163)&gt;0,
     COUNTIFS($AH$2:$AH$200,$G163)&gt;0,
     COUNTIFS($AI$2:$AI$200,$G163)&gt;0,
     COUNTIFS($AJ$2:$AJ$200,$G163)&gt;0,
     COUNTIFS($AK$2:$AK$200,$G163)&gt;0,
     COUNTIFS($AL$2:$AL$200,$G163)&gt;0,
     COUNTIFS($AM$2:$AM$200,$G163)&gt;0,
     COUNTIFS($AN$2:$AN$200,$G163)&gt;0,
     COUNTIFS($AO$2:$AO$200,$G163)&gt;0,
     COUNTIFS($AP$2:$AP$200,$G163)&gt;0,
     COUNTIFS($AQ$2:$AQ$200,$G163)&gt;0,
     COUNTIFS($AR$2:$AR$200,$G163)&gt;0,
     COUNTIFS($AS$2:$AS$200,$G163)&gt;0,
     COUNTIFS($AT$2:$AT$200,$G163)&gt;0,
     COUNTIFS($AU$2:$AU$200,$G163)&gt;0,
     COUNTIFS($AV$2:$AV$200,$G163)&gt;0,
     COUNTIFS($AW$2:$AW$200,$G163)&gt;0,
     COUNTIFS($AX$2:$AX$200,$G163)&gt;0
   )),
  ),
  3
 ),
"")</f>
        <v/>
      </c>
      <c r="F163" s="3" t="str" cm="1">
        <f t="array" aca="1" ref="F163" ca="1">IFERROR(
 INDEX(
  _xlfn._xlws.FILTER($U$1:$AX$1,
   TRANSPOSE(
    CHOOSE({1;2;3;4;5;6;7;8;9;10;11;12;13;14;15;16;17;18;19;20;21;22;23;24;25;26;27;28;29;30},
     COUNTIFS($U$2:$U$200,$G163)&gt;0,
     COUNTIFS($V$2:$V$200,$G163)&gt;0,
     COUNTIFS($W$2:$W$200,$G163)&gt;0,
     COUNTIFS($X$2:$X$200,$G163)&gt;0,
     COUNTIFS($Y$2:$Y$200,$G163)&gt;0,
     COUNTIFS($Z$2:$Z$200,$G163)&gt;0,
     COUNTIFS($AA$2:$AA$200,$G163)&gt;0,
     COUNTIFS($AB$2:$AB$200,$G163)&gt;0,
     COUNTIFS($AC$2:$AC$200,$G163)&gt;0,
     COUNTIFS($AD$2:$AD$200,$G163)&gt;0,
     COUNTIFS($AE$2:$AE$200,$G163)&gt;0,
     COUNTIFS($AF$2:$AF$200,$G163)&gt;0,
     COUNTIFS($AG$2:$AG$200,$G163)&gt;0,
     COUNTIFS($AH$2:$AH$200,$G163)&gt;0,
     COUNTIFS($AI$2:$AI$200,$G163)&gt;0,
     COUNTIFS($AJ$2:$AJ$200,$G163)&gt;0,
     COUNTIFS($AK$2:$AK$200,$G163)&gt;0,
     COUNTIFS($AL$2:$AL$200,$G163)&gt;0,
     COUNTIFS($AM$2:$AM$200,$G163)&gt;0,
     COUNTIFS($AN$2:$AN$200,$G163)&gt;0,
     COUNTIFS($AO$2:$AO$200,$G163)&gt;0,
     COUNTIFS($AP$2:$AP$200,$G163)&gt;0,
     COUNTIFS($AQ$2:$AQ$200,$G163)&gt;0,
     COUNTIFS($AR$2:$AR$200,$G163)&gt;0,
     COUNTIFS($AS$2:$AS$200,$G163)&gt;0,
     COUNTIFS($AT$2:$AT$200,$G163)&gt;0,
     COUNTIFS($AU$2:$AU$200,$G163)&gt;0,
     COUNTIFS($AV$2:$AV$200,$G163)&gt;0,
     COUNTIFS($AW$2:$AW$200,$G163)&gt;0,
     COUNTIFS($AX$2:$AX$200,$G163)&gt;0
   )),
  ),
  4
 ),
"")</f>
        <v/>
      </c>
      <c r="G163" t="str">
        <f ca="1"/>
        <v>Inkmoth Nexus</v>
      </c>
      <c r="BO163" t="str">
        <f ca="1"/>
        <v>The Indomitable</v>
      </c>
      <c r="BT163" t="str">
        <f ca="1"/>
        <v>Serenata das Estriges</v>
      </c>
    </row>
    <row r="164" spans="1:72" x14ac:dyDescent="0.25">
      <c r="A164" s="3" t="str">
        <f t="shared" ca="1" si="6"/>
        <v>4</v>
      </c>
      <c r="B164" s="3">
        <f t="shared" ca="1" si="7"/>
        <v>1</v>
      </c>
      <c r="C164" s="3" t="str">
        <f ca="1">IFERROR(
 INDEX($U$1:$AX$1,
  MATCH(TRUE,
   CHOOSE({1;2;3;4;5;6;7;8;9;10;11;12;13;14;15;16;17;18;19;20;21;22;23;24;25;26;27;28;29;30;31;32},
    COUNTIFS($U$2:$U$200,$G164)&gt;0,
    COUNTIFS($V$2:$V$200,$G164)&gt;0,
    COUNTIFS($W$2:$W$200,$G164)&gt;0,
    COUNTIFS($X$2:$X$200,$G164)&gt;0,
    COUNTIFS($Y$2:$Y$200,$G164)&gt;0,
    COUNTIFS($Z$2:$Z$200,$G164)&gt;0,
    COUNTIFS($AA$2:$AA$200,$G164)&gt;0,
    COUNTIFS($AB$2:$AB$200,$G164)&gt;0,
    COUNTIFS($AC$2:$AC$200,$G164)&gt;0,
    COUNTIFS($AD$2:$AD$200,$G164)&gt;0,
    COUNTIFS($AE$2:$AE$200,$G164)&gt;0,
    COUNTIFS($AF$2:$AF$200,$G164)&gt;0,
    COUNTIFS($AG$2:$AG$200,$G164)&gt;0,
    COUNTIFS($AH$2:$AH$200,$G164)&gt;0,
    COUNTIFS($AI$2:$AI$200,$G164)&gt;0,
    COUNTIFS($AJ$2:$AJ$200,$G164)&gt;0,
    COUNTIFS($AK$2:$AK$200,$G164)&gt;0,
    COUNTIFS($AL$2:$AL$200,$G164)&gt;0,
    COUNTIFS($AM$2:$AM$200,$G164)&gt;0,
    COUNTIFS($AN$2:$AN$200,$G164)&gt;0,
    COUNTIFS($AO$2:$AO$200,$G164)&gt;0,
    COUNTIFS($AP$2:$AP$200,$G164)&gt;0,
    COUNTIFS($AQ$2:$AQ$200,$G164)&gt;0,
    COUNTIFS($AR$2:$AR$200,$G164)&gt;0,
    COUNTIFS($AS$2:$AS$200,$G164)&gt;0,
    COUNTIFS($AT$2:$AT$200,$G164)&gt;0,
    COUNTIFS($AU$2:$AU$200,$G164)&gt;0,
    COUNTIFS($AV$2:$AV$200,$G164)&gt;0,
    COUNTIFS($AW$2:$AW$200,$G164)&gt;0,
    COUNTIFS($AX$2:$AX$200,$G164)&gt;0
   ),
  0)
 ),
"")</f>
        <v>Oona</v>
      </c>
      <c r="D164" s="3" t="str" cm="1">
        <f t="array" aca="1" ref="D164" ca="1">IFERROR(
 INDEX(
  _xlfn._xlws.FILTER($U$1:$AX$1,
   TRANSPOSE(
    CHOOSE({1;2;3;4;5;6;7;8;9;10;11;12;13;14;15;16;17;18;19;20;21;22;23;24;25;26;27;28;29;30},
     COUNTIFS($U$2:$U$200,$G164)&gt;0,
     COUNTIFS($V$2:$V$200,$G164)&gt;0,
     COUNTIFS($W$2:$W$200,$G164)&gt;0,
     COUNTIFS($X$2:$X$200,$G164)&gt;0,
     COUNTIFS($Y$2:$Y$200,$G164)&gt;0,
     COUNTIFS($Z$2:$Z$200,$G164)&gt;0,
     COUNTIFS($AA$2:$AA$200,$G164)&gt;0,
     COUNTIFS($AB$2:$AB$200,$G164)&gt;0,
     COUNTIFS($AC$2:$AC$200,$G164)&gt;0,
     COUNTIFS($AD$2:$AD$200,$G164)&gt;0,
     COUNTIFS($AE$2:$AE$200,$G164)&gt;0,
     COUNTIFS($AF$2:$AF$200,$G164)&gt;0,
     COUNTIFS($AG$2:$AG$200,$G164)&gt;0,
     COUNTIFS($AH$2:$AH$200,$G164)&gt;0,
     COUNTIFS($AI$2:$AI$200,$G164)&gt;0,
     COUNTIFS($AJ$2:$AJ$200,$G164)&gt;0,
     COUNTIFS($AK$2:$AK$200,$G164)&gt;0,
     COUNTIFS($AL$2:$AL$200,$G164)&gt;0,
     COUNTIFS($AM$2:$AM$200,$G164)&gt;0,
     COUNTIFS($AN$2:$AN$200,$G164)&gt;0,
     COUNTIFS($AO$2:$AO$200,$G164)&gt;0,
     COUNTIFS($AP$2:$AP$200,$G164)&gt;0,
     COUNTIFS($AQ$2:$AQ$200,$G164)&gt;0,
     COUNTIFS($AR$2:$AR$200,$G164)&gt;0,
     COUNTIFS($AS$2:$AS$200,$G164)&gt;0,
     COUNTIFS($AT$2:$AT$200,$G164)&gt;0,
     COUNTIFS($AU$2:$AU$200,$G164)&gt;0,
     COUNTIFS($AV$2:$AV$200,$G164)&gt;0,
     COUNTIFS($AW$2:$AW$200,$G164)&gt;0,
     COUNTIFS($AX$2:$AX$200,$G164)&gt;0
   )),
  ),
  2
 ),
"")</f>
        <v/>
      </c>
      <c r="E164" s="3" t="str" cm="1">
        <f t="array" aca="1" ref="E164" ca="1">IFERROR(
 INDEX(
  _xlfn._xlws.FILTER($U$1:$AX$1,
   TRANSPOSE(
    CHOOSE({1;2;3;4;5;6;7;8;9;10;11;12;13;14;15;16;17;18;19;20;21;22;23;24;25;26;27;28;29;30},
     COUNTIFS($U$2:$U$200,$G164)&gt;0,
     COUNTIFS($V$2:$V$200,$G164)&gt;0,
     COUNTIFS($W$2:$W$200,$G164)&gt;0,
     COUNTIFS($X$2:$X$200,$G164)&gt;0,
     COUNTIFS($Y$2:$Y$200,$G164)&gt;0,
     COUNTIFS($Z$2:$Z$200,$G164)&gt;0,
     COUNTIFS($AA$2:$AA$200,$G164)&gt;0,
     COUNTIFS($AB$2:$AB$200,$G164)&gt;0,
     COUNTIFS($AC$2:$AC$200,$G164)&gt;0,
     COUNTIFS($AD$2:$AD$200,$G164)&gt;0,
     COUNTIFS($AE$2:$AE$200,$G164)&gt;0,
     COUNTIFS($AF$2:$AF$200,$G164)&gt;0,
     COUNTIFS($AG$2:$AG$200,$G164)&gt;0,
     COUNTIFS($AH$2:$AH$200,$G164)&gt;0,
     COUNTIFS($AI$2:$AI$200,$G164)&gt;0,
     COUNTIFS($AJ$2:$AJ$200,$G164)&gt;0,
     COUNTIFS($AK$2:$AK$200,$G164)&gt;0,
     COUNTIFS($AL$2:$AL$200,$G164)&gt;0,
     COUNTIFS($AM$2:$AM$200,$G164)&gt;0,
     COUNTIFS($AN$2:$AN$200,$G164)&gt;0,
     COUNTIFS($AO$2:$AO$200,$G164)&gt;0,
     COUNTIFS($AP$2:$AP$200,$G164)&gt;0,
     COUNTIFS($AQ$2:$AQ$200,$G164)&gt;0,
     COUNTIFS($AR$2:$AR$200,$G164)&gt;0,
     COUNTIFS($AS$2:$AS$200,$G164)&gt;0,
     COUNTIFS($AT$2:$AT$200,$G164)&gt;0,
     COUNTIFS($AU$2:$AU$200,$G164)&gt;0,
     COUNTIFS($AV$2:$AV$200,$G164)&gt;0,
     COUNTIFS($AW$2:$AW$200,$G164)&gt;0,
     COUNTIFS($AX$2:$AX$200,$G164)&gt;0
   )),
  ),
  3
 ),
"")</f>
        <v/>
      </c>
      <c r="F164" s="3" t="str" cm="1">
        <f t="array" aca="1" ref="F164" ca="1">IFERROR(
 INDEX(
  _xlfn._xlws.FILTER($U$1:$AX$1,
   TRANSPOSE(
    CHOOSE({1;2;3;4;5;6;7;8;9;10;11;12;13;14;15;16;17;18;19;20;21;22;23;24;25;26;27;28;29;30},
     COUNTIFS($U$2:$U$200,$G164)&gt;0,
     COUNTIFS($V$2:$V$200,$G164)&gt;0,
     COUNTIFS($W$2:$W$200,$G164)&gt;0,
     COUNTIFS($X$2:$X$200,$G164)&gt;0,
     COUNTIFS($Y$2:$Y$200,$G164)&gt;0,
     COUNTIFS($Z$2:$Z$200,$G164)&gt;0,
     COUNTIFS($AA$2:$AA$200,$G164)&gt;0,
     COUNTIFS($AB$2:$AB$200,$G164)&gt;0,
     COUNTIFS($AC$2:$AC$200,$G164)&gt;0,
     COUNTIFS($AD$2:$AD$200,$G164)&gt;0,
     COUNTIFS($AE$2:$AE$200,$G164)&gt;0,
     COUNTIFS($AF$2:$AF$200,$G164)&gt;0,
     COUNTIFS($AG$2:$AG$200,$G164)&gt;0,
     COUNTIFS($AH$2:$AH$200,$G164)&gt;0,
     COUNTIFS($AI$2:$AI$200,$G164)&gt;0,
     COUNTIFS($AJ$2:$AJ$200,$G164)&gt;0,
     COUNTIFS($AK$2:$AK$200,$G164)&gt;0,
     COUNTIFS($AL$2:$AL$200,$G164)&gt;0,
     COUNTIFS($AM$2:$AM$200,$G164)&gt;0,
     COUNTIFS($AN$2:$AN$200,$G164)&gt;0,
     COUNTIFS($AO$2:$AO$200,$G164)&gt;0,
     COUNTIFS($AP$2:$AP$200,$G164)&gt;0,
     COUNTIFS($AQ$2:$AQ$200,$G164)&gt;0,
     COUNTIFS($AR$2:$AR$200,$G164)&gt;0,
     COUNTIFS($AS$2:$AS$200,$G164)&gt;0,
     COUNTIFS($AT$2:$AT$200,$G164)&gt;0,
     COUNTIFS($AU$2:$AU$200,$G164)&gt;0,
     COUNTIFS($AV$2:$AV$200,$G164)&gt;0,
     COUNTIFS($AW$2:$AW$200,$G164)&gt;0,
     COUNTIFS($AX$2:$AX$200,$G164)&gt;0
   )),
  ),
  4
 ),
"")</f>
        <v/>
      </c>
      <c r="G164" t="str">
        <f ca="1"/>
        <v>Invasion of Segovia</v>
      </c>
      <c r="BO164" t="str">
        <f ca="1"/>
        <v>The Jolly Balloon Man</v>
      </c>
      <c r="BT164" t="str">
        <f ca="1"/>
        <v>Shaku da Honra Desgastada</v>
      </c>
    </row>
    <row r="165" spans="1:72" x14ac:dyDescent="0.25">
      <c r="A165" s="3" t="str">
        <f t="shared" ca="1" si="6"/>
        <v>3</v>
      </c>
      <c r="B165" s="3">
        <f t="shared" ca="1" si="7"/>
        <v>1</v>
      </c>
      <c r="C165" s="3" t="str">
        <f ca="1">IFERROR(
 INDEX($U$1:$AX$1,
  MATCH(TRUE,
   CHOOSE({1;2;3;4;5;6;7;8;9;10;11;12;13;14;15;16;17;18;19;20;21;22;23;24;25;26;27;28;29;30;31;32},
    COUNTIFS($U$2:$U$200,$G165)&gt;0,
    COUNTIFS($V$2:$V$200,$G165)&gt;0,
    COUNTIFS($W$2:$W$200,$G165)&gt;0,
    COUNTIFS($X$2:$X$200,$G165)&gt;0,
    COUNTIFS($Y$2:$Y$200,$G165)&gt;0,
    COUNTIFS($Z$2:$Z$200,$G165)&gt;0,
    COUNTIFS($AA$2:$AA$200,$G165)&gt;0,
    COUNTIFS($AB$2:$AB$200,$G165)&gt;0,
    COUNTIFS($AC$2:$AC$200,$G165)&gt;0,
    COUNTIFS($AD$2:$AD$200,$G165)&gt;0,
    COUNTIFS($AE$2:$AE$200,$G165)&gt;0,
    COUNTIFS($AF$2:$AF$200,$G165)&gt;0,
    COUNTIFS($AG$2:$AG$200,$G165)&gt;0,
    COUNTIFS($AH$2:$AH$200,$G165)&gt;0,
    COUNTIFS($AI$2:$AI$200,$G165)&gt;0,
    COUNTIFS($AJ$2:$AJ$200,$G165)&gt;0,
    COUNTIFS($AK$2:$AK$200,$G165)&gt;0,
    COUNTIFS($AL$2:$AL$200,$G165)&gt;0,
    COUNTIFS($AM$2:$AM$200,$G165)&gt;0,
    COUNTIFS($AN$2:$AN$200,$G165)&gt;0,
    COUNTIFS($AO$2:$AO$200,$G165)&gt;0,
    COUNTIFS($AP$2:$AP$200,$G165)&gt;0,
    COUNTIFS($AQ$2:$AQ$200,$G165)&gt;0,
    COUNTIFS($AR$2:$AR$200,$G165)&gt;0,
    COUNTIFS($AS$2:$AS$200,$G165)&gt;0,
    COUNTIFS($AT$2:$AT$200,$G165)&gt;0,
    COUNTIFS($AU$2:$AU$200,$G165)&gt;0,
    COUNTIFS($AV$2:$AV$200,$G165)&gt;0,
    COUNTIFS($AW$2:$AW$200,$G165)&gt;0,
    COUNTIFS($AX$2:$AX$200,$G165)&gt;0
   ),
  0)
 ),
"")</f>
        <v>Muzzio</v>
      </c>
      <c r="D165" s="3" t="str" cm="1">
        <f t="array" aca="1" ref="D165" ca="1">IFERROR(
 INDEX(
  _xlfn._xlws.FILTER($U$1:$AX$1,
   TRANSPOSE(
    CHOOSE({1;2;3;4;5;6;7;8;9;10;11;12;13;14;15;16;17;18;19;20;21;22;23;24;25;26;27;28;29;30},
     COUNTIFS($U$2:$U$200,$G165)&gt;0,
     COUNTIFS($V$2:$V$200,$G165)&gt;0,
     COUNTIFS($W$2:$W$200,$G165)&gt;0,
     COUNTIFS($X$2:$X$200,$G165)&gt;0,
     COUNTIFS($Y$2:$Y$200,$G165)&gt;0,
     COUNTIFS($Z$2:$Z$200,$G165)&gt;0,
     COUNTIFS($AA$2:$AA$200,$G165)&gt;0,
     COUNTIFS($AB$2:$AB$200,$G165)&gt;0,
     COUNTIFS($AC$2:$AC$200,$G165)&gt;0,
     COUNTIFS($AD$2:$AD$200,$G165)&gt;0,
     COUNTIFS($AE$2:$AE$200,$G165)&gt;0,
     COUNTIFS($AF$2:$AF$200,$G165)&gt;0,
     COUNTIFS($AG$2:$AG$200,$G165)&gt;0,
     COUNTIFS($AH$2:$AH$200,$G165)&gt;0,
     COUNTIFS($AI$2:$AI$200,$G165)&gt;0,
     COUNTIFS($AJ$2:$AJ$200,$G165)&gt;0,
     COUNTIFS($AK$2:$AK$200,$G165)&gt;0,
     COUNTIFS($AL$2:$AL$200,$G165)&gt;0,
     COUNTIFS($AM$2:$AM$200,$G165)&gt;0,
     COUNTIFS($AN$2:$AN$200,$G165)&gt;0,
     COUNTIFS($AO$2:$AO$200,$G165)&gt;0,
     COUNTIFS($AP$2:$AP$200,$G165)&gt;0,
     COUNTIFS($AQ$2:$AQ$200,$G165)&gt;0,
     COUNTIFS($AR$2:$AR$200,$G165)&gt;0,
     COUNTIFS($AS$2:$AS$200,$G165)&gt;0,
     COUNTIFS($AT$2:$AT$200,$G165)&gt;0,
     COUNTIFS($AU$2:$AU$200,$G165)&gt;0,
     COUNTIFS($AV$2:$AV$200,$G165)&gt;0,
     COUNTIFS($AW$2:$AW$200,$G165)&gt;0,
     COUNTIFS($AX$2:$AX$200,$G165)&gt;0
   )),
  ),
  2
 ),
"")</f>
        <v/>
      </c>
      <c r="E165" s="3" t="str" cm="1">
        <f t="array" aca="1" ref="E165" ca="1">IFERROR(
 INDEX(
  _xlfn._xlws.FILTER($U$1:$AX$1,
   TRANSPOSE(
    CHOOSE({1;2;3;4;5;6;7;8;9;10;11;12;13;14;15;16;17;18;19;20;21;22;23;24;25;26;27;28;29;30},
     COUNTIFS($U$2:$U$200,$G165)&gt;0,
     COUNTIFS($V$2:$V$200,$G165)&gt;0,
     COUNTIFS($W$2:$W$200,$G165)&gt;0,
     COUNTIFS($X$2:$X$200,$G165)&gt;0,
     COUNTIFS($Y$2:$Y$200,$G165)&gt;0,
     COUNTIFS($Z$2:$Z$200,$G165)&gt;0,
     COUNTIFS($AA$2:$AA$200,$G165)&gt;0,
     COUNTIFS($AB$2:$AB$200,$G165)&gt;0,
     COUNTIFS($AC$2:$AC$200,$G165)&gt;0,
     COUNTIFS($AD$2:$AD$200,$G165)&gt;0,
     COUNTIFS($AE$2:$AE$200,$G165)&gt;0,
     COUNTIFS($AF$2:$AF$200,$G165)&gt;0,
     COUNTIFS($AG$2:$AG$200,$G165)&gt;0,
     COUNTIFS($AH$2:$AH$200,$G165)&gt;0,
     COUNTIFS($AI$2:$AI$200,$G165)&gt;0,
     COUNTIFS($AJ$2:$AJ$200,$G165)&gt;0,
     COUNTIFS($AK$2:$AK$200,$G165)&gt;0,
     COUNTIFS($AL$2:$AL$200,$G165)&gt;0,
     COUNTIFS($AM$2:$AM$200,$G165)&gt;0,
     COUNTIFS($AN$2:$AN$200,$G165)&gt;0,
     COUNTIFS($AO$2:$AO$200,$G165)&gt;0,
     COUNTIFS($AP$2:$AP$200,$G165)&gt;0,
     COUNTIFS($AQ$2:$AQ$200,$G165)&gt;0,
     COUNTIFS($AR$2:$AR$200,$G165)&gt;0,
     COUNTIFS($AS$2:$AS$200,$G165)&gt;0,
     COUNTIFS($AT$2:$AT$200,$G165)&gt;0,
     COUNTIFS($AU$2:$AU$200,$G165)&gt;0,
     COUNTIFS($AV$2:$AV$200,$G165)&gt;0,
     COUNTIFS($AW$2:$AW$200,$G165)&gt;0,
     COUNTIFS($AX$2:$AX$200,$G165)&gt;0
   )),
  ),
  3
 ),
"")</f>
        <v/>
      </c>
      <c r="F165" s="3" t="str" cm="1">
        <f t="array" aca="1" ref="F165" ca="1">IFERROR(
 INDEX(
  _xlfn._xlws.FILTER($U$1:$AX$1,
   TRANSPOSE(
    CHOOSE({1;2;3;4;5;6;7;8;9;10;11;12;13;14;15;16;17;18;19;20;21;22;23;24;25;26;27;28;29;30},
     COUNTIFS($U$2:$U$200,$G165)&gt;0,
     COUNTIFS($V$2:$V$200,$G165)&gt;0,
     COUNTIFS($W$2:$W$200,$G165)&gt;0,
     COUNTIFS($X$2:$X$200,$G165)&gt;0,
     COUNTIFS($Y$2:$Y$200,$G165)&gt;0,
     COUNTIFS($Z$2:$Z$200,$G165)&gt;0,
     COUNTIFS($AA$2:$AA$200,$G165)&gt;0,
     COUNTIFS($AB$2:$AB$200,$G165)&gt;0,
     COUNTIFS($AC$2:$AC$200,$G165)&gt;0,
     COUNTIFS($AD$2:$AD$200,$G165)&gt;0,
     COUNTIFS($AE$2:$AE$200,$G165)&gt;0,
     COUNTIFS($AF$2:$AF$200,$G165)&gt;0,
     COUNTIFS($AG$2:$AG$200,$G165)&gt;0,
     COUNTIFS($AH$2:$AH$200,$G165)&gt;0,
     COUNTIFS($AI$2:$AI$200,$G165)&gt;0,
     COUNTIFS($AJ$2:$AJ$200,$G165)&gt;0,
     COUNTIFS($AK$2:$AK$200,$G165)&gt;0,
     COUNTIFS($AL$2:$AL$200,$G165)&gt;0,
     COUNTIFS($AM$2:$AM$200,$G165)&gt;0,
     COUNTIFS($AN$2:$AN$200,$G165)&gt;0,
     COUNTIFS($AO$2:$AO$200,$G165)&gt;0,
     COUNTIFS($AP$2:$AP$200,$G165)&gt;0,
     COUNTIFS($AQ$2:$AQ$200,$G165)&gt;0,
     COUNTIFS($AR$2:$AR$200,$G165)&gt;0,
     COUNTIFS($AS$2:$AS$200,$G165)&gt;0,
     COUNTIFS($AT$2:$AT$200,$G165)&gt;0,
     COUNTIFS($AU$2:$AU$200,$G165)&gt;0,
     COUNTIFS($AV$2:$AV$200,$G165)&gt;0,
     COUNTIFS($AW$2:$AW$200,$G165)&gt;0,
     COUNTIFS($AX$2:$AX$200,$G165)&gt;0
   )),
  ),
  4
 ),
"")</f>
        <v/>
      </c>
      <c r="G165" t="str">
        <f ca="1"/>
        <v>Inventors' Fair</v>
      </c>
      <c r="BO165" t="str">
        <f ca="1"/>
        <v>The Ozolith</v>
      </c>
      <c r="BT165" t="str">
        <f ca="1"/>
        <v>Shizo, Death's Storehouse</v>
      </c>
    </row>
    <row r="166" spans="1:72" x14ac:dyDescent="0.25">
      <c r="A166" s="3" t="str">
        <f t="shared" ca="1" si="6"/>
        <v>2</v>
      </c>
      <c r="B166" s="3">
        <f t="shared" ca="1" si="7"/>
        <v>1</v>
      </c>
      <c r="C166" s="3" t="str">
        <f ca="1">IFERROR(
 INDEX($U$1:$AX$1,
  MATCH(TRUE,
   CHOOSE({1;2;3;4;5;6;7;8;9;10;11;12;13;14;15;16;17;18;19;20;21;22;23;24;25;26;27;28;29;30;31;32},
    COUNTIFS($U$2:$U$200,$G166)&gt;0,
    COUNTIFS($V$2:$V$200,$G166)&gt;0,
    COUNTIFS($W$2:$W$200,$G166)&gt;0,
    COUNTIFS($X$2:$X$200,$G166)&gt;0,
    COUNTIFS($Y$2:$Y$200,$G166)&gt;0,
    COUNTIFS($Z$2:$Z$200,$G166)&gt;0,
    COUNTIFS($AA$2:$AA$200,$G166)&gt;0,
    COUNTIFS($AB$2:$AB$200,$G166)&gt;0,
    COUNTIFS($AC$2:$AC$200,$G166)&gt;0,
    COUNTIFS($AD$2:$AD$200,$G166)&gt;0,
    COUNTIFS($AE$2:$AE$200,$G166)&gt;0,
    COUNTIFS($AF$2:$AF$200,$G166)&gt;0,
    COUNTIFS($AG$2:$AG$200,$G166)&gt;0,
    COUNTIFS($AH$2:$AH$200,$G166)&gt;0,
    COUNTIFS($AI$2:$AI$200,$G166)&gt;0,
    COUNTIFS($AJ$2:$AJ$200,$G166)&gt;0,
    COUNTIFS($AK$2:$AK$200,$G166)&gt;0,
    COUNTIFS($AL$2:$AL$200,$G166)&gt;0,
    COUNTIFS($AM$2:$AM$200,$G166)&gt;0,
    COUNTIFS($AN$2:$AN$200,$G166)&gt;0,
    COUNTIFS($AO$2:$AO$200,$G166)&gt;0,
    COUNTIFS($AP$2:$AP$200,$G166)&gt;0,
    COUNTIFS($AQ$2:$AQ$200,$G166)&gt;0,
    COUNTIFS($AR$2:$AR$200,$G166)&gt;0,
    COUNTIFS($AS$2:$AS$200,$G166)&gt;0,
    COUNTIFS($AT$2:$AT$200,$G166)&gt;0,
    COUNTIFS($AU$2:$AU$200,$G166)&gt;0,
    COUNTIFS($AV$2:$AV$200,$G166)&gt;0,
    COUNTIFS($AW$2:$AW$200,$G166)&gt;0,
    COUNTIFS($AX$2:$AX$200,$G166)&gt;0
   ),
  0)
 ),
"")</f>
        <v>Narset</v>
      </c>
      <c r="D166" s="3" t="str" cm="1">
        <f t="array" aca="1" ref="D166" ca="1">IFERROR(
 INDEX(
  _xlfn._xlws.FILTER($U$1:$AX$1,
   TRANSPOSE(
    CHOOSE({1;2;3;4;5;6;7;8;9;10;11;12;13;14;15;16;17;18;19;20;21;22;23;24;25;26;27;28;29;30},
     COUNTIFS($U$2:$U$200,$G166)&gt;0,
     COUNTIFS($V$2:$V$200,$G166)&gt;0,
     COUNTIFS($W$2:$W$200,$G166)&gt;0,
     COUNTIFS($X$2:$X$200,$G166)&gt;0,
     COUNTIFS($Y$2:$Y$200,$G166)&gt;0,
     COUNTIFS($Z$2:$Z$200,$G166)&gt;0,
     COUNTIFS($AA$2:$AA$200,$G166)&gt;0,
     COUNTIFS($AB$2:$AB$200,$G166)&gt;0,
     COUNTIFS($AC$2:$AC$200,$G166)&gt;0,
     COUNTIFS($AD$2:$AD$200,$G166)&gt;0,
     COUNTIFS($AE$2:$AE$200,$G166)&gt;0,
     COUNTIFS($AF$2:$AF$200,$G166)&gt;0,
     COUNTIFS($AG$2:$AG$200,$G166)&gt;0,
     COUNTIFS($AH$2:$AH$200,$G166)&gt;0,
     COUNTIFS($AI$2:$AI$200,$G166)&gt;0,
     COUNTIFS($AJ$2:$AJ$200,$G166)&gt;0,
     COUNTIFS($AK$2:$AK$200,$G166)&gt;0,
     COUNTIFS($AL$2:$AL$200,$G166)&gt;0,
     COUNTIFS($AM$2:$AM$200,$G166)&gt;0,
     COUNTIFS($AN$2:$AN$200,$G166)&gt;0,
     COUNTIFS($AO$2:$AO$200,$G166)&gt;0,
     COUNTIFS($AP$2:$AP$200,$G166)&gt;0,
     COUNTIFS($AQ$2:$AQ$200,$G166)&gt;0,
     COUNTIFS($AR$2:$AR$200,$G166)&gt;0,
     COUNTIFS($AS$2:$AS$200,$G166)&gt;0,
     COUNTIFS($AT$2:$AT$200,$G166)&gt;0,
     COUNTIFS($AU$2:$AU$200,$G166)&gt;0,
     COUNTIFS($AV$2:$AV$200,$G166)&gt;0,
     COUNTIFS($AW$2:$AW$200,$G166)&gt;0,
     COUNTIFS($AX$2:$AX$200,$G166)&gt;0
   )),
  ),
  2
 ),
"")</f>
        <v/>
      </c>
      <c r="E166" s="3" t="str" cm="1">
        <f t="array" aca="1" ref="E166" ca="1">IFERROR(
 INDEX(
  _xlfn._xlws.FILTER($U$1:$AX$1,
   TRANSPOSE(
    CHOOSE({1;2;3;4;5;6;7;8;9;10;11;12;13;14;15;16;17;18;19;20;21;22;23;24;25;26;27;28;29;30},
     COUNTIFS($U$2:$U$200,$G166)&gt;0,
     COUNTIFS($V$2:$V$200,$G166)&gt;0,
     COUNTIFS($W$2:$W$200,$G166)&gt;0,
     COUNTIFS($X$2:$X$200,$G166)&gt;0,
     COUNTIFS($Y$2:$Y$200,$G166)&gt;0,
     COUNTIFS($Z$2:$Z$200,$G166)&gt;0,
     COUNTIFS($AA$2:$AA$200,$G166)&gt;0,
     COUNTIFS($AB$2:$AB$200,$G166)&gt;0,
     COUNTIFS($AC$2:$AC$200,$G166)&gt;0,
     COUNTIFS($AD$2:$AD$200,$G166)&gt;0,
     COUNTIFS($AE$2:$AE$200,$G166)&gt;0,
     COUNTIFS($AF$2:$AF$200,$G166)&gt;0,
     COUNTIFS($AG$2:$AG$200,$G166)&gt;0,
     COUNTIFS($AH$2:$AH$200,$G166)&gt;0,
     COUNTIFS($AI$2:$AI$200,$G166)&gt;0,
     COUNTIFS($AJ$2:$AJ$200,$G166)&gt;0,
     COUNTIFS($AK$2:$AK$200,$G166)&gt;0,
     COUNTIFS($AL$2:$AL$200,$G166)&gt;0,
     COUNTIFS($AM$2:$AM$200,$G166)&gt;0,
     COUNTIFS($AN$2:$AN$200,$G166)&gt;0,
     COUNTIFS($AO$2:$AO$200,$G166)&gt;0,
     COUNTIFS($AP$2:$AP$200,$G166)&gt;0,
     COUNTIFS($AQ$2:$AQ$200,$G166)&gt;0,
     COUNTIFS($AR$2:$AR$200,$G166)&gt;0,
     COUNTIFS($AS$2:$AS$200,$G166)&gt;0,
     COUNTIFS($AT$2:$AT$200,$G166)&gt;0,
     COUNTIFS($AU$2:$AU$200,$G166)&gt;0,
     COUNTIFS($AV$2:$AV$200,$G166)&gt;0,
     COUNTIFS($AW$2:$AW$200,$G166)&gt;0,
     COUNTIFS($AX$2:$AX$200,$G166)&gt;0
   )),
  ),
  3
 ),
"")</f>
        <v/>
      </c>
      <c r="F166" s="3" t="str" cm="1">
        <f t="array" aca="1" ref="F166" ca="1">IFERROR(
 INDEX(
  _xlfn._xlws.FILTER($U$1:$AX$1,
   TRANSPOSE(
    CHOOSE({1;2;3;4;5;6;7;8;9;10;11;12;13;14;15;16;17;18;19;20;21;22;23;24;25;26;27;28;29;30},
     COUNTIFS($U$2:$U$200,$G166)&gt;0,
     COUNTIFS($V$2:$V$200,$G166)&gt;0,
     COUNTIFS($W$2:$W$200,$G166)&gt;0,
     COUNTIFS($X$2:$X$200,$G166)&gt;0,
     COUNTIFS($Y$2:$Y$200,$G166)&gt;0,
     COUNTIFS($Z$2:$Z$200,$G166)&gt;0,
     COUNTIFS($AA$2:$AA$200,$G166)&gt;0,
     COUNTIFS($AB$2:$AB$200,$G166)&gt;0,
     COUNTIFS($AC$2:$AC$200,$G166)&gt;0,
     COUNTIFS($AD$2:$AD$200,$G166)&gt;0,
     COUNTIFS($AE$2:$AE$200,$G166)&gt;0,
     COUNTIFS($AF$2:$AF$200,$G166)&gt;0,
     COUNTIFS($AG$2:$AG$200,$G166)&gt;0,
     COUNTIFS($AH$2:$AH$200,$G166)&gt;0,
     COUNTIFS($AI$2:$AI$200,$G166)&gt;0,
     COUNTIFS($AJ$2:$AJ$200,$G166)&gt;0,
     COUNTIFS($AK$2:$AK$200,$G166)&gt;0,
     COUNTIFS($AL$2:$AL$200,$G166)&gt;0,
     COUNTIFS($AM$2:$AM$200,$G166)&gt;0,
     COUNTIFS($AN$2:$AN$200,$G166)&gt;0,
     COUNTIFS($AO$2:$AO$200,$G166)&gt;0,
     COUNTIFS($AP$2:$AP$200,$G166)&gt;0,
     COUNTIFS($AQ$2:$AQ$200,$G166)&gt;0,
     COUNTIFS($AR$2:$AR$200,$G166)&gt;0,
     COUNTIFS($AS$2:$AS$200,$G166)&gt;0,
     COUNTIFS($AT$2:$AT$200,$G166)&gt;0,
     COUNTIFS($AU$2:$AU$200,$G166)&gt;0,
     COUNTIFS($AV$2:$AV$200,$G166)&gt;0,
     COUNTIFS($AW$2:$AW$200,$G166)&gt;0,
     COUNTIFS($AX$2:$AX$200,$G166)&gt;0
   )),
  ),
  4
 ),
"")</f>
        <v/>
      </c>
      <c r="G166" t="str">
        <f ca="1"/>
        <v>Irenicus's Vile Duplication</v>
      </c>
      <c r="BO166" t="str">
        <f ca="1"/>
        <v>The Shire</v>
      </c>
      <c r="BT166" t="str">
        <f ca="1"/>
        <v>Simic Charm</v>
      </c>
    </row>
    <row r="167" spans="1:72" x14ac:dyDescent="0.25">
      <c r="A167" s="3" t="str">
        <f t="shared" ca="1" si="6"/>
        <v>1</v>
      </c>
      <c r="B167" s="3">
        <f t="shared" ca="1" si="7"/>
        <v>1</v>
      </c>
      <c r="C167" s="3" t="str">
        <f ca="1">IFERROR(
 INDEX($U$1:$AX$1,
  MATCH(TRUE,
   CHOOSE({1;2;3;4;5;6;7;8;9;10;11;12;13;14;15;16;17;18;19;20;21;22;23;24;25;26;27;28;29;30;31;32},
    COUNTIFS($U$2:$U$200,$G167)&gt;0,
    COUNTIFS($V$2:$V$200,$G167)&gt;0,
    COUNTIFS($W$2:$W$200,$G167)&gt;0,
    COUNTIFS($X$2:$X$200,$G167)&gt;0,
    COUNTIFS($Y$2:$Y$200,$G167)&gt;0,
    COUNTIFS($Z$2:$Z$200,$G167)&gt;0,
    COUNTIFS($AA$2:$AA$200,$G167)&gt;0,
    COUNTIFS($AB$2:$AB$200,$G167)&gt;0,
    COUNTIFS($AC$2:$AC$200,$G167)&gt;0,
    COUNTIFS($AD$2:$AD$200,$G167)&gt;0,
    COUNTIFS($AE$2:$AE$200,$G167)&gt;0,
    COUNTIFS($AF$2:$AF$200,$G167)&gt;0,
    COUNTIFS($AG$2:$AG$200,$G167)&gt;0,
    COUNTIFS($AH$2:$AH$200,$G167)&gt;0,
    COUNTIFS($AI$2:$AI$200,$G167)&gt;0,
    COUNTIFS($AJ$2:$AJ$200,$G167)&gt;0,
    COUNTIFS($AK$2:$AK$200,$G167)&gt;0,
    COUNTIFS($AL$2:$AL$200,$G167)&gt;0,
    COUNTIFS($AM$2:$AM$200,$G167)&gt;0,
    COUNTIFS($AN$2:$AN$200,$G167)&gt;0,
    COUNTIFS($AO$2:$AO$200,$G167)&gt;0,
    COUNTIFS($AP$2:$AP$200,$G167)&gt;0,
    COUNTIFS($AQ$2:$AQ$200,$G167)&gt;0,
    COUNTIFS($AR$2:$AR$200,$G167)&gt;0,
    COUNTIFS($AS$2:$AS$200,$G167)&gt;0,
    COUNTIFS($AT$2:$AT$200,$G167)&gt;0,
    COUNTIFS($AU$2:$AU$200,$G167)&gt;0,
    COUNTIFS($AV$2:$AV$200,$G167)&gt;0,
    COUNTIFS($AW$2:$AW$200,$G167)&gt;0,
    COUNTIFS($AX$2:$AX$200,$G167)&gt;0
   ),
  0)
 ),
"")</f>
        <v>Baylen</v>
      </c>
      <c r="D167" s="3" t="str" cm="1">
        <f t="array" aca="1" ref="D167" ca="1">IFERROR(
 INDEX(
  _xlfn._xlws.FILTER($U$1:$AX$1,
   TRANSPOSE(
    CHOOSE({1;2;3;4;5;6;7;8;9;10;11;12;13;14;15;16;17;18;19;20;21;22;23;24;25;26;27;28;29;30},
     COUNTIFS($U$2:$U$200,$G167)&gt;0,
     COUNTIFS($V$2:$V$200,$G167)&gt;0,
     COUNTIFS($W$2:$W$200,$G167)&gt;0,
     COUNTIFS($X$2:$X$200,$G167)&gt;0,
     COUNTIFS($Y$2:$Y$200,$G167)&gt;0,
     COUNTIFS($Z$2:$Z$200,$G167)&gt;0,
     COUNTIFS($AA$2:$AA$200,$G167)&gt;0,
     COUNTIFS($AB$2:$AB$200,$G167)&gt;0,
     COUNTIFS($AC$2:$AC$200,$G167)&gt;0,
     COUNTIFS($AD$2:$AD$200,$G167)&gt;0,
     COUNTIFS($AE$2:$AE$200,$G167)&gt;0,
     COUNTIFS($AF$2:$AF$200,$G167)&gt;0,
     COUNTIFS($AG$2:$AG$200,$G167)&gt;0,
     COUNTIFS($AH$2:$AH$200,$G167)&gt;0,
     COUNTIFS($AI$2:$AI$200,$G167)&gt;0,
     COUNTIFS($AJ$2:$AJ$200,$G167)&gt;0,
     COUNTIFS($AK$2:$AK$200,$G167)&gt;0,
     COUNTIFS($AL$2:$AL$200,$G167)&gt;0,
     COUNTIFS($AM$2:$AM$200,$G167)&gt;0,
     COUNTIFS($AN$2:$AN$200,$G167)&gt;0,
     COUNTIFS($AO$2:$AO$200,$G167)&gt;0,
     COUNTIFS($AP$2:$AP$200,$G167)&gt;0,
     COUNTIFS($AQ$2:$AQ$200,$G167)&gt;0,
     COUNTIFS($AR$2:$AR$200,$G167)&gt;0,
     COUNTIFS($AS$2:$AS$200,$G167)&gt;0,
     COUNTIFS($AT$2:$AT$200,$G167)&gt;0,
     COUNTIFS($AU$2:$AU$200,$G167)&gt;0,
     COUNTIFS($AV$2:$AV$200,$G167)&gt;0,
     COUNTIFS($AW$2:$AW$200,$G167)&gt;0,
     COUNTIFS($AX$2:$AX$200,$G167)&gt;0
   )),
  ),
  2
 ),
"")</f>
        <v/>
      </c>
      <c r="E167" s="3" t="str" cm="1">
        <f t="array" aca="1" ref="E167" ca="1">IFERROR(
 INDEX(
  _xlfn._xlws.FILTER($U$1:$AX$1,
   TRANSPOSE(
    CHOOSE({1;2;3;4;5;6;7;8;9;10;11;12;13;14;15;16;17;18;19;20;21;22;23;24;25;26;27;28;29;30},
     COUNTIFS($U$2:$U$200,$G167)&gt;0,
     COUNTIFS($V$2:$V$200,$G167)&gt;0,
     COUNTIFS($W$2:$W$200,$G167)&gt;0,
     COUNTIFS($X$2:$X$200,$G167)&gt;0,
     COUNTIFS($Y$2:$Y$200,$G167)&gt;0,
     COUNTIFS($Z$2:$Z$200,$G167)&gt;0,
     COUNTIFS($AA$2:$AA$200,$G167)&gt;0,
     COUNTIFS($AB$2:$AB$200,$G167)&gt;0,
     COUNTIFS($AC$2:$AC$200,$G167)&gt;0,
     COUNTIFS($AD$2:$AD$200,$G167)&gt;0,
     COUNTIFS($AE$2:$AE$200,$G167)&gt;0,
     COUNTIFS($AF$2:$AF$200,$G167)&gt;0,
     COUNTIFS($AG$2:$AG$200,$G167)&gt;0,
     COUNTIFS($AH$2:$AH$200,$G167)&gt;0,
     COUNTIFS($AI$2:$AI$200,$G167)&gt;0,
     COUNTIFS($AJ$2:$AJ$200,$G167)&gt;0,
     COUNTIFS($AK$2:$AK$200,$G167)&gt;0,
     COUNTIFS($AL$2:$AL$200,$G167)&gt;0,
     COUNTIFS($AM$2:$AM$200,$G167)&gt;0,
     COUNTIFS($AN$2:$AN$200,$G167)&gt;0,
     COUNTIFS($AO$2:$AO$200,$G167)&gt;0,
     COUNTIFS($AP$2:$AP$200,$G167)&gt;0,
     COUNTIFS($AQ$2:$AQ$200,$G167)&gt;0,
     COUNTIFS($AR$2:$AR$200,$G167)&gt;0,
     COUNTIFS($AS$2:$AS$200,$G167)&gt;0,
     COUNTIFS($AT$2:$AT$200,$G167)&gt;0,
     COUNTIFS($AU$2:$AU$200,$G167)&gt;0,
     COUNTIFS($AV$2:$AV$200,$G167)&gt;0,
     COUNTIFS($AW$2:$AW$200,$G167)&gt;0,
     COUNTIFS($AX$2:$AX$200,$G167)&gt;0
   )),
  ),
  3
 ),
"")</f>
        <v/>
      </c>
      <c r="F167" s="3" t="str" cm="1">
        <f t="array" aca="1" ref="F167" ca="1">IFERROR(
 INDEX(
  _xlfn._xlws.FILTER($U$1:$AX$1,
   TRANSPOSE(
    CHOOSE({1;2;3;4;5;6;7;8;9;10;11;12;13;14;15;16;17;18;19;20;21;22;23;24;25;26;27;28;29;30},
     COUNTIFS($U$2:$U$200,$G167)&gt;0,
     COUNTIFS($V$2:$V$200,$G167)&gt;0,
     COUNTIFS($W$2:$W$200,$G167)&gt;0,
     COUNTIFS($X$2:$X$200,$G167)&gt;0,
     COUNTIFS($Y$2:$Y$200,$G167)&gt;0,
     COUNTIFS($Z$2:$Z$200,$G167)&gt;0,
     COUNTIFS($AA$2:$AA$200,$G167)&gt;0,
     COUNTIFS($AB$2:$AB$200,$G167)&gt;0,
     COUNTIFS($AC$2:$AC$200,$G167)&gt;0,
     COUNTIFS($AD$2:$AD$200,$G167)&gt;0,
     COUNTIFS($AE$2:$AE$200,$G167)&gt;0,
     COUNTIFS($AF$2:$AF$200,$G167)&gt;0,
     COUNTIFS($AG$2:$AG$200,$G167)&gt;0,
     COUNTIFS($AH$2:$AH$200,$G167)&gt;0,
     COUNTIFS($AI$2:$AI$200,$G167)&gt;0,
     COUNTIFS($AJ$2:$AJ$200,$G167)&gt;0,
     COUNTIFS($AK$2:$AK$200,$G167)&gt;0,
     COUNTIFS($AL$2:$AL$200,$G167)&gt;0,
     COUNTIFS($AM$2:$AM$200,$G167)&gt;0,
     COUNTIFS($AN$2:$AN$200,$G167)&gt;0,
     COUNTIFS($AO$2:$AO$200,$G167)&gt;0,
     COUNTIFS($AP$2:$AP$200,$G167)&gt;0,
     COUNTIFS($AQ$2:$AQ$200,$G167)&gt;0,
     COUNTIFS($AR$2:$AR$200,$G167)&gt;0,
     COUNTIFS($AS$2:$AS$200,$G167)&gt;0,
     COUNTIFS($AT$2:$AT$200,$G167)&gt;0,
     COUNTIFS($AU$2:$AU$200,$G167)&gt;0,
     COUNTIFS($AV$2:$AV$200,$G167)&gt;0,
     COUNTIFS($AW$2:$AW$200,$G167)&gt;0,
     COUNTIFS($AX$2:$AX$200,$G167)&gt;0
   )),
  ),
  4
 ),
"")</f>
        <v/>
      </c>
      <c r="G167" t="str">
        <f ca="1"/>
        <v>Jacked Rabbit</v>
      </c>
      <c r="BO167" t="str">
        <f ca="1"/>
        <v>The Stasis Coffin</v>
      </c>
      <c r="BT167" t="str">
        <f ca="1"/>
        <v>Singer of Swift Rivers</v>
      </c>
    </row>
    <row r="168" spans="1:72" x14ac:dyDescent="0.25">
      <c r="A168" s="3" t="str">
        <f t="shared" ca="1" si="6"/>
        <v>3</v>
      </c>
      <c r="B168" s="3">
        <f t="shared" ca="1" si="7"/>
        <v>1</v>
      </c>
      <c r="C168" s="3" t="str">
        <f ca="1">IFERROR(
 INDEX($U$1:$AX$1,
  MATCH(TRUE,
   CHOOSE({1;2;3;4;5;6;7;8;9;10;11;12;13;14;15;16;17;18;19;20;21;22;23;24;25;26;27;28;29;30;31;32},
    COUNTIFS($U$2:$U$200,$G168)&gt;0,
    COUNTIFS($V$2:$V$200,$G168)&gt;0,
    COUNTIFS($W$2:$W$200,$G168)&gt;0,
    COUNTIFS($X$2:$X$200,$G168)&gt;0,
    COUNTIFS($Y$2:$Y$200,$G168)&gt;0,
    COUNTIFS($Z$2:$Z$200,$G168)&gt;0,
    COUNTIFS($AA$2:$AA$200,$G168)&gt;0,
    COUNTIFS($AB$2:$AB$200,$G168)&gt;0,
    COUNTIFS($AC$2:$AC$200,$G168)&gt;0,
    COUNTIFS($AD$2:$AD$200,$G168)&gt;0,
    COUNTIFS($AE$2:$AE$200,$G168)&gt;0,
    COUNTIFS($AF$2:$AF$200,$G168)&gt;0,
    COUNTIFS($AG$2:$AG$200,$G168)&gt;0,
    COUNTIFS($AH$2:$AH$200,$G168)&gt;0,
    COUNTIFS($AI$2:$AI$200,$G168)&gt;0,
    COUNTIFS($AJ$2:$AJ$200,$G168)&gt;0,
    COUNTIFS($AK$2:$AK$200,$G168)&gt;0,
    COUNTIFS($AL$2:$AL$200,$G168)&gt;0,
    COUNTIFS($AM$2:$AM$200,$G168)&gt;0,
    COUNTIFS($AN$2:$AN$200,$G168)&gt;0,
    COUNTIFS($AO$2:$AO$200,$G168)&gt;0,
    COUNTIFS($AP$2:$AP$200,$G168)&gt;0,
    COUNTIFS($AQ$2:$AQ$200,$G168)&gt;0,
    COUNTIFS($AR$2:$AR$200,$G168)&gt;0,
    COUNTIFS($AS$2:$AS$200,$G168)&gt;0,
    COUNTIFS($AT$2:$AT$200,$G168)&gt;0,
    COUNTIFS($AU$2:$AU$200,$G168)&gt;0,
    COUNTIFS($AV$2:$AV$200,$G168)&gt;0,
    COUNTIFS($AW$2:$AW$200,$G168)&gt;0,
    COUNTIFS($AX$2:$AX$200,$G168)&gt;0
   ),
  0)
 ),
"")</f>
        <v>Zimone</v>
      </c>
      <c r="D168" s="3" t="str" cm="1">
        <f t="array" aca="1" ref="D168" ca="1">IFERROR(
 INDEX(
  _xlfn._xlws.FILTER($U$1:$AX$1,
   TRANSPOSE(
    CHOOSE({1;2;3;4;5;6;7;8;9;10;11;12;13;14;15;16;17;18;19;20;21;22;23;24;25;26;27;28;29;30},
     COUNTIFS($U$2:$U$200,$G168)&gt;0,
     COUNTIFS($V$2:$V$200,$G168)&gt;0,
     COUNTIFS($W$2:$W$200,$G168)&gt;0,
     COUNTIFS($X$2:$X$200,$G168)&gt;0,
     COUNTIFS($Y$2:$Y$200,$G168)&gt;0,
     COUNTIFS($Z$2:$Z$200,$G168)&gt;0,
     COUNTIFS($AA$2:$AA$200,$G168)&gt;0,
     COUNTIFS($AB$2:$AB$200,$G168)&gt;0,
     COUNTIFS($AC$2:$AC$200,$G168)&gt;0,
     COUNTIFS($AD$2:$AD$200,$G168)&gt;0,
     COUNTIFS($AE$2:$AE$200,$G168)&gt;0,
     COUNTIFS($AF$2:$AF$200,$G168)&gt;0,
     COUNTIFS($AG$2:$AG$200,$G168)&gt;0,
     COUNTIFS($AH$2:$AH$200,$G168)&gt;0,
     COUNTIFS($AI$2:$AI$200,$G168)&gt;0,
     COUNTIFS($AJ$2:$AJ$200,$G168)&gt;0,
     COUNTIFS($AK$2:$AK$200,$G168)&gt;0,
     COUNTIFS($AL$2:$AL$200,$G168)&gt;0,
     COUNTIFS($AM$2:$AM$200,$G168)&gt;0,
     COUNTIFS($AN$2:$AN$200,$G168)&gt;0,
     COUNTIFS($AO$2:$AO$200,$G168)&gt;0,
     COUNTIFS($AP$2:$AP$200,$G168)&gt;0,
     COUNTIFS($AQ$2:$AQ$200,$G168)&gt;0,
     COUNTIFS($AR$2:$AR$200,$G168)&gt;0,
     COUNTIFS($AS$2:$AS$200,$G168)&gt;0,
     COUNTIFS($AT$2:$AT$200,$G168)&gt;0,
     COUNTIFS($AU$2:$AU$200,$G168)&gt;0,
     COUNTIFS($AV$2:$AV$200,$G168)&gt;0,
     COUNTIFS($AW$2:$AW$200,$G168)&gt;0,
     COUNTIFS($AX$2:$AX$200,$G168)&gt;0
   )),
  ),
  2
 ),
"")</f>
        <v/>
      </c>
      <c r="E168" s="3" t="str" cm="1">
        <f t="array" aca="1" ref="E168" ca="1">IFERROR(
 INDEX(
  _xlfn._xlws.FILTER($U$1:$AX$1,
   TRANSPOSE(
    CHOOSE({1;2;3;4;5;6;7;8;9;10;11;12;13;14;15;16;17;18;19;20;21;22;23;24;25;26;27;28;29;30},
     COUNTIFS($U$2:$U$200,$G168)&gt;0,
     COUNTIFS($V$2:$V$200,$G168)&gt;0,
     COUNTIFS($W$2:$W$200,$G168)&gt;0,
     COUNTIFS($X$2:$X$200,$G168)&gt;0,
     COUNTIFS($Y$2:$Y$200,$G168)&gt;0,
     COUNTIFS($Z$2:$Z$200,$G168)&gt;0,
     COUNTIFS($AA$2:$AA$200,$G168)&gt;0,
     COUNTIFS($AB$2:$AB$200,$G168)&gt;0,
     COUNTIFS($AC$2:$AC$200,$G168)&gt;0,
     COUNTIFS($AD$2:$AD$200,$G168)&gt;0,
     COUNTIFS($AE$2:$AE$200,$G168)&gt;0,
     COUNTIFS($AF$2:$AF$200,$G168)&gt;0,
     COUNTIFS($AG$2:$AG$200,$G168)&gt;0,
     COUNTIFS($AH$2:$AH$200,$G168)&gt;0,
     COUNTIFS($AI$2:$AI$200,$G168)&gt;0,
     COUNTIFS($AJ$2:$AJ$200,$G168)&gt;0,
     COUNTIFS($AK$2:$AK$200,$G168)&gt;0,
     COUNTIFS($AL$2:$AL$200,$G168)&gt;0,
     COUNTIFS($AM$2:$AM$200,$G168)&gt;0,
     COUNTIFS($AN$2:$AN$200,$G168)&gt;0,
     COUNTIFS($AO$2:$AO$200,$G168)&gt;0,
     COUNTIFS($AP$2:$AP$200,$G168)&gt;0,
     COUNTIFS($AQ$2:$AQ$200,$G168)&gt;0,
     COUNTIFS($AR$2:$AR$200,$G168)&gt;0,
     COUNTIFS($AS$2:$AS$200,$G168)&gt;0,
     COUNTIFS($AT$2:$AT$200,$G168)&gt;0,
     COUNTIFS($AU$2:$AU$200,$G168)&gt;0,
     COUNTIFS($AV$2:$AV$200,$G168)&gt;0,
     COUNTIFS($AW$2:$AW$200,$G168)&gt;0,
     COUNTIFS($AX$2:$AX$200,$G168)&gt;0
   )),
  ),
  3
 ),
"")</f>
        <v/>
      </c>
      <c r="F168" s="3" t="str" cm="1">
        <f t="array" aca="1" ref="F168" ca="1">IFERROR(
 INDEX(
  _xlfn._xlws.FILTER($U$1:$AX$1,
   TRANSPOSE(
    CHOOSE({1;2;3;4;5;6;7;8;9;10;11;12;13;14;15;16;17;18;19;20;21;22;23;24;25;26;27;28;29;30},
     COUNTIFS($U$2:$U$200,$G168)&gt;0,
     COUNTIFS($V$2:$V$200,$G168)&gt;0,
     COUNTIFS($W$2:$W$200,$G168)&gt;0,
     COUNTIFS($X$2:$X$200,$G168)&gt;0,
     COUNTIFS($Y$2:$Y$200,$G168)&gt;0,
     COUNTIFS($Z$2:$Z$200,$G168)&gt;0,
     COUNTIFS($AA$2:$AA$200,$G168)&gt;0,
     COUNTIFS($AB$2:$AB$200,$G168)&gt;0,
     COUNTIFS($AC$2:$AC$200,$G168)&gt;0,
     COUNTIFS($AD$2:$AD$200,$G168)&gt;0,
     COUNTIFS($AE$2:$AE$200,$G168)&gt;0,
     COUNTIFS($AF$2:$AF$200,$G168)&gt;0,
     COUNTIFS($AG$2:$AG$200,$G168)&gt;0,
     COUNTIFS($AH$2:$AH$200,$G168)&gt;0,
     COUNTIFS($AI$2:$AI$200,$G168)&gt;0,
     COUNTIFS($AJ$2:$AJ$200,$G168)&gt;0,
     COUNTIFS($AK$2:$AK$200,$G168)&gt;0,
     COUNTIFS($AL$2:$AL$200,$G168)&gt;0,
     COUNTIFS($AM$2:$AM$200,$G168)&gt;0,
     COUNTIFS($AN$2:$AN$200,$G168)&gt;0,
     COUNTIFS($AO$2:$AO$200,$G168)&gt;0,
     COUNTIFS($AP$2:$AP$200,$G168)&gt;0,
     COUNTIFS($AQ$2:$AQ$200,$G168)&gt;0,
     COUNTIFS($AR$2:$AR$200,$G168)&gt;0,
     COUNTIFS($AS$2:$AS$200,$G168)&gt;0,
     COUNTIFS($AT$2:$AT$200,$G168)&gt;0,
     COUNTIFS($AU$2:$AU$200,$G168)&gt;0,
     COUNTIFS($AV$2:$AV$200,$G168)&gt;0,
     COUNTIFS($AW$2:$AW$200,$G168)&gt;0,
     COUNTIFS($AX$2:$AX$200,$G168)&gt;0
   )),
  ),
  4
 ),
"")</f>
        <v/>
      </c>
      <c r="G168" t="str">
        <f ca="1"/>
        <v>Jadar, Ghoulcaller of Nephalia</v>
      </c>
      <c r="BO168" t="str">
        <f ca="1"/>
        <v>The Tenth Doctor</v>
      </c>
      <c r="BT168" t="str">
        <f ca="1"/>
        <v>Slash the Ranks</v>
      </c>
    </row>
    <row r="169" spans="1:72" x14ac:dyDescent="0.25">
      <c r="A169" s="3" t="str">
        <f t="shared" ca="1" si="6"/>
        <v>4</v>
      </c>
      <c r="B169" s="3">
        <f t="shared" ca="1" si="7"/>
        <v>1</v>
      </c>
      <c r="C169" s="3" t="str">
        <f ca="1">IFERROR(
 INDEX($U$1:$AX$1,
  MATCH(TRUE,
   CHOOSE({1;2;3;4;5;6;7;8;9;10;11;12;13;14;15;16;17;18;19;20;21;22;23;24;25;26;27;28;29;30;31;32},
    COUNTIFS($U$2:$U$200,$G169)&gt;0,
    COUNTIFS($V$2:$V$200,$G169)&gt;0,
    COUNTIFS($W$2:$W$200,$G169)&gt;0,
    COUNTIFS($X$2:$X$200,$G169)&gt;0,
    COUNTIFS($Y$2:$Y$200,$G169)&gt;0,
    COUNTIFS($Z$2:$Z$200,$G169)&gt;0,
    COUNTIFS($AA$2:$AA$200,$G169)&gt;0,
    COUNTIFS($AB$2:$AB$200,$G169)&gt;0,
    COUNTIFS($AC$2:$AC$200,$G169)&gt;0,
    COUNTIFS($AD$2:$AD$200,$G169)&gt;0,
    COUNTIFS($AE$2:$AE$200,$G169)&gt;0,
    COUNTIFS($AF$2:$AF$200,$G169)&gt;0,
    COUNTIFS($AG$2:$AG$200,$G169)&gt;0,
    COUNTIFS($AH$2:$AH$200,$G169)&gt;0,
    COUNTIFS($AI$2:$AI$200,$G169)&gt;0,
    COUNTIFS($AJ$2:$AJ$200,$G169)&gt;0,
    COUNTIFS($AK$2:$AK$200,$G169)&gt;0,
    COUNTIFS($AL$2:$AL$200,$G169)&gt;0,
    COUNTIFS($AM$2:$AM$200,$G169)&gt;0,
    COUNTIFS($AN$2:$AN$200,$G169)&gt;0,
    COUNTIFS($AO$2:$AO$200,$G169)&gt;0,
    COUNTIFS($AP$2:$AP$200,$G169)&gt;0,
    COUNTIFS($AQ$2:$AQ$200,$G169)&gt;0,
    COUNTIFS($AR$2:$AR$200,$G169)&gt;0,
    COUNTIFS($AS$2:$AS$200,$G169)&gt;0,
    COUNTIFS($AT$2:$AT$200,$G169)&gt;0,
    COUNTIFS($AU$2:$AU$200,$G169)&gt;0,
    COUNTIFS($AV$2:$AV$200,$G169)&gt;0,
    COUNTIFS($AW$2:$AW$200,$G169)&gt;0,
    COUNTIFS($AX$2:$AX$200,$G169)&gt;0
   ),
  0)
 ),
"")</f>
        <v>Kresh</v>
      </c>
      <c r="D169" s="3" t="str" cm="1">
        <f t="array" aca="1" ref="D169" ca="1">IFERROR(
 INDEX(
  _xlfn._xlws.FILTER($U$1:$AX$1,
   TRANSPOSE(
    CHOOSE({1;2;3;4;5;6;7;8;9;10;11;12;13;14;15;16;17;18;19;20;21;22;23;24;25;26;27;28;29;30},
     COUNTIFS($U$2:$U$200,$G169)&gt;0,
     COUNTIFS($V$2:$V$200,$G169)&gt;0,
     COUNTIFS($W$2:$W$200,$G169)&gt;0,
     COUNTIFS($X$2:$X$200,$G169)&gt;0,
     COUNTIFS($Y$2:$Y$200,$G169)&gt;0,
     COUNTIFS($Z$2:$Z$200,$G169)&gt;0,
     COUNTIFS($AA$2:$AA$200,$G169)&gt;0,
     COUNTIFS($AB$2:$AB$200,$G169)&gt;0,
     COUNTIFS($AC$2:$AC$200,$G169)&gt;0,
     COUNTIFS($AD$2:$AD$200,$G169)&gt;0,
     COUNTIFS($AE$2:$AE$200,$G169)&gt;0,
     COUNTIFS($AF$2:$AF$200,$G169)&gt;0,
     COUNTIFS($AG$2:$AG$200,$G169)&gt;0,
     COUNTIFS($AH$2:$AH$200,$G169)&gt;0,
     COUNTIFS($AI$2:$AI$200,$G169)&gt;0,
     COUNTIFS($AJ$2:$AJ$200,$G169)&gt;0,
     COUNTIFS($AK$2:$AK$200,$G169)&gt;0,
     COUNTIFS($AL$2:$AL$200,$G169)&gt;0,
     COUNTIFS($AM$2:$AM$200,$G169)&gt;0,
     COUNTIFS($AN$2:$AN$200,$G169)&gt;0,
     COUNTIFS($AO$2:$AO$200,$G169)&gt;0,
     COUNTIFS($AP$2:$AP$200,$G169)&gt;0,
     COUNTIFS($AQ$2:$AQ$200,$G169)&gt;0,
     COUNTIFS($AR$2:$AR$200,$G169)&gt;0,
     COUNTIFS($AS$2:$AS$200,$G169)&gt;0,
     COUNTIFS($AT$2:$AT$200,$G169)&gt;0,
     COUNTIFS($AU$2:$AU$200,$G169)&gt;0,
     COUNTIFS($AV$2:$AV$200,$G169)&gt;0,
     COUNTIFS($AW$2:$AW$200,$G169)&gt;0,
     COUNTIFS($AX$2:$AX$200,$G169)&gt;0
   )),
  ),
  2
 ),
"")</f>
        <v/>
      </c>
      <c r="E169" s="3" t="str" cm="1">
        <f t="array" aca="1" ref="E169" ca="1">IFERROR(
 INDEX(
  _xlfn._xlws.FILTER($U$1:$AX$1,
   TRANSPOSE(
    CHOOSE({1;2;3;4;5;6;7;8;9;10;11;12;13;14;15;16;17;18;19;20;21;22;23;24;25;26;27;28;29;30},
     COUNTIFS($U$2:$U$200,$G169)&gt;0,
     COUNTIFS($V$2:$V$200,$G169)&gt;0,
     COUNTIFS($W$2:$W$200,$G169)&gt;0,
     COUNTIFS($X$2:$X$200,$G169)&gt;0,
     COUNTIFS($Y$2:$Y$200,$G169)&gt;0,
     COUNTIFS($Z$2:$Z$200,$G169)&gt;0,
     COUNTIFS($AA$2:$AA$200,$G169)&gt;0,
     COUNTIFS($AB$2:$AB$200,$G169)&gt;0,
     COUNTIFS($AC$2:$AC$200,$G169)&gt;0,
     COUNTIFS($AD$2:$AD$200,$G169)&gt;0,
     COUNTIFS($AE$2:$AE$200,$G169)&gt;0,
     COUNTIFS($AF$2:$AF$200,$G169)&gt;0,
     COUNTIFS($AG$2:$AG$200,$G169)&gt;0,
     COUNTIFS($AH$2:$AH$200,$G169)&gt;0,
     COUNTIFS($AI$2:$AI$200,$G169)&gt;0,
     COUNTIFS($AJ$2:$AJ$200,$G169)&gt;0,
     COUNTIFS($AK$2:$AK$200,$G169)&gt;0,
     COUNTIFS($AL$2:$AL$200,$G169)&gt;0,
     COUNTIFS($AM$2:$AM$200,$G169)&gt;0,
     COUNTIFS($AN$2:$AN$200,$G169)&gt;0,
     COUNTIFS($AO$2:$AO$200,$G169)&gt;0,
     COUNTIFS($AP$2:$AP$200,$G169)&gt;0,
     COUNTIFS($AQ$2:$AQ$200,$G169)&gt;0,
     COUNTIFS($AR$2:$AR$200,$G169)&gt;0,
     COUNTIFS($AS$2:$AS$200,$G169)&gt;0,
     COUNTIFS($AT$2:$AT$200,$G169)&gt;0,
     COUNTIFS($AU$2:$AU$200,$G169)&gt;0,
     COUNTIFS($AV$2:$AV$200,$G169)&gt;0,
     COUNTIFS($AW$2:$AW$200,$G169)&gt;0,
     COUNTIFS($AX$2:$AX$200,$G169)&gt;0
   )),
  ),
  3
 ),
"")</f>
        <v/>
      </c>
      <c r="F169" s="3" t="str" cm="1">
        <f t="array" aca="1" ref="F169" ca="1">IFERROR(
 INDEX(
  _xlfn._xlws.FILTER($U$1:$AX$1,
   TRANSPOSE(
    CHOOSE({1;2;3;4;5;6;7;8;9;10;11;12;13;14;15;16;17;18;19;20;21;22;23;24;25;26;27;28;29;30},
     COUNTIFS($U$2:$U$200,$G169)&gt;0,
     COUNTIFS($V$2:$V$200,$G169)&gt;0,
     COUNTIFS($W$2:$W$200,$G169)&gt;0,
     COUNTIFS($X$2:$X$200,$G169)&gt;0,
     COUNTIFS($Y$2:$Y$200,$G169)&gt;0,
     COUNTIFS($Z$2:$Z$200,$G169)&gt;0,
     COUNTIFS($AA$2:$AA$200,$G169)&gt;0,
     COUNTIFS($AB$2:$AB$200,$G169)&gt;0,
     COUNTIFS($AC$2:$AC$200,$G169)&gt;0,
     COUNTIFS($AD$2:$AD$200,$G169)&gt;0,
     COUNTIFS($AE$2:$AE$200,$G169)&gt;0,
     COUNTIFS($AF$2:$AF$200,$G169)&gt;0,
     COUNTIFS($AG$2:$AG$200,$G169)&gt;0,
     COUNTIFS($AH$2:$AH$200,$G169)&gt;0,
     COUNTIFS($AI$2:$AI$200,$G169)&gt;0,
     COUNTIFS($AJ$2:$AJ$200,$G169)&gt;0,
     COUNTIFS($AK$2:$AK$200,$G169)&gt;0,
     COUNTIFS($AL$2:$AL$200,$G169)&gt;0,
     COUNTIFS($AM$2:$AM$200,$G169)&gt;0,
     COUNTIFS($AN$2:$AN$200,$G169)&gt;0,
     COUNTIFS($AO$2:$AO$200,$G169)&gt;0,
     COUNTIFS($AP$2:$AP$200,$G169)&gt;0,
     COUNTIFS($AQ$2:$AQ$200,$G169)&gt;0,
     COUNTIFS($AR$2:$AR$200,$G169)&gt;0,
     COUNTIFS($AS$2:$AS$200,$G169)&gt;0,
     COUNTIFS($AT$2:$AT$200,$G169)&gt;0,
     COUNTIFS($AU$2:$AU$200,$G169)&gt;0,
     COUNTIFS($AV$2:$AV$200,$G169)&gt;0,
     COUNTIFS($AW$2:$AW$200,$G169)&gt;0,
     COUNTIFS($AX$2:$AX$200,$G169)&gt;0
   )),
  ),
  4
 ),
"")</f>
        <v/>
      </c>
      <c r="G169" t="str">
        <f ca="1"/>
        <v>Jenova, Ancient Calamity</v>
      </c>
      <c r="BO169" t="str">
        <f ca="1"/>
        <v>Thornglint Bridge</v>
      </c>
      <c r="BT169" t="str">
        <f ca="1"/>
        <v>Slayers' Stronghold</v>
      </c>
    </row>
    <row r="170" spans="1:72" x14ac:dyDescent="0.25">
      <c r="A170" s="3" t="str">
        <f t="shared" ca="1" si="6"/>
        <v>1</v>
      </c>
      <c r="B170" s="3">
        <f t="shared" ca="1" si="7"/>
        <v>1</v>
      </c>
      <c r="C170" s="3" t="str">
        <f ca="1">IFERROR(
 INDEX($U$1:$AX$1,
  MATCH(TRUE,
   CHOOSE({1;2;3;4;5;6;7;8;9;10;11;12;13;14;15;16;17;18;19;20;21;22;23;24;25;26;27;28;29;30;31;32},
    COUNTIFS($U$2:$U$200,$G170)&gt;0,
    COUNTIFS($V$2:$V$200,$G170)&gt;0,
    COUNTIFS($W$2:$W$200,$G170)&gt;0,
    COUNTIFS($X$2:$X$200,$G170)&gt;0,
    COUNTIFS($Y$2:$Y$200,$G170)&gt;0,
    COUNTIFS($Z$2:$Z$200,$G170)&gt;0,
    COUNTIFS($AA$2:$AA$200,$G170)&gt;0,
    COUNTIFS($AB$2:$AB$200,$G170)&gt;0,
    COUNTIFS($AC$2:$AC$200,$G170)&gt;0,
    COUNTIFS($AD$2:$AD$200,$G170)&gt;0,
    COUNTIFS($AE$2:$AE$200,$G170)&gt;0,
    COUNTIFS($AF$2:$AF$200,$G170)&gt;0,
    COUNTIFS($AG$2:$AG$200,$G170)&gt;0,
    COUNTIFS($AH$2:$AH$200,$G170)&gt;0,
    COUNTIFS($AI$2:$AI$200,$G170)&gt;0,
    COUNTIFS($AJ$2:$AJ$200,$G170)&gt;0,
    COUNTIFS($AK$2:$AK$200,$G170)&gt;0,
    COUNTIFS($AL$2:$AL$200,$G170)&gt;0,
    COUNTIFS($AM$2:$AM$200,$G170)&gt;0,
    COUNTIFS($AN$2:$AN$200,$G170)&gt;0,
    COUNTIFS($AO$2:$AO$200,$G170)&gt;0,
    COUNTIFS($AP$2:$AP$200,$G170)&gt;0,
    COUNTIFS($AQ$2:$AQ$200,$G170)&gt;0,
    COUNTIFS($AR$2:$AR$200,$G170)&gt;0,
    COUNTIFS($AS$2:$AS$200,$G170)&gt;0,
    COUNTIFS($AT$2:$AT$200,$G170)&gt;0,
    COUNTIFS($AU$2:$AU$200,$G170)&gt;0,
    COUNTIFS($AV$2:$AV$200,$G170)&gt;0,
    COUNTIFS($AW$2:$AW$200,$G170)&gt;0,
    COUNTIFS($AX$2:$AX$200,$G170)&gt;0
   ),
  0)
 ),
"")</f>
        <v>Baylen</v>
      </c>
      <c r="D170" s="3" t="str" cm="1">
        <f t="array" aca="1" ref="D170" ca="1">IFERROR(
 INDEX(
  _xlfn._xlws.FILTER($U$1:$AX$1,
   TRANSPOSE(
    CHOOSE({1;2;3;4;5;6;7;8;9;10;11;12;13;14;15;16;17;18;19;20;21;22;23;24;25;26;27;28;29;30},
     COUNTIFS($U$2:$U$200,$G170)&gt;0,
     COUNTIFS($V$2:$V$200,$G170)&gt;0,
     COUNTIFS($W$2:$W$200,$G170)&gt;0,
     COUNTIFS($X$2:$X$200,$G170)&gt;0,
     COUNTIFS($Y$2:$Y$200,$G170)&gt;0,
     COUNTIFS($Z$2:$Z$200,$G170)&gt;0,
     COUNTIFS($AA$2:$AA$200,$G170)&gt;0,
     COUNTIFS($AB$2:$AB$200,$G170)&gt;0,
     COUNTIFS($AC$2:$AC$200,$G170)&gt;0,
     COUNTIFS($AD$2:$AD$200,$G170)&gt;0,
     COUNTIFS($AE$2:$AE$200,$G170)&gt;0,
     COUNTIFS($AF$2:$AF$200,$G170)&gt;0,
     COUNTIFS($AG$2:$AG$200,$G170)&gt;0,
     COUNTIFS($AH$2:$AH$200,$G170)&gt;0,
     COUNTIFS($AI$2:$AI$200,$G170)&gt;0,
     COUNTIFS($AJ$2:$AJ$200,$G170)&gt;0,
     COUNTIFS($AK$2:$AK$200,$G170)&gt;0,
     COUNTIFS($AL$2:$AL$200,$G170)&gt;0,
     COUNTIFS($AM$2:$AM$200,$G170)&gt;0,
     COUNTIFS($AN$2:$AN$200,$G170)&gt;0,
     COUNTIFS($AO$2:$AO$200,$G170)&gt;0,
     COUNTIFS($AP$2:$AP$200,$G170)&gt;0,
     COUNTIFS($AQ$2:$AQ$200,$G170)&gt;0,
     COUNTIFS($AR$2:$AR$200,$G170)&gt;0,
     COUNTIFS($AS$2:$AS$200,$G170)&gt;0,
     COUNTIFS($AT$2:$AT$200,$G170)&gt;0,
     COUNTIFS($AU$2:$AU$200,$G170)&gt;0,
     COUNTIFS($AV$2:$AV$200,$G170)&gt;0,
     COUNTIFS($AW$2:$AW$200,$G170)&gt;0,
     COUNTIFS($AX$2:$AX$200,$G170)&gt;0
   )),
  ),
  2
 ),
"")</f>
        <v/>
      </c>
      <c r="E170" s="3" t="str" cm="1">
        <f t="array" aca="1" ref="E170" ca="1">IFERROR(
 INDEX(
  _xlfn._xlws.FILTER($U$1:$AX$1,
   TRANSPOSE(
    CHOOSE({1;2;3;4;5;6;7;8;9;10;11;12;13;14;15;16;17;18;19;20;21;22;23;24;25;26;27;28;29;30},
     COUNTIFS($U$2:$U$200,$G170)&gt;0,
     COUNTIFS($V$2:$V$200,$G170)&gt;0,
     COUNTIFS($W$2:$W$200,$G170)&gt;0,
     COUNTIFS($X$2:$X$200,$G170)&gt;0,
     COUNTIFS($Y$2:$Y$200,$G170)&gt;0,
     COUNTIFS($Z$2:$Z$200,$G170)&gt;0,
     COUNTIFS($AA$2:$AA$200,$G170)&gt;0,
     COUNTIFS($AB$2:$AB$200,$G170)&gt;0,
     COUNTIFS($AC$2:$AC$200,$G170)&gt;0,
     COUNTIFS($AD$2:$AD$200,$G170)&gt;0,
     COUNTIFS($AE$2:$AE$200,$G170)&gt;0,
     COUNTIFS($AF$2:$AF$200,$G170)&gt;0,
     COUNTIFS($AG$2:$AG$200,$G170)&gt;0,
     COUNTIFS($AH$2:$AH$200,$G170)&gt;0,
     COUNTIFS($AI$2:$AI$200,$G170)&gt;0,
     COUNTIFS($AJ$2:$AJ$200,$G170)&gt;0,
     COUNTIFS($AK$2:$AK$200,$G170)&gt;0,
     COUNTIFS($AL$2:$AL$200,$G170)&gt;0,
     COUNTIFS($AM$2:$AM$200,$G170)&gt;0,
     COUNTIFS($AN$2:$AN$200,$G170)&gt;0,
     COUNTIFS($AO$2:$AO$200,$G170)&gt;0,
     COUNTIFS($AP$2:$AP$200,$G170)&gt;0,
     COUNTIFS($AQ$2:$AQ$200,$G170)&gt;0,
     COUNTIFS($AR$2:$AR$200,$G170)&gt;0,
     COUNTIFS($AS$2:$AS$200,$G170)&gt;0,
     COUNTIFS($AT$2:$AT$200,$G170)&gt;0,
     COUNTIFS($AU$2:$AU$200,$G170)&gt;0,
     COUNTIFS($AV$2:$AV$200,$G170)&gt;0,
     COUNTIFS($AW$2:$AW$200,$G170)&gt;0,
     COUNTIFS($AX$2:$AX$200,$G170)&gt;0
   )),
  ),
  3
 ),
"")</f>
        <v/>
      </c>
      <c r="F170" s="3" t="str" cm="1">
        <f t="array" aca="1" ref="F170" ca="1">IFERROR(
 INDEX(
  _xlfn._xlws.FILTER($U$1:$AX$1,
   TRANSPOSE(
    CHOOSE({1;2;3;4;5;6;7;8;9;10;11;12;13;14;15;16;17;18;19;20;21;22;23;24;25;26;27;28;29;30},
     COUNTIFS($U$2:$U$200,$G170)&gt;0,
     COUNTIFS($V$2:$V$200,$G170)&gt;0,
     COUNTIFS($W$2:$W$200,$G170)&gt;0,
     COUNTIFS($X$2:$X$200,$G170)&gt;0,
     COUNTIFS($Y$2:$Y$200,$G170)&gt;0,
     COUNTIFS($Z$2:$Z$200,$G170)&gt;0,
     COUNTIFS($AA$2:$AA$200,$G170)&gt;0,
     COUNTIFS($AB$2:$AB$200,$G170)&gt;0,
     COUNTIFS($AC$2:$AC$200,$G170)&gt;0,
     COUNTIFS($AD$2:$AD$200,$G170)&gt;0,
     COUNTIFS($AE$2:$AE$200,$G170)&gt;0,
     COUNTIFS($AF$2:$AF$200,$G170)&gt;0,
     COUNTIFS($AG$2:$AG$200,$G170)&gt;0,
     COUNTIFS($AH$2:$AH$200,$G170)&gt;0,
     COUNTIFS($AI$2:$AI$200,$G170)&gt;0,
     COUNTIFS($AJ$2:$AJ$200,$G170)&gt;0,
     COUNTIFS($AK$2:$AK$200,$G170)&gt;0,
     COUNTIFS($AL$2:$AL$200,$G170)&gt;0,
     COUNTIFS($AM$2:$AM$200,$G170)&gt;0,
     COUNTIFS($AN$2:$AN$200,$G170)&gt;0,
     COUNTIFS($AO$2:$AO$200,$G170)&gt;0,
     COUNTIFS($AP$2:$AP$200,$G170)&gt;0,
     COUNTIFS($AQ$2:$AQ$200,$G170)&gt;0,
     COUNTIFS($AR$2:$AR$200,$G170)&gt;0,
     COUNTIFS($AS$2:$AS$200,$G170)&gt;0,
     COUNTIFS($AT$2:$AT$200,$G170)&gt;0,
     COUNTIFS($AU$2:$AU$200,$G170)&gt;0,
     COUNTIFS($AV$2:$AV$200,$G170)&gt;0,
     COUNTIFS($AW$2:$AW$200,$G170)&gt;0,
     COUNTIFS($AX$2:$AX$200,$G170)&gt;0
   )),
  ),
  4
 ),
"")</f>
        <v/>
      </c>
      <c r="G170" t="str">
        <f ca="1"/>
        <v>Jetmir, Nexus of Revels</v>
      </c>
      <c r="BO170" t="str">
        <f ca="1"/>
        <v>Thought Vessel</v>
      </c>
      <c r="BT170" t="str">
        <f ca="1"/>
        <v>Sliver Gravemother</v>
      </c>
    </row>
    <row r="171" spans="1:72" x14ac:dyDescent="0.25">
      <c r="A171" s="3" t="str">
        <f t="shared" ca="1" si="6"/>
        <v>4</v>
      </c>
      <c r="B171" s="3">
        <f t="shared" ca="1" si="7"/>
        <v>1</v>
      </c>
      <c r="C171" s="3" t="str">
        <f ca="1">IFERROR(
 INDEX($U$1:$AX$1,
  MATCH(TRUE,
   CHOOSE({1;2;3;4;5;6;7;8;9;10;11;12;13;14;15;16;17;18;19;20;21;22;23;24;25;26;27;28;29;30;31;32},
    COUNTIFS($U$2:$U$200,$G171)&gt;0,
    COUNTIFS($V$2:$V$200,$G171)&gt;0,
    COUNTIFS($W$2:$W$200,$G171)&gt;0,
    COUNTIFS($X$2:$X$200,$G171)&gt;0,
    COUNTIFS($Y$2:$Y$200,$G171)&gt;0,
    COUNTIFS($Z$2:$Z$200,$G171)&gt;0,
    COUNTIFS($AA$2:$AA$200,$G171)&gt;0,
    COUNTIFS($AB$2:$AB$200,$G171)&gt;0,
    COUNTIFS($AC$2:$AC$200,$G171)&gt;0,
    COUNTIFS($AD$2:$AD$200,$G171)&gt;0,
    COUNTIFS($AE$2:$AE$200,$G171)&gt;0,
    COUNTIFS($AF$2:$AF$200,$G171)&gt;0,
    COUNTIFS($AG$2:$AG$200,$G171)&gt;0,
    COUNTIFS($AH$2:$AH$200,$G171)&gt;0,
    COUNTIFS($AI$2:$AI$200,$G171)&gt;0,
    COUNTIFS($AJ$2:$AJ$200,$G171)&gt;0,
    COUNTIFS($AK$2:$AK$200,$G171)&gt;0,
    COUNTIFS($AL$2:$AL$200,$G171)&gt;0,
    COUNTIFS($AM$2:$AM$200,$G171)&gt;0,
    COUNTIFS($AN$2:$AN$200,$G171)&gt;0,
    COUNTIFS($AO$2:$AO$200,$G171)&gt;0,
    COUNTIFS($AP$2:$AP$200,$G171)&gt;0,
    COUNTIFS($AQ$2:$AQ$200,$G171)&gt;0,
    COUNTIFS($AR$2:$AR$200,$G171)&gt;0,
    COUNTIFS($AS$2:$AS$200,$G171)&gt;0,
    COUNTIFS($AT$2:$AT$200,$G171)&gt;0,
    COUNTIFS($AU$2:$AU$200,$G171)&gt;0,
    COUNTIFS($AV$2:$AV$200,$G171)&gt;0,
    COUNTIFS($AW$2:$AW$200,$G171)&gt;0,
    COUNTIFS($AX$2:$AX$200,$G171)&gt;0
   ),
  0)
 ),
"")</f>
        <v>Fractius</v>
      </c>
      <c r="D171" s="3" t="str" cm="1">
        <f t="array" aca="1" ref="D171" ca="1">IFERROR(
 INDEX(
  _xlfn._xlws.FILTER($U$1:$AX$1,
   TRANSPOSE(
    CHOOSE({1;2;3;4;5;6;7;8;9;10;11;12;13;14;15;16;17;18;19;20;21;22;23;24;25;26;27;28;29;30},
     COUNTIFS($U$2:$U$200,$G171)&gt;0,
     COUNTIFS($V$2:$V$200,$G171)&gt;0,
     COUNTIFS($W$2:$W$200,$G171)&gt;0,
     COUNTIFS($X$2:$X$200,$G171)&gt;0,
     COUNTIFS($Y$2:$Y$200,$G171)&gt;0,
     COUNTIFS($Z$2:$Z$200,$G171)&gt;0,
     COUNTIFS($AA$2:$AA$200,$G171)&gt;0,
     COUNTIFS($AB$2:$AB$200,$G171)&gt;0,
     COUNTIFS($AC$2:$AC$200,$G171)&gt;0,
     COUNTIFS($AD$2:$AD$200,$G171)&gt;0,
     COUNTIFS($AE$2:$AE$200,$G171)&gt;0,
     COUNTIFS($AF$2:$AF$200,$G171)&gt;0,
     COUNTIFS($AG$2:$AG$200,$G171)&gt;0,
     COUNTIFS($AH$2:$AH$200,$G171)&gt;0,
     COUNTIFS($AI$2:$AI$200,$G171)&gt;0,
     COUNTIFS($AJ$2:$AJ$200,$G171)&gt;0,
     COUNTIFS($AK$2:$AK$200,$G171)&gt;0,
     COUNTIFS($AL$2:$AL$200,$G171)&gt;0,
     COUNTIFS($AM$2:$AM$200,$G171)&gt;0,
     COUNTIFS($AN$2:$AN$200,$G171)&gt;0,
     COUNTIFS($AO$2:$AO$200,$G171)&gt;0,
     COUNTIFS($AP$2:$AP$200,$G171)&gt;0,
     COUNTIFS($AQ$2:$AQ$200,$G171)&gt;0,
     COUNTIFS($AR$2:$AR$200,$G171)&gt;0,
     COUNTIFS($AS$2:$AS$200,$G171)&gt;0,
     COUNTIFS($AT$2:$AT$200,$G171)&gt;0,
     COUNTIFS($AU$2:$AU$200,$G171)&gt;0,
     COUNTIFS($AV$2:$AV$200,$G171)&gt;0,
     COUNTIFS($AW$2:$AW$200,$G171)&gt;0,
     COUNTIFS($AX$2:$AX$200,$G171)&gt;0
   )),
  ),
  2
 ),
"")</f>
        <v/>
      </c>
      <c r="E171" s="3" t="str" cm="1">
        <f t="array" aca="1" ref="E171" ca="1">IFERROR(
 INDEX(
  _xlfn._xlws.FILTER($U$1:$AX$1,
   TRANSPOSE(
    CHOOSE({1;2;3;4;5;6;7;8;9;10;11;12;13;14;15;16;17;18;19;20;21;22;23;24;25;26;27;28;29;30},
     COUNTIFS($U$2:$U$200,$G171)&gt;0,
     COUNTIFS($V$2:$V$200,$G171)&gt;0,
     COUNTIFS($W$2:$W$200,$G171)&gt;0,
     COUNTIFS($X$2:$X$200,$G171)&gt;0,
     COUNTIFS($Y$2:$Y$200,$G171)&gt;0,
     COUNTIFS($Z$2:$Z$200,$G171)&gt;0,
     COUNTIFS($AA$2:$AA$200,$G171)&gt;0,
     COUNTIFS($AB$2:$AB$200,$G171)&gt;0,
     COUNTIFS($AC$2:$AC$200,$G171)&gt;0,
     COUNTIFS($AD$2:$AD$200,$G171)&gt;0,
     COUNTIFS($AE$2:$AE$200,$G171)&gt;0,
     COUNTIFS($AF$2:$AF$200,$G171)&gt;0,
     COUNTIFS($AG$2:$AG$200,$G171)&gt;0,
     COUNTIFS($AH$2:$AH$200,$G171)&gt;0,
     COUNTIFS($AI$2:$AI$200,$G171)&gt;0,
     COUNTIFS($AJ$2:$AJ$200,$G171)&gt;0,
     COUNTIFS($AK$2:$AK$200,$G171)&gt;0,
     COUNTIFS($AL$2:$AL$200,$G171)&gt;0,
     COUNTIFS($AM$2:$AM$200,$G171)&gt;0,
     COUNTIFS($AN$2:$AN$200,$G171)&gt;0,
     COUNTIFS($AO$2:$AO$200,$G171)&gt;0,
     COUNTIFS($AP$2:$AP$200,$G171)&gt;0,
     COUNTIFS($AQ$2:$AQ$200,$G171)&gt;0,
     COUNTIFS($AR$2:$AR$200,$G171)&gt;0,
     COUNTIFS($AS$2:$AS$200,$G171)&gt;0,
     COUNTIFS($AT$2:$AT$200,$G171)&gt;0,
     COUNTIFS($AU$2:$AU$200,$G171)&gt;0,
     COUNTIFS($AV$2:$AV$200,$G171)&gt;0,
     COUNTIFS($AW$2:$AW$200,$G171)&gt;0,
     COUNTIFS($AX$2:$AX$200,$G171)&gt;0
   )),
  ),
  3
 ),
"")</f>
        <v/>
      </c>
      <c r="F171" s="3" t="str" cm="1">
        <f t="array" aca="1" ref="F171" ca="1">IFERROR(
 INDEX(
  _xlfn._xlws.FILTER($U$1:$AX$1,
   TRANSPOSE(
    CHOOSE({1;2;3;4;5;6;7;8;9;10;11;12;13;14;15;16;17;18;19;20;21;22;23;24;25;26;27;28;29;30},
     COUNTIFS($U$2:$U$200,$G171)&gt;0,
     COUNTIFS($V$2:$V$200,$G171)&gt;0,
     COUNTIFS($W$2:$W$200,$G171)&gt;0,
     COUNTIFS($X$2:$X$200,$G171)&gt;0,
     COUNTIFS($Y$2:$Y$200,$G171)&gt;0,
     COUNTIFS($Z$2:$Z$200,$G171)&gt;0,
     COUNTIFS($AA$2:$AA$200,$G171)&gt;0,
     COUNTIFS($AB$2:$AB$200,$G171)&gt;0,
     COUNTIFS($AC$2:$AC$200,$G171)&gt;0,
     COUNTIFS($AD$2:$AD$200,$G171)&gt;0,
     COUNTIFS($AE$2:$AE$200,$G171)&gt;0,
     COUNTIFS($AF$2:$AF$200,$G171)&gt;0,
     COUNTIFS($AG$2:$AG$200,$G171)&gt;0,
     COUNTIFS($AH$2:$AH$200,$G171)&gt;0,
     COUNTIFS($AI$2:$AI$200,$G171)&gt;0,
     COUNTIFS($AJ$2:$AJ$200,$G171)&gt;0,
     COUNTIFS($AK$2:$AK$200,$G171)&gt;0,
     COUNTIFS($AL$2:$AL$200,$G171)&gt;0,
     COUNTIFS($AM$2:$AM$200,$G171)&gt;0,
     COUNTIFS($AN$2:$AN$200,$G171)&gt;0,
     COUNTIFS($AO$2:$AO$200,$G171)&gt;0,
     COUNTIFS($AP$2:$AP$200,$G171)&gt;0,
     COUNTIFS($AQ$2:$AQ$200,$G171)&gt;0,
     COUNTIFS($AR$2:$AR$200,$G171)&gt;0,
     COUNTIFS($AS$2:$AS$200,$G171)&gt;0,
     COUNTIFS($AT$2:$AT$200,$G171)&gt;0,
     COUNTIFS($AU$2:$AU$200,$G171)&gt;0,
     COUNTIFS($AV$2:$AV$200,$G171)&gt;0,
     COUNTIFS($AW$2:$AW$200,$G171)&gt;0,
     COUNTIFS($AX$2:$AX$200,$G171)&gt;0
   )),
  ),
  4
 ),
"")</f>
        <v/>
      </c>
      <c r="G171" t="str">
        <f ca="1"/>
        <v>Jetmir's Garden</v>
      </c>
      <c r="BO171" t="str">
        <f ca="1"/>
        <v>Thran Dynamo</v>
      </c>
      <c r="BT171" t="str">
        <f ca="1"/>
        <v>Smuggler's Share</v>
      </c>
    </row>
    <row r="172" spans="1:72" x14ac:dyDescent="0.25">
      <c r="A172" s="3" t="str">
        <f t="shared" ca="1" si="6"/>
        <v>2</v>
      </c>
      <c r="B172" s="3">
        <f t="shared" ca="1" si="7"/>
        <v>2</v>
      </c>
      <c r="C172" s="3" t="str">
        <f ca="1">IFERROR(
 INDEX($U$1:$AX$1,
  MATCH(TRUE,
   CHOOSE({1;2;3;4;5;6;7;8;9;10;11;12;13;14;15;16;17;18;19;20;21;22;23;24;25;26;27;28;29;30;31;32},
    COUNTIFS($U$2:$U$200,$G172)&gt;0,
    COUNTIFS($V$2:$V$200,$G172)&gt;0,
    COUNTIFS($W$2:$W$200,$G172)&gt;0,
    COUNTIFS($X$2:$X$200,$G172)&gt;0,
    COUNTIFS($Y$2:$Y$200,$G172)&gt;0,
    COUNTIFS($Z$2:$Z$200,$G172)&gt;0,
    COUNTIFS($AA$2:$AA$200,$G172)&gt;0,
    COUNTIFS($AB$2:$AB$200,$G172)&gt;0,
    COUNTIFS($AC$2:$AC$200,$G172)&gt;0,
    COUNTIFS($AD$2:$AD$200,$G172)&gt;0,
    COUNTIFS($AE$2:$AE$200,$G172)&gt;0,
    COUNTIFS($AF$2:$AF$200,$G172)&gt;0,
    COUNTIFS($AG$2:$AG$200,$G172)&gt;0,
    COUNTIFS($AH$2:$AH$200,$G172)&gt;0,
    COUNTIFS($AI$2:$AI$200,$G172)&gt;0,
    COUNTIFS($AJ$2:$AJ$200,$G172)&gt;0,
    COUNTIFS($AK$2:$AK$200,$G172)&gt;0,
    COUNTIFS($AL$2:$AL$200,$G172)&gt;0,
    COUNTIFS($AM$2:$AM$200,$G172)&gt;0,
    COUNTIFS($AN$2:$AN$200,$G172)&gt;0,
    COUNTIFS($AO$2:$AO$200,$G172)&gt;0,
    COUNTIFS($AP$2:$AP$200,$G172)&gt;0,
    COUNTIFS($AQ$2:$AQ$200,$G172)&gt;0,
    COUNTIFS($AR$2:$AR$200,$G172)&gt;0,
    COUNTIFS($AS$2:$AS$200,$G172)&gt;0,
    COUNTIFS($AT$2:$AT$200,$G172)&gt;0,
    COUNTIFS($AU$2:$AU$200,$G172)&gt;0,
    COUNTIFS($AV$2:$AV$200,$G172)&gt;0,
    COUNTIFS($AW$2:$AW$200,$G172)&gt;0,
    COUNTIFS($AX$2:$AX$200,$G172)&gt;0
   ),
  0)
 ),
"")</f>
        <v>Narset</v>
      </c>
      <c r="D172" s="3" t="str" cm="1">
        <f t="array" aca="1" ref="D172" ca="1">IFERROR(
 INDEX(
  _xlfn._xlws.FILTER($U$1:$AX$1,
   TRANSPOSE(
    CHOOSE({1;2;3;4;5;6;7;8;9;10;11;12;13;14;15;16;17;18;19;20;21;22;23;24;25;26;27;28;29;30},
     COUNTIFS($U$2:$U$200,$G172)&gt;0,
     COUNTIFS($V$2:$V$200,$G172)&gt;0,
     COUNTIFS($W$2:$W$200,$G172)&gt;0,
     COUNTIFS($X$2:$X$200,$G172)&gt;0,
     COUNTIFS($Y$2:$Y$200,$G172)&gt;0,
     COUNTIFS($Z$2:$Z$200,$G172)&gt;0,
     COUNTIFS($AA$2:$AA$200,$G172)&gt;0,
     COUNTIFS($AB$2:$AB$200,$G172)&gt;0,
     COUNTIFS($AC$2:$AC$200,$G172)&gt;0,
     COUNTIFS($AD$2:$AD$200,$G172)&gt;0,
     COUNTIFS($AE$2:$AE$200,$G172)&gt;0,
     COUNTIFS($AF$2:$AF$200,$G172)&gt;0,
     COUNTIFS($AG$2:$AG$200,$G172)&gt;0,
     COUNTIFS($AH$2:$AH$200,$G172)&gt;0,
     COUNTIFS($AI$2:$AI$200,$G172)&gt;0,
     COUNTIFS($AJ$2:$AJ$200,$G172)&gt;0,
     COUNTIFS($AK$2:$AK$200,$G172)&gt;0,
     COUNTIFS($AL$2:$AL$200,$G172)&gt;0,
     COUNTIFS($AM$2:$AM$200,$G172)&gt;0,
     COUNTIFS($AN$2:$AN$200,$G172)&gt;0,
     COUNTIFS($AO$2:$AO$200,$G172)&gt;0,
     COUNTIFS($AP$2:$AP$200,$G172)&gt;0,
     COUNTIFS($AQ$2:$AQ$200,$G172)&gt;0,
     COUNTIFS($AR$2:$AR$200,$G172)&gt;0,
     COUNTIFS($AS$2:$AS$200,$G172)&gt;0,
     COUNTIFS($AT$2:$AT$200,$G172)&gt;0,
     COUNTIFS($AU$2:$AU$200,$G172)&gt;0,
     COUNTIFS($AV$2:$AV$200,$G172)&gt;0,
     COUNTIFS($AW$2:$AW$200,$G172)&gt;0,
     COUNTIFS($AX$2:$AX$200,$G172)&gt;0
   )),
  ),
  2
 ),
"")</f>
        <v>Oona</v>
      </c>
      <c r="E172" s="3" t="str" cm="1">
        <f t="array" aca="1" ref="E172" ca="1">IFERROR(
 INDEX(
  _xlfn._xlws.FILTER($U$1:$AX$1,
   TRANSPOSE(
    CHOOSE({1;2;3;4;5;6;7;8;9;10;11;12;13;14;15;16;17;18;19;20;21;22;23;24;25;26;27;28;29;30},
     COUNTIFS($U$2:$U$200,$G172)&gt;0,
     COUNTIFS($V$2:$V$200,$G172)&gt;0,
     COUNTIFS($W$2:$W$200,$G172)&gt;0,
     COUNTIFS($X$2:$X$200,$G172)&gt;0,
     COUNTIFS($Y$2:$Y$200,$G172)&gt;0,
     COUNTIFS($Z$2:$Z$200,$G172)&gt;0,
     COUNTIFS($AA$2:$AA$200,$G172)&gt;0,
     COUNTIFS($AB$2:$AB$200,$G172)&gt;0,
     COUNTIFS($AC$2:$AC$200,$G172)&gt;0,
     COUNTIFS($AD$2:$AD$200,$G172)&gt;0,
     COUNTIFS($AE$2:$AE$200,$G172)&gt;0,
     COUNTIFS($AF$2:$AF$200,$G172)&gt;0,
     COUNTIFS($AG$2:$AG$200,$G172)&gt;0,
     COUNTIFS($AH$2:$AH$200,$G172)&gt;0,
     COUNTIFS($AI$2:$AI$200,$G172)&gt;0,
     COUNTIFS($AJ$2:$AJ$200,$G172)&gt;0,
     COUNTIFS($AK$2:$AK$200,$G172)&gt;0,
     COUNTIFS($AL$2:$AL$200,$G172)&gt;0,
     COUNTIFS($AM$2:$AM$200,$G172)&gt;0,
     COUNTIFS($AN$2:$AN$200,$G172)&gt;0,
     COUNTIFS($AO$2:$AO$200,$G172)&gt;0,
     COUNTIFS($AP$2:$AP$200,$G172)&gt;0,
     COUNTIFS($AQ$2:$AQ$200,$G172)&gt;0,
     COUNTIFS($AR$2:$AR$200,$G172)&gt;0,
     COUNTIFS($AS$2:$AS$200,$G172)&gt;0,
     COUNTIFS($AT$2:$AT$200,$G172)&gt;0,
     COUNTIFS($AU$2:$AU$200,$G172)&gt;0,
     COUNTIFS($AV$2:$AV$200,$G172)&gt;0,
     COUNTIFS($AW$2:$AW$200,$G172)&gt;0,
     COUNTIFS($AX$2:$AX$200,$G172)&gt;0
   )),
  ),
  3
 ),
"")</f>
        <v/>
      </c>
      <c r="F172" s="3" t="str" cm="1">
        <f t="array" aca="1" ref="F172" ca="1">IFERROR(
 INDEX(
  _xlfn._xlws.FILTER($U$1:$AX$1,
   TRANSPOSE(
    CHOOSE({1;2;3;4;5;6;7;8;9;10;11;12;13;14;15;16;17;18;19;20;21;22;23;24;25;26;27;28;29;30},
     COUNTIFS($U$2:$U$200,$G172)&gt;0,
     COUNTIFS($V$2:$V$200,$G172)&gt;0,
     COUNTIFS($W$2:$W$200,$G172)&gt;0,
     COUNTIFS($X$2:$X$200,$G172)&gt;0,
     COUNTIFS($Y$2:$Y$200,$G172)&gt;0,
     COUNTIFS($Z$2:$Z$200,$G172)&gt;0,
     COUNTIFS($AA$2:$AA$200,$G172)&gt;0,
     COUNTIFS($AB$2:$AB$200,$G172)&gt;0,
     COUNTIFS($AC$2:$AC$200,$G172)&gt;0,
     COUNTIFS($AD$2:$AD$200,$G172)&gt;0,
     COUNTIFS($AE$2:$AE$200,$G172)&gt;0,
     COUNTIFS($AF$2:$AF$200,$G172)&gt;0,
     COUNTIFS($AG$2:$AG$200,$G172)&gt;0,
     COUNTIFS($AH$2:$AH$200,$G172)&gt;0,
     COUNTIFS($AI$2:$AI$200,$G172)&gt;0,
     COUNTIFS($AJ$2:$AJ$200,$G172)&gt;0,
     COUNTIFS($AK$2:$AK$200,$G172)&gt;0,
     COUNTIFS($AL$2:$AL$200,$G172)&gt;0,
     COUNTIFS($AM$2:$AM$200,$G172)&gt;0,
     COUNTIFS($AN$2:$AN$200,$G172)&gt;0,
     COUNTIFS($AO$2:$AO$200,$G172)&gt;0,
     COUNTIFS($AP$2:$AP$200,$G172)&gt;0,
     COUNTIFS($AQ$2:$AQ$200,$G172)&gt;0,
     COUNTIFS($AR$2:$AR$200,$G172)&gt;0,
     COUNTIFS($AS$2:$AS$200,$G172)&gt;0,
     COUNTIFS($AT$2:$AT$200,$G172)&gt;0,
     COUNTIFS($AU$2:$AU$200,$G172)&gt;0,
     COUNTIFS($AV$2:$AV$200,$G172)&gt;0,
     COUNTIFS($AW$2:$AW$200,$G172)&gt;0,
     COUNTIFS($AX$2:$AX$200,$G172)&gt;0
   )),
  ),
  4
 ),
"")</f>
        <v/>
      </c>
      <c r="G172" t="str">
        <f ca="1"/>
        <v>Jidoor, Aristocratic Capital // Overture</v>
      </c>
      <c r="BO172" t="str">
        <f ca="1"/>
        <v>Throne of Geth</v>
      </c>
      <c r="BT172" t="str">
        <f ca="1"/>
        <v>Sokenzan, Crisol da Afronta</v>
      </c>
    </row>
    <row r="173" spans="1:72" x14ac:dyDescent="0.25">
      <c r="A173" s="3" t="str">
        <f t="shared" ca="1" si="6"/>
        <v>3</v>
      </c>
      <c r="B173" s="3">
        <f t="shared" ca="1" si="7"/>
        <v>1</v>
      </c>
      <c r="C173" s="3" t="str">
        <f ca="1">IFERROR(
 INDEX($U$1:$AX$1,
  MATCH(TRUE,
   CHOOSE({1;2;3;4;5;6;7;8;9;10;11;12;13;14;15;16;17;18;19;20;21;22;23;24;25;26;27;28;29;30;31;32},
    COUNTIFS($U$2:$U$200,$G173)&gt;0,
    COUNTIFS($V$2:$V$200,$G173)&gt;0,
    COUNTIFS($W$2:$W$200,$G173)&gt;0,
    COUNTIFS($X$2:$X$200,$G173)&gt;0,
    COUNTIFS($Y$2:$Y$200,$G173)&gt;0,
    COUNTIFS($Z$2:$Z$200,$G173)&gt;0,
    COUNTIFS($AA$2:$AA$200,$G173)&gt;0,
    COUNTIFS($AB$2:$AB$200,$G173)&gt;0,
    COUNTIFS($AC$2:$AC$200,$G173)&gt;0,
    COUNTIFS($AD$2:$AD$200,$G173)&gt;0,
    COUNTIFS($AE$2:$AE$200,$G173)&gt;0,
    COUNTIFS($AF$2:$AF$200,$G173)&gt;0,
    COUNTIFS($AG$2:$AG$200,$G173)&gt;0,
    COUNTIFS($AH$2:$AH$200,$G173)&gt;0,
    COUNTIFS($AI$2:$AI$200,$G173)&gt;0,
    COUNTIFS($AJ$2:$AJ$200,$G173)&gt;0,
    COUNTIFS($AK$2:$AK$200,$G173)&gt;0,
    COUNTIFS($AL$2:$AL$200,$G173)&gt;0,
    COUNTIFS($AM$2:$AM$200,$G173)&gt;0,
    COUNTIFS($AN$2:$AN$200,$G173)&gt;0,
    COUNTIFS($AO$2:$AO$200,$G173)&gt;0,
    COUNTIFS($AP$2:$AP$200,$G173)&gt;0,
    COUNTIFS($AQ$2:$AQ$200,$G173)&gt;0,
    COUNTIFS($AR$2:$AR$200,$G173)&gt;0,
    COUNTIFS($AS$2:$AS$200,$G173)&gt;0,
    COUNTIFS($AT$2:$AT$200,$G173)&gt;0,
    COUNTIFS($AU$2:$AU$200,$G173)&gt;0,
    COUNTIFS($AV$2:$AV$200,$G173)&gt;0,
    COUNTIFS($AW$2:$AW$200,$G173)&gt;0,
    COUNTIFS($AX$2:$AX$200,$G173)&gt;0
   ),
  0)
 ),
"")</f>
        <v>Akiri</v>
      </c>
      <c r="D173" s="3" t="str" cm="1">
        <f t="array" aca="1" ref="D173" ca="1">IFERROR(
 INDEX(
  _xlfn._xlws.FILTER($U$1:$AX$1,
   TRANSPOSE(
    CHOOSE({1;2;3;4;5;6;7;8;9;10;11;12;13;14;15;16;17;18;19;20;21;22;23;24;25;26;27;28;29;30},
     COUNTIFS($U$2:$U$200,$G173)&gt;0,
     COUNTIFS($V$2:$V$200,$G173)&gt;0,
     COUNTIFS($W$2:$W$200,$G173)&gt;0,
     COUNTIFS($X$2:$X$200,$G173)&gt;0,
     COUNTIFS($Y$2:$Y$200,$G173)&gt;0,
     COUNTIFS($Z$2:$Z$200,$G173)&gt;0,
     COUNTIFS($AA$2:$AA$200,$G173)&gt;0,
     COUNTIFS($AB$2:$AB$200,$G173)&gt;0,
     COUNTIFS($AC$2:$AC$200,$G173)&gt;0,
     COUNTIFS($AD$2:$AD$200,$G173)&gt;0,
     COUNTIFS($AE$2:$AE$200,$G173)&gt;0,
     COUNTIFS($AF$2:$AF$200,$G173)&gt;0,
     COUNTIFS($AG$2:$AG$200,$G173)&gt;0,
     COUNTIFS($AH$2:$AH$200,$G173)&gt;0,
     COUNTIFS($AI$2:$AI$200,$G173)&gt;0,
     COUNTIFS($AJ$2:$AJ$200,$G173)&gt;0,
     COUNTIFS($AK$2:$AK$200,$G173)&gt;0,
     COUNTIFS($AL$2:$AL$200,$G173)&gt;0,
     COUNTIFS($AM$2:$AM$200,$G173)&gt;0,
     COUNTIFS($AN$2:$AN$200,$G173)&gt;0,
     COUNTIFS($AO$2:$AO$200,$G173)&gt;0,
     COUNTIFS($AP$2:$AP$200,$G173)&gt;0,
     COUNTIFS($AQ$2:$AQ$200,$G173)&gt;0,
     COUNTIFS($AR$2:$AR$200,$G173)&gt;0,
     COUNTIFS($AS$2:$AS$200,$G173)&gt;0,
     COUNTIFS($AT$2:$AT$200,$G173)&gt;0,
     COUNTIFS($AU$2:$AU$200,$G173)&gt;0,
     COUNTIFS($AV$2:$AV$200,$G173)&gt;0,
     COUNTIFS($AW$2:$AW$200,$G173)&gt;0,
     COUNTIFS($AX$2:$AX$200,$G173)&gt;0
   )),
  ),
  2
 ),
"")</f>
        <v/>
      </c>
      <c r="E173" s="3" t="str" cm="1">
        <f t="array" aca="1" ref="E173" ca="1">IFERROR(
 INDEX(
  _xlfn._xlws.FILTER($U$1:$AX$1,
   TRANSPOSE(
    CHOOSE({1;2;3;4;5;6;7;8;9;10;11;12;13;14;15;16;17;18;19;20;21;22;23;24;25;26;27;28;29;30},
     COUNTIFS($U$2:$U$200,$G173)&gt;0,
     COUNTIFS($V$2:$V$200,$G173)&gt;0,
     COUNTIFS($W$2:$W$200,$G173)&gt;0,
     COUNTIFS($X$2:$X$200,$G173)&gt;0,
     COUNTIFS($Y$2:$Y$200,$G173)&gt;0,
     COUNTIFS($Z$2:$Z$200,$G173)&gt;0,
     COUNTIFS($AA$2:$AA$200,$G173)&gt;0,
     COUNTIFS($AB$2:$AB$200,$G173)&gt;0,
     COUNTIFS($AC$2:$AC$200,$G173)&gt;0,
     COUNTIFS($AD$2:$AD$200,$G173)&gt;0,
     COUNTIFS($AE$2:$AE$200,$G173)&gt;0,
     COUNTIFS($AF$2:$AF$200,$G173)&gt;0,
     COUNTIFS($AG$2:$AG$200,$G173)&gt;0,
     COUNTIFS($AH$2:$AH$200,$G173)&gt;0,
     COUNTIFS($AI$2:$AI$200,$G173)&gt;0,
     COUNTIFS($AJ$2:$AJ$200,$G173)&gt;0,
     COUNTIFS($AK$2:$AK$200,$G173)&gt;0,
     COUNTIFS($AL$2:$AL$200,$G173)&gt;0,
     COUNTIFS($AM$2:$AM$200,$G173)&gt;0,
     COUNTIFS($AN$2:$AN$200,$G173)&gt;0,
     COUNTIFS($AO$2:$AO$200,$G173)&gt;0,
     COUNTIFS($AP$2:$AP$200,$G173)&gt;0,
     COUNTIFS($AQ$2:$AQ$200,$G173)&gt;0,
     COUNTIFS($AR$2:$AR$200,$G173)&gt;0,
     COUNTIFS($AS$2:$AS$200,$G173)&gt;0,
     COUNTIFS($AT$2:$AT$200,$G173)&gt;0,
     COUNTIFS($AU$2:$AU$200,$G173)&gt;0,
     COUNTIFS($AV$2:$AV$200,$G173)&gt;0,
     COUNTIFS($AW$2:$AW$200,$G173)&gt;0,
     COUNTIFS($AX$2:$AX$200,$G173)&gt;0
   )),
  ),
  3
 ),
"")</f>
        <v/>
      </c>
      <c r="F173" s="3" t="str" cm="1">
        <f t="array" aca="1" ref="F173" ca="1">IFERROR(
 INDEX(
  _xlfn._xlws.FILTER($U$1:$AX$1,
   TRANSPOSE(
    CHOOSE({1;2;3;4;5;6;7;8;9;10;11;12;13;14;15;16;17;18;19;20;21;22;23;24;25;26;27;28;29;30},
     COUNTIFS($U$2:$U$200,$G173)&gt;0,
     COUNTIFS($V$2:$V$200,$G173)&gt;0,
     COUNTIFS($W$2:$W$200,$G173)&gt;0,
     COUNTIFS($X$2:$X$200,$G173)&gt;0,
     COUNTIFS($Y$2:$Y$200,$G173)&gt;0,
     COUNTIFS($Z$2:$Z$200,$G173)&gt;0,
     COUNTIFS($AA$2:$AA$200,$G173)&gt;0,
     COUNTIFS($AB$2:$AB$200,$G173)&gt;0,
     COUNTIFS($AC$2:$AC$200,$G173)&gt;0,
     COUNTIFS($AD$2:$AD$200,$G173)&gt;0,
     COUNTIFS($AE$2:$AE$200,$G173)&gt;0,
     COUNTIFS($AF$2:$AF$200,$G173)&gt;0,
     COUNTIFS($AG$2:$AG$200,$G173)&gt;0,
     COUNTIFS($AH$2:$AH$200,$G173)&gt;0,
     COUNTIFS($AI$2:$AI$200,$G173)&gt;0,
     COUNTIFS($AJ$2:$AJ$200,$G173)&gt;0,
     COUNTIFS($AK$2:$AK$200,$G173)&gt;0,
     COUNTIFS($AL$2:$AL$200,$G173)&gt;0,
     COUNTIFS($AM$2:$AM$200,$G173)&gt;0,
     COUNTIFS($AN$2:$AN$200,$G173)&gt;0,
     COUNTIFS($AO$2:$AO$200,$G173)&gt;0,
     COUNTIFS($AP$2:$AP$200,$G173)&gt;0,
     COUNTIFS($AQ$2:$AQ$200,$G173)&gt;0,
     COUNTIFS($AR$2:$AR$200,$G173)&gt;0,
     COUNTIFS($AS$2:$AS$200,$G173)&gt;0,
     COUNTIFS($AT$2:$AT$200,$G173)&gt;0,
     COUNTIFS($AU$2:$AU$200,$G173)&gt;0,
     COUNTIFS($AV$2:$AV$200,$G173)&gt;0,
     COUNTIFS($AW$2:$AW$200,$G173)&gt;0,
     COUNTIFS($AX$2:$AX$200,$G173)&gt;0
   )),
  ),
  4
 ),
"")</f>
        <v/>
      </c>
      <c r="G173" t="str">
        <f ca="1"/>
        <v>Jitte Perdida</v>
      </c>
      <c r="BO173" t="str">
        <f ca="1"/>
        <v>Time of Need</v>
      </c>
      <c r="BT173" t="str">
        <f ca="1"/>
        <v>Sokenzan, Crucible of Defiance</v>
      </c>
    </row>
    <row r="174" spans="1:72" x14ac:dyDescent="0.25">
      <c r="A174" s="3" t="str">
        <f t="shared" ca="1" si="6"/>
        <v>3</v>
      </c>
      <c r="B174" s="3">
        <f t="shared" ca="1" si="7"/>
        <v>1</v>
      </c>
      <c r="C174" s="3" t="str">
        <f ca="1">IFERROR(
 INDEX($U$1:$AX$1,
  MATCH(TRUE,
   CHOOSE({1;2;3;4;5;6;7;8;9;10;11;12;13;14;15;16;17;18;19;20;21;22;23;24;25;26;27;28;29;30;31;32},
    COUNTIFS($U$2:$U$200,$G174)&gt;0,
    COUNTIFS($V$2:$V$200,$G174)&gt;0,
    COUNTIFS($W$2:$W$200,$G174)&gt;0,
    COUNTIFS($X$2:$X$200,$G174)&gt;0,
    COUNTIFS($Y$2:$Y$200,$G174)&gt;0,
    COUNTIFS($Z$2:$Z$200,$G174)&gt;0,
    COUNTIFS($AA$2:$AA$200,$G174)&gt;0,
    COUNTIFS($AB$2:$AB$200,$G174)&gt;0,
    COUNTIFS($AC$2:$AC$200,$G174)&gt;0,
    COUNTIFS($AD$2:$AD$200,$G174)&gt;0,
    COUNTIFS($AE$2:$AE$200,$G174)&gt;0,
    COUNTIFS($AF$2:$AF$200,$G174)&gt;0,
    COUNTIFS($AG$2:$AG$200,$G174)&gt;0,
    COUNTIFS($AH$2:$AH$200,$G174)&gt;0,
    COUNTIFS($AI$2:$AI$200,$G174)&gt;0,
    COUNTIFS($AJ$2:$AJ$200,$G174)&gt;0,
    COUNTIFS($AK$2:$AK$200,$G174)&gt;0,
    COUNTIFS($AL$2:$AL$200,$G174)&gt;0,
    COUNTIFS($AM$2:$AM$200,$G174)&gt;0,
    COUNTIFS($AN$2:$AN$200,$G174)&gt;0,
    COUNTIFS($AO$2:$AO$200,$G174)&gt;0,
    COUNTIFS($AP$2:$AP$200,$G174)&gt;0,
    COUNTIFS($AQ$2:$AQ$200,$G174)&gt;0,
    COUNTIFS($AR$2:$AR$200,$G174)&gt;0,
    COUNTIFS($AS$2:$AS$200,$G174)&gt;0,
    COUNTIFS($AT$2:$AT$200,$G174)&gt;0,
    COUNTIFS($AU$2:$AU$200,$G174)&gt;0,
    COUNTIFS($AV$2:$AV$200,$G174)&gt;0,
    COUNTIFS($AW$2:$AW$200,$G174)&gt;0,
    COUNTIFS($AX$2:$AX$200,$G174)&gt;0
   ),
  0)
 ),
"")</f>
        <v>Sisay</v>
      </c>
      <c r="D174" s="3" t="str" cm="1">
        <f t="array" aca="1" ref="D174" ca="1">IFERROR(
 INDEX(
  _xlfn._xlws.FILTER($U$1:$AX$1,
   TRANSPOSE(
    CHOOSE({1;2;3;4;5;6;7;8;9;10;11;12;13;14;15;16;17;18;19;20;21;22;23;24;25;26;27;28;29;30},
     COUNTIFS($U$2:$U$200,$G174)&gt;0,
     COUNTIFS($V$2:$V$200,$G174)&gt;0,
     COUNTIFS($W$2:$W$200,$G174)&gt;0,
     COUNTIFS($X$2:$X$200,$G174)&gt;0,
     COUNTIFS($Y$2:$Y$200,$G174)&gt;0,
     COUNTIFS($Z$2:$Z$200,$G174)&gt;0,
     COUNTIFS($AA$2:$AA$200,$G174)&gt;0,
     COUNTIFS($AB$2:$AB$200,$G174)&gt;0,
     COUNTIFS($AC$2:$AC$200,$G174)&gt;0,
     COUNTIFS($AD$2:$AD$200,$G174)&gt;0,
     COUNTIFS($AE$2:$AE$200,$G174)&gt;0,
     COUNTIFS($AF$2:$AF$200,$G174)&gt;0,
     COUNTIFS($AG$2:$AG$200,$G174)&gt;0,
     COUNTIFS($AH$2:$AH$200,$G174)&gt;0,
     COUNTIFS($AI$2:$AI$200,$G174)&gt;0,
     COUNTIFS($AJ$2:$AJ$200,$G174)&gt;0,
     COUNTIFS($AK$2:$AK$200,$G174)&gt;0,
     COUNTIFS($AL$2:$AL$200,$G174)&gt;0,
     COUNTIFS($AM$2:$AM$200,$G174)&gt;0,
     COUNTIFS($AN$2:$AN$200,$G174)&gt;0,
     COUNTIFS($AO$2:$AO$200,$G174)&gt;0,
     COUNTIFS($AP$2:$AP$200,$G174)&gt;0,
     COUNTIFS($AQ$2:$AQ$200,$G174)&gt;0,
     COUNTIFS($AR$2:$AR$200,$G174)&gt;0,
     COUNTIFS($AS$2:$AS$200,$G174)&gt;0,
     COUNTIFS($AT$2:$AT$200,$G174)&gt;0,
     COUNTIFS($AU$2:$AU$200,$G174)&gt;0,
     COUNTIFS($AV$2:$AV$200,$G174)&gt;0,
     COUNTIFS($AW$2:$AW$200,$G174)&gt;0,
     COUNTIFS($AX$2:$AX$200,$G174)&gt;0
   )),
  ),
  2
 ),
"")</f>
        <v/>
      </c>
      <c r="E174" s="3" t="str" cm="1">
        <f t="array" aca="1" ref="E174" ca="1">IFERROR(
 INDEX(
  _xlfn._xlws.FILTER($U$1:$AX$1,
   TRANSPOSE(
    CHOOSE({1;2;3;4;5;6;7;8;9;10;11;12;13;14;15;16;17;18;19;20;21;22;23;24;25;26;27;28;29;30},
     COUNTIFS($U$2:$U$200,$G174)&gt;0,
     COUNTIFS($V$2:$V$200,$G174)&gt;0,
     COUNTIFS($W$2:$W$200,$G174)&gt;0,
     COUNTIFS($X$2:$X$200,$G174)&gt;0,
     COUNTIFS($Y$2:$Y$200,$G174)&gt;0,
     COUNTIFS($Z$2:$Z$200,$G174)&gt;0,
     COUNTIFS($AA$2:$AA$200,$G174)&gt;0,
     COUNTIFS($AB$2:$AB$200,$G174)&gt;0,
     COUNTIFS($AC$2:$AC$200,$G174)&gt;0,
     COUNTIFS($AD$2:$AD$200,$G174)&gt;0,
     COUNTIFS($AE$2:$AE$200,$G174)&gt;0,
     COUNTIFS($AF$2:$AF$200,$G174)&gt;0,
     COUNTIFS($AG$2:$AG$200,$G174)&gt;0,
     COUNTIFS($AH$2:$AH$200,$G174)&gt;0,
     COUNTIFS($AI$2:$AI$200,$G174)&gt;0,
     COUNTIFS($AJ$2:$AJ$200,$G174)&gt;0,
     COUNTIFS($AK$2:$AK$200,$G174)&gt;0,
     COUNTIFS($AL$2:$AL$200,$G174)&gt;0,
     COUNTIFS($AM$2:$AM$200,$G174)&gt;0,
     COUNTIFS($AN$2:$AN$200,$G174)&gt;0,
     COUNTIFS($AO$2:$AO$200,$G174)&gt;0,
     COUNTIFS($AP$2:$AP$200,$G174)&gt;0,
     COUNTIFS($AQ$2:$AQ$200,$G174)&gt;0,
     COUNTIFS($AR$2:$AR$200,$G174)&gt;0,
     COUNTIFS($AS$2:$AS$200,$G174)&gt;0,
     COUNTIFS($AT$2:$AT$200,$G174)&gt;0,
     COUNTIFS($AU$2:$AU$200,$G174)&gt;0,
     COUNTIFS($AV$2:$AV$200,$G174)&gt;0,
     COUNTIFS($AW$2:$AW$200,$G174)&gt;0,
     COUNTIFS($AX$2:$AX$200,$G174)&gt;0
   )),
  ),
  3
 ),
"")</f>
        <v/>
      </c>
      <c r="F174" s="3" t="str" cm="1">
        <f t="array" aca="1" ref="F174" ca="1">IFERROR(
 INDEX(
  _xlfn._xlws.FILTER($U$1:$AX$1,
   TRANSPOSE(
    CHOOSE({1;2;3;4;5;6;7;8;9;10;11;12;13;14;15;16;17;18;19;20;21;22;23;24;25;26;27;28;29;30},
     COUNTIFS($U$2:$U$200,$G174)&gt;0,
     COUNTIFS($V$2:$V$200,$G174)&gt;0,
     COUNTIFS($W$2:$W$200,$G174)&gt;0,
     COUNTIFS($X$2:$X$200,$G174)&gt;0,
     COUNTIFS($Y$2:$Y$200,$G174)&gt;0,
     COUNTIFS($Z$2:$Z$200,$G174)&gt;0,
     COUNTIFS($AA$2:$AA$200,$G174)&gt;0,
     COUNTIFS($AB$2:$AB$200,$G174)&gt;0,
     COUNTIFS($AC$2:$AC$200,$G174)&gt;0,
     COUNTIFS($AD$2:$AD$200,$G174)&gt;0,
     COUNTIFS($AE$2:$AE$200,$G174)&gt;0,
     COUNTIFS($AF$2:$AF$200,$G174)&gt;0,
     COUNTIFS($AG$2:$AG$200,$G174)&gt;0,
     COUNTIFS($AH$2:$AH$200,$G174)&gt;0,
     COUNTIFS($AI$2:$AI$200,$G174)&gt;0,
     COUNTIFS($AJ$2:$AJ$200,$G174)&gt;0,
     COUNTIFS($AK$2:$AK$200,$G174)&gt;0,
     COUNTIFS($AL$2:$AL$200,$G174)&gt;0,
     COUNTIFS($AM$2:$AM$200,$G174)&gt;0,
     COUNTIFS($AN$2:$AN$200,$G174)&gt;0,
     COUNTIFS($AO$2:$AO$200,$G174)&gt;0,
     COUNTIFS($AP$2:$AP$200,$G174)&gt;0,
     COUNTIFS($AQ$2:$AQ$200,$G174)&gt;0,
     COUNTIFS($AR$2:$AR$200,$G174)&gt;0,
     COUNTIFS($AS$2:$AS$200,$G174)&gt;0,
     COUNTIFS($AT$2:$AT$200,$G174)&gt;0,
     COUNTIFS($AU$2:$AU$200,$G174)&gt;0,
     COUNTIFS($AV$2:$AV$200,$G174)&gt;0,
     COUNTIFS($AW$2:$AW$200,$G174)&gt;0,
     COUNTIFS($AX$2:$AX$200,$G174)&gt;0
   )),
  ),
  4
 ),
"")</f>
        <v/>
      </c>
      <c r="G174" t="str">
        <f ca="1"/>
        <v>Karn Liberated</v>
      </c>
      <c r="BO174" t="str">
        <f ca="1"/>
        <v>Time Sieve</v>
      </c>
      <c r="BT174" t="str">
        <f ca="1"/>
        <v>Sol Ring</v>
      </c>
    </row>
    <row r="175" spans="1:72" x14ac:dyDescent="0.25">
      <c r="A175" s="3" t="str">
        <f t="shared" ca="1" si="6"/>
        <v>1</v>
      </c>
      <c r="B175" s="3">
        <f t="shared" ca="1" si="7"/>
        <v>1</v>
      </c>
      <c r="C175" s="3" t="str">
        <f ca="1">IFERROR(
 INDEX($U$1:$AX$1,
  MATCH(TRUE,
   CHOOSE({1;2;3;4;5;6;7;8;9;10;11;12;13;14;15;16;17;18;19;20;21;22;23;24;25;26;27;28;29;30;31;32},
    COUNTIFS($U$2:$U$200,$G175)&gt;0,
    COUNTIFS($V$2:$V$200,$G175)&gt;0,
    COUNTIFS($W$2:$W$200,$G175)&gt;0,
    COUNTIFS($X$2:$X$200,$G175)&gt;0,
    COUNTIFS($Y$2:$Y$200,$G175)&gt;0,
    COUNTIFS($Z$2:$Z$200,$G175)&gt;0,
    COUNTIFS($AA$2:$AA$200,$G175)&gt;0,
    COUNTIFS($AB$2:$AB$200,$G175)&gt;0,
    COUNTIFS($AC$2:$AC$200,$G175)&gt;0,
    COUNTIFS($AD$2:$AD$200,$G175)&gt;0,
    COUNTIFS($AE$2:$AE$200,$G175)&gt;0,
    COUNTIFS($AF$2:$AF$200,$G175)&gt;0,
    COUNTIFS($AG$2:$AG$200,$G175)&gt;0,
    COUNTIFS($AH$2:$AH$200,$G175)&gt;0,
    COUNTIFS($AI$2:$AI$200,$G175)&gt;0,
    COUNTIFS($AJ$2:$AJ$200,$G175)&gt;0,
    COUNTIFS($AK$2:$AK$200,$G175)&gt;0,
    COUNTIFS($AL$2:$AL$200,$G175)&gt;0,
    COUNTIFS($AM$2:$AM$200,$G175)&gt;0,
    COUNTIFS($AN$2:$AN$200,$G175)&gt;0,
    COUNTIFS($AO$2:$AO$200,$G175)&gt;0,
    COUNTIFS($AP$2:$AP$200,$G175)&gt;0,
    COUNTIFS($AQ$2:$AQ$200,$G175)&gt;0,
    COUNTIFS($AR$2:$AR$200,$G175)&gt;0,
    COUNTIFS($AS$2:$AS$200,$G175)&gt;0,
    COUNTIFS($AT$2:$AT$200,$G175)&gt;0,
    COUNTIFS($AU$2:$AU$200,$G175)&gt;0,
    COUNTIFS($AV$2:$AV$200,$G175)&gt;0,
    COUNTIFS($AW$2:$AW$200,$G175)&gt;0,
    COUNTIFS($AX$2:$AX$200,$G175)&gt;0
   ),
  0)
 ),
"")</f>
        <v>Modular</v>
      </c>
      <c r="D175" s="3" t="str" cm="1">
        <f t="array" aca="1" ref="D175" ca="1">IFERROR(
 INDEX(
  _xlfn._xlws.FILTER($U$1:$AX$1,
   TRANSPOSE(
    CHOOSE({1;2;3;4;5;6;7;8;9;10;11;12;13;14;15;16;17;18;19;20;21;22;23;24;25;26;27;28;29;30},
     COUNTIFS($U$2:$U$200,$G175)&gt;0,
     COUNTIFS($V$2:$V$200,$G175)&gt;0,
     COUNTIFS($W$2:$W$200,$G175)&gt;0,
     COUNTIFS($X$2:$X$200,$G175)&gt;0,
     COUNTIFS($Y$2:$Y$200,$G175)&gt;0,
     COUNTIFS($Z$2:$Z$200,$G175)&gt;0,
     COUNTIFS($AA$2:$AA$200,$G175)&gt;0,
     COUNTIFS($AB$2:$AB$200,$G175)&gt;0,
     COUNTIFS($AC$2:$AC$200,$G175)&gt;0,
     COUNTIFS($AD$2:$AD$200,$G175)&gt;0,
     COUNTIFS($AE$2:$AE$200,$G175)&gt;0,
     COUNTIFS($AF$2:$AF$200,$G175)&gt;0,
     COUNTIFS($AG$2:$AG$200,$G175)&gt;0,
     COUNTIFS($AH$2:$AH$200,$G175)&gt;0,
     COUNTIFS($AI$2:$AI$200,$G175)&gt;0,
     COUNTIFS($AJ$2:$AJ$200,$G175)&gt;0,
     COUNTIFS($AK$2:$AK$200,$G175)&gt;0,
     COUNTIFS($AL$2:$AL$200,$G175)&gt;0,
     COUNTIFS($AM$2:$AM$200,$G175)&gt;0,
     COUNTIFS($AN$2:$AN$200,$G175)&gt;0,
     COUNTIFS($AO$2:$AO$200,$G175)&gt;0,
     COUNTIFS($AP$2:$AP$200,$G175)&gt;0,
     COUNTIFS($AQ$2:$AQ$200,$G175)&gt;0,
     COUNTIFS($AR$2:$AR$200,$G175)&gt;0,
     COUNTIFS($AS$2:$AS$200,$G175)&gt;0,
     COUNTIFS($AT$2:$AT$200,$G175)&gt;0,
     COUNTIFS($AU$2:$AU$200,$G175)&gt;0,
     COUNTIFS($AV$2:$AV$200,$G175)&gt;0,
     COUNTIFS($AW$2:$AW$200,$G175)&gt;0,
     COUNTIFS($AX$2:$AX$200,$G175)&gt;0
   )),
  ),
  2
 ),
"")</f>
        <v/>
      </c>
      <c r="E175" s="3" t="str" cm="1">
        <f t="array" aca="1" ref="E175" ca="1">IFERROR(
 INDEX(
  _xlfn._xlws.FILTER($U$1:$AX$1,
   TRANSPOSE(
    CHOOSE({1;2;3;4;5;6;7;8;9;10;11;12;13;14;15;16;17;18;19;20;21;22;23;24;25;26;27;28;29;30},
     COUNTIFS($U$2:$U$200,$G175)&gt;0,
     COUNTIFS($V$2:$V$200,$G175)&gt;0,
     COUNTIFS($W$2:$W$200,$G175)&gt;0,
     COUNTIFS($X$2:$X$200,$G175)&gt;0,
     COUNTIFS($Y$2:$Y$200,$G175)&gt;0,
     COUNTIFS($Z$2:$Z$200,$G175)&gt;0,
     COUNTIFS($AA$2:$AA$200,$G175)&gt;0,
     COUNTIFS($AB$2:$AB$200,$G175)&gt;0,
     COUNTIFS($AC$2:$AC$200,$G175)&gt;0,
     COUNTIFS($AD$2:$AD$200,$G175)&gt;0,
     COUNTIFS($AE$2:$AE$200,$G175)&gt;0,
     COUNTIFS($AF$2:$AF$200,$G175)&gt;0,
     COUNTIFS($AG$2:$AG$200,$G175)&gt;0,
     COUNTIFS($AH$2:$AH$200,$G175)&gt;0,
     COUNTIFS($AI$2:$AI$200,$G175)&gt;0,
     COUNTIFS($AJ$2:$AJ$200,$G175)&gt;0,
     COUNTIFS($AK$2:$AK$200,$G175)&gt;0,
     COUNTIFS($AL$2:$AL$200,$G175)&gt;0,
     COUNTIFS($AM$2:$AM$200,$G175)&gt;0,
     COUNTIFS($AN$2:$AN$200,$G175)&gt;0,
     COUNTIFS($AO$2:$AO$200,$G175)&gt;0,
     COUNTIFS($AP$2:$AP$200,$G175)&gt;0,
     COUNTIFS($AQ$2:$AQ$200,$G175)&gt;0,
     COUNTIFS($AR$2:$AR$200,$G175)&gt;0,
     COUNTIFS($AS$2:$AS$200,$G175)&gt;0,
     COUNTIFS($AT$2:$AT$200,$G175)&gt;0,
     COUNTIFS($AU$2:$AU$200,$G175)&gt;0,
     COUNTIFS($AV$2:$AV$200,$G175)&gt;0,
     COUNTIFS($AW$2:$AW$200,$G175)&gt;0,
     COUNTIFS($AX$2:$AX$200,$G175)&gt;0
   )),
  ),
  3
 ),
"")</f>
        <v/>
      </c>
      <c r="F175" s="3" t="str" cm="1">
        <f t="array" aca="1" ref="F175" ca="1">IFERROR(
 INDEX(
  _xlfn._xlws.FILTER($U$1:$AX$1,
   TRANSPOSE(
    CHOOSE({1;2;3;4;5;6;7;8;9;10;11;12;13;14;15;16;17;18;19;20;21;22;23;24;25;26;27;28;29;30},
     COUNTIFS($U$2:$U$200,$G175)&gt;0,
     COUNTIFS($V$2:$V$200,$G175)&gt;0,
     COUNTIFS($W$2:$W$200,$G175)&gt;0,
     COUNTIFS($X$2:$X$200,$G175)&gt;0,
     COUNTIFS($Y$2:$Y$200,$G175)&gt;0,
     COUNTIFS($Z$2:$Z$200,$G175)&gt;0,
     COUNTIFS($AA$2:$AA$200,$G175)&gt;0,
     COUNTIFS($AB$2:$AB$200,$G175)&gt;0,
     COUNTIFS($AC$2:$AC$200,$G175)&gt;0,
     COUNTIFS($AD$2:$AD$200,$G175)&gt;0,
     COUNTIFS($AE$2:$AE$200,$G175)&gt;0,
     COUNTIFS($AF$2:$AF$200,$G175)&gt;0,
     COUNTIFS($AG$2:$AG$200,$G175)&gt;0,
     COUNTIFS($AH$2:$AH$200,$G175)&gt;0,
     COUNTIFS($AI$2:$AI$200,$G175)&gt;0,
     COUNTIFS($AJ$2:$AJ$200,$G175)&gt;0,
     COUNTIFS($AK$2:$AK$200,$G175)&gt;0,
     COUNTIFS($AL$2:$AL$200,$G175)&gt;0,
     COUNTIFS($AM$2:$AM$200,$G175)&gt;0,
     COUNTIFS($AN$2:$AN$200,$G175)&gt;0,
     COUNTIFS($AO$2:$AO$200,$G175)&gt;0,
     COUNTIFS($AP$2:$AP$200,$G175)&gt;0,
     COUNTIFS($AQ$2:$AQ$200,$G175)&gt;0,
     COUNTIFS($AR$2:$AR$200,$G175)&gt;0,
     COUNTIFS($AS$2:$AS$200,$G175)&gt;0,
     COUNTIFS($AT$2:$AT$200,$G175)&gt;0,
     COUNTIFS($AU$2:$AU$200,$G175)&gt;0,
     COUNTIFS($AV$2:$AV$200,$G175)&gt;0,
     COUNTIFS($AW$2:$AW$200,$G175)&gt;0,
     COUNTIFS($AX$2:$AX$200,$G175)&gt;0
   )),
  ),
  4
 ),
"")</f>
        <v/>
      </c>
      <c r="G175" t="str">
        <f ca="1"/>
        <v>Karn's Bastion</v>
      </c>
      <c r="BO175" t="str">
        <f ca="1"/>
        <v>Timestream Navigator</v>
      </c>
      <c r="BT175" t="str">
        <f ca="1"/>
        <v>Sonic Screwdriver</v>
      </c>
    </row>
    <row r="176" spans="1:72" x14ac:dyDescent="0.25">
      <c r="A176" s="3" t="str">
        <f t="shared" ca="1" si="6"/>
        <v>1</v>
      </c>
      <c r="B176" s="3">
        <f t="shared" ca="1" si="7"/>
        <v>1</v>
      </c>
      <c r="C176" s="3" t="str">
        <f ca="1">IFERROR(
 INDEX($U$1:$AX$1,
  MATCH(TRUE,
   CHOOSE({1;2;3;4;5;6;7;8;9;10;11;12;13;14;15;16;17;18;19;20;21;22;23;24;25;26;27;28;29;30;31;32},
    COUNTIFS($U$2:$U$200,$G176)&gt;0,
    COUNTIFS($V$2:$V$200,$G176)&gt;0,
    COUNTIFS($W$2:$W$200,$G176)&gt;0,
    COUNTIFS($X$2:$X$200,$G176)&gt;0,
    COUNTIFS($Y$2:$Y$200,$G176)&gt;0,
    COUNTIFS($Z$2:$Z$200,$G176)&gt;0,
    COUNTIFS($AA$2:$AA$200,$G176)&gt;0,
    COUNTIFS($AB$2:$AB$200,$G176)&gt;0,
    COUNTIFS($AC$2:$AC$200,$G176)&gt;0,
    COUNTIFS($AD$2:$AD$200,$G176)&gt;0,
    COUNTIFS($AE$2:$AE$200,$G176)&gt;0,
    COUNTIFS($AF$2:$AF$200,$G176)&gt;0,
    COUNTIFS($AG$2:$AG$200,$G176)&gt;0,
    COUNTIFS($AH$2:$AH$200,$G176)&gt;0,
    COUNTIFS($AI$2:$AI$200,$G176)&gt;0,
    COUNTIFS($AJ$2:$AJ$200,$G176)&gt;0,
    COUNTIFS($AK$2:$AK$200,$G176)&gt;0,
    COUNTIFS($AL$2:$AL$200,$G176)&gt;0,
    COUNTIFS($AM$2:$AM$200,$G176)&gt;0,
    COUNTIFS($AN$2:$AN$200,$G176)&gt;0,
    COUNTIFS($AO$2:$AO$200,$G176)&gt;0,
    COUNTIFS($AP$2:$AP$200,$G176)&gt;0,
    COUNTIFS($AQ$2:$AQ$200,$G176)&gt;0,
    COUNTIFS($AR$2:$AR$200,$G176)&gt;0,
    COUNTIFS($AS$2:$AS$200,$G176)&gt;0,
    COUNTIFS($AT$2:$AT$200,$G176)&gt;0,
    COUNTIFS($AU$2:$AU$200,$G176)&gt;0,
    COUNTIFS($AV$2:$AV$200,$G176)&gt;0,
    COUNTIFS($AW$2:$AW$200,$G176)&gt;0,
    COUNTIFS($AX$2:$AX$200,$G176)&gt;0
   ),
  0)
 ),
"")</f>
        <v>Baylen</v>
      </c>
      <c r="D176" s="3" t="str" cm="1">
        <f t="array" aca="1" ref="D176" ca="1">IFERROR(
 INDEX(
  _xlfn._xlws.FILTER($U$1:$AX$1,
   TRANSPOSE(
    CHOOSE({1;2;3;4;5;6;7;8;9;10;11;12;13;14;15;16;17;18;19;20;21;22;23;24;25;26;27;28;29;30},
     COUNTIFS($U$2:$U$200,$G176)&gt;0,
     COUNTIFS($V$2:$V$200,$G176)&gt;0,
     COUNTIFS($W$2:$W$200,$G176)&gt;0,
     COUNTIFS($X$2:$X$200,$G176)&gt;0,
     COUNTIFS($Y$2:$Y$200,$G176)&gt;0,
     COUNTIFS($Z$2:$Z$200,$G176)&gt;0,
     COUNTIFS($AA$2:$AA$200,$G176)&gt;0,
     COUNTIFS($AB$2:$AB$200,$G176)&gt;0,
     COUNTIFS($AC$2:$AC$200,$G176)&gt;0,
     COUNTIFS($AD$2:$AD$200,$G176)&gt;0,
     COUNTIFS($AE$2:$AE$200,$G176)&gt;0,
     COUNTIFS($AF$2:$AF$200,$G176)&gt;0,
     COUNTIFS($AG$2:$AG$200,$G176)&gt;0,
     COUNTIFS($AH$2:$AH$200,$G176)&gt;0,
     COUNTIFS($AI$2:$AI$200,$G176)&gt;0,
     COUNTIFS($AJ$2:$AJ$200,$G176)&gt;0,
     COUNTIFS($AK$2:$AK$200,$G176)&gt;0,
     COUNTIFS($AL$2:$AL$200,$G176)&gt;0,
     COUNTIFS($AM$2:$AM$200,$G176)&gt;0,
     COUNTIFS($AN$2:$AN$200,$G176)&gt;0,
     COUNTIFS($AO$2:$AO$200,$G176)&gt;0,
     COUNTIFS($AP$2:$AP$200,$G176)&gt;0,
     COUNTIFS($AQ$2:$AQ$200,$G176)&gt;0,
     COUNTIFS($AR$2:$AR$200,$G176)&gt;0,
     COUNTIFS($AS$2:$AS$200,$G176)&gt;0,
     COUNTIFS($AT$2:$AT$200,$G176)&gt;0,
     COUNTIFS($AU$2:$AU$200,$G176)&gt;0,
     COUNTIFS($AV$2:$AV$200,$G176)&gt;0,
     COUNTIFS($AW$2:$AW$200,$G176)&gt;0,
     COUNTIFS($AX$2:$AX$200,$G176)&gt;0
   )),
  ),
  2
 ),
"")</f>
        <v/>
      </c>
      <c r="E176" s="3" t="str" cm="1">
        <f t="array" aca="1" ref="E176" ca="1">IFERROR(
 INDEX(
  _xlfn._xlws.FILTER($U$1:$AX$1,
   TRANSPOSE(
    CHOOSE({1;2;3;4;5;6;7;8;9;10;11;12;13;14;15;16;17;18;19;20;21;22;23;24;25;26;27;28;29;30},
     COUNTIFS($U$2:$U$200,$G176)&gt;0,
     COUNTIFS($V$2:$V$200,$G176)&gt;0,
     COUNTIFS($W$2:$W$200,$G176)&gt;0,
     COUNTIFS($X$2:$X$200,$G176)&gt;0,
     COUNTIFS($Y$2:$Y$200,$G176)&gt;0,
     COUNTIFS($Z$2:$Z$200,$G176)&gt;0,
     COUNTIFS($AA$2:$AA$200,$G176)&gt;0,
     COUNTIFS($AB$2:$AB$200,$G176)&gt;0,
     COUNTIFS($AC$2:$AC$200,$G176)&gt;0,
     COUNTIFS($AD$2:$AD$200,$G176)&gt;0,
     COUNTIFS($AE$2:$AE$200,$G176)&gt;0,
     COUNTIFS($AF$2:$AF$200,$G176)&gt;0,
     COUNTIFS($AG$2:$AG$200,$G176)&gt;0,
     COUNTIFS($AH$2:$AH$200,$G176)&gt;0,
     COUNTIFS($AI$2:$AI$200,$G176)&gt;0,
     COUNTIFS($AJ$2:$AJ$200,$G176)&gt;0,
     COUNTIFS($AK$2:$AK$200,$G176)&gt;0,
     COUNTIFS($AL$2:$AL$200,$G176)&gt;0,
     COUNTIFS($AM$2:$AM$200,$G176)&gt;0,
     COUNTIFS($AN$2:$AN$200,$G176)&gt;0,
     COUNTIFS($AO$2:$AO$200,$G176)&gt;0,
     COUNTIFS($AP$2:$AP$200,$G176)&gt;0,
     COUNTIFS($AQ$2:$AQ$200,$G176)&gt;0,
     COUNTIFS($AR$2:$AR$200,$G176)&gt;0,
     COUNTIFS($AS$2:$AS$200,$G176)&gt;0,
     COUNTIFS($AT$2:$AT$200,$G176)&gt;0,
     COUNTIFS($AU$2:$AU$200,$G176)&gt;0,
     COUNTIFS($AV$2:$AV$200,$G176)&gt;0,
     COUNTIFS($AW$2:$AW$200,$G176)&gt;0,
     COUNTIFS($AX$2:$AX$200,$G176)&gt;0
   )),
  ),
  3
 ),
"")</f>
        <v/>
      </c>
      <c r="F176" s="3" t="str" cm="1">
        <f t="array" aca="1" ref="F176" ca="1">IFERROR(
 INDEX(
  _xlfn._xlws.FILTER($U$1:$AX$1,
   TRANSPOSE(
    CHOOSE({1;2;3;4;5;6;7;8;9;10;11;12;13;14;15;16;17;18;19;20;21;22;23;24;25;26;27;28;29;30},
     COUNTIFS($U$2:$U$200,$G176)&gt;0,
     COUNTIFS($V$2:$V$200,$G176)&gt;0,
     COUNTIFS($W$2:$W$200,$G176)&gt;0,
     COUNTIFS($X$2:$X$200,$G176)&gt;0,
     COUNTIFS($Y$2:$Y$200,$G176)&gt;0,
     COUNTIFS($Z$2:$Z$200,$G176)&gt;0,
     COUNTIFS($AA$2:$AA$200,$G176)&gt;0,
     COUNTIFS($AB$2:$AB$200,$G176)&gt;0,
     COUNTIFS($AC$2:$AC$200,$G176)&gt;0,
     COUNTIFS($AD$2:$AD$200,$G176)&gt;0,
     COUNTIFS($AE$2:$AE$200,$G176)&gt;0,
     COUNTIFS($AF$2:$AF$200,$G176)&gt;0,
     COUNTIFS($AG$2:$AG$200,$G176)&gt;0,
     COUNTIFS($AH$2:$AH$200,$G176)&gt;0,
     COUNTIFS($AI$2:$AI$200,$G176)&gt;0,
     COUNTIFS($AJ$2:$AJ$200,$G176)&gt;0,
     COUNTIFS($AK$2:$AK$200,$G176)&gt;0,
     COUNTIFS($AL$2:$AL$200,$G176)&gt;0,
     COUNTIFS($AM$2:$AM$200,$G176)&gt;0,
     COUNTIFS($AN$2:$AN$200,$G176)&gt;0,
     COUNTIFS($AO$2:$AO$200,$G176)&gt;0,
     COUNTIFS($AP$2:$AP$200,$G176)&gt;0,
     COUNTIFS($AQ$2:$AQ$200,$G176)&gt;0,
     COUNTIFS($AR$2:$AR$200,$G176)&gt;0,
     COUNTIFS($AS$2:$AS$200,$G176)&gt;0,
     COUNTIFS($AT$2:$AT$200,$G176)&gt;0,
     COUNTIFS($AU$2:$AU$200,$G176)&gt;0,
     COUNTIFS($AV$2:$AV$200,$G176)&gt;0,
     COUNTIFS($AW$2:$AW$200,$G176)&gt;0,
     COUNTIFS($AX$2:$AX$200,$G176)&gt;0
   )),
  ),
  4
 ),
"")</f>
        <v/>
      </c>
      <c r="G176" t="str">
        <f ca="1"/>
        <v>Karplusan Forest</v>
      </c>
      <c r="BO176" t="str">
        <f ca="1"/>
        <v>Tireless Provisioner</v>
      </c>
      <c r="BT176" t="str">
        <f ca="1"/>
        <v>Sorin da Casa Markov</v>
      </c>
    </row>
    <row r="177" spans="1:72" x14ac:dyDescent="0.25">
      <c r="A177" s="3" t="str">
        <f t="shared" ca="1" si="6"/>
        <v>3</v>
      </c>
      <c r="B177" s="3">
        <f t="shared" ca="1" si="7"/>
        <v>1</v>
      </c>
      <c r="C177" s="3" t="str">
        <f ca="1">IFERROR(
 INDEX($U$1:$AX$1,
  MATCH(TRUE,
   CHOOSE({1;2;3;4;5;6;7;8;9;10;11;12;13;14;15;16;17;18;19;20;21;22;23;24;25;26;27;28;29;30;31;32},
    COUNTIFS($U$2:$U$200,$G177)&gt;0,
    COUNTIFS($V$2:$V$200,$G177)&gt;0,
    COUNTIFS($W$2:$W$200,$G177)&gt;0,
    COUNTIFS($X$2:$X$200,$G177)&gt;0,
    COUNTIFS($Y$2:$Y$200,$G177)&gt;0,
    COUNTIFS($Z$2:$Z$200,$G177)&gt;0,
    COUNTIFS($AA$2:$AA$200,$G177)&gt;0,
    COUNTIFS($AB$2:$AB$200,$G177)&gt;0,
    COUNTIFS($AC$2:$AC$200,$G177)&gt;0,
    COUNTIFS($AD$2:$AD$200,$G177)&gt;0,
    COUNTIFS($AE$2:$AE$200,$G177)&gt;0,
    COUNTIFS($AF$2:$AF$200,$G177)&gt;0,
    COUNTIFS($AG$2:$AG$200,$G177)&gt;0,
    COUNTIFS($AH$2:$AH$200,$G177)&gt;0,
    COUNTIFS($AI$2:$AI$200,$G177)&gt;0,
    COUNTIFS($AJ$2:$AJ$200,$G177)&gt;0,
    COUNTIFS($AK$2:$AK$200,$G177)&gt;0,
    COUNTIFS($AL$2:$AL$200,$G177)&gt;0,
    COUNTIFS($AM$2:$AM$200,$G177)&gt;0,
    COUNTIFS($AN$2:$AN$200,$G177)&gt;0,
    COUNTIFS($AO$2:$AO$200,$G177)&gt;0,
    COUNTIFS($AP$2:$AP$200,$G177)&gt;0,
    COUNTIFS($AQ$2:$AQ$200,$G177)&gt;0,
    COUNTIFS($AR$2:$AR$200,$G177)&gt;0,
    COUNTIFS($AS$2:$AS$200,$G177)&gt;0,
    COUNTIFS($AT$2:$AT$200,$G177)&gt;0,
    COUNTIFS($AU$2:$AU$200,$G177)&gt;0,
    COUNTIFS($AV$2:$AV$200,$G177)&gt;0,
    COUNTIFS($AW$2:$AW$200,$G177)&gt;0,
    COUNTIFS($AX$2:$AX$200,$G177)&gt;0
   ),
  0)
 ),
"")</f>
        <v>Sisay</v>
      </c>
      <c r="D177" s="3" t="str" cm="1">
        <f t="array" aca="1" ref="D177" ca="1">IFERROR(
 INDEX(
  _xlfn._xlws.FILTER($U$1:$AX$1,
   TRANSPOSE(
    CHOOSE({1;2;3;4;5;6;7;8;9;10;11;12;13;14;15;16;17;18;19;20;21;22;23;24;25;26;27;28;29;30},
     COUNTIFS($U$2:$U$200,$G177)&gt;0,
     COUNTIFS($V$2:$V$200,$G177)&gt;0,
     COUNTIFS($W$2:$W$200,$G177)&gt;0,
     COUNTIFS($X$2:$X$200,$G177)&gt;0,
     COUNTIFS($Y$2:$Y$200,$G177)&gt;0,
     COUNTIFS($Z$2:$Z$200,$G177)&gt;0,
     COUNTIFS($AA$2:$AA$200,$G177)&gt;0,
     COUNTIFS($AB$2:$AB$200,$G177)&gt;0,
     COUNTIFS($AC$2:$AC$200,$G177)&gt;0,
     COUNTIFS($AD$2:$AD$200,$G177)&gt;0,
     COUNTIFS($AE$2:$AE$200,$G177)&gt;0,
     COUNTIFS($AF$2:$AF$200,$G177)&gt;0,
     COUNTIFS($AG$2:$AG$200,$G177)&gt;0,
     COUNTIFS($AH$2:$AH$200,$G177)&gt;0,
     COUNTIFS($AI$2:$AI$200,$G177)&gt;0,
     COUNTIFS($AJ$2:$AJ$200,$G177)&gt;0,
     COUNTIFS($AK$2:$AK$200,$G177)&gt;0,
     COUNTIFS($AL$2:$AL$200,$G177)&gt;0,
     COUNTIFS($AM$2:$AM$200,$G177)&gt;0,
     COUNTIFS($AN$2:$AN$200,$G177)&gt;0,
     COUNTIFS($AO$2:$AO$200,$G177)&gt;0,
     COUNTIFS($AP$2:$AP$200,$G177)&gt;0,
     COUNTIFS($AQ$2:$AQ$200,$G177)&gt;0,
     COUNTIFS($AR$2:$AR$200,$G177)&gt;0,
     COUNTIFS($AS$2:$AS$200,$G177)&gt;0,
     COUNTIFS($AT$2:$AT$200,$G177)&gt;0,
     COUNTIFS($AU$2:$AU$200,$G177)&gt;0,
     COUNTIFS($AV$2:$AV$200,$G177)&gt;0,
     COUNTIFS($AW$2:$AW$200,$G177)&gt;0,
     COUNTIFS($AX$2:$AX$200,$G177)&gt;0
   )),
  ),
  2
 ),
"")</f>
        <v/>
      </c>
      <c r="E177" s="3" t="str" cm="1">
        <f t="array" aca="1" ref="E177" ca="1">IFERROR(
 INDEX(
  _xlfn._xlws.FILTER($U$1:$AX$1,
   TRANSPOSE(
    CHOOSE({1;2;3;4;5;6;7;8;9;10;11;12;13;14;15;16;17;18;19;20;21;22;23;24;25;26;27;28;29;30},
     COUNTIFS($U$2:$U$200,$G177)&gt;0,
     COUNTIFS($V$2:$V$200,$G177)&gt;0,
     COUNTIFS($W$2:$W$200,$G177)&gt;0,
     COUNTIFS($X$2:$X$200,$G177)&gt;0,
     COUNTIFS($Y$2:$Y$200,$G177)&gt;0,
     COUNTIFS($Z$2:$Z$200,$G177)&gt;0,
     COUNTIFS($AA$2:$AA$200,$G177)&gt;0,
     COUNTIFS($AB$2:$AB$200,$G177)&gt;0,
     COUNTIFS($AC$2:$AC$200,$G177)&gt;0,
     COUNTIFS($AD$2:$AD$200,$G177)&gt;0,
     COUNTIFS($AE$2:$AE$200,$G177)&gt;0,
     COUNTIFS($AF$2:$AF$200,$G177)&gt;0,
     COUNTIFS($AG$2:$AG$200,$G177)&gt;0,
     COUNTIFS($AH$2:$AH$200,$G177)&gt;0,
     COUNTIFS($AI$2:$AI$200,$G177)&gt;0,
     COUNTIFS($AJ$2:$AJ$200,$G177)&gt;0,
     COUNTIFS($AK$2:$AK$200,$G177)&gt;0,
     COUNTIFS($AL$2:$AL$200,$G177)&gt;0,
     COUNTIFS($AM$2:$AM$200,$G177)&gt;0,
     COUNTIFS($AN$2:$AN$200,$G177)&gt;0,
     COUNTIFS($AO$2:$AO$200,$G177)&gt;0,
     COUNTIFS($AP$2:$AP$200,$G177)&gt;0,
     COUNTIFS($AQ$2:$AQ$200,$G177)&gt;0,
     COUNTIFS($AR$2:$AR$200,$G177)&gt;0,
     COUNTIFS($AS$2:$AS$200,$G177)&gt;0,
     COUNTIFS($AT$2:$AT$200,$G177)&gt;0,
     COUNTIFS($AU$2:$AU$200,$G177)&gt;0,
     COUNTIFS($AV$2:$AV$200,$G177)&gt;0,
     COUNTIFS($AW$2:$AW$200,$G177)&gt;0,
     COUNTIFS($AX$2:$AX$200,$G177)&gt;0
   )),
  ),
  3
 ),
"")</f>
        <v/>
      </c>
      <c r="F177" s="3" t="str" cm="1">
        <f t="array" aca="1" ref="F177" ca="1">IFERROR(
 INDEX(
  _xlfn._xlws.FILTER($U$1:$AX$1,
   TRANSPOSE(
    CHOOSE({1;2;3;4;5;6;7;8;9;10;11;12;13;14;15;16;17;18;19;20;21;22;23;24;25;26;27;28;29;30},
     COUNTIFS($U$2:$U$200,$G177)&gt;0,
     COUNTIFS($V$2:$V$200,$G177)&gt;0,
     COUNTIFS($W$2:$W$200,$G177)&gt;0,
     COUNTIFS($X$2:$X$200,$G177)&gt;0,
     COUNTIFS($Y$2:$Y$200,$G177)&gt;0,
     COUNTIFS($Z$2:$Z$200,$G177)&gt;0,
     COUNTIFS($AA$2:$AA$200,$G177)&gt;0,
     COUNTIFS($AB$2:$AB$200,$G177)&gt;0,
     COUNTIFS($AC$2:$AC$200,$G177)&gt;0,
     COUNTIFS($AD$2:$AD$200,$G177)&gt;0,
     COUNTIFS($AE$2:$AE$200,$G177)&gt;0,
     COUNTIFS($AF$2:$AF$200,$G177)&gt;0,
     COUNTIFS($AG$2:$AG$200,$G177)&gt;0,
     COUNTIFS($AH$2:$AH$200,$G177)&gt;0,
     COUNTIFS($AI$2:$AI$200,$G177)&gt;0,
     COUNTIFS($AJ$2:$AJ$200,$G177)&gt;0,
     COUNTIFS($AK$2:$AK$200,$G177)&gt;0,
     COUNTIFS($AL$2:$AL$200,$G177)&gt;0,
     COUNTIFS($AM$2:$AM$200,$G177)&gt;0,
     COUNTIFS($AN$2:$AN$200,$G177)&gt;0,
     COUNTIFS($AO$2:$AO$200,$G177)&gt;0,
     COUNTIFS($AP$2:$AP$200,$G177)&gt;0,
     COUNTIFS($AQ$2:$AQ$200,$G177)&gt;0,
     COUNTIFS($AR$2:$AR$200,$G177)&gt;0,
     COUNTIFS($AS$2:$AS$200,$G177)&gt;0,
     COUNTIFS($AT$2:$AT$200,$G177)&gt;0,
     COUNTIFS($AU$2:$AU$200,$G177)&gt;0,
     COUNTIFS($AV$2:$AV$200,$G177)&gt;0,
     COUNTIFS($AW$2:$AW$200,$G177)&gt;0,
     COUNTIFS($AX$2:$AX$200,$G177)&gt;0
   )),
  ),
  4
 ),
"")</f>
        <v/>
      </c>
      <c r="G177" t="str">
        <f ca="1"/>
        <v>Kaya the Inexorable</v>
      </c>
      <c r="BO177" t="str">
        <f ca="1"/>
        <v>Toph, the Blind Bandit</v>
      </c>
      <c r="BT177" t="str">
        <f ca="1"/>
        <v>Sothera, the Supervoid</v>
      </c>
    </row>
    <row r="178" spans="1:72" x14ac:dyDescent="0.25">
      <c r="A178" s="3" t="str">
        <f t="shared" ca="1" si="6"/>
        <v>3</v>
      </c>
      <c r="B178" s="3">
        <f t="shared" ca="1" si="7"/>
        <v>1</v>
      </c>
      <c r="C178" s="3" t="str">
        <f ca="1">IFERROR(
 INDEX($U$1:$AX$1,
  MATCH(TRUE,
   CHOOSE({1;2;3;4;5;6;7;8;9;10;11;12;13;14;15;16;17;18;19;20;21;22;23;24;25;26;27;28;29;30;31;32},
    COUNTIFS($U$2:$U$200,$G178)&gt;0,
    COUNTIFS($V$2:$V$200,$G178)&gt;0,
    COUNTIFS($W$2:$W$200,$G178)&gt;0,
    COUNTIFS($X$2:$X$200,$G178)&gt;0,
    COUNTIFS($Y$2:$Y$200,$G178)&gt;0,
    COUNTIFS($Z$2:$Z$200,$G178)&gt;0,
    COUNTIFS($AA$2:$AA$200,$G178)&gt;0,
    COUNTIFS($AB$2:$AB$200,$G178)&gt;0,
    COUNTIFS($AC$2:$AC$200,$G178)&gt;0,
    COUNTIFS($AD$2:$AD$200,$G178)&gt;0,
    COUNTIFS($AE$2:$AE$200,$G178)&gt;0,
    COUNTIFS($AF$2:$AF$200,$G178)&gt;0,
    COUNTIFS($AG$2:$AG$200,$G178)&gt;0,
    COUNTIFS($AH$2:$AH$200,$G178)&gt;0,
    COUNTIFS($AI$2:$AI$200,$G178)&gt;0,
    COUNTIFS($AJ$2:$AJ$200,$G178)&gt;0,
    COUNTIFS($AK$2:$AK$200,$G178)&gt;0,
    COUNTIFS($AL$2:$AL$200,$G178)&gt;0,
    COUNTIFS($AM$2:$AM$200,$G178)&gt;0,
    COUNTIFS($AN$2:$AN$200,$G178)&gt;0,
    COUNTIFS($AO$2:$AO$200,$G178)&gt;0,
    COUNTIFS($AP$2:$AP$200,$G178)&gt;0,
    COUNTIFS($AQ$2:$AQ$200,$G178)&gt;0,
    COUNTIFS($AR$2:$AR$200,$G178)&gt;0,
    COUNTIFS($AS$2:$AS$200,$G178)&gt;0,
    COUNTIFS($AT$2:$AT$200,$G178)&gt;0,
    COUNTIFS($AU$2:$AU$200,$G178)&gt;0,
    COUNTIFS($AV$2:$AV$200,$G178)&gt;0,
    COUNTIFS($AW$2:$AW$200,$G178)&gt;0,
    COUNTIFS($AX$2:$AX$200,$G178)&gt;0
   ),
  0)
 ),
"")</f>
        <v>Carlos</v>
      </c>
      <c r="D178" s="3" t="str" cm="1">
        <f t="array" aca="1" ref="D178" ca="1">IFERROR(
 INDEX(
  _xlfn._xlws.FILTER($U$1:$AX$1,
   TRANSPOSE(
    CHOOSE({1;2;3;4;5;6;7;8;9;10;11;12;13;14;15;16;17;18;19;20;21;22;23;24;25;26;27;28;29;30},
     COUNTIFS($U$2:$U$200,$G178)&gt;0,
     COUNTIFS($V$2:$V$200,$G178)&gt;0,
     COUNTIFS($W$2:$W$200,$G178)&gt;0,
     COUNTIFS($X$2:$X$200,$G178)&gt;0,
     COUNTIFS($Y$2:$Y$200,$G178)&gt;0,
     COUNTIFS($Z$2:$Z$200,$G178)&gt;0,
     COUNTIFS($AA$2:$AA$200,$G178)&gt;0,
     COUNTIFS($AB$2:$AB$200,$G178)&gt;0,
     COUNTIFS($AC$2:$AC$200,$G178)&gt;0,
     COUNTIFS($AD$2:$AD$200,$G178)&gt;0,
     COUNTIFS($AE$2:$AE$200,$G178)&gt;0,
     COUNTIFS($AF$2:$AF$200,$G178)&gt;0,
     COUNTIFS($AG$2:$AG$200,$G178)&gt;0,
     COUNTIFS($AH$2:$AH$200,$G178)&gt;0,
     COUNTIFS($AI$2:$AI$200,$G178)&gt;0,
     COUNTIFS($AJ$2:$AJ$200,$G178)&gt;0,
     COUNTIFS($AK$2:$AK$200,$G178)&gt;0,
     COUNTIFS($AL$2:$AL$200,$G178)&gt;0,
     COUNTIFS($AM$2:$AM$200,$G178)&gt;0,
     COUNTIFS($AN$2:$AN$200,$G178)&gt;0,
     COUNTIFS($AO$2:$AO$200,$G178)&gt;0,
     COUNTIFS($AP$2:$AP$200,$G178)&gt;0,
     COUNTIFS($AQ$2:$AQ$200,$G178)&gt;0,
     COUNTIFS($AR$2:$AR$200,$G178)&gt;0,
     COUNTIFS($AS$2:$AS$200,$G178)&gt;0,
     COUNTIFS($AT$2:$AT$200,$G178)&gt;0,
     COUNTIFS($AU$2:$AU$200,$G178)&gt;0,
     COUNTIFS($AV$2:$AV$200,$G178)&gt;0,
     COUNTIFS($AW$2:$AW$200,$G178)&gt;0,
     COUNTIFS($AX$2:$AX$200,$G178)&gt;0
   )),
  ),
  2
 ),
"")</f>
        <v/>
      </c>
      <c r="E178" s="3" t="str" cm="1">
        <f t="array" aca="1" ref="E178" ca="1">IFERROR(
 INDEX(
  _xlfn._xlws.FILTER($U$1:$AX$1,
   TRANSPOSE(
    CHOOSE({1;2;3;4;5;6;7;8;9;10;11;12;13;14;15;16;17;18;19;20;21;22;23;24;25;26;27;28;29;30},
     COUNTIFS($U$2:$U$200,$G178)&gt;0,
     COUNTIFS($V$2:$V$200,$G178)&gt;0,
     COUNTIFS($W$2:$W$200,$G178)&gt;0,
     COUNTIFS($X$2:$X$200,$G178)&gt;0,
     COUNTIFS($Y$2:$Y$200,$G178)&gt;0,
     COUNTIFS($Z$2:$Z$200,$G178)&gt;0,
     COUNTIFS($AA$2:$AA$200,$G178)&gt;0,
     COUNTIFS($AB$2:$AB$200,$G178)&gt;0,
     COUNTIFS($AC$2:$AC$200,$G178)&gt;0,
     COUNTIFS($AD$2:$AD$200,$G178)&gt;0,
     COUNTIFS($AE$2:$AE$200,$G178)&gt;0,
     COUNTIFS($AF$2:$AF$200,$G178)&gt;0,
     COUNTIFS($AG$2:$AG$200,$G178)&gt;0,
     COUNTIFS($AH$2:$AH$200,$G178)&gt;0,
     COUNTIFS($AI$2:$AI$200,$G178)&gt;0,
     COUNTIFS($AJ$2:$AJ$200,$G178)&gt;0,
     COUNTIFS($AK$2:$AK$200,$G178)&gt;0,
     COUNTIFS($AL$2:$AL$200,$G178)&gt;0,
     COUNTIFS($AM$2:$AM$200,$G178)&gt;0,
     COUNTIFS($AN$2:$AN$200,$G178)&gt;0,
     COUNTIFS($AO$2:$AO$200,$G178)&gt;0,
     COUNTIFS($AP$2:$AP$200,$G178)&gt;0,
     COUNTIFS($AQ$2:$AQ$200,$G178)&gt;0,
     COUNTIFS($AR$2:$AR$200,$G178)&gt;0,
     COUNTIFS($AS$2:$AS$200,$G178)&gt;0,
     COUNTIFS($AT$2:$AT$200,$G178)&gt;0,
     COUNTIFS($AU$2:$AU$200,$G178)&gt;0,
     COUNTIFS($AV$2:$AV$200,$G178)&gt;0,
     COUNTIFS($AW$2:$AW$200,$G178)&gt;0,
     COUNTIFS($AX$2:$AX$200,$G178)&gt;0
   )),
  ),
  3
 ),
"")</f>
        <v/>
      </c>
      <c r="F178" s="3" t="str" cm="1">
        <f t="array" aca="1" ref="F178" ca="1">IFERROR(
 INDEX(
  _xlfn._xlws.FILTER($U$1:$AX$1,
   TRANSPOSE(
    CHOOSE({1;2;3;4;5;6;7;8;9;10;11;12;13;14;15;16;17;18;19;20;21;22;23;24;25;26;27;28;29;30},
     COUNTIFS($U$2:$U$200,$G178)&gt;0,
     COUNTIFS($V$2:$V$200,$G178)&gt;0,
     COUNTIFS($W$2:$W$200,$G178)&gt;0,
     COUNTIFS($X$2:$X$200,$G178)&gt;0,
     COUNTIFS($Y$2:$Y$200,$G178)&gt;0,
     COUNTIFS($Z$2:$Z$200,$G178)&gt;0,
     COUNTIFS($AA$2:$AA$200,$G178)&gt;0,
     COUNTIFS($AB$2:$AB$200,$G178)&gt;0,
     COUNTIFS($AC$2:$AC$200,$G178)&gt;0,
     COUNTIFS($AD$2:$AD$200,$G178)&gt;0,
     COUNTIFS($AE$2:$AE$200,$G178)&gt;0,
     COUNTIFS($AF$2:$AF$200,$G178)&gt;0,
     COUNTIFS($AG$2:$AG$200,$G178)&gt;0,
     COUNTIFS($AH$2:$AH$200,$G178)&gt;0,
     COUNTIFS($AI$2:$AI$200,$G178)&gt;0,
     COUNTIFS($AJ$2:$AJ$200,$G178)&gt;0,
     COUNTIFS($AK$2:$AK$200,$G178)&gt;0,
     COUNTIFS($AL$2:$AL$200,$G178)&gt;0,
     COUNTIFS($AM$2:$AM$200,$G178)&gt;0,
     COUNTIFS($AN$2:$AN$200,$G178)&gt;0,
     COUNTIFS($AO$2:$AO$200,$G178)&gt;0,
     COUNTIFS($AP$2:$AP$200,$G178)&gt;0,
     COUNTIFS($AQ$2:$AQ$200,$G178)&gt;0,
     COUNTIFS($AR$2:$AR$200,$G178)&gt;0,
     COUNTIFS($AS$2:$AS$200,$G178)&gt;0,
     COUNTIFS($AT$2:$AT$200,$G178)&gt;0,
     COUNTIFS($AU$2:$AU$200,$G178)&gt;0,
     COUNTIFS($AV$2:$AV$200,$G178)&gt;0,
     COUNTIFS($AW$2:$AW$200,$G178)&gt;0,
     COUNTIFS($AX$2:$AX$200,$G178)&gt;0
   )),
  ),
  4
 ),
"")</f>
        <v/>
      </c>
      <c r="G178" t="str">
        <f ca="1"/>
        <v>Keen Duelist</v>
      </c>
      <c r="BO178" t="str">
        <f ca="1"/>
        <v>Toph, the First Metalbender</v>
      </c>
      <c r="BT178" t="str">
        <f ca="1"/>
        <v>Spark Double</v>
      </c>
    </row>
    <row r="179" spans="1:72" x14ac:dyDescent="0.25">
      <c r="A179" s="3" t="str">
        <f t="shared" ca="1" si="6"/>
        <v>3</v>
      </c>
      <c r="B179" s="3">
        <f t="shared" ca="1" si="7"/>
        <v>1</v>
      </c>
      <c r="C179" s="3" t="str">
        <f ca="1">IFERROR(
 INDEX($U$1:$AX$1,
  MATCH(TRUE,
   CHOOSE({1;2;3;4;5;6;7;8;9;10;11;12;13;14;15;16;17;18;19;20;21;22;23;24;25;26;27;28;29;30;31;32},
    COUNTIFS($U$2:$U$200,$G179)&gt;0,
    COUNTIFS($V$2:$V$200,$G179)&gt;0,
    COUNTIFS($W$2:$W$200,$G179)&gt;0,
    COUNTIFS($X$2:$X$200,$G179)&gt;0,
    COUNTIFS($Y$2:$Y$200,$G179)&gt;0,
    COUNTIFS($Z$2:$Z$200,$G179)&gt;0,
    COUNTIFS($AA$2:$AA$200,$G179)&gt;0,
    COUNTIFS($AB$2:$AB$200,$G179)&gt;0,
    COUNTIFS($AC$2:$AC$200,$G179)&gt;0,
    COUNTIFS($AD$2:$AD$200,$G179)&gt;0,
    COUNTIFS($AE$2:$AE$200,$G179)&gt;0,
    COUNTIFS($AF$2:$AF$200,$G179)&gt;0,
    COUNTIFS($AG$2:$AG$200,$G179)&gt;0,
    COUNTIFS($AH$2:$AH$200,$G179)&gt;0,
    COUNTIFS($AI$2:$AI$200,$G179)&gt;0,
    COUNTIFS($AJ$2:$AJ$200,$G179)&gt;0,
    COUNTIFS($AK$2:$AK$200,$G179)&gt;0,
    COUNTIFS($AL$2:$AL$200,$G179)&gt;0,
    COUNTIFS($AM$2:$AM$200,$G179)&gt;0,
    COUNTIFS($AN$2:$AN$200,$G179)&gt;0,
    COUNTIFS($AO$2:$AO$200,$G179)&gt;0,
    COUNTIFS($AP$2:$AP$200,$G179)&gt;0,
    COUNTIFS($AQ$2:$AQ$200,$G179)&gt;0,
    COUNTIFS($AR$2:$AR$200,$G179)&gt;0,
    COUNTIFS($AS$2:$AS$200,$G179)&gt;0,
    COUNTIFS($AT$2:$AT$200,$G179)&gt;0,
    COUNTIFS($AU$2:$AU$200,$G179)&gt;0,
    COUNTIFS($AV$2:$AV$200,$G179)&gt;0,
    COUNTIFS($AW$2:$AW$200,$G179)&gt;0,
    COUNTIFS($AX$2:$AX$200,$G179)&gt;0
   ),
  0)
 ),
"")</f>
        <v>Akiri</v>
      </c>
      <c r="D179" s="3" t="str" cm="1">
        <f t="array" aca="1" ref="D179" ca="1">IFERROR(
 INDEX(
  _xlfn._xlws.FILTER($U$1:$AX$1,
   TRANSPOSE(
    CHOOSE({1;2;3;4;5;6;7;8;9;10;11;12;13;14;15;16;17;18;19;20;21;22;23;24;25;26;27;28;29;30},
     COUNTIFS($U$2:$U$200,$G179)&gt;0,
     COUNTIFS($V$2:$V$200,$G179)&gt;0,
     COUNTIFS($W$2:$W$200,$G179)&gt;0,
     COUNTIFS($X$2:$X$200,$G179)&gt;0,
     COUNTIFS($Y$2:$Y$200,$G179)&gt;0,
     COUNTIFS($Z$2:$Z$200,$G179)&gt;0,
     COUNTIFS($AA$2:$AA$200,$G179)&gt;0,
     COUNTIFS($AB$2:$AB$200,$G179)&gt;0,
     COUNTIFS($AC$2:$AC$200,$G179)&gt;0,
     COUNTIFS($AD$2:$AD$200,$G179)&gt;0,
     COUNTIFS($AE$2:$AE$200,$G179)&gt;0,
     COUNTIFS($AF$2:$AF$200,$G179)&gt;0,
     COUNTIFS($AG$2:$AG$200,$G179)&gt;0,
     COUNTIFS($AH$2:$AH$200,$G179)&gt;0,
     COUNTIFS($AI$2:$AI$200,$G179)&gt;0,
     COUNTIFS($AJ$2:$AJ$200,$G179)&gt;0,
     COUNTIFS($AK$2:$AK$200,$G179)&gt;0,
     COUNTIFS($AL$2:$AL$200,$G179)&gt;0,
     COUNTIFS($AM$2:$AM$200,$G179)&gt;0,
     COUNTIFS($AN$2:$AN$200,$G179)&gt;0,
     COUNTIFS($AO$2:$AO$200,$G179)&gt;0,
     COUNTIFS($AP$2:$AP$200,$G179)&gt;0,
     COUNTIFS($AQ$2:$AQ$200,$G179)&gt;0,
     COUNTIFS($AR$2:$AR$200,$G179)&gt;0,
     COUNTIFS($AS$2:$AS$200,$G179)&gt;0,
     COUNTIFS($AT$2:$AT$200,$G179)&gt;0,
     COUNTIFS($AU$2:$AU$200,$G179)&gt;0,
     COUNTIFS($AV$2:$AV$200,$G179)&gt;0,
     COUNTIFS($AW$2:$AW$200,$G179)&gt;0,
     COUNTIFS($AX$2:$AX$200,$G179)&gt;0
   )),
  ),
  2
 ),
"")</f>
        <v/>
      </c>
      <c r="E179" s="3" t="str" cm="1">
        <f t="array" aca="1" ref="E179" ca="1">IFERROR(
 INDEX(
  _xlfn._xlws.FILTER($U$1:$AX$1,
   TRANSPOSE(
    CHOOSE({1;2;3;4;5;6;7;8;9;10;11;12;13;14;15;16;17;18;19;20;21;22;23;24;25;26;27;28;29;30},
     COUNTIFS($U$2:$U$200,$G179)&gt;0,
     COUNTIFS($V$2:$V$200,$G179)&gt;0,
     COUNTIFS($W$2:$W$200,$G179)&gt;0,
     COUNTIFS($X$2:$X$200,$G179)&gt;0,
     COUNTIFS($Y$2:$Y$200,$G179)&gt;0,
     COUNTIFS($Z$2:$Z$200,$G179)&gt;0,
     COUNTIFS($AA$2:$AA$200,$G179)&gt;0,
     COUNTIFS($AB$2:$AB$200,$G179)&gt;0,
     COUNTIFS($AC$2:$AC$200,$G179)&gt;0,
     COUNTIFS($AD$2:$AD$200,$G179)&gt;0,
     COUNTIFS($AE$2:$AE$200,$G179)&gt;0,
     COUNTIFS($AF$2:$AF$200,$G179)&gt;0,
     COUNTIFS($AG$2:$AG$200,$G179)&gt;0,
     COUNTIFS($AH$2:$AH$200,$G179)&gt;0,
     COUNTIFS($AI$2:$AI$200,$G179)&gt;0,
     COUNTIFS($AJ$2:$AJ$200,$G179)&gt;0,
     COUNTIFS($AK$2:$AK$200,$G179)&gt;0,
     COUNTIFS($AL$2:$AL$200,$G179)&gt;0,
     COUNTIFS($AM$2:$AM$200,$G179)&gt;0,
     COUNTIFS($AN$2:$AN$200,$G179)&gt;0,
     COUNTIFS($AO$2:$AO$200,$G179)&gt;0,
     COUNTIFS($AP$2:$AP$200,$G179)&gt;0,
     COUNTIFS($AQ$2:$AQ$200,$G179)&gt;0,
     COUNTIFS($AR$2:$AR$200,$G179)&gt;0,
     COUNTIFS($AS$2:$AS$200,$G179)&gt;0,
     COUNTIFS($AT$2:$AT$200,$G179)&gt;0,
     COUNTIFS($AU$2:$AU$200,$G179)&gt;0,
     COUNTIFS($AV$2:$AV$200,$G179)&gt;0,
     COUNTIFS($AW$2:$AW$200,$G179)&gt;0,
     COUNTIFS($AX$2:$AX$200,$G179)&gt;0
   )),
  ),
  3
 ),
"")</f>
        <v/>
      </c>
      <c r="F179" s="3" t="str" cm="1">
        <f t="array" aca="1" ref="F179" ca="1">IFERROR(
 INDEX(
  _xlfn._xlws.FILTER($U$1:$AX$1,
   TRANSPOSE(
    CHOOSE({1;2;3;4;5;6;7;8;9;10;11;12;13;14;15;16;17;18;19;20;21;22;23;24;25;26;27;28;29;30},
     COUNTIFS($U$2:$U$200,$G179)&gt;0,
     COUNTIFS($V$2:$V$200,$G179)&gt;0,
     COUNTIFS($W$2:$W$200,$G179)&gt;0,
     COUNTIFS($X$2:$X$200,$G179)&gt;0,
     COUNTIFS($Y$2:$Y$200,$G179)&gt;0,
     COUNTIFS($Z$2:$Z$200,$G179)&gt;0,
     COUNTIFS($AA$2:$AA$200,$G179)&gt;0,
     COUNTIFS($AB$2:$AB$200,$G179)&gt;0,
     COUNTIFS($AC$2:$AC$200,$G179)&gt;0,
     COUNTIFS($AD$2:$AD$200,$G179)&gt;0,
     COUNTIFS($AE$2:$AE$200,$G179)&gt;0,
     COUNTIFS($AF$2:$AF$200,$G179)&gt;0,
     COUNTIFS($AG$2:$AG$200,$G179)&gt;0,
     COUNTIFS($AH$2:$AH$200,$G179)&gt;0,
     COUNTIFS($AI$2:$AI$200,$G179)&gt;0,
     COUNTIFS($AJ$2:$AJ$200,$G179)&gt;0,
     COUNTIFS($AK$2:$AK$200,$G179)&gt;0,
     COUNTIFS($AL$2:$AL$200,$G179)&gt;0,
     COUNTIFS($AM$2:$AM$200,$G179)&gt;0,
     COUNTIFS($AN$2:$AN$200,$G179)&gt;0,
     COUNTIFS($AO$2:$AO$200,$G179)&gt;0,
     COUNTIFS($AP$2:$AP$200,$G179)&gt;0,
     COUNTIFS($AQ$2:$AQ$200,$G179)&gt;0,
     COUNTIFS($AR$2:$AR$200,$G179)&gt;0,
     COUNTIFS($AS$2:$AS$200,$G179)&gt;0,
     COUNTIFS($AT$2:$AT$200,$G179)&gt;0,
     COUNTIFS($AU$2:$AU$200,$G179)&gt;0,
     COUNTIFS($AV$2:$AV$200,$G179)&gt;0,
     COUNTIFS($AW$2:$AW$200,$G179)&gt;0,
     COUNTIFS($AX$2:$AX$200,$G179)&gt;0
   )),
  ),
  4
 ),
"")</f>
        <v/>
      </c>
      <c r="G179" t="str">
        <f ca="1"/>
        <v>Kellan, the Fae-Blooded // Birthright Boon</v>
      </c>
      <c r="BO179" t="str">
        <f ca="1"/>
        <v>Trading Post</v>
      </c>
      <c r="BT179" t="str">
        <f ca="1"/>
        <v>Spectator Seating</v>
      </c>
    </row>
    <row r="180" spans="1:72" x14ac:dyDescent="0.25">
      <c r="A180" s="3" t="str">
        <f t="shared" ca="1" si="6"/>
        <v>1</v>
      </c>
      <c r="B180" s="3">
        <f t="shared" ca="1" si="7"/>
        <v>1</v>
      </c>
      <c r="C180" s="3" t="str">
        <f ca="1">IFERROR(
 INDEX($U$1:$AX$1,
  MATCH(TRUE,
   CHOOSE({1;2;3;4;5;6;7;8;9;10;11;12;13;14;15;16;17;18;19;20;21;22;23;24;25;26;27;28;29;30;31;32},
    COUNTIFS($U$2:$U$200,$G180)&gt;0,
    COUNTIFS($V$2:$V$200,$G180)&gt;0,
    COUNTIFS($W$2:$W$200,$G180)&gt;0,
    COUNTIFS($X$2:$X$200,$G180)&gt;0,
    COUNTIFS($Y$2:$Y$200,$G180)&gt;0,
    COUNTIFS($Z$2:$Z$200,$G180)&gt;0,
    COUNTIFS($AA$2:$AA$200,$G180)&gt;0,
    COUNTIFS($AB$2:$AB$200,$G180)&gt;0,
    COUNTIFS($AC$2:$AC$200,$G180)&gt;0,
    COUNTIFS($AD$2:$AD$200,$G180)&gt;0,
    COUNTIFS($AE$2:$AE$200,$G180)&gt;0,
    COUNTIFS($AF$2:$AF$200,$G180)&gt;0,
    COUNTIFS($AG$2:$AG$200,$G180)&gt;0,
    COUNTIFS($AH$2:$AH$200,$G180)&gt;0,
    COUNTIFS($AI$2:$AI$200,$G180)&gt;0,
    COUNTIFS($AJ$2:$AJ$200,$G180)&gt;0,
    COUNTIFS($AK$2:$AK$200,$G180)&gt;0,
    COUNTIFS($AL$2:$AL$200,$G180)&gt;0,
    COUNTIFS($AM$2:$AM$200,$G180)&gt;0,
    COUNTIFS($AN$2:$AN$200,$G180)&gt;0,
    COUNTIFS($AO$2:$AO$200,$G180)&gt;0,
    COUNTIFS($AP$2:$AP$200,$G180)&gt;0,
    COUNTIFS($AQ$2:$AQ$200,$G180)&gt;0,
    COUNTIFS($AR$2:$AR$200,$G180)&gt;0,
    COUNTIFS($AS$2:$AS$200,$G180)&gt;0,
    COUNTIFS($AT$2:$AT$200,$G180)&gt;0,
    COUNTIFS($AU$2:$AU$200,$G180)&gt;0,
    COUNTIFS($AV$2:$AV$200,$G180)&gt;0,
    COUNTIFS($AW$2:$AW$200,$G180)&gt;0,
    COUNTIFS($AX$2:$AX$200,$G180)&gt;0
   ),
  0)
 ),
"")</f>
        <v>Modular</v>
      </c>
      <c r="D180" s="3" t="str" cm="1">
        <f t="array" aca="1" ref="D180" ca="1">IFERROR(
 INDEX(
  _xlfn._xlws.FILTER($U$1:$AX$1,
   TRANSPOSE(
    CHOOSE({1;2;3;4;5;6;7;8;9;10;11;12;13;14;15;16;17;18;19;20;21;22;23;24;25;26;27;28;29;30},
     COUNTIFS($U$2:$U$200,$G180)&gt;0,
     COUNTIFS($V$2:$V$200,$G180)&gt;0,
     COUNTIFS($W$2:$W$200,$G180)&gt;0,
     COUNTIFS($X$2:$X$200,$G180)&gt;0,
     COUNTIFS($Y$2:$Y$200,$G180)&gt;0,
     COUNTIFS($Z$2:$Z$200,$G180)&gt;0,
     COUNTIFS($AA$2:$AA$200,$G180)&gt;0,
     COUNTIFS($AB$2:$AB$200,$G180)&gt;0,
     COUNTIFS($AC$2:$AC$200,$G180)&gt;0,
     COUNTIFS($AD$2:$AD$200,$G180)&gt;0,
     COUNTIFS($AE$2:$AE$200,$G180)&gt;0,
     COUNTIFS($AF$2:$AF$200,$G180)&gt;0,
     COUNTIFS($AG$2:$AG$200,$G180)&gt;0,
     COUNTIFS($AH$2:$AH$200,$G180)&gt;0,
     COUNTIFS($AI$2:$AI$200,$G180)&gt;0,
     COUNTIFS($AJ$2:$AJ$200,$G180)&gt;0,
     COUNTIFS($AK$2:$AK$200,$G180)&gt;0,
     COUNTIFS($AL$2:$AL$200,$G180)&gt;0,
     COUNTIFS($AM$2:$AM$200,$G180)&gt;0,
     COUNTIFS($AN$2:$AN$200,$G180)&gt;0,
     COUNTIFS($AO$2:$AO$200,$G180)&gt;0,
     COUNTIFS($AP$2:$AP$200,$G180)&gt;0,
     COUNTIFS($AQ$2:$AQ$200,$G180)&gt;0,
     COUNTIFS($AR$2:$AR$200,$G180)&gt;0,
     COUNTIFS($AS$2:$AS$200,$G180)&gt;0,
     COUNTIFS($AT$2:$AT$200,$G180)&gt;0,
     COUNTIFS($AU$2:$AU$200,$G180)&gt;0,
     COUNTIFS($AV$2:$AV$200,$G180)&gt;0,
     COUNTIFS($AW$2:$AW$200,$G180)&gt;0,
     COUNTIFS($AX$2:$AX$200,$G180)&gt;0
   )),
  ),
  2
 ),
"")</f>
        <v/>
      </c>
      <c r="E180" s="3" t="str" cm="1">
        <f t="array" aca="1" ref="E180" ca="1">IFERROR(
 INDEX(
  _xlfn._xlws.FILTER($U$1:$AX$1,
   TRANSPOSE(
    CHOOSE({1;2;3;4;5;6;7;8;9;10;11;12;13;14;15;16;17;18;19;20;21;22;23;24;25;26;27;28;29;30},
     COUNTIFS($U$2:$U$200,$G180)&gt;0,
     COUNTIFS($V$2:$V$200,$G180)&gt;0,
     COUNTIFS($W$2:$W$200,$G180)&gt;0,
     COUNTIFS($X$2:$X$200,$G180)&gt;0,
     COUNTIFS($Y$2:$Y$200,$G180)&gt;0,
     COUNTIFS($Z$2:$Z$200,$G180)&gt;0,
     COUNTIFS($AA$2:$AA$200,$G180)&gt;0,
     COUNTIFS($AB$2:$AB$200,$G180)&gt;0,
     COUNTIFS($AC$2:$AC$200,$G180)&gt;0,
     COUNTIFS($AD$2:$AD$200,$G180)&gt;0,
     COUNTIFS($AE$2:$AE$200,$G180)&gt;0,
     COUNTIFS($AF$2:$AF$200,$G180)&gt;0,
     COUNTIFS($AG$2:$AG$200,$G180)&gt;0,
     COUNTIFS($AH$2:$AH$200,$G180)&gt;0,
     COUNTIFS($AI$2:$AI$200,$G180)&gt;0,
     COUNTIFS($AJ$2:$AJ$200,$G180)&gt;0,
     COUNTIFS($AK$2:$AK$200,$G180)&gt;0,
     COUNTIFS($AL$2:$AL$200,$G180)&gt;0,
     COUNTIFS($AM$2:$AM$200,$G180)&gt;0,
     COUNTIFS($AN$2:$AN$200,$G180)&gt;0,
     COUNTIFS($AO$2:$AO$200,$G180)&gt;0,
     COUNTIFS($AP$2:$AP$200,$G180)&gt;0,
     COUNTIFS($AQ$2:$AQ$200,$G180)&gt;0,
     COUNTIFS($AR$2:$AR$200,$G180)&gt;0,
     COUNTIFS($AS$2:$AS$200,$G180)&gt;0,
     COUNTIFS($AT$2:$AT$200,$G180)&gt;0,
     COUNTIFS($AU$2:$AU$200,$G180)&gt;0,
     COUNTIFS($AV$2:$AV$200,$G180)&gt;0,
     COUNTIFS($AW$2:$AW$200,$G180)&gt;0,
     COUNTIFS($AX$2:$AX$200,$G180)&gt;0
   )),
  ),
  3
 ),
"")</f>
        <v/>
      </c>
      <c r="F180" s="3" t="str" cm="1">
        <f t="array" aca="1" ref="F180" ca="1">IFERROR(
 INDEX(
  _xlfn._xlws.FILTER($U$1:$AX$1,
   TRANSPOSE(
    CHOOSE({1;2;3;4;5;6;7;8;9;10;11;12;13;14;15;16;17;18;19;20;21;22;23;24;25;26;27;28;29;30},
     COUNTIFS($U$2:$U$200,$G180)&gt;0,
     COUNTIFS($V$2:$V$200,$G180)&gt;0,
     COUNTIFS($W$2:$W$200,$G180)&gt;0,
     COUNTIFS($X$2:$X$200,$G180)&gt;0,
     COUNTIFS($Y$2:$Y$200,$G180)&gt;0,
     COUNTIFS($Z$2:$Z$200,$G180)&gt;0,
     COUNTIFS($AA$2:$AA$200,$G180)&gt;0,
     COUNTIFS($AB$2:$AB$200,$G180)&gt;0,
     COUNTIFS($AC$2:$AC$200,$G180)&gt;0,
     COUNTIFS($AD$2:$AD$200,$G180)&gt;0,
     COUNTIFS($AE$2:$AE$200,$G180)&gt;0,
     COUNTIFS($AF$2:$AF$200,$G180)&gt;0,
     COUNTIFS($AG$2:$AG$200,$G180)&gt;0,
     COUNTIFS($AH$2:$AH$200,$G180)&gt;0,
     COUNTIFS($AI$2:$AI$200,$G180)&gt;0,
     COUNTIFS($AJ$2:$AJ$200,$G180)&gt;0,
     COUNTIFS($AK$2:$AK$200,$G180)&gt;0,
     COUNTIFS($AL$2:$AL$200,$G180)&gt;0,
     COUNTIFS($AM$2:$AM$200,$G180)&gt;0,
     COUNTIFS($AN$2:$AN$200,$G180)&gt;0,
     COUNTIFS($AO$2:$AO$200,$G180)&gt;0,
     COUNTIFS($AP$2:$AP$200,$G180)&gt;0,
     COUNTIFS($AQ$2:$AQ$200,$G180)&gt;0,
     COUNTIFS($AR$2:$AR$200,$G180)&gt;0,
     COUNTIFS($AS$2:$AS$200,$G180)&gt;0,
     COUNTIFS($AT$2:$AT$200,$G180)&gt;0,
     COUNTIFS($AU$2:$AU$200,$G180)&gt;0,
     COUNTIFS($AV$2:$AV$200,$G180)&gt;0,
     COUNTIFS($AW$2:$AW$200,$G180)&gt;0,
     COUNTIFS($AX$2:$AX$200,$G180)&gt;0
   )),
  ),
  4
 ),
"")</f>
        <v/>
      </c>
      <c r="G180" t="str">
        <f ca="1"/>
        <v>Kessig Wolf Run</v>
      </c>
      <c r="BO180" t="str">
        <f ca="1"/>
        <v>Treasure Vault</v>
      </c>
      <c r="BT180" t="str">
        <f ca="1"/>
        <v>Stoneforge Mystic</v>
      </c>
    </row>
    <row r="181" spans="1:72" x14ac:dyDescent="0.25">
      <c r="A181" s="3" t="str">
        <f t="shared" ca="1" si="6"/>
        <v>2</v>
      </c>
      <c r="B181" s="3">
        <f t="shared" ca="1" si="7"/>
        <v>1</v>
      </c>
      <c r="C181" s="3" t="str">
        <f ca="1">IFERROR(
 INDEX($U$1:$AX$1,
  MATCH(TRUE,
   CHOOSE({1;2;3;4;5;6;7;8;9;10;11;12;13;14;15;16;17;18;19;20;21;22;23;24;25;26;27;28;29;30;31;32},
    COUNTIFS($U$2:$U$200,$G181)&gt;0,
    COUNTIFS($V$2:$V$200,$G181)&gt;0,
    COUNTIFS($W$2:$W$200,$G181)&gt;0,
    COUNTIFS($X$2:$X$200,$G181)&gt;0,
    COUNTIFS($Y$2:$Y$200,$G181)&gt;0,
    COUNTIFS($Z$2:$Z$200,$G181)&gt;0,
    COUNTIFS($AA$2:$AA$200,$G181)&gt;0,
    COUNTIFS($AB$2:$AB$200,$G181)&gt;0,
    COUNTIFS($AC$2:$AC$200,$G181)&gt;0,
    COUNTIFS($AD$2:$AD$200,$G181)&gt;0,
    COUNTIFS($AE$2:$AE$200,$G181)&gt;0,
    COUNTIFS($AF$2:$AF$200,$G181)&gt;0,
    COUNTIFS($AG$2:$AG$200,$G181)&gt;0,
    COUNTIFS($AH$2:$AH$200,$G181)&gt;0,
    COUNTIFS($AI$2:$AI$200,$G181)&gt;0,
    COUNTIFS($AJ$2:$AJ$200,$G181)&gt;0,
    COUNTIFS($AK$2:$AK$200,$G181)&gt;0,
    COUNTIFS($AL$2:$AL$200,$G181)&gt;0,
    COUNTIFS($AM$2:$AM$200,$G181)&gt;0,
    COUNTIFS($AN$2:$AN$200,$G181)&gt;0,
    COUNTIFS($AO$2:$AO$200,$G181)&gt;0,
    COUNTIFS($AP$2:$AP$200,$G181)&gt;0,
    COUNTIFS($AQ$2:$AQ$200,$G181)&gt;0,
    COUNTIFS($AR$2:$AR$200,$G181)&gt;0,
    COUNTIFS($AS$2:$AS$200,$G181)&gt;0,
    COUNTIFS($AT$2:$AT$200,$G181)&gt;0,
    COUNTIFS($AU$2:$AU$200,$G181)&gt;0,
    COUNTIFS($AV$2:$AV$200,$G181)&gt;0,
    COUNTIFS($AW$2:$AW$200,$G181)&gt;0,
    COUNTIFS($AX$2:$AX$200,$G181)&gt;0
   ),
  0)
 ),
"")</f>
        <v>Narset</v>
      </c>
      <c r="D181" s="3" t="str" cm="1">
        <f t="array" aca="1" ref="D181" ca="1">IFERROR(
 INDEX(
  _xlfn._xlws.FILTER($U$1:$AX$1,
   TRANSPOSE(
    CHOOSE({1;2;3;4;5;6;7;8;9;10;11;12;13;14;15;16;17;18;19;20;21;22;23;24;25;26;27;28;29;30},
     COUNTIFS($U$2:$U$200,$G181)&gt;0,
     COUNTIFS($V$2:$V$200,$G181)&gt;0,
     COUNTIFS($W$2:$W$200,$G181)&gt;0,
     COUNTIFS($X$2:$X$200,$G181)&gt;0,
     COUNTIFS($Y$2:$Y$200,$G181)&gt;0,
     COUNTIFS($Z$2:$Z$200,$G181)&gt;0,
     COUNTIFS($AA$2:$AA$200,$G181)&gt;0,
     COUNTIFS($AB$2:$AB$200,$G181)&gt;0,
     COUNTIFS($AC$2:$AC$200,$G181)&gt;0,
     COUNTIFS($AD$2:$AD$200,$G181)&gt;0,
     COUNTIFS($AE$2:$AE$200,$G181)&gt;0,
     COUNTIFS($AF$2:$AF$200,$G181)&gt;0,
     COUNTIFS($AG$2:$AG$200,$G181)&gt;0,
     COUNTIFS($AH$2:$AH$200,$G181)&gt;0,
     COUNTIFS($AI$2:$AI$200,$G181)&gt;0,
     COUNTIFS($AJ$2:$AJ$200,$G181)&gt;0,
     COUNTIFS($AK$2:$AK$200,$G181)&gt;0,
     COUNTIFS($AL$2:$AL$200,$G181)&gt;0,
     COUNTIFS($AM$2:$AM$200,$G181)&gt;0,
     COUNTIFS($AN$2:$AN$200,$G181)&gt;0,
     COUNTIFS($AO$2:$AO$200,$G181)&gt;0,
     COUNTIFS($AP$2:$AP$200,$G181)&gt;0,
     COUNTIFS($AQ$2:$AQ$200,$G181)&gt;0,
     COUNTIFS($AR$2:$AR$200,$G181)&gt;0,
     COUNTIFS($AS$2:$AS$200,$G181)&gt;0,
     COUNTIFS($AT$2:$AT$200,$G181)&gt;0,
     COUNTIFS($AU$2:$AU$200,$G181)&gt;0,
     COUNTIFS($AV$2:$AV$200,$G181)&gt;0,
     COUNTIFS($AW$2:$AW$200,$G181)&gt;0,
     COUNTIFS($AX$2:$AX$200,$G181)&gt;0
   )),
  ),
  2
 ),
"")</f>
        <v/>
      </c>
      <c r="E181" s="3" t="str" cm="1">
        <f t="array" aca="1" ref="E181" ca="1">IFERROR(
 INDEX(
  _xlfn._xlws.FILTER($U$1:$AX$1,
   TRANSPOSE(
    CHOOSE({1;2;3;4;5;6;7;8;9;10;11;12;13;14;15;16;17;18;19;20;21;22;23;24;25;26;27;28;29;30},
     COUNTIFS($U$2:$U$200,$G181)&gt;0,
     COUNTIFS($V$2:$V$200,$G181)&gt;0,
     COUNTIFS($W$2:$W$200,$G181)&gt;0,
     COUNTIFS($X$2:$X$200,$G181)&gt;0,
     COUNTIFS($Y$2:$Y$200,$G181)&gt;0,
     COUNTIFS($Z$2:$Z$200,$G181)&gt;0,
     COUNTIFS($AA$2:$AA$200,$G181)&gt;0,
     COUNTIFS($AB$2:$AB$200,$G181)&gt;0,
     COUNTIFS($AC$2:$AC$200,$G181)&gt;0,
     COUNTIFS($AD$2:$AD$200,$G181)&gt;0,
     COUNTIFS($AE$2:$AE$200,$G181)&gt;0,
     COUNTIFS($AF$2:$AF$200,$G181)&gt;0,
     COUNTIFS($AG$2:$AG$200,$G181)&gt;0,
     COUNTIFS($AH$2:$AH$200,$G181)&gt;0,
     COUNTIFS($AI$2:$AI$200,$G181)&gt;0,
     COUNTIFS($AJ$2:$AJ$200,$G181)&gt;0,
     COUNTIFS($AK$2:$AK$200,$G181)&gt;0,
     COUNTIFS($AL$2:$AL$200,$G181)&gt;0,
     COUNTIFS($AM$2:$AM$200,$G181)&gt;0,
     COUNTIFS($AN$2:$AN$200,$G181)&gt;0,
     COUNTIFS($AO$2:$AO$200,$G181)&gt;0,
     COUNTIFS($AP$2:$AP$200,$G181)&gt;0,
     COUNTIFS($AQ$2:$AQ$200,$G181)&gt;0,
     COUNTIFS($AR$2:$AR$200,$G181)&gt;0,
     COUNTIFS($AS$2:$AS$200,$G181)&gt;0,
     COUNTIFS($AT$2:$AT$200,$G181)&gt;0,
     COUNTIFS($AU$2:$AU$200,$G181)&gt;0,
     COUNTIFS($AV$2:$AV$200,$G181)&gt;0,
     COUNTIFS($AW$2:$AW$200,$G181)&gt;0,
     COUNTIFS($AX$2:$AX$200,$G181)&gt;0
   )),
  ),
  3
 ),
"")</f>
        <v/>
      </c>
      <c r="F181" s="3" t="str" cm="1">
        <f t="array" aca="1" ref="F181" ca="1">IFERROR(
 INDEX(
  _xlfn._xlws.FILTER($U$1:$AX$1,
   TRANSPOSE(
    CHOOSE({1;2;3;4;5;6;7;8;9;10;11;12;13;14;15;16;17;18;19;20;21;22;23;24;25;26;27;28;29;30},
     COUNTIFS($U$2:$U$200,$G181)&gt;0,
     COUNTIFS($V$2:$V$200,$G181)&gt;0,
     COUNTIFS($W$2:$W$200,$G181)&gt;0,
     COUNTIFS($X$2:$X$200,$G181)&gt;0,
     COUNTIFS($Y$2:$Y$200,$G181)&gt;0,
     COUNTIFS($Z$2:$Z$200,$G181)&gt;0,
     COUNTIFS($AA$2:$AA$200,$G181)&gt;0,
     COUNTIFS($AB$2:$AB$200,$G181)&gt;0,
     COUNTIFS($AC$2:$AC$200,$G181)&gt;0,
     COUNTIFS($AD$2:$AD$200,$G181)&gt;0,
     COUNTIFS($AE$2:$AE$200,$G181)&gt;0,
     COUNTIFS($AF$2:$AF$200,$G181)&gt;0,
     COUNTIFS($AG$2:$AG$200,$G181)&gt;0,
     COUNTIFS($AH$2:$AH$200,$G181)&gt;0,
     COUNTIFS($AI$2:$AI$200,$G181)&gt;0,
     COUNTIFS($AJ$2:$AJ$200,$G181)&gt;0,
     COUNTIFS($AK$2:$AK$200,$G181)&gt;0,
     COUNTIFS($AL$2:$AL$200,$G181)&gt;0,
     COUNTIFS($AM$2:$AM$200,$G181)&gt;0,
     COUNTIFS($AN$2:$AN$200,$G181)&gt;0,
     COUNTIFS($AO$2:$AO$200,$G181)&gt;0,
     COUNTIFS($AP$2:$AP$200,$G181)&gt;0,
     COUNTIFS($AQ$2:$AQ$200,$G181)&gt;0,
     COUNTIFS($AR$2:$AR$200,$G181)&gt;0,
     COUNTIFS($AS$2:$AS$200,$G181)&gt;0,
     COUNTIFS($AT$2:$AT$200,$G181)&gt;0,
     COUNTIFS($AU$2:$AU$200,$G181)&gt;0,
     COUNTIFS($AV$2:$AV$200,$G181)&gt;0,
     COUNTIFS($AW$2:$AW$200,$G181)&gt;0,
     COUNTIFS($AX$2:$AX$200,$G181)&gt;0
   )),
  ),
  4
 ),
"")</f>
        <v/>
      </c>
      <c r="G181" t="str">
        <f ca="1"/>
        <v>Khorvath's Fury</v>
      </c>
      <c r="BO181" t="str">
        <f ca="1"/>
        <v>Tree of Tales</v>
      </c>
      <c r="BT181" t="str">
        <f ca="1"/>
        <v>Stonybrook Banneret</v>
      </c>
    </row>
    <row r="182" spans="1:72" x14ac:dyDescent="0.25">
      <c r="A182" s="3" t="str">
        <f t="shared" ca="1" si="6"/>
        <v>1</v>
      </c>
      <c r="B182" s="3">
        <f t="shared" ca="1" si="7"/>
        <v>1</v>
      </c>
      <c r="C182" s="3" t="str">
        <f ca="1">IFERROR(
 INDEX($U$1:$AX$1,
  MATCH(TRUE,
   CHOOSE({1;2;3;4;5;6;7;8;9;10;11;12;13;14;15;16;17;18;19;20;21;22;23;24;25;26;27;28;29;30;31;32},
    COUNTIFS($U$2:$U$200,$G182)&gt;0,
    COUNTIFS($V$2:$V$200,$G182)&gt;0,
    COUNTIFS($W$2:$W$200,$G182)&gt;0,
    COUNTIFS($X$2:$X$200,$G182)&gt;0,
    COUNTIFS($Y$2:$Y$200,$G182)&gt;0,
    COUNTIFS($Z$2:$Z$200,$G182)&gt;0,
    COUNTIFS($AA$2:$AA$200,$G182)&gt;0,
    COUNTIFS($AB$2:$AB$200,$G182)&gt;0,
    COUNTIFS($AC$2:$AC$200,$G182)&gt;0,
    COUNTIFS($AD$2:$AD$200,$G182)&gt;0,
    COUNTIFS($AE$2:$AE$200,$G182)&gt;0,
    COUNTIFS($AF$2:$AF$200,$G182)&gt;0,
    COUNTIFS($AG$2:$AG$200,$G182)&gt;0,
    COUNTIFS($AH$2:$AH$200,$G182)&gt;0,
    COUNTIFS($AI$2:$AI$200,$G182)&gt;0,
    COUNTIFS($AJ$2:$AJ$200,$G182)&gt;0,
    COUNTIFS($AK$2:$AK$200,$G182)&gt;0,
    COUNTIFS($AL$2:$AL$200,$G182)&gt;0,
    COUNTIFS($AM$2:$AM$200,$G182)&gt;0,
    COUNTIFS($AN$2:$AN$200,$G182)&gt;0,
    COUNTIFS($AO$2:$AO$200,$G182)&gt;0,
    COUNTIFS($AP$2:$AP$200,$G182)&gt;0,
    COUNTIFS($AQ$2:$AQ$200,$G182)&gt;0,
    COUNTIFS($AR$2:$AR$200,$G182)&gt;0,
    COUNTIFS($AS$2:$AS$200,$G182)&gt;0,
    COUNTIFS($AT$2:$AT$200,$G182)&gt;0,
    COUNTIFS($AU$2:$AU$200,$G182)&gt;0,
    COUNTIFS($AV$2:$AV$200,$G182)&gt;0,
    COUNTIFS($AW$2:$AW$200,$G182)&gt;0,
    COUNTIFS($AX$2:$AX$200,$G182)&gt;0
   ),
  0)
 ),
"")</f>
        <v>Modular</v>
      </c>
      <c r="D182" s="3" t="str" cm="1">
        <f t="array" aca="1" ref="D182" ca="1">IFERROR(
 INDEX(
  _xlfn._xlws.FILTER($U$1:$AX$1,
   TRANSPOSE(
    CHOOSE({1;2;3;4;5;6;7;8;9;10;11;12;13;14;15;16;17;18;19;20;21;22;23;24;25;26;27;28;29;30},
     COUNTIFS($U$2:$U$200,$G182)&gt;0,
     COUNTIFS($V$2:$V$200,$G182)&gt;0,
     COUNTIFS($W$2:$W$200,$G182)&gt;0,
     COUNTIFS($X$2:$X$200,$G182)&gt;0,
     COUNTIFS($Y$2:$Y$200,$G182)&gt;0,
     COUNTIFS($Z$2:$Z$200,$G182)&gt;0,
     COUNTIFS($AA$2:$AA$200,$G182)&gt;0,
     COUNTIFS($AB$2:$AB$200,$G182)&gt;0,
     COUNTIFS($AC$2:$AC$200,$G182)&gt;0,
     COUNTIFS($AD$2:$AD$200,$G182)&gt;0,
     COUNTIFS($AE$2:$AE$200,$G182)&gt;0,
     COUNTIFS($AF$2:$AF$200,$G182)&gt;0,
     COUNTIFS($AG$2:$AG$200,$G182)&gt;0,
     COUNTIFS($AH$2:$AH$200,$G182)&gt;0,
     COUNTIFS($AI$2:$AI$200,$G182)&gt;0,
     COUNTIFS($AJ$2:$AJ$200,$G182)&gt;0,
     COUNTIFS($AK$2:$AK$200,$G182)&gt;0,
     COUNTIFS($AL$2:$AL$200,$G182)&gt;0,
     COUNTIFS($AM$2:$AM$200,$G182)&gt;0,
     COUNTIFS($AN$2:$AN$200,$G182)&gt;0,
     COUNTIFS($AO$2:$AO$200,$G182)&gt;0,
     COUNTIFS($AP$2:$AP$200,$G182)&gt;0,
     COUNTIFS($AQ$2:$AQ$200,$G182)&gt;0,
     COUNTIFS($AR$2:$AR$200,$G182)&gt;0,
     COUNTIFS($AS$2:$AS$200,$G182)&gt;0,
     COUNTIFS($AT$2:$AT$200,$G182)&gt;0,
     COUNTIFS($AU$2:$AU$200,$G182)&gt;0,
     COUNTIFS($AV$2:$AV$200,$G182)&gt;0,
     COUNTIFS($AW$2:$AW$200,$G182)&gt;0,
     COUNTIFS($AX$2:$AX$200,$G182)&gt;0
   )),
  ),
  2
 ),
"")</f>
        <v/>
      </c>
      <c r="E182" s="3" t="str" cm="1">
        <f t="array" aca="1" ref="E182" ca="1">IFERROR(
 INDEX(
  _xlfn._xlws.FILTER($U$1:$AX$1,
   TRANSPOSE(
    CHOOSE({1;2;3;4;5;6;7;8;9;10;11;12;13;14;15;16;17;18;19;20;21;22;23;24;25;26;27;28;29;30},
     COUNTIFS($U$2:$U$200,$G182)&gt;0,
     COUNTIFS($V$2:$V$200,$G182)&gt;0,
     COUNTIFS($W$2:$W$200,$G182)&gt;0,
     COUNTIFS($X$2:$X$200,$G182)&gt;0,
     COUNTIFS($Y$2:$Y$200,$G182)&gt;0,
     COUNTIFS($Z$2:$Z$200,$G182)&gt;0,
     COUNTIFS($AA$2:$AA$200,$G182)&gt;0,
     COUNTIFS($AB$2:$AB$200,$G182)&gt;0,
     COUNTIFS($AC$2:$AC$200,$G182)&gt;0,
     COUNTIFS($AD$2:$AD$200,$G182)&gt;0,
     COUNTIFS($AE$2:$AE$200,$G182)&gt;0,
     COUNTIFS($AF$2:$AF$200,$G182)&gt;0,
     COUNTIFS($AG$2:$AG$200,$G182)&gt;0,
     COUNTIFS($AH$2:$AH$200,$G182)&gt;0,
     COUNTIFS($AI$2:$AI$200,$G182)&gt;0,
     COUNTIFS($AJ$2:$AJ$200,$G182)&gt;0,
     COUNTIFS($AK$2:$AK$200,$G182)&gt;0,
     COUNTIFS($AL$2:$AL$200,$G182)&gt;0,
     COUNTIFS($AM$2:$AM$200,$G182)&gt;0,
     COUNTIFS($AN$2:$AN$200,$G182)&gt;0,
     COUNTIFS($AO$2:$AO$200,$G182)&gt;0,
     COUNTIFS($AP$2:$AP$200,$G182)&gt;0,
     COUNTIFS($AQ$2:$AQ$200,$G182)&gt;0,
     COUNTIFS($AR$2:$AR$200,$G182)&gt;0,
     COUNTIFS($AS$2:$AS$200,$G182)&gt;0,
     COUNTIFS($AT$2:$AT$200,$G182)&gt;0,
     COUNTIFS($AU$2:$AU$200,$G182)&gt;0,
     COUNTIFS($AV$2:$AV$200,$G182)&gt;0,
     COUNTIFS($AW$2:$AW$200,$G182)&gt;0,
     COUNTIFS($AX$2:$AX$200,$G182)&gt;0
   )),
  ),
  3
 ),
"")</f>
        <v/>
      </c>
      <c r="F182" s="3" t="str" cm="1">
        <f t="array" aca="1" ref="F182" ca="1">IFERROR(
 INDEX(
  _xlfn._xlws.FILTER($U$1:$AX$1,
   TRANSPOSE(
    CHOOSE({1;2;3;4;5;6;7;8;9;10;11;12;13;14;15;16;17;18;19;20;21;22;23;24;25;26;27;28;29;30},
     COUNTIFS($U$2:$U$200,$G182)&gt;0,
     COUNTIFS($V$2:$V$200,$G182)&gt;0,
     COUNTIFS($W$2:$W$200,$G182)&gt;0,
     COUNTIFS($X$2:$X$200,$G182)&gt;0,
     COUNTIFS($Y$2:$Y$200,$G182)&gt;0,
     COUNTIFS($Z$2:$Z$200,$G182)&gt;0,
     COUNTIFS($AA$2:$AA$200,$G182)&gt;0,
     COUNTIFS($AB$2:$AB$200,$G182)&gt;0,
     COUNTIFS($AC$2:$AC$200,$G182)&gt;0,
     COUNTIFS($AD$2:$AD$200,$G182)&gt;0,
     COUNTIFS($AE$2:$AE$200,$G182)&gt;0,
     COUNTIFS($AF$2:$AF$200,$G182)&gt;0,
     COUNTIFS($AG$2:$AG$200,$G182)&gt;0,
     COUNTIFS($AH$2:$AH$200,$G182)&gt;0,
     COUNTIFS($AI$2:$AI$200,$G182)&gt;0,
     COUNTIFS($AJ$2:$AJ$200,$G182)&gt;0,
     COUNTIFS($AK$2:$AK$200,$G182)&gt;0,
     COUNTIFS($AL$2:$AL$200,$G182)&gt;0,
     COUNTIFS($AM$2:$AM$200,$G182)&gt;0,
     COUNTIFS($AN$2:$AN$200,$G182)&gt;0,
     COUNTIFS($AO$2:$AO$200,$G182)&gt;0,
     COUNTIFS($AP$2:$AP$200,$G182)&gt;0,
     COUNTIFS($AQ$2:$AQ$200,$G182)&gt;0,
     COUNTIFS($AR$2:$AR$200,$G182)&gt;0,
     COUNTIFS($AS$2:$AS$200,$G182)&gt;0,
     COUNTIFS($AT$2:$AT$200,$G182)&gt;0,
     COUNTIFS($AU$2:$AU$200,$G182)&gt;0,
     COUNTIFS($AV$2:$AV$200,$G182)&gt;0,
     COUNTIFS($AW$2:$AW$200,$G182)&gt;0,
     COUNTIFS($AX$2:$AX$200,$G182)&gt;0
   )),
  ),
  4
 ),
"")</f>
        <v/>
      </c>
      <c r="G182" t="str">
        <f ca="1"/>
        <v>Kodama of the West Tree</v>
      </c>
      <c r="BO182" t="str">
        <f ca="1"/>
        <v>Tromell, Seymour's Butler</v>
      </c>
      <c r="BT182" t="str">
        <f ca="1"/>
        <v>Stridehangar Automaton</v>
      </c>
    </row>
    <row r="183" spans="1:72" x14ac:dyDescent="0.25">
      <c r="A183" s="3" t="str">
        <f t="shared" ca="1" si="6"/>
        <v>2</v>
      </c>
      <c r="B183" s="3">
        <f t="shared" ca="1" si="7"/>
        <v>1</v>
      </c>
      <c r="C183" s="3" t="str">
        <f ca="1">IFERROR(
 INDEX($U$1:$AX$1,
  MATCH(TRUE,
   CHOOSE({1;2;3;4;5;6;7;8;9;10;11;12;13;14;15;16;17;18;19;20;21;22;23;24;25;26;27;28;29;30;31;32},
    COUNTIFS($U$2:$U$200,$G183)&gt;0,
    COUNTIFS($V$2:$V$200,$G183)&gt;0,
    COUNTIFS($W$2:$W$200,$G183)&gt;0,
    COUNTIFS($X$2:$X$200,$G183)&gt;0,
    COUNTIFS($Y$2:$Y$200,$G183)&gt;0,
    COUNTIFS($Z$2:$Z$200,$G183)&gt;0,
    COUNTIFS($AA$2:$AA$200,$G183)&gt;0,
    COUNTIFS($AB$2:$AB$200,$G183)&gt;0,
    COUNTIFS($AC$2:$AC$200,$G183)&gt;0,
    COUNTIFS($AD$2:$AD$200,$G183)&gt;0,
    COUNTIFS($AE$2:$AE$200,$G183)&gt;0,
    COUNTIFS($AF$2:$AF$200,$G183)&gt;0,
    COUNTIFS($AG$2:$AG$200,$G183)&gt;0,
    COUNTIFS($AH$2:$AH$200,$G183)&gt;0,
    COUNTIFS($AI$2:$AI$200,$G183)&gt;0,
    COUNTIFS($AJ$2:$AJ$200,$G183)&gt;0,
    COUNTIFS($AK$2:$AK$200,$G183)&gt;0,
    COUNTIFS($AL$2:$AL$200,$G183)&gt;0,
    COUNTIFS($AM$2:$AM$200,$G183)&gt;0,
    COUNTIFS($AN$2:$AN$200,$G183)&gt;0,
    COUNTIFS($AO$2:$AO$200,$G183)&gt;0,
    COUNTIFS($AP$2:$AP$200,$G183)&gt;0,
    COUNTIFS($AQ$2:$AQ$200,$G183)&gt;0,
    COUNTIFS($AR$2:$AR$200,$G183)&gt;0,
    COUNTIFS($AS$2:$AS$200,$G183)&gt;0,
    COUNTIFS($AT$2:$AT$200,$G183)&gt;0,
    COUNTIFS($AU$2:$AU$200,$G183)&gt;0,
    COUNTIFS($AV$2:$AV$200,$G183)&gt;0,
    COUNTIFS($AW$2:$AW$200,$G183)&gt;0,
    COUNTIFS($AX$2:$AX$200,$G183)&gt;0
   ),
  0)
 ),
"")</f>
        <v>Kumena</v>
      </c>
      <c r="D183" s="3" t="str" cm="1">
        <f t="array" aca="1" ref="D183" ca="1">IFERROR(
 INDEX(
  _xlfn._xlws.FILTER($U$1:$AX$1,
   TRANSPOSE(
    CHOOSE({1;2;3;4;5;6;7;8;9;10;11;12;13;14;15;16;17;18;19;20;21;22;23;24;25;26;27;28;29;30},
     COUNTIFS($U$2:$U$200,$G183)&gt;0,
     COUNTIFS($V$2:$V$200,$G183)&gt;0,
     COUNTIFS($W$2:$W$200,$G183)&gt;0,
     COUNTIFS($X$2:$X$200,$G183)&gt;0,
     COUNTIFS($Y$2:$Y$200,$G183)&gt;0,
     COUNTIFS($Z$2:$Z$200,$G183)&gt;0,
     COUNTIFS($AA$2:$AA$200,$G183)&gt;0,
     COUNTIFS($AB$2:$AB$200,$G183)&gt;0,
     COUNTIFS($AC$2:$AC$200,$G183)&gt;0,
     COUNTIFS($AD$2:$AD$200,$G183)&gt;0,
     COUNTIFS($AE$2:$AE$200,$G183)&gt;0,
     COUNTIFS($AF$2:$AF$200,$G183)&gt;0,
     COUNTIFS($AG$2:$AG$200,$G183)&gt;0,
     COUNTIFS($AH$2:$AH$200,$G183)&gt;0,
     COUNTIFS($AI$2:$AI$200,$G183)&gt;0,
     COUNTIFS($AJ$2:$AJ$200,$G183)&gt;0,
     COUNTIFS($AK$2:$AK$200,$G183)&gt;0,
     COUNTIFS($AL$2:$AL$200,$G183)&gt;0,
     COUNTIFS($AM$2:$AM$200,$G183)&gt;0,
     COUNTIFS($AN$2:$AN$200,$G183)&gt;0,
     COUNTIFS($AO$2:$AO$200,$G183)&gt;0,
     COUNTIFS($AP$2:$AP$200,$G183)&gt;0,
     COUNTIFS($AQ$2:$AQ$200,$G183)&gt;0,
     COUNTIFS($AR$2:$AR$200,$G183)&gt;0,
     COUNTIFS($AS$2:$AS$200,$G183)&gt;0,
     COUNTIFS($AT$2:$AT$200,$G183)&gt;0,
     COUNTIFS($AU$2:$AU$200,$G183)&gt;0,
     COUNTIFS($AV$2:$AV$200,$G183)&gt;0,
     COUNTIFS($AW$2:$AW$200,$G183)&gt;0,
     COUNTIFS($AX$2:$AX$200,$G183)&gt;0
   )),
  ),
  2
 ),
"")</f>
        <v/>
      </c>
      <c r="E183" s="3" t="str" cm="1">
        <f t="array" aca="1" ref="E183" ca="1">IFERROR(
 INDEX(
  _xlfn._xlws.FILTER($U$1:$AX$1,
   TRANSPOSE(
    CHOOSE({1;2;3;4;5;6;7;8;9;10;11;12;13;14;15;16;17;18;19;20;21;22;23;24;25;26;27;28;29;30},
     COUNTIFS($U$2:$U$200,$G183)&gt;0,
     COUNTIFS($V$2:$V$200,$G183)&gt;0,
     COUNTIFS($W$2:$W$200,$G183)&gt;0,
     COUNTIFS($X$2:$X$200,$G183)&gt;0,
     COUNTIFS($Y$2:$Y$200,$G183)&gt;0,
     COUNTIFS($Z$2:$Z$200,$G183)&gt;0,
     COUNTIFS($AA$2:$AA$200,$G183)&gt;0,
     COUNTIFS($AB$2:$AB$200,$G183)&gt;0,
     COUNTIFS($AC$2:$AC$200,$G183)&gt;0,
     COUNTIFS($AD$2:$AD$200,$G183)&gt;0,
     COUNTIFS($AE$2:$AE$200,$G183)&gt;0,
     COUNTIFS($AF$2:$AF$200,$G183)&gt;0,
     COUNTIFS($AG$2:$AG$200,$G183)&gt;0,
     COUNTIFS($AH$2:$AH$200,$G183)&gt;0,
     COUNTIFS($AI$2:$AI$200,$G183)&gt;0,
     COUNTIFS($AJ$2:$AJ$200,$G183)&gt;0,
     COUNTIFS($AK$2:$AK$200,$G183)&gt;0,
     COUNTIFS($AL$2:$AL$200,$G183)&gt;0,
     COUNTIFS($AM$2:$AM$200,$G183)&gt;0,
     COUNTIFS($AN$2:$AN$200,$G183)&gt;0,
     COUNTIFS($AO$2:$AO$200,$G183)&gt;0,
     COUNTIFS($AP$2:$AP$200,$G183)&gt;0,
     COUNTIFS($AQ$2:$AQ$200,$G183)&gt;0,
     COUNTIFS($AR$2:$AR$200,$G183)&gt;0,
     COUNTIFS($AS$2:$AS$200,$G183)&gt;0,
     COUNTIFS($AT$2:$AT$200,$G183)&gt;0,
     COUNTIFS($AU$2:$AU$200,$G183)&gt;0,
     COUNTIFS($AV$2:$AV$200,$G183)&gt;0,
     COUNTIFS($AW$2:$AW$200,$G183)&gt;0,
     COUNTIFS($AX$2:$AX$200,$G183)&gt;0
   )),
  ),
  3
 ),
"")</f>
        <v/>
      </c>
      <c r="F183" s="3" t="str" cm="1">
        <f t="array" aca="1" ref="F183" ca="1">IFERROR(
 INDEX(
  _xlfn._xlws.FILTER($U$1:$AX$1,
   TRANSPOSE(
    CHOOSE({1;2;3;4;5;6;7;8;9;10;11;12;13;14;15;16;17;18;19;20;21;22;23;24;25;26;27;28;29;30},
     COUNTIFS($U$2:$U$200,$G183)&gt;0,
     COUNTIFS($V$2:$V$200,$G183)&gt;0,
     COUNTIFS($W$2:$W$200,$G183)&gt;0,
     COUNTIFS($X$2:$X$200,$G183)&gt;0,
     COUNTIFS($Y$2:$Y$200,$G183)&gt;0,
     COUNTIFS($Z$2:$Z$200,$G183)&gt;0,
     COUNTIFS($AA$2:$AA$200,$G183)&gt;0,
     COUNTIFS($AB$2:$AB$200,$G183)&gt;0,
     COUNTIFS($AC$2:$AC$200,$G183)&gt;0,
     COUNTIFS($AD$2:$AD$200,$G183)&gt;0,
     COUNTIFS($AE$2:$AE$200,$G183)&gt;0,
     COUNTIFS($AF$2:$AF$200,$G183)&gt;0,
     COUNTIFS($AG$2:$AG$200,$G183)&gt;0,
     COUNTIFS($AH$2:$AH$200,$G183)&gt;0,
     COUNTIFS($AI$2:$AI$200,$G183)&gt;0,
     COUNTIFS($AJ$2:$AJ$200,$G183)&gt;0,
     COUNTIFS($AK$2:$AK$200,$G183)&gt;0,
     COUNTIFS($AL$2:$AL$200,$G183)&gt;0,
     COUNTIFS($AM$2:$AM$200,$G183)&gt;0,
     COUNTIFS($AN$2:$AN$200,$G183)&gt;0,
     COUNTIFS($AO$2:$AO$200,$G183)&gt;0,
     COUNTIFS($AP$2:$AP$200,$G183)&gt;0,
     COUNTIFS($AQ$2:$AQ$200,$G183)&gt;0,
     COUNTIFS($AR$2:$AR$200,$G183)&gt;0,
     COUNTIFS($AS$2:$AS$200,$G183)&gt;0,
     COUNTIFS($AT$2:$AT$200,$G183)&gt;0,
     COUNTIFS($AU$2:$AU$200,$G183)&gt;0,
     COUNTIFS($AV$2:$AV$200,$G183)&gt;0,
     COUNTIFS($AW$2:$AW$200,$G183)&gt;0,
     COUNTIFS($AX$2:$AX$200,$G183)&gt;0
   )),
  ),
  4
 ),
"")</f>
        <v/>
      </c>
      <c r="G183" t="str">
        <f ca="1"/>
        <v>Kodama's Reach</v>
      </c>
      <c r="BO183" t="str">
        <f ca="1"/>
        <v>Ulamog, o Profanador</v>
      </c>
      <c r="BT183" t="str">
        <f ca="1"/>
        <v>Sulfur Falls</v>
      </c>
    </row>
    <row r="184" spans="1:72" x14ac:dyDescent="0.25">
      <c r="A184" s="3" t="str">
        <f t="shared" ca="1" si="6"/>
        <v>3</v>
      </c>
      <c r="B184" s="3">
        <f t="shared" ca="1" si="7"/>
        <v>1</v>
      </c>
      <c r="C184" s="3" t="str">
        <f ca="1">IFERROR(
 INDEX($U$1:$AX$1,
  MATCH(TRUE,
   CHOOSE({1;2;3;4;5;6;7;8;9;10;11;12;13;14;15;16;17;18;19;20;21;22;23;24;25;26;27;28;29;30;31;32},
    COUNTIFS($U$2:$U$200,$G184)&gt;0,
    COUNTIFS($V$2:$V$200,$G184)&gt;0,
    COUNTIFS($W$2:$W$200,$G184)&gt;0,
    COUNTIFS($X$2:$X$200,$G184)&gt;0,
    COUNTIFS($Y$2:$Y$200,$G184)&gt;0,
    COUNTIFS($Z$2:$Z$200,$G184)&gt;0,
    COUNTIFS($AA$2:$AA$200,$G184)&gt;0,
    COUNTIFS($AB$2:$AB$200,$G184)&gt;0,
    COUNTIFS($AC$2:$AC$200,$G184)&gt;0,
    COUNTIFS($AD$2:$AD$200,$G184)&gt;0,
    COUNTIFS($AE$2:$AE$200,$G184)&gt;0,
    COUNTIFS($AF$2:$AF$200,$G184)&gt;0,
    COUNTIFS($AG$2:$AG$200,$G184)&gt;0,
    COUNTIFS($AH$2:$AH$200,$G184)&gt;0,
    COUNTIFS($AI$2:$AI$200,$G184)&gt;0,
    COUNTIFS($AJ$2:$AJ$200,$G184)&gt;0,
    COUNTIFS($AK$2:$AK$200,$G184)&gt;0,
    COUNTIFS($AL$2:$AL$200,$G184)&gt;0,
    COUNTIFS($AM$2:$AM$200,$G184)&gt;0,
    COUNTIFS($AN$2:$AN$200,$G184)&gt;0,
    COUNTIFS($AO$2:$AO$200,$G184)&gt;0,
    COUNTIFS($AP$2:$AP$200,$G184)&gt;0,
    COUNTIFS($AQ$2:$AQ$200,$G184)&gt;0,
    COUNTIFS($AR$2:$AR$200,$G184)&gt;0,
    COUNTIFS($AS$2:$AS$200,$G184)&gt;0,
    COUNTIFS($AT$2:$AT$200,$G184)&gt;0,
    COUNTIFS($AU$2:$AU$200,$G184)&gt;0,
    COUNTIFS($AV$2:$AV$200,$G184)&gt;0,
    COUNTIFS($AW$2:$AW$200,$G184)&gt;0,
    COUNTIFS($AX$2:$AX$200,$G184)&gt;0
   ),
  0)
 ),
"")</f>
        <v>JhoiraB</v>
      </c>
      <c r="D184" s="3" t="str" cm="1">
        <f t="array" aca="1" ref="D184" ca="1">IFERROR(
 INDEX(
  _xlfn._xlws.FILTER($U$1:$AX$1,
   TRANSPOSE(
    CHOOSE({1;2;3;4;5;6;7;8;9;10;11;12;13;14;15;16;17;18;19;20;21;22;23;24;25;26;27;28;29;30},
     COUNTIFS($U$2:$U$200,$G184)&gt;0,
     COUNTIFS($V$2:$V$200,$G184)&gt;0,
     COUNTIFS($W$2:$W$200,$G184)&gt;0,
     COUNTIFS($X$2:$X$200,$G184)&gt;0,
     COUNTIFS($Y$2:$Y$200,$G184)&gt;0,
     COUNTIFS($Z$2:$Z$200,$G184)&gt;0,
     COUNTIFS($AA$2:$AA$200,$G184)&gt;0,
     COUNTIFS($AB$2:$AB$200,$G184)&gt;0,
     COUNTIFS($AC$2:$AC$200,$G184)&gt;0,
     COUNTIFS($AD$2:$AD$200,$G184)&gt;0,
     COUNTIFS($AE$2:$AE$200,$G184)&gt;0,
     COUNTIFS($AF$2:$AF$200,$G184)&gt;0,
     COUNTIFS($AG$2:$AG$200,$G184)&gt;0,
     COUNTIFS($AH$2:$AH$200,$G184)&gt;0,
     COUNTIFS($AI$2:$AI$200,$G184)&gt;0,
     COUNTIFS($AJ$2:$AJ$200,$G184)&gt;0,
     COUNTIFS($AK$2:$AK$200,$G184)&gt;0,
     COUNTIFS($AL$2:$AL$200,$G184)&gt;0,
     COUNTIFS($AM$2:$AM$200,$G184)&gt;0,
     COUNTIFS($AN$2:$AN$200,$G184)&gt;0,
     COUNTIFS($AO$2:$AO$200,$G184)&gt;0,
     COUNTIFS($AP$2:$AP$200,$G184)&gt;0,
     COUNTIFS($AQ$2:$AQ$200,$G184)&gt;0,
     COUNTIFS($AR$2:$AR$200,$G184)&gt;0,
     COUNTIFS($AS$2:$AS$200,$G184)&gt;0,
     COUNTIFS($AT$2:$AT$200,$G184)&gt;0,
     COUNTIFS($AU$2:$AU$200,$G184)&gt;0,
     COUNTIFS($AV$2:$AV$200,$G184)&gt;0,
     COUNTIFS($AW$2:$AW$200,$G184)&gt;0,
     COUNTIFS($AX$2:$AX$200,$G184)&gt;0
   )),
  ),
  2
 ),
"")</f>
        <v/>
      </c>
      <c r="E184" s="3" t="str" cm="1">
        <f t="array" aca="1" ref="E184" ca="1">IFERROR(
 INDEX(
  _xlfn._xlws.FILTER($U$1:$AX$1,
   TRANSPOSE(
    CHOOSE({1;2;3;4;5;6;7;8;9;10;11;12;13;14;15;16;17;18;19;20;21;22;23;24;25;26;27;28;29;30},
     COUNTIFS($U$2:$U$200,$G184)&gt;0,
     COUNTIFS($V$2:$V$200,$G184)&gt;0,
     COUNTIFS($W$2:$W$200,$G184)&gt;0,
     COUNTIFS($X$2:$X$200,$G184)&gt;0,
     COUNTIFS($Y$2:$Y$200,$G184)&gt;0,
     COUNTIFS($Z$2:$Z$200,$G184)&gt;0,
     COUNTIFS($AA$2:$AA$200,$G184)&gt;0,
     COUNTIFS($AB$2:$AB$200,$G184)&gt;0,
     COUNTIFS($AC$2:$AC$200,$G184)&gt;0,
     COUNTIFS($AD$2:$AD$200,$G184)&gt;0,
     COUNTIFS($AE$2:$AE$200,$G184)&gt;0,
     COUNTIFS($AF$2:$AF$200,$G184)&gt;0,
     COUNTIFS($AG$2:$AG$200,$G184)&gt;0,
     COUNTIFS($AH$2:$AH$200,$G184)&gt;0,
     COUNTIFS($AI$2:$AI$200,$G184)&gt;0,
     COUNTIFS($AJ$2:$AJ$200,$G184)&gt;0,
     COUNTIFS($AK$2:$AK$200,$G184)&gt;0,
     COUNTIFS($AL$2:$AL$200,$G184)&gt;0,
     COUNTIFS($AM$2:$AM$200,$G184)&gt;0,
     COUNTIFS($AN$2:$AN$200,$G184)&gt;0,
     COUNTIFS($AO$2:$AO$200,$G184)&gt;0,
     COUNTIFS($AP$2:$AP$200,$G184)&gt;0,
     COUNTIFS($AQ$2:$AQ$200,$G184)&gt;0,
     COUNTIFS($AR$2:$AR$200,$G184)&gt;0,
     COUNTIFS($AS$2:$AS$200,$G184)&gt;0,
     COUNTIFS($AT$2:$AT$200,$G184)&gt;0,
     COUNTIFS($AU$2:$AU$200,$G184)&gt;0,
     COUNTIFS($AV$2:$AV$200,$G184)&gt;0,
     COUNTIFS($AW$2:$AW$200,$G184)&gt;0,
     COUNTIFS($AX$2:$AX$200,$G184)&gt;0
   )),
  ),
  3
 ),
"")</f>
        <v/>
      </c>
      <c r="F184" s="3" t="str" cm="1">
        <f t="array" aca="1" ref="F184" ca="1">IFERROR(
 INDEX(
  _xlfn._xlws.FILTER($U$1:$AX$1,
   TRANSPOSE(
    CHOOSE({1;2;3;4;5;6;7;8;9;10;11;12;13;14;15;16;17;18;19;20;21;22;23;24;25;26;27;28;29;30},
     COUNTIFS($U$2:$U$200,$G184)&gt;0,
     COUNTIFS($V$2:$V$200,$G184)&gt;0,
     COUNTIFS($W$2:$W$200,$G184)&gt;0,
     COUNTIFS($X$2:$X$200,$G184)&gt;0,
     COUNTIFS($Y$2:$Y$200,$G184)&gt;0,
     COUNTIFS($Z$2:$Z$200,$G184)&gt;0,
     COUNTIFS($AA$2:$AA$200,$G184)&gt;0,
     COUNTIFS($AB$2:$AB$200,$G184)&gt;0,
     COUNTIFS($AC$2:$AC$200,$G184)&gt;0,
     COUNTIFS($AD$2:$AD$200,$G184)&gt;0,
     COUNTIFS($AE$2:$AE$200,$G184)&gt;0,
     COUNTIFS($AF$2:$AF$200,$G184)&gt;0,
     COUNTIFS($AG$2:$AG$200,$G184)&gt;0,
     COUNTIFS($AH$2:$AH$200,$G184)&gt;0,
     COUNTIFS($AI$2:$AI$200,$G184)&gt;0,
     COUNTIFS($AJ$2:$AJ$200,$G184)&gt;0,
     COUNTIFS($AK$2:$AK$200,$G184)&gt;0,
     COUNTIFS($AL$2:$AL$200,$G184)&gt;0,
     COUNTIFS($AM$2:$AM$200,$G184)&gt;0,
     COUNTIFS($AN$2:$AN$200,$G184)&gt;0,
     COUNTIFS($AO$2:$AO$200,$G184)&gt;0,
     COUNTIFS($AP$2:$AP$200,$G184)&gt;0,
     COUNTIFS($AQ$2:$AQ$200,$G184)&gt;0,
     COUNTIFS($AR$2:$AR$200,$G184)&gt;0,
     COUNTIFS($AS$2:$AS$200,$G184)&gt;0,
     COUNTIFS($AT$2:$AT$200,$G184)&gt;0,
     COUNTIFS($AU$2:$AU$200,$G184)&gt;0,
     COUNTIFS($AV$2:$AV$200,$G184)&gt;0,
     COUNTIFS($AW$2:$AW$200,$G184)&gt;0,
     COUNTIFS($AX$2:$AX$200,$G184)&gt;0
   )),
  ),
  4
 ),
"")</f>
        <v/>
      </c>
      <c r="G184" t="str">
        <f ca="1"/>
        <v>Kozilek, the Broken Reality</v>
      </c>
      <c r="BO184" t="str">
        <f ca="1"/>
        <v>Ulamog's Dreadsire</v>
      </c>
      <c r="BT184" t="str">
        <f ca="1"/>
        <v>Summon: Leviathan</v>
      </c>
    </row>
    <row r="185" spans="1:72" x14ac:dyDescent="0.25">
      <c r="A185" s="3" t="str">
        <f t="shared" ca="1" si="6"/>
        <v>1</v>
      </c>
      <c r="B185" s="3">
        <f t="shared" ca="1" si="7"/>
        <v>1</v>
      </c>
      <c r="C185" s="3" t="str">
        <f ca="1">IFERROR(
 INDEX($U$1:$AX$1,
  MATCH(TRUE,
   CHOOSE({1;2;3;4;5;6;7;8;9;10;11;12;13;14;15;16;17;18;19;20;21;22;23;24;25;26;27;28;29;30;31;32},
    COUNTIFS($U$2:$U$200,$G185)&gt;0,
    COUNTIFS($V$2:$V$200,$G185)&gt;0,
    COUNTIFS($W$2:$W$200,$G185)&gt;0,
    COUNTIFS($X$2:$X$200,$G185)&gt;0,
    COUNTIFS($Y$2:$Y$200,$G185)&gt;0,
    COUNTIFS($Z$2:$Z$200,$G185)&gt;0,
    COUNTIFS($AA$2:$AA$200,$G185)&gt;0,
    COUNTIFS($AB$2:$AB$200,$G185)&gt;0,
    COUNTIFS($AC$2:$AC$200,$G185)&gt;0,
    COUNTIFS($AD$2:$AD$200,$G185)&gt;0,
    COUNTIFS($AE$2:$AE$200,$G185)&gt;0,
    COUNTIFS($AF$2:$AF$200,$G185)&gt;0,
    COUNTIFS($AG$2:$AG$200,$G185)&gt;0,
    COUNTIFS($AH$2:$AH$200,$G185)&gt;0,
    COUNTIFS($AI$2:$AI$200,$G185)&gt;0,
    COUNTIFS($AJ$2:$AJ$200,$G185)&gt;0,
    COUNTIFS($AK$2:$AK$200,$G185)&gt;0,
    COUNTIFS($AL$2:$AL$200,$G185)&gt;0,
    COUNTIFS($AM$2:$AM$200,$G185)&gt;0,
    COUNTIFS($AN$2:$AN$200,$G185)&gt;0,
    COUNTIFS($AO$2:$AO$200,$G185)&gt;0,
    COUNTIFS($AP$2:$AP$200,$G185)&gt;0,
    COUNTIFS($AQ$2:$AQ$200,$G185)&gt;0,
    COUNTIFS($AR$2:$AR$200,$G185)&gt;0,
    COUNTIFS($AS$2:$AS$200,$G185)&gt;0,
    COUNTIFS($AT$2:$AT$200,$G185)&gt;0,
    COUNTIFS($AU$2:$AU$200,$G185)&gt;0,
    COUNTIFS($AV$2:$AV$200,$G185)&gt;0,
    COUNTIFS($AW$2:$AW$200,$G185)&gt;0,
    COUNTIFS($AX$2:$AX$200,$G185)&gt;0
   ),
  0)
 ),
"")</f>
        <v>Tayam</v>
      </c>
      <c r="D185" s="3" t="str" cm="1">
        <f t="array" aca="1" ref="D185" ca="1">IFERROR(
 INDEX(
  _xlfn._xlws.FILTER($U$1:$AX$1,
   TRANSPOSE(
    CHOOSE({1;2;3;4;5;6;7;8;9;10;11;12;13;14;15;16;17;18;19;20;21;22;23;24;25;26;27;28;29;30},
     COUNTIFS($U$2:$U$200,$G185)&gt;0,
     COUNTIFS($V$2:$V$200,$G185)&gt;0,
     COUNTIFS($W$2:$W$200,$G185)&gt;0,
     COUNTIFS($X$2:$X$200,$G185)&gt;0,
     COUNTIFS($Y$2:$Y$200,$G185)&gt;0,
     COUNTIFS($Z$2:$Z$200,$G185)&gt;0,
     COUNTIFS($AA$2:$AA$200,$G185)&gt;0,
     COUNTIFS($AB$2:$AB$200,$G185)&gt;0,
     COUNTIFS($AC$2:$AC$200,$G185)&gt;0,
     COUNTIFS($AD$2:$AD$200,$G185)&gt;0,
     COUNTIFS($AE$2:$AE$200,$G185)&gt;0,
     COUNTIFS($AF$2:$AF$200,$G185)&gt;0,
     COUNTIFS($AG$2:$AG$200,$G185)&gt;0,
     COUNTIFS($AH$2:$AH$200,$G185)&gt;0,
     COUNTIFS($AI$2:$AI$200,$G185)&gt;0,
     COUNTIFS($AJ$2:$AJ$200,$G185)&gt;0,
     COUNTIFS($AK$2:$AK$200,$G185)&gt;0,
     COUNTIFS($AL$2:$AL$200,$G185)&gt;0,
     COUNTIFS($AM$2:$AM$200,$G185)&gt;0,
     COUNTIFS($AN$2:$AN$200,$G185)&gt;0,
     COUNTIFS($AO$2:$AO$200,$G185)&gt;0,
     COUNTIFS($AP$2:$AP$200,$G185)&gt;0,
     COUNTIFS($AQ$2:$AQ$200,$G185)&gt;0,
     COUNTIFS($AR$2:$AR$200,$G185)&gt;0,
     COUNTIFS($AS$2:$AS$200,$G185)&gt;0,
     COUNTIFS($AT$2:$AT$200,$G185)&gt;0,
     COUNTIFS($AU$2:$AU$200,$G185)&gt;0,
     COUNTIFS($AV$2:$AV$200,$G185)&gt;0,
     COUNTIFS($AW$2:$AW$200,$G185)&gt;0,
     COUNTIFS($AX$2:$AX$200,$G185)&gt;0
   )),
  ),
  2
 ),
"")</f>
        <v/>
      </c>
      <c r="E185" s="3" t="str" cm="1">
        <f t="array" aca="1" ref="E185" ca="1">IFERROR(
 INDEX(
  _xlfn._xlws.FILTER($U$1:$AX$1,
   TRANSPOSE(
    CHOOSE({1;2;3;4;5;6;7;8;9;10;11;12;13;14;15;16;17;18;19;20;21;22;23;24;25;26;27;28;29;30},
     COUNTIFS($U$2:$U$200,$G185)&gt;0,
     COUNTIFS($V$2:$V$200,$G185)&gt;0,
     COUNTIFS($W$2:$W$200,$G185)&gt;0,
     COUNTIFS($X$2:$X$200,$G185)&gt;0,
     COUNTIFS($Y$2:$Y$200,$G185)&gt;0,
     COUNTIFS($Z$2:$Z$200,$G185)&gt;0,
     COUNTIFS($AA$2:$AA$200,$G185)&gt;0,
     COUNTIFS($AB$2:$AB$200,$G185)&gt;0,
     COUNTIFS($AC$2:$AC$200,$G185)&gt;0,
     COUNTIFS($AD$2:$AD$200,$G185)&gt;0,
     COUNTIFS($AE$2:$AE$200,$G185)&gt;0,
     COUNTIFS($AF$2:$AF$200,$G185)&gt;0,
     COUNTIFS($AG$2:$AG$200,$G185)&gt;0,
     COUNTIFS($AH$2:$AH$200,$G185)&gt;0,
     COUNTIFS($AI$2:$AI$200,$G185)&gt;0,
     COUNTIFS($AJ$2:$AJ$200,$G185)&gt;0,
     COUNTIFS($AK$2:$AK$200,$G185)&gt;0,
     COUNTIFS($AL$2:$AL$200,$G185)&gt;0,
     COUNTIFS($AM$2:$AM$200,$G185)&gt;0,
     COUNTIFS($AN$2:$AN$200,$G185)&gt;0,
     COUNTIFS($AO$2:$AO$200,$G185)&gt;0,
     COUNTIFS($AP$2:$AP$200,$G185)&gt;0,
     COUNTIFS($AQ$2:$AQ$200,$G185)&gt;0,
     COUNTIFS($AR$2:$AR$200,$G185)&gt;0,
     COUNTIFS($AS$2:$AS$200,$G185)&gt;0,
     COUNTIFS($AT$2:$AT$200,$G185)&gt;0,
     COUNTIFS($AU$2:$AU$200,$G185)&gt;0,
     COUNTIFS($AV$2:$AV$200,$G185)&gt;0,
     COUNTIFS($AW$2:$AW$200,$G185)&gt;0,
     COUNTIFS($AX$2:$AX$200,$G185)&gt;0
   )),
  ),
  3
 ),
"")</f>
        <v/>
      </c>
      <c r="F185" s="3" t="str" cm="1">
        <f t="array" aca="1" ref="F185" ca="1">IFERROR(
 INDEX(
  _xlfn._xlws.FILTER($U$1:$AX$1,
   TRANSPOSE(
    CHOOSE({1;2;3;4;5;6;7;8;9;10;11;12;13;14;15;16;17;18;19;20;21;22;23;24;25;26;27;28;29;30},
     COUNTIFS($U$2:$U$200,$G185)&gt;0,
     COUNTIFS($V$2:$V$200,$G185)&gt;0,
     COUNTIFS($W$2:$W$200,$G185)&gt;0,
     COUNTIFS($X$2:$X$200,$G185)&gt;0,
     COUNTIFS($Y$2:$Y$200,$G185)&gt;0,
     COUNTIFS($Z$2:$Z$200,$G185)&gt;0,
     COUNTIFS($AA$2:$AA$200,$G185)&gt;0,
     COUNTIFS($AB$2:$AB$200,$G185)&gt;0,
     COUNTIFS($AC$2:$AC$200,$G185)&gt;0,
     COUNTIFS($AD$2:$AD$200,$G185)&gt;0,
     COUNTIFS($AE$2:$AE$200,$G185)&gt;0,
     COUNTIFS($AF$2:$AF$200,$G185)&gt;0,
     COUNTIFS($AG$2:$AG$200,$G185)&gt;0,
     COUNTIFS($AH$2:$AH$200,$G185)&gt;0,
     COUNTIFS($AI$2:$AI$200,$G185)&gt;0,
     COUNTIFS($AJ$2:$AJ$200,$G185)&gt;0,
     COUNTIFS($AK$2:$AK$200,$G185)&gt;0,
     COUNTIFS($AL$2:$AL$200,$G185)&gt;0,
     COUNTIFS($AM$2:$AM$200,$G185)&gt;0,
     COUNTIFS($AN$2:$AN$200,$G185)&gt;0,
     COUNTIFS($AO$2:$AO$200,$G185)&gt;0,
     COUNTIFS($AP$2:$AP$200,$G185)&gt;0,
     COUNTIFS($AQ$2:$AQ$200,$G185)&gt;0,
     COUNTIFS($AR$2:$AR$200,$G185)&gt;0,
     COUNTIFS($AS$2:$AS$200,$G185)&gt;0,
     COUNTIFS($AT$2:$AT$200,$G185)&gt;0,
     COUNTIFS($AU$2:$AU$200,$G185)&gt;0,
     COUNTIFS($AV$2:$AV$200,$G185)&gt;0,
     COUNTIFS($AW$2:$AW$200,$G185)&gt;0,
     COUNTIFS($AX$2:$AX$200,$G185)&gt;0
   )),
  ),
  4
 ),
"")</f>
        <v/>
      </c>
      <c r="G185" t="str">
        <f ca="1"/>
        <v>Kutzil, Malamet Exemplar</v>
      </c>
      <c r="BO185" t="str">
        <f ca="1"/>
        <v>Unbreakable Formation</v>
      </c>
      <c r="BT185" t="str">
        <f ca="1"/>
        <v>Surgespanner</v>
      </c>
    </row>
    <row r="186" spans="1:72" x14ac:dyDescent="0.25">
      <c r="A186" s="3" t="str">
        <f t="shared" ca="1" si="6"/>
        <v>1</v>
      </c>
      <c r="B186" s="3">
        <f t="shared" ca="1" si="7"/>
        <v>1</v>
      </c>
      <c r="C186" s="3" t="str">
        <f ca="1">IFERROR(
 INDEX($U$1:$AX$1,
  MATCH(TRUE,
   CHOOSE({1;2;3;4;5;6;7;8;9;10;11;12;13;14;15;16;17;18;19;20;21;22;23;24;25;26;27;28;29;30;31;32},
    COUNTIFS($U$2:$U$200,$G186)&gt;0,
    COUNTIFS($V$2:$V$200,$G186)&gt;0,
    COUNTIFS($W$2:$W$200,$G186)&gt;0,
    COUNTIFS($X$2:$X$200,$G186)&gt;0,
    COUNTIFS($Y$2:$Y$200,$G186)&gt;0,
    COUNTIFS($Z$2:$Z$200,$G186)&gt;0,
    COUNTIFS($AA$2:$AA$200,$G186)&gt;0,
    COUNTIFS($AB$2:$AB$200,$G186)&gt;0,
    COUNTIFS($AC$2:$AC$200,$G186)&gt;0,
    COUNTIFS($AD$2:$AD$200,$G186)&gt;0,
    COUNTIFS($AE$2:$AE$200,$G186)&gt;0,
    COUNTIFS($AF$2:$AF$200,$G186)&gt;0,
    COUNTIFS($AG$2:$AG$200,$G186)&gt;0,
    COUNTIFS($AH$2:$AH$200,$G186)&gt;0,
    COUNTIFS($AI$2:$AI$200,$G186)&gt;0,
    COUNTIFS($AJ$2:$AJ$200,$G186)&gt;0,
    COUNTIFS($AK$2:$AK$200,$G186)&gt;0,
    COUNTIFS($AL$2:$AL$200,$G186)&gt;0,
    COUNTIFS($AM$2:$AM$200,$G186)&gt;0,
    COUNTIFS($AN$2:$AN$200,$G186)&gt;0,
    COUNTIFS($AO$2:$AO$200,$G186)&gt;0,
    COUNTIFS($AP$2:$AP$200,$G186)&gt;0,
    COUNTIFS($AQ$2:$AQ$200,$G186)&gt;0,
    COUNTIFS($AR$2:$AR$200,$G186)&gt;0,
    COUNTIFS($AS$2:$AS$200,$G186)&gt;0,
    COUNTIFS($AT$2:$AT$200,$G186)&gt;0,
    COUNTIFS($AU$2:$AU$200,$G186)&gt;0,
    COUNTIFS($AV$2:$AV$200,$G186)&gt;0,
    COUNTIFS($AW$2:$AW$200,$G186)&gt;0,
    COUNTIFS($AX$2:$AX$200,$G186)&gt;0
   ),
  0)
 ),
"")</f>
        <v>Tayam</v>
      </c>
      <c r="D186" s="3" t="str" cm="1">
        <f t="array" aca="1" ref="D186" ca="1">IFERROR(
 INDEX(
  _xlfn._xlws.FILTER($U$1:$AX$1,
   TRANSPOSE(
    CHOOSE({1;2;3;4;5;6;7;8;9;10;11;12;13;14;15;16;17;18;19;20;21;22;23;24;25;26;27;28;29;30},
     COUNTIFS($U$2:$U$200,$G186)&gt;0,
     COUNTIFS($V$2:$V$200,$G186)&gt;0,
     COUNTIFS($W$2:$W$200,$G186)&gt;0,
     COUNTIFS($X$2:$X$200,$G186)&gt;0,
     COUNTIFS($Y$2:$Y$200,$G186)&gt;0,
     COUNTIFS($Z$2:$Z$200,$G186)&gt;0,
     COUNTIFS($AA$2:$AA$200,$G186)&gt;0,
     COUNTIFS($AB$2:$AB$200,$G186)&gt;0,
     COUNTIFS($AC$2:$AC$200,$G186)&gt;0,
     COUNTIFS($AD$2:$AD$200,$G186)&gt;0,
     COUNTIFS($AE$2:$AE$200,$G186)&gt;0,
     COUNTIFS($AF$2:$AF$200,$G186)&gt;0,
     COUNTIFS($AG$2:$AG$200,$G186)&gt;0,
     COUNTIFS($AH$2:$AH$200,$G186)&gt;0,
     COUNTIFS($AI$2:$AI$200,$G186)&gt;0,
     COUNTIFS($AJ$2:$AJ$200,$G186)&gt;0,
     COUNTIFS($AK$2:$AK$200,$G186)&gt;0,
     COUNTIFS($AL$2:$AL$200,$G186)&gt;0,
     COUNTIFS($AM$2:$AM$200,$G186)&gt;0,
     COUNTIFS($AN$2:$AN$200,$G186)&gt;0,
     COUNTIFS($AO$2:$AO$200,$G186)&gt;0,
     COUNTIFS($AP$2:$AP$200,$G186)&gt;0,
     COUNTIFS($AQ$2:$AQ$200,$G186)&gt;0,
     COUNTIFS($AR$2:$AR$200,$G186)&gt;0,
     COUNTIFS($AS$2:$AS$200,$G186)&gt;0,
     COUNTIFS($AT$2:$AT$200,$G186)&gt;0,
     COUNTIFS($AU$2:$AU$200,$G186)&gt;0,
     COUNTIFS($AV$2:$AV$200,$G186)&gt;0,
     COUNTIFS($AW$2:$AW$200,$G186)&gt;0,
     COUNTIFS($AX$2:$AX$200,$G186)&gt;0
   )),
  ),
  2
 ),
"")</f>
        <v/>
      </c>
      <c r="E186" s="3" t="str" cm="1">
        <f t="array" aca="1" ref="E186" ca="1">IFERROR(
 INDEX(
  _xlfn._xlws.FILTER($U$1:$AX$1,
   TRANSPOSE(
    CHOOSE({1;2;3;4;5;6;7;8;9;10;11;12;13;14;15;16;17;18;19;20;21;22;23;24;25;26;27;28;29;30},
     COUNTIFS($U$2:$U$200,$G186)&gt;0,
     COUNTIFS($V$2:$V$200,$G186)&gt;0,
     COUNTIFS($W$2:$W$200,$G186)&gt;0,
     COUNTIFS($X$2:$X$200,$G186)&gt;0,
     COUNTIFS($Y$2:$Y$200,$G186)&gt;0,
     COUNTIFS($Z$2:$Z$200,$G186)&gt;0,
     COUNTIFS($AA$2:$AA$200,$G186)&gt;0,
     COUNTIFS($AB$2:$AB$200,$G186)&gt;0,
     COUNTIFS($AC$2:$AC$200,$G186)&gt;0,
     COUNTIFS($AD$2:$AD$200,$G186)&gt;0,
     COUNTIFS($AE$2:$AE$200,$G186)&gt;0,
     COUNTIFS($AF$2:$AF$200,$G186)&gt;0,
     COUNTIFS($AG$2:$AG$200,$G186)&gt;0,
     COUNTIFS($AH$2:$AH$200,$G186)&gt;0,
     COUNTIFS($AI$2:$AI$200,$G186)&gt;0,
     COUNTIFS($AJ$2:$AJ$200,$G186)&gt;0,
     COUNTIFS($AK$2:$AK$200,$G186)&gt;0,
     COUNTIFS($AL$2:$AL$200,$G186)&gt;0,
     COUNTIFS($AM$2:$AM$200,$G186)&gt;0,
     COUNTIFS($AN$2:$AN$200,$G186)&gt;0,
     COUNTIFS($AO$2:$AO$200,$G186)&gt;0,
     COUNTIFS($AP$2:$AP$200,$G186)&gt;0,
     COUNTIFS($AQ$2:$AQ$200,$G186)&gt;0,
     COUNTIFS($AR$2:$AR$200,$G186)&gt;0,
     COUNTIFS($AS$2:$AS$200,$G186)&gt;0,
     COUNTIFS($AT$2:$AT$200,$G186)&gt;0,
     COUNTIFS($AU$2:$AU$200,$G186)&gt;0,
     COUNTIFS($AV$2:$AV$200,$G186)&gt;0,
     COUNTIFS($AW$2:$AW$200,$G186)&gt;0,
     COUNTIFS($AX$2:$AX$200,$G186)&gt;0
   )),
  ),
  3
 ),
"")</f>
        <v/>
      </c>
      <c r="F186" s="3" t="str" cm="1">
        <f t="array" aca="1" ref="F186" ca="1">IFERROR(
 INDEX(
  _xlfn._xlws.FILTER($U$1:$AX$1,
   TRANSPOSE(
    CHOOSE({1;2;3;4;5;6;7;8;9;10;11;12;13;14;15;16;17;18;19;20;21;22;23;24;25;26;27;28;29;30},
     COUNTIFS($U$2:$U$200,$G186)&gt;0,
     COUNTIFS($V$2:$V$200,$G186)&gt;0,
     COUNTIFS($W$2:$W$200,$G186)&gt;0,
     COUNTIFS($X$2:$X$200,$G186)&gt;0,
     COUNTIFS($Y$2:$Y$200,$G186)&gt;0,
     COUNTIFS($Z$2:$Z$200,$G186)&gt;0,
     COUNTIFS($AA$2:$AA$200,$G186)&gt;0,
     COUNTIFS($AB$2:$AB$200,$G186)&gt;0,
     COUNTIFS($AC$2:$AC$200,$G186)&gt;0,
     COUNTIFS($AD$2:$AD$200,$G186)&gt;0,
     COUNTIFS($AE$2:$AE$200,$G186)&gt;0,
     COUNTIFS($AF$2:$AF$200,$G186)&gt;0,
     COUNTIFS($AG$2:$AG$200,$G186)&gt;0,
     COUNTIFS($AH$2:$AH$200,$G186)&gt;0,
     COUNTIFS($AI$2:$AI$200,$G186)&gt;0,
     COUNTIFS($AJ$2:$AJ$200,$G186)&gt;0,
     COUNTIFS($AK$2:$AK$200,$G186)&gt;0,
     COUNTIFS($AL$2:$AL$200,$G186)&gt;0,
     COUNTIFS($AM$2:$AM$200,$G186)&gt;0,
     COUNTIFS($AN$2:$AN$200,$G186)&gt;0,
     COUNTIFS($AO$2:$AO$200,$G186)&gt;0,
     COUNTIFS($AP$2:$AP$200,$G186)&gt;0,
     COUNTIFS($AQ$2:$AQ$200,$G186)&gt;0,
     COUNTIFS($AR$2:$AR$200,$G186)&gt;0,
     COUNTIFS($AS$2:$AS$200,$G186)&gt;0,
     COUNTIFS($AT$2:$AT$200,$G186)&gt;0,
     COUNTIFS($AU$2:$AU$200,$G186)&gt;0,
     COUNTIFS($AV$2:$AV$200,$G186)&gt;0,
     COUNTIFS($AW$2:$AW$200,$G186)&gt;0,
     COUNTIFS($AX$2:$AX$200,$G186)&gt;0
   )),
  ),
  4
 ),
"")</f>
        <v/>
      </c>
      <c r="G186" t="str">
        <f ca="1"/>
        <v>Lae'zel, Vlaakith's Champion</v>
      </c>
      <c r="BO186" t="str">
        <f ca="1"/>
        <v>Valfenda</v>
      </c>
      <c r="BT186" t="str">
        <f ca="1"/>
        <v>Susur Secundi, Void Altar</v>
      </c>
    </row>
    <row r="187" spans="1:72" x14ac:dyDescent="0.25">
      <c r="A187" s="3" t="str">
        <f t="shared" ca="1" si="6"/>
        <v>5</v>
      </c>
      <c r="B187" s="3">
        <f t="shared" ca="1" si="7"/>
        <v>1</v>
      </c>
      <c r="C187" s="3" t="str">
        <f ca="1">IFERROR(
 INDEX($U$1:$AX$1,
  MATCH(TRUE,
   CHOOSE({1;2;3;4;5;6;7;8;9;10;11;12;13;14;15;16;17;18;19;20;21;22;23;24;25;26;27;28;29;30;31;32},
    COUNTIFS($U$2:$U$200,$G187)&gt;0,
    COUNTIFS($V$2:$V$200,$G187)&gt;0,
    COUNTIFS($W$2:$W$200,$G187)&gt;0,
    COUNTIFS($X$2:$X$200,$G187)&gt;0,
    COUNTIFS($Y$2:$Y$200,$G187)&gt;0,
    COUNTIFS($Z$2:$Z$200,$G187)&gt;0,
    COUNTIFS($AA$2:$AA$200,$G187)&gt;0,
    COUNTIFS($AB$2:$AB$200,$G187)&gt;0,
    COUNTIFS($AC$2:$AC$200,$G187)&gt;0,
    COUNTIFS($AD$2:$AD$200,$G187)&gt;0,
    COUNTIFS($AE$2:$AE$200,$G187)&gt;0,
    COUNTIFS($AF$2:$AF$200,$G187)&gt;0,
    COUNTIFS($AG$2:$AG$200,$G187)&gt;0,
    COUNTIFS($AH$2:$AH$200,$G187)&gt;0,
    COUNTIFS($AI$2:$AI$200,$G187)&gt;0,
    COUNTIFS($AJ$2:$AJ$200,$G187)&gt;0,
    COUNTIFS($AK$2:$AK$200,$G187)&gt;0,
    COUNTIFS($AL$2:$AL$200,$G187)&gt;0,
    COUNTIFS($AM$2:$AM$200,$G187)&gt;0,
    COUNTIFS($AN$2:$AN$200,$G187)&gt;0,
    COUNTIFS($AO$2:$AO$200,$G187)&gt;0,
    COUNTIFS($AP$2:$AP$200,$G187)&gt;0,
    COUNTIFS($AQ$2:$AQ$200,$G187)&gt;0,
    COUNTIFS($AR$2:$AR$200,$G187)&gt;0,
    COUNTIFS($AS$2:$AS$200,$G187)&gt;0,
    COUNTIFS($AT$2:$AT$200,$G187)&gt;0,
    COUNTIFS($AU$2:$AU$200,$G187)&gt;0,
    COUNTIFS($AV$2:$AV$200,$G187)&gt;0,
    COUNTIFS($AW$2:$AW$200,$G187)&gt;0,
    COUNTIFS($AX$2:$AX$200,$G187)&gt;0
   ),
  0)
 ),
"")</f>
        <v>Alela</v>
      </c>
      <c r="D187" s="3" t="str" cm="1">
        <f t="array" aca="1" ref="D187" ca="1">IFERROR(
 INDEX(
  _xlfn._xlws.FILTER($U$1:$AX$1,
   TRANSPOSE(
    CHOOSE({1;2;3;4;5;6;7;8;9;10;11;12;13;14;15;16;17;18;19;20;21;22;23;24;25;26;27;28;29;30},
     COUNTIFS($U$2:$U$200,$G187)&gt;0,
     COUNTIFS($V$2:$V$200,$G187)&gt;0,
     COUNTIFS($W$2:$W$200,$G187)&gt;0,
     COUNTIFS($X$2:$X$200,$G187)&gt;0,
     COUNTIFS($Y$2:$Y$200,$G187)&gt;0,
     COUNTIFS($Z$2:$Z$200,$G187)&gt;0,
     COUNTIFS($AA$2:$AA$200,$G187)&gt;0,
     COUNTIFS($AB$2:$AB$200,$G187)&gt;0,
     COUNTIFS($AC$2:$AC$200,$G187)&gt;0,
     COUNTIFS($AD$2:$AD$200,$G187)&gt;0,
     COUNTIFS($AE$2:$AE$200,$G187)&gt;0,
     COUNTIFS($AF$2:$AF$200,$G187)&gt;0,
     COUNTIFS($AG$2:$AG$200,$G187)&gt;0,
     COUNTIFS($AH$2:$AH$200,$G187)&gt;0,
     COUNTIFS($AI$2:$AI$200,$G187)&gt;0,
     COUNTIFS($AJ$2:$AJ$200,$G187)&gt;0,
     COUNTIFS($AK$2:$AK$200,$G187)&gt;0,
     COUNTIFS($AL$2:$AL$200,$G187)&gt;0,
     COUNTIFS($AM$2:$AM$200,$G187)&gt;0,
     COUNTIFS($AN$2:$AN$200,$G187)&gt;0,
     COUNTIFS($AO$2:$AO$200,$G187)&gt;0,
     COUNTIFS($AP$2:$AP$200,$G187)&gt;0,
     COUNTIFS($AQ$2:$AQ$200,$G187)&gt;0,
     COUNTIFS($AR$2:$AR$200,$G187)&gt;0,
     COUNTIFS($AS$2:$AS$200,$G187)&gt;0,
     COUNTIFS($AT$2:$AT$200,$G187)&gt;0,
     COUNTIFS($AU$2:$AU$200,$G187)&gt;0,
     COUNTIFS($AV$2:$AV$200,$G187)&gt;0,
     COUNTIFS($AW$2:$AW$200,$G187)&gt;0,
     COUNTIFS($AX$2:$AX$200,$G187)&gt;0
   )),
  ),
  2
 ),
"")</f>
        <v/>
      </c>
      <c r="E187" s="3" t="str" cm="1">
        <f t="array" aca="1" ref="E187" ca="1">IFERROR(
 INDEX(
  _xlfn._xlws.FILTER($U$1:$AX$1,
   TRANSPOSE(
    CHOOSE({1;2;3;4;5;6;7;8;9;10;11;12;13;14;15;16;17;18;19;20;21;22;23;24;25;26;27;28;29;30},
     COUNTIFS($U$2:$U$200,$G187)&gt;0,
     COUNTIFS($V$2:$V$200,$G187)&gt;0,
     COUNTIFS($W$2:$W$200,$G187)&gt;0,
     COUNTIFS($X$2:$X$200,$G187)&gt;0,
     COUNTIFS($Y$2:$Y$200,$G187)&gt;0,
     COUNTIFS($Z$2:$Z$200,$G187)&gt;0,
     COUNTIFS($AA$2:$AA$200,$G187)&gt;0,
     COUNTIFS($AB$2:$AB$200,$G187)&gt;0,
     COUNTIFS($AC$2:$AC$200,$G187)&gt;0,
     COUNTIFS($AD$2:$AD$200,$G187)&gt;0,
     COUNTIFS($AE$2:$AE$200,$G187)&gt;0,
     COUNTIFS($AF$2:$AF$200,$G187)&gt;0,
     COUNTIFS($AG$2:$AG$200,$G187)&gt;0,
     COUNTIFS($AH$2:$AH$200,$G187)&gt;0,
     COUNTIFS($AI$2:$AI$200,$G187)&gt;0,
     COUNTIFS($AJ$2:$AJ$200,$G187)&gt;0,
     COUNTIFS($AK$2:$AK$200,$G187)&gt;0,
     COUNTIFS($AL$2:$AL$200,$G187)&gt;0,
     COUNTIFS($AM$2:$AM$200,$G187)&gt;0,
     COUNTIFS($AN$2:$AN$200,$G187)&gt;0,
     COUNTIFS($AO$2:$AO$200,$G187)&gt;0,
     COUNTIFS($AP$2:$AP$200,$G187)&gt;0,
     COUNTIFS($AQ$2:$AQ$200,$G187)&gt;0,
     COUNTIFS($AR$2:$AR$200,$G187)&gt;0,
     COUNTIFS($AS$2:$AS$200,$G187)&gt;0,
     COUNTIFS($AT$2:$AT$200,$G187)&gt;0,
     COUNTIFS($AU$2:$AU$200,$G187)&gt;0,
     COUNTIFS($AV$2:$AV$200,$G187)&gt;0,
     COUNTIFS($AW$2:$AW$200,$G187)&gt;0,
     COUNTIFS($AX$2:$AX$200,$G187)&gt;0
   )),
  ),
  3
 ),
"")</f>
        <v/>
      </c>
      <c r="F187" s="3" t="str" cm="1">
        <f t="array" aca="1" ref="F187" ca="1">IFERROR(
 INDEX(
  _xlfn._xlws.FILTER($U$1:$AX$1,
   TRANSPOSE(
    CHOOSE({1;2;3;4;5;6;7;8;9;10;11;12;13;14;15;16;17;18;19;20;21;22;23;24;25;26;27;28;29;30},
     COUNTIFS($U$2:$U$200,$G187)&gt;0,
     COUNTIFS($V$2:$V$200,$G187)&gt;0,
     COUNTIFS($W$2:$W$200,$G187)&gt;0,
     COUNTIFS($X$2:$X$200,$G187)&gt;0,
     COUNTIFS($Y$2:$Y$200,$G187)&gt;0,
     COUNTIFS($Z$2:$Z$200,$G187)&gt;0,
     COUNTIFS($AA$2:$AA$200,$G187)&gt;0,
     COUNTIFS($AB$2:$AB$200,$G187)&gt;0,
     COUNTIFS($AC$2:$AC$200,$G187)&gt;0,
     COUNTIFS($AD$2:$AD$200,$G187)&gt;0,
     COUNTIFS($AE$2:$AE$200,$G187)&gt;0,
     COUNTIFS($AF$2:$AF$200,$G187)&gt;0,
     COUNTIFS($AG$2:$AG$200,$G187)&gt;0,
     COUNTIFS($AH$2:$AH$200,$G187)&gt;0,
     COUNTIFS($AI$2:$AI$200,$G187)&gt;0,
     COUNTIFS($AJ$2:$AJ$200,$G187)&gt;0,
     COUNTIFS($AK$2:$AK$200,$G187)&gt;0,
     COUNTIFS($AL$2:$AL$200,$G187)&gt;0,
     COUNTIFS($AM$2:$AM$200,$G187)&gt;0,
     COUNTIFS($AN$2:$AN$200,$G187)&gt;0,
     COUNTIFS($AO$2:$AO$200,$G187)&gt;0,
     COUNTIFS($AP$2:$AP$200,$G187)&gt;0,
     COUNTIFS($AQ$2:$AQ$200,$G187)&gt;0,
     COUNTIFS($AR$2:$AR$200,$G187)&gt;0,
     COUNTIFS($AS$2:$AS$200,$G187)&gt;0,
     COUNTIFS($AT$2:$AT$200,$G187)&gt;0,
     COUNTIFS($AU$2:$AU$200,$G187)&gt;0,
     COUNTIFS($AV$2:$AV$200,$G187)&gt;0,
     COUNTIFS($AW$2:$AW$200,$G187)&gt;0,
     COUNTIFS($AX$2:$AX$200,$G187)&gt;0
   )),
  ),
  4
 ),
"")</f>
        <v/>
      </c>
      <c r="G187" t="str">
        <f ca="1"/>
        <v>Lagoa Espelhada</v>
      </c>
      <c r="BO187" t="str">
        <f ca="1"/>
        <v>Virtue of Loyalty // Ardenvale Fealty</v>
      </c>
      <c r="BT187" t="str">
        <f ca="1"/>
        <v>Takenuma, Charco Abandonado</v>
      </c>
    </row>
    <row r="188" spans="1:72" x14ac:dyDescent="0.25">
      <c r="A188" s="3" t="str">
        <f t="shared" ca="1" si="6"/>
        <v>2</v>
      </c>
      <c r="B188" s="3">
        <f t="shared" ca="1" si="7"/>
        <v>1</v>
      </c>
      <c r="C188" s="3" t="str">
        <f ca="1">IFERROR(
 INDEX($U$1:$AX$1,
  MATCH(TRUE,
   CHOOSE({1;2;3;4;5;6;7;8;9;10;11;12;13;14;15;16;17;18;19;20;21;22;23;24;25;26;27;28;29;30;31;32},
    COUNTIFS($U$2:$U$200,$G188)&gt;0,
    COUNTIFS($V$2:$V$200,$G188)&gt;0,
    COUNTIFS($W$2:$W$200,$G188)&gt;0,
    COUNTIFS($X$2:$X$200,$G188)&gt;0,
    COUNTIFS($Y$2:$Y$200,$G188)&gt;0,
    COUNTIFS($Z$2:$Z$200,$G188)&gt;0,
    COUNTIFS($AA$2:$AA$200,$G188)&gt;0,
    COUNTIFS($AB$2:$AB$200,$G188)&gt;0,
    COUNTIFS($AC$2:$AC$200,$G188)&gt;0,
    COUNTIFS($AD$2:$AD$200,$G188)&gt;0,
    COUNTIFS($AE$2:$AE$200,$G188)&gt;0,
    COUNTIFS($AF$2:$AF$200,$G188)&gt;0,
    COUNTIFS($AG$2:$AG$200,$G188)&gt;0,
    COUNTIFS($AH$2:$AH$200,$G188)&gt;0,
    COUNTIFS($AI$2:$AI$200,$G188)&gt;0,
    COUNTIFS($AJ$2:$AJ$200,$G188)&gt;0,
    COUNTIFS($AK$2:$AK$200,$G188)&gt;0,
    COUNTIFS($AL$2:$AL$200,$G188)&gt;0,
    COUNTIFS($AM$2:$AM$200,$G188)&gt;0,
    COUNTIFS($AN$2:$AN$200,$G188)&gt;0,
    COUNTIFS($AO$2:$AO$200,$G188)&gt;0,
    COUNTIFS($AP$2:$AP$200,$G188)&gt;0,
    COUNTIFS($AQ$2:$AQ$200,$G188)&gt;0,
    COUNTIFS($AR$2:$AR$200,$G188)&gt;0,
    COUNTIFS($AS$2:$AS$200,$G188)&gt;0,
    COUNTIFS($AT$2:$AT$200,$G188)&gt;0,
    COUNTIFS($AU$2:$AU$200,$G188)&gt;0,
    COUNTIFS($AV$2:$AV$200,$G188)&gt;0,
    COUNTIFS($AW$2:$AW$200,$G188)&gt;0,
    COUNTIFS($AX$2:$AX$200,$G188)&gt;0
   ),
  0)
 ),
"")</f>
        <v>Rani</v>
      </c>
      <c r="D188" s="3" t="str" cm="1">
        <f t="array" aca="1" ref="D188" ca="1">IFERROR(
 INDEX(
  _xlfn._xlws.FILTER($U$1:$AX$1,
   TRANSPOSE(
    CHOOSE({1;2;3;4;5;6;7;8;9;10;11;12;13;14;15;16;17;18;19;20;21;22;23;24;25;26;27;28;29;30},
     COUNTIFS($U$2:$U$200,$G188)&gt;0,
     COUNTIFS($V$2:$V$200,$G188)&gt;0,
     COUNTIFS($W$2:$W$200,$G188)&gt;0,
     COUNTIFS($X$2:$X$200,$G188)&gt;0,
     COUNTIFS($Y$2:$Y$200,$G188)&gt;0,
     COUNTIFS($Z$2:$Z$200,$G188)&gt;0,
     COUNTIFS($AA$2:$AA$200,$G188)&gt;0,
     COUNTIFS($AB$2:$AB$200,$G188)&gt;0,
     COUNTIFS($AC$2:$AC$200,$G188)&gt;0,
     COUNTIFS($AD$2:$AD$200,$G188)&gt;0,
     COUNTIFS($AE$2:$AE$200,$G188)&gt;0,
     COUNTIFS($AF$2:$AF$200,$G188)&gt;0,
     COUNTIFS($AG$2:$AG$200,$G188)&gt;0,
     COUNTIFS($AH$2:$AH$200,$G188)&gt;0,
     COUNTIFS($AI$2:$AI$200,$G188)&gt;0,
     COUNTIFS($AJ$2:$AJ$200,$G188)&gt;0,
     COUNTIFS($AK$2:$AK$200,$G188)&gt;0,
     COUNTIFS($AL$2:$AL$200,$G188)&gt;0,
     COUNTIFS($AM$2:$AM$200,$G188)&gt;0,
     COUNTIFS($AN$2:$AN$200,$G188)&gt;0,
     COUNTIFS($AO$2:$AO$200,$G188)&gt;0,
     COUNTIFS($AP$2:$AP$200,$G188)&gt;0,
     COUNTIFS($AQ$2:$AQ$200,$G188)&gt;0,
     COUNTIFS($AR$2:$AR$200,$G188)&gt;0,
     COUNTIFS($AS$2:$AS$200,$G188)&gt;0,
     COUNTIFS($AT$2:$AT$200,$G188)&gt;0,
     COUNTIFS($AU$2:$AU$200,$G188)&gt;0,
     COUNTIFS($AV$2:$AV$200,$G188)&gt;0,
     COUNTIFS($AW$2:$AW$200,$G188)&gt;0,
     COUNTIFS($AX$2:$AX$200,$G188)&gt;0
   )),
  ),
  2
 ),
"")</f>
        <v/>
      </c>
      <c r="E188" s="3" t="str" cm="1">
        <f t="array" aca="1" ref="E188" ca="1">IFERROR(
 INDEX(
  _xlfn._xlws.FILTER($U$1:$AX$1,
   TRANSPOSE(
    CHOOSE({1;2;3;4;5;6;7;8;9;10;11;12;13;14;15;16;17;18;19;20;21;22;23;24;25;26;27;28;29;30},
     COUNTIFS($U$2:$U$200,$G188)&gt;0,
     COUNTIFS($V$2:$V$200,$G188)&gt;0,
     COUNTIFS($W$2:$W$200,$G188)&gt;0,
     COUNTIFS($X$2:$X$200,$G188)&gt;0,
     COUNTIFS($Y$2:$Y$200,$G188)&gt;0,
     COUNTIFS($Z$2:$Z$200,$G188)&gt;0,
     COUNTIFS($AA$2:$AA$200,$G188)&gt;0,
     COUNTIFS($AB$2:$AB$200,$G188)&gt;0,
     COUNTIFS($AC$2:$AC$200,$G188)&gt;0,
     COUNTIFS($AD$2:$AD$200,$G188)&gt;0,
     COUNTIFS($AE$2:$AE$200,$G188)&gt;0,
     COUNTIFS($AF$2:$AF$200,$G188)&gt;0,
     COUNTIFS($AG$2:$AG$200,$G188)&gt;0,
     COUNTIFS($AH$2:$AH$200,$G188)&gt;0,
     COUNTIFS($AI$2:$AI$200,$G188)&gt;0,
     COUNTIFS($AJ$2:$AJ$200,$G188)&gt;0,
     COUNTIFS($AK$2:$AK$200,$G188)&gt;0,
     COUNTIFS($AL$2:$AL$200,$G188)&gt;0,
     COUNTIFS($AM$2:$AM$200,$G188)&gt;0,
     COUNTIFS($AN$2:$AN$200,$G188)&gt;0,
     COUNTIFS($AO$2:$AO$200,$G188)&gt;0,
     COUNTIFS($AP$2:$AP$200,$G188)&gt;0,
     COUNTIFS($AQ$2:$AQ$200,$G188)&gt;0,
     COUNTIFS($AR$2:$AR$200,$G188)&gt;0,
     COUNTIFS($AS$2:$AS$200,$G188)&gt;0,
     COUNTIFS($AT$2:$AT$200,$G188)&gt;0,
     COUNTIFS($AU$2:$AU$200,$G188)&gt;0,
     COUNTIFS($AV$2:$AV$200,$G188)&gt;0,
     COUNTIFS($AW$2:$AW$200,$G188)&gt;0,
     COUNTIFS($AX$2:$AX$200,$G188)&gt;0
   )),
  ),
  3
 ),
"")</f>
        <v/>
      </c>
      <c r="F188" s="3" t="str" cm="1">
        <f t="array" aca="1" ref="F188" ca="1">IFERROR(
 INDEX(
  _xlfn._xlws.FILTER($U$1:$AX$1,
   TRANSPOSE(
    CHOOSE({1;2;3;4;5;6;7;8;9;10;11;12;13;14;15;16;17;18;19;20;21;22;23;24;25;26;27;28;29;30},
     COUNTIFS($U$2:$U$200,$G188)&gt;0,
     COUNTIFS($V$2:$V$200,$G188)&gt;0,
     COUNTIFS($W$2:$W$200,$G188)&gt;0,
     COUNTIFS($X$2:$X$200,$G188)&gt;0,
     COUNTIFS($Y$2:$Y$200,$G188)&gt;0,
     COUNTIFS($Z$2:$Z$200,$G188)&gt;0,
     COUNTIFS($AA$2:$AA$200,$G188)&gt;0,
     COUNTIFS($AB$2:$AB$200,$G188)&gt;0,
     COUNTIFS($AC$2:$AC$200,$G188)&gt;0,
     COUNTIFS($AD$2:$AD$200,$G188)&gt;0,
     COUNTIFS($AE$2:$AE$200,$G188)&gt;0,
     COUNTIFS($AF$2:$AF$200,$G188)&gt;0,
     COUNTIFS($AG$2:$AG$200,$G188)&gt;0,
     COUNTIFS($AH$2:$AH$200,$G188)&gt;0,
     COUNTIFS($AI$2:$AI$200,$G188)&gt;0,
     COUNTIFS($AJ$2:$AJ$200,$G188)&gt;0,
     COUNTIFS($AK$2:$AK$200,$G188)&gt;0,
     COUNTIFS($AL$2:$AL$200,$G188)&gt;0,
     COUNTIFS($AM$2:$AM$200,$G188)&gt;0,
     COUNTIFS($AN$2:$AN$200,$G188)&gt;0,
     COUNTIFS($AO$2:$AO$200,$G188)&gt;0,
     COUNTIFS($AP$2:$AP$200,$G188)&gt;0,
     COUNTIFS($AQ$2:$AQ$200,$G188)&gt;0,
     COUNTIFS($AR$2:$AR$200,$G188)&gt;0,
     COUNTIFS($AS$2:$AS$200,$G188)&gt;0,
     COUNTIFS($AT$2:$AT$200,$G188)&gt;0,
     COUNTIFS($AU$2:$AU$200,$G188)&gt;0,
     COUNTIFS($AV$2:$AV$200,$G188)&gt;0,
     COUNTIFS($AW$2:$AW$200,$G188)&gt;0,
     COUNTIFS($AX$2:$AX$200,$G188)&gt;0
   )),
  ),
  4
 ),
"")</f>
        <v/>
      </c>
      <c r="G188" t="str">
        <f ca="1"/>
        <v>Life of the Party</v>
      </c>
      <c r="BO188" t="str">
        <f ca="1"/>
        <v>Walking Ballista</v>
      </c>
      <c r="BT188" t="str">
        <f ca="1"/>
        <v>Teferi's Ageless Insight</v>
      </c>
    </row>
    <row r="189" spans="1:72" x14ac:dyDescent="0.25">
      <c r="A189" s="3" t="str">
        <f t="shared" ca="1" si="6"/>
        <v>1</v>
      </c>
      <c r="B189" s="3">
        <f t="shared" ca="1" si="7"/>
        <v>3</v>
      </c>
      <c r="C189" s="3" t="str">
        <f ca="1">IFERROR(
 INDEX($U$1:$AX$1,
  MATCH(TRUE,
   CHOOSE({1;2;3;4;5;6;7;8;9;10;11;12;13;14;15;16;17;18;19;20;21;22;23;24;25;26;27;28;29;30;31;32},
    COUNTIFS($U$2:$U$200,$G189)&gt;0,
    COUNTIFS($V$2:$V$200,$G189)&gt;0,
    COUNTIFS($W$2:$W$200,$G189)&gt;0,
    COUNTIFS($X$2:$X$200,$G189)&gt;0,
    COUNTIFS($Y$2:$Y$200,$G189)&gt;0,
    COUNTIFS($Z$2:$Z$200,$G189)&gt;0,
    COUNTIFS($AA$2:$AA$200,$G189)&gt;0,
    COUNTIFS($AB$2:$AB$200,$G189)&gt;0,
    COUNTIFS($AC$2:$AC$200,$G189)&gt;0,
    COUNTIFS($AD$2:$AD$200,$G189)&gt;0,
    COUNTIFS($AE$2:$AE$200,$G189)&gt;0,
    COUNTIFS($AF$2:$AF$200,$G189)&gt;0,
    COUNTIFS($AG$2:$AG$200,$G189)&gt;0,
    COUNTIFS($AH$2:$AH$200,$G189)&gt;0,
    COUNTIFS($AI$2:$AI$200,$G189)&gt;0,
    COUNTIFS($AJ$2:$AJ$200,$G189)&gt;0,
    COUNTIFS($AK$2:$AK$200,$G189)&gt;0,
    COUNTIFS($AL$2:$AL$200,$G189)&gt;0,
    COUNTIFS($AM$2:$AM$200,$G189)&gt;0,
    COUNTIFS($AN$2:$AN$200,$G189)&gt;0,
    COUNTIFS($AO$2:$AO$200,$G189)&gt;0,
    COUNTIFS($AP$2:$AP$200,$G189)&gt;0,
    COUNTIFS($AQ$2:$AQ$200,$G189)&gt;0,
    COUNTIFS($AR$2:$AR$200,$G189)&gt;0,
    COUNTIFS($AS$2:$AS$200,$G189)&gt;0,
    COUNTIFS($AT$2:$AT$200,$G189)&gt;0,
    COUNTIFS($AU$2:$AU$200,$G189)&gt;0,
    COUNTIFS($AV$2:$AV$200,$G189)&gt;0,
    COUNTIFS($AW$2:$AW$200,$G189)&gt;0,
    COUNTIFS($AX$2:$AX$200,$G189)&gt;0
   ),
  0)
 ),
"")</f>
        <v>Baylen</v>
      </c>
      <c r="D189" s="3" t="str" cm="1">
        <f t="array" aca="1" ref="D189" ca="1">IFERROR(
 INDEX(
  _xlfn._xlws.FILTER($U$1:$AX$1,
   TRANSPOSE(
    CHOOSE({1;2;3;4;5;6;7;8;9;10;11;12;13;14;15;16;17;18;19;20;21;22;23;24;25;26;27;28;29;30},
     COUNTIFS($U$2:$U$200,$G189)&gt;0,
     COUNTIFS($V$2:$V$200,$G189)&gt;0,
     COUNTIFS($W$2:$W$200,$G189)&gt;0,
     COUNTIFS($X$2:$X$200,$G189)&gt;0,
     COUNTIFS($Y$2:$Y$200,$G189)&gt;0,
     COUNTIFS($Z$2:$Z$200,$G189)&gt;0,
     COUNTIFS($AA$2:$AA$200,$G189)&gt;0,
     COUNTIFS($AB$2:$AB$200,$G189)&gt;0,
     COUNTIFS($AC$2:$AC$200,$G189)&gt;0,
     COUNTIFS($AD$2:$AD$200,$G189)&gt;0,
     COUNTIFS($AE$2:$AE$200,$G189)&gt;0,
     COUNTIFS($AF$2:$AF$200,$G189)&gt;0,
     COUNTIFS($AG$2:$AG$200,$G189)&gt;0,
     COUNTIFS($AH$2:$AH$200,$G189)&gt;0,
     COUNTIFS($AI$2:$AI$200,$G189)&gt;0,
     COUNTIFS($AJ$2:$AJ$200,$G189)&gt;0,
     COUNTIFS($AK$2:$AK$200,$G189)&gt;0,
     COUNTIFS($AL$2:$AL$200,$G189)&gt;0,
     COUNTIFS($AM$2:$AM$200,$G189)&gt;0,
     COUNTIFS($AN$2:$AN$200,$G189)&gt;0,
     COUNTIFS($AO$2:$AO$200,$G189)&gt;0,
     COUNTIFS($AP$2:$AP$200,$G189)&gt;0,
     COUNTIFS($AQ$2:$AQ$200,$G189)&gt;0,
     COUNTIFS($AR$2:$AR$200,$G189)&gt;0,
     COUNTIFS($AS$2:$AS$200,$G189)&gt;0,
     COUNTIFS($AT$2:$AT$200,$G189)&gt;0,
     COUNTIFS($AU$2:$AU$200,$G189)&gt;0,
     COUNTIFS($AV$2:$AV$200,$G189)&gt;0,
     COUNTIFS($AW$2:$AW$200,$G189)&gt;0,
     COUNTIFS($AX$2:$AX$200,$G189)&gt;0
   )),
  ),
  2
 ),
"")</f>
        <v>Narset</v>
      </c>
      <c r="E189" s="3" t="str" cm="1">
        <f t="array" aca="1" ref="E189" ca="1">IFERROR(
 INDEX(
  _xlfn._xlws.FILTER($U$1:$AX$1,
   TRANSPOSE(
    CHOOSE({1;2;3;4;5;6;7;8;9;10;11;12;13;14;15;16;17;18;19;20;21;22;23;24;25;26;27;28;29;30},
     COUNTIFS($U$2:$U$200,$G189)&gt;0,
     COUNTIFS($V$2:$V$200,$G189)&gt;0,
     COUNTIFS($W$2:$W$200,$G189)&gt;0,
     COUNTIFS($X$2:$X$200,$G189)&gt;0,
     COUNTIFS($Y$2:$Y$200,$G189)&gt;0,
     COUNTIFS($Z$2:$Z$200,$G189)&gt;0,
     COUNTIFS($AA$2:$AA$200,$G189)&gt;0,
     COUNTIFS($AB$2:$AB$200,$G189)&gt;0,
     COUNTIFS($AC$2:$AC$200,$G189)&gt;0,
     COUNTIFS($AD$2:$AD$200,$G189)&gt;0,
     COUNTIFS($AE$2:$AE$200,$G189)&gt;0,
     COUNTIFS($AF$2:$AF$200,$G189)&gt;0,
     COUNTIFS($AG$2:$AG$200,$G189)&gt;0,
     COUNTIFS($AH$2:$AH$200,$G189)&gt;0,
     COUNTIFS($AI$2:$AI$200,$G189)&gt;0,
     COUNTIFS($AJ$2:$AJ$200,$G189)&gt;0,
     COUNTIFS($AK$2:$AK$200,$G189)&gt;0,
     COUNTIFS($AL$2:$AL$200,$G189)&gt;0,
     COUNTIFS($AM$2:$AM$200,$G189)&gt;0,
     COUNTIFS($AN$2:$AN$200,$G189)&gt;0,
     COUNTIFS($AO$2:$AO$200,$G189)&gt;0,
     COUNTIFS($AP$2:$AP$200,$G189)&gt;0,
     COUNTIFS($AQ$2:$AQ$200,$G189)&gt;0,
     COUNTIFS($AR$2:$AR$200,$G189)&gt;0,
     COUNTIFS($AS$2:$AS$200,$G189)&gt;0,
     COUNTIFS($AT$2:$AT$200,$G189)&gt;0,
     COUNTIFS($AU$2:$AU$200,$G189)&gt;0,
     COUNTIFS($AV$2:$AV$200,$G189)&gt;0,
     COUNTIFS($AW$2:$AW$200,$G189)&gt;0,
     COUNTIFS($AX$2:$AX$200,$G189)&gt;0
   )),
  ),
  3
 ),
"")</f>
        <v>Akiri</v>
      </c>
      <c r="F189" s="3" t="str" cm="1">
        <f t="array" aca="1" ref="F189" ca="1">IFERROR(
 INDEX(
  _xlfn._xlws.FILTER($U$1:$AX$1,
   TRANSPOSE(
    CHOOSE({1;2;3;4;5;6;7;8;9;10;11;12;13;14;15;16;17;18;19;20;21;22;23;24;25;26;27;28;29;30},
     COUNTIFS($U$2:$U$200,$G189)&gt;0,
     COUNTIFS($V$2:$V$200,$G189)&gt;0,
     COUNTIFS($W$2:$W$200,$G189)&gt;0,
     COUNTIFS($X$2:$X$200,$G189)&gt;0,
     COUNTIFS($Y$2:$Y$200,$G189)&gt;0,
     COUNTIFS($Z$2:$Z$200,$G189)&gt;0,
     COUNTIFS($AA$2:$AA$200,$G189)&gt;0,
     COUNTIFS($AB$2:$AB$200,$G189)&gt;0,
     COUNTIFS($AC$2:$AC$200,$G189)&gt;0,
     COUNTIFS($AD$2:$AD$200,$G189)&gt;0,
     COUNTIFS($AE$2:$AE$200,$G189)&gt;0,
     COUNTIFS($AF$2:$AF$200,$G189)&gt;0,
     COUNTIFS($AG$2:$AG$200,$G189)&gt;0,
     COUNTIFS($AH$2:$AH$200,$G189)&gt;0,
     COUNTIFS($AI$2:$AI$200,$G189)&gt;0,
     COUNTIFS($AJ$2:$AJ$200,$G189)&gt;0,
     COUNTIFS($AK$2:$AK$200,$G189)&gt;0,
     COUNTIFS($AL$2:$AL$200,$G189)&gt;0,
     COUNTIFS($AM$2:$AM$200,$G189)&gt;0,
     COUNTIFS($AN$2:$AN$200,$G189)&gt;0,
     COUNTIFS($AO$2:$AO$200,$G189)&gt;0,
     COUNTIFS($AP$2:$AP$200,$G189)&gt;0,
     COUNTIFS($AQ$2:$AQ$200,$G189)&gt;0,
     COUNTIFS($AR$2:$AR$200,$G189)&gt;0,
     COUNTIFS($AS$2:$AS$200,$G189)&gt;0,
     COUNTIFS($AT$2:$AT$200,$G189)&gt;0,
     COUNTIFS($AU$2:$AU$200,$G189)&gt;0,
     COUNTIFS($AV$2:$AV$200,$G189)&gt;0,
     COUNTIFS($AW$2:$AW$200,$G189)&gt;0,
     COUNTIFS($AX$2:$AX$200,$G189)&gt;0
   )),
  ),
  4
 ),
"")</f>
        <v/>
      </c>
      <c r="G189" t="str">
        <f ca="1"/>
        <v>Lightning Greaves</v>
      </c>
      <c r="BO189" t="str">
        <f ca="1"/>
        <v>Warden of the Grove</v>
      </c>
      <c r="BT189" t="str">
        <f ca="1"/>
        <v>Temporal Manipulation</v>
      </c>
    </row>
    <row r="190" spans="1:72" x14ac:dyDescent="0.25">
      <c r="A190" s="3" t="str">
        <f t="shared" ca="1" si="6"/>
        <v>1</v>
      </c>
      <c r="B190" s="3">
        <f t="shared" ca="1" si="7"/>
        <v>1</v>
      </c>
      <c r="C190" s="3" t="str">
        <f ca="1">IFERROR(
 INDEX($U$1:$AX$1,
  MATCH(TRUE,
   CHOOSE({1;2;3;4;5;6;7;8;9;10;11;12;13;14;15;16;17;18;19;20;21;22;23;24;25;26;27;28;29;30;31;32},
    COUNTIFS($U$2:$U$200,$G190)&gt;0,
    COUNTIFS($V$2:$V$200,$G190)&gt;0,
    COUNTIFS($W$2:$W$200,$G190)&gt;0,
    COUNTIFS($X$2:$X$200,$G190)&gt;0,
    COUNTIFS($Y$2:$Y$200,$G190)&gt;0,
    COUNTIFS($Z$2:$Z$200,$G190)&gt;0,
    COUNTIFS($AA$2:$AA$200,$G190)&gt;0,
    COUNTIFS($AB$2:$AB$200,$G190)&gt;0,
    COUNTIFS($AC$2:$AC$200,$G190)&gt;0,
    COUNTIFS($AD$2:$AD$200,$G190)&gt;0,
    COUNTIFS($AE$2:$AE$200,$G190)&gt;0,
    COUNTIFS($AF$2:$AF$200,$G190)&gt;0,
    COUNTIFS($AG$2:$AG$200,$G190)&gt;0,
    COUNTIFS($AH$2:$AH$200,$G190)&gt;0,
    COUNTIFS($AI$2:$AI$200,$G190)&gt;0,
    COUNTIFS($AJ$2:$AJ$200,$G190)&gt;0,
    COUNTIFS($AK$2:$AK$200,$G190)&gt;0,
    COUNTIFS($AL$2:$AL$200,$G190)&gt;0,
    COUNTIFS($AM$2:$AM$200,$G190)&gt;0,
    COUNTIFS($AN$2:$AN$200,$G190)&gt;0,
    COUNTIFS($AO$2:$AO$200,$G190)&gt;0,
    COUNTIFS($AP$2:$AP$200,$G190)&gt;0,
    COUNTIFS($AQ$2:$AQ$200,$G190)&gt;0,
    COUNTIFS($AR$2:$AR$200,$G190)&gt;0,
    COUNTIFS($AS$2:$AS$200,$G190)&gt;0,
    COUNTIFS($AT$2:$AT$200,$G190)&gt;0,
    COUNTIFS($AU$2:$AU$200,$G190)&gt;0,
    COUNTIFS($AV$2:$AV$200,$G190)&gt;0,
    COUNTIFS($AW$2:$AW$200,$G190)&gt;0,
    COUNTIFS($AX$2:$AX$200,$G190)&gt;0
   ),
  0)
 ),
"")</f>
        <v>Modular</v>
      </c>
      <c r="D190" s="3" t="str" cm="1">
        <f t="array" aca="1" ref="D190" ca="1">IFERROR(
 INDEX(
  _xlfn._xlws.FILTER($U$1:$AX$1,
   TRANSPOSE(
    CHOOSE({1;2;3;4;5;6;7;8;9;10;11;12;13;14;15;16;17;18;19;20;21;22;23;24;25;26;27;28;29;30},
     COUNTIFS($U$2:$U$200,$G190)&gt;0,
     COUNTIFS($V$2:$V$200,$G190)&gt;0,
     COUNTIFS($W$2:$W$200,$G190)&gt;0,
     COUNTIFS($X$2:$X$200,$G190)&gt;0,
     COUNTIFS($Y$2:$Y$200,$G190)&gt;0,
     COUNTIFS($Z$2:$Z$200,$G190)&gt;0,
     COUNTIFS($AA$2:$AA$200,$G190)&gt;0,
     COUNTIFS($AB$2:$AB$200,$G190)&gt;0,
     COUNTIFS($AC$2:$AC$200,$G190)&gt;0,
     COUNTIFS($AD$2:$AD$200,$G190)&gt;0,
     COUNTIFS($AE$2:$AE$200,$G190)&gt;0,
     COUNTIFS($AF$2:$AF$200,$G190)&gt;0,
     COUNTIFS($AG$2:$AG$200,$G190)&gt;0,
     COUNTIFS($AH$2:$AH$200,$G190)&gt;0,
     COUNTIFS($AI$2:$AI$200,$G190)&gt;0,
     COUNTIFS($AJ$2:$AJ$200,$G190)&gt;0,
     COUNTIFS($AK$2:$AK$200,$G190)&gt;0,
     COUNTIFS($AL$2:$AL$200,$G190)&gt;0,
     COUNTIFS($AM$2:$AM$200,$G190)&gt;0,
     COUNTIFS($AN$2:$AN$200,$G190)&gt;0,
     COUNTIFS($AO$2:$AO$200,$G190)&gt;0,
     COUNTIFS($AP$2:$AP$200,$G190)&gt;0,
     COUNTIFS($AQ$2:$AQ$200,$G190)&gt;0,
     COUNTIFS($AR$2:$AR$200,$G190)&gt;0,
     COUNTIFS($AS$2:$AS$200,$G190)&gt;0,
     COUNTIFS($AT$2:$AT$200,$G190)&gt;0,
     COUNTIFS($AU$2:$AU$200,$G190)&gt;0,
     COUNTIFS($AV$2:$AV$200,$G190)&gt;0,
     COUNTIFS($AW$2:$AW$200,$G190)&gt;0,
     COUNTIFS($AX$2:$AX$200,$G190)&gt;0
   )),
  ),
  2
 ),
"")</f>
        <v/>
      </c>
      <c r="E190" s="3" t="str" cm="1">
        <f t="array" aca="1" ref="E190" ca="1">IFERROR(
 INDEX(
  _xlfn._xlws.FILTER($U$1:$AX$1,
   TRANSPOSE(
    CHOOSE({1;2;3;4;5;6;7;8;9;10;11;12;13;14;15;16;17;18;19;20;21;22;23;24;25;26;27;28;29;30},
     COUNTIFS($U$2:$U$200,$G190)&gt;0,
     COUNTIFS($V$2:$V$200,$G190)&gt;0,
     COUNTIFS($W$2:$W$200,$G190)&gt;0,
     COUNTIFS($X$2:$X$200,$G190)&gt;0,
     COUNTIFS($Y$2:$Y$200,$G190)&gt;0,
     COUNTIFS($Z$2:$Z$200,$G190)&gt;0,
     COUNTIFS($AA$2:$AA$200,$G190)&gt;0,
     COUNTIFS($AB$2:$AB$200,$G190)&gt;0,
     COUNTIFS($AC$2:$AC$200,$G190)&gt;0,
     COUNTIFS($AD$2:$AD$200,$G190)&gt;0,
     COUNTIFS($AE$2:$AE$200,$G190)&gt;0,
     COUNTIFS($AF$2:$AF$200,$G190)&gt;0,
     COUNTIFS($AG$2:$AG$200,$G190)&gt;0,
     COUNTIFS($AH$2:$AH$200,$G190)&gt;0,
     COUNTIFS($AI$2:$AI$200,$G190)&gt;0,
     COUNTIFS($AJ$2:$AJ$200,$G190)&gt;0,
     COUNTIFS($AK$2:$AK$200,$G190)&gt;0,
     COUNTIFS($AL$2:$AL$200,$G190)&gt;0,
     COUNTIFS($AM$2:$AM$200,$G190)&gt;0,
     COUNTIFS($AN$2:$AN$200,$G190)&gt;0,
     COUNTIFS($AO$2:$AO$200,$G190)&gt;0,
     COUNTIFS($AP$2:$AP$200,$G190)&gt;0,
     COUNTIFS($AQ$2:$AQ$200,$G190)&gt;0,
     COUNTIFS($AR$2:$AR$200,$G190)&gt;0,
     COUNTIFS($AS$2:$AS$200,$G190)&gt;0,
     COUNTIFS($AT$2:$AT$200,$G190)&gt;0,
     COUNTIFS($AU$2:$AU$200,$G190)&gt;0,
     COUNTIFS($AV$2:$AV$200,$G190)&gt;0,
     COUNTIFS($AW$2:$AW$200,$G190)&gt;0,
     COUNTIFS($AX$2:$AX$200,$G190)&gt;0
   )),
  ),
  3
 ),
"")</f>
        <v/>
      </c>
      <c r="F190" s="3" t="str" cm="1">
        <f t="array" aca="1" ref="F190" ca="1">IFERROR(
 INDEX(
  _xlfn._xlws.FILTER($U$1:$AX$1,
   TRANSPOSE(
    CHOOSE({1;2;3;4;5;6;7;8;9;10;11;12;13;14;15;16;17;18;19;20;21;22;23;24;25;26;27;28;29;30},
     COUNTIFS($U$2:$U$200,$G190)&gt;0,
     COUNTIFS($V$2:$V$200,$G190)&gt;0,
     COUNTIFS($W$2:$W$200,$G190)&gt;0,
     COUNTIFS($X$2:$X$200,$G190)&gt;0,
     COUNTIFS($Y$2:$Y$200,$G190)&gt;0,
     COUNTIFS($Z$2:$Z$200,$G190)&gt;0,
     COUNTIFS($AA$2:$AA$200,$G190)&gt;0,
     COUNTIFS($AB$2:$AB$200,$G190)&gt;0,
     COUNTIFS($AC$2:$AC$200,$G190)&gt;0,
     COUNTIFS($AD$2:$AD$200,$G190)&gt;0,
     COUNTIFS($AE$2:$AE$200,$G190)&gt;0,
     COUNTIFS($AF$2:$AF$200,$G190)&gt;0,
     COUNTIFS($AG$2:$AG$200,$G190)&gt;0,
     COUNTIFS($AH$2:$AH$200,$G190)&gt;0,
     COUNTIFS($AI$2:$AI$200,$G190)&gt;0,
     COUNTIFS($AJ$2:$AJ$200,$G190)&gt;0,
     COUNTIFS($AK$2:$AK$200,$G190)&gt;0,
     COUNTIFS($AL$2:$AL$200,$G190)&gt;0,
     COUNTIFS($AM$2:$AM$200,$G190)&gt;0,
     COUNTIFS($AN$2:$AN$200,$G190)&gt;0,
     COUNTIFS($AO$2:$AO$200,$G190)&gt;0,
     COUNTIFS($AP$2:$AP$200,$G190)&gt;0,
     COUNTIFS($AQ$2:$AQ$200,$G190)&gt;0,
     COUNTIFS($AR$2:$AR$200,$G190)&gt;0,
     COUNTIFS($AS$2:$AS$200,$G190)&gt;0,
     COUNTIFS($AT$2:$AT$200,$G190)&gt;0,
     COUNTIFS($AU$2:$AU$200,$G190)&gt;0,
     COUNTIFS($AV$2:$AV$200,$G190)&gt;0,
     COUNTIFS($AW$2:$AW$200,$G190)&gt;0,
     COUNTIFS($AX$2:$AX$200,$G190)&gt;0
   )),
  ),
  4
 ),
"")</f>
        <v/>
      </c>
      <c r="G190" t="str">
        <f ca="1"/>
        <v>Lithoform Engine</v>
      </c>
      <c r="BO190" t="str">
        <f ca="1"/>
        <v>Warleader's Call</v>
      </c>
      <c r="BT190" t="str">
        <f ca="1"/>
        <v>Temporal Trespass</v>
      </c>
    </row>
    <row r="191" spans="1:72" x14ac:dyDescent="0.25">
      <c r="A191" s="3" t="str">
        <f t="shared" ca="1" si="6"/>
        <v>1</v>
      </c>
      <c r="B191" s="3">
        <f t="shared" ca="1" si="7"/>
        <v>1</v>
      </c>
      <c r="C191" s="3" t="str">
        <f ca="1">IFERROR(
 INDEX($U$1:$AX$1,
  MATCH(TRUE,
   CHOOSE({1;2;3;4;5;6;7;8;9;10;11;12;13;14;15;16;17;18;19;20;21;22;23;24;25;26;27;28;29;30;31;32},
    COUNTIFS($U$2:$U$200,$G191)&gt;0,
    COUNTIFS($V$2:$V$200,$G191)&gt;0,
    COUNTIFS($W$2:$W$200,$G191)&gt;0,
    COUNTIFS($X$2:$X$200,$G191)&gt;0,
    COUNTIFS($Y$2:$Y$200,$G191)&gt;0,
    COUNTIFS($Z$2:$Z$200,$G191)&gt;0,
    COUNTIFS($AA$2:$AA$200,$G191)&gt;0,
    COUNTIFS($AB$2:$AB$200,$G191)&gt;0,
    COUNTIFS($AC$2:$AC$200,$G191)&gt;0,
    COUNTIFS($AD$2:$AD$200,$G191)&gt;0,
    COUNTIFS($AE$2:$AE$200,$G191)&gt;0,
    COUNTIFS($AF$2:$AF$200,$G191)&gt;0,
    COUNTIFS($AG$2:$AG$200,$G191)&gt;0,
    COUNTIFS($AH$2:$AH$200,$G191)&gt;0,
    COUNTIFS($AI$2:$AI$200,$G191)&gt;0,
    COUNTIFS($AJ$2:$AJ$200,$G191)&gt;0,
    COUNTIFS($AK$2:$AK$200,$G191)&gt;0,
    COUNTIFS($AL$2:$AL$200,$G191)&gt;0,
    COUNTIFS($AM$2:$AM$200,$G191)&gt;0,
    COUNTIFS($AN$2:$AN$200,$G191)&gt;0,
    COUNTIFS($AO$2:$AO$200,$G191)&gt;0,
    COUNTIFS($AP$2:$AP$200,$G191)&gt;0,
    COUNTIFS($AQ$2:$AQ$200,$G191)&gt;0,
    COUNTIFS($AR$2:$AR$200,$G191)&gt;0,
    COUNTIFS($AS$2:$AS$200,$G191)&gt;0,
    COUNTIFS($AT$2:$AT$200,$G191)&gt;0,
    COUNTIFS($AU$2:$AU$200,$G191)&gt;0,
    COUNTIFS($AV$2:$AV$200,$G191)&gt;0,
    COUNTIFS($AW$2:$AW$200,$G191)&gt;0,
    COUNTIFS($AX$2:$AX$200,$G191)&gt;0
   ),
  0)
 ),
"")</f>
        <v>Modular</v>
      </c>
      <c r="D191" s="3" t="str" cm="1">
        <f t="array" aca="1" ref="D191" ca="1">IFERROR(
 INDEX(
  _xlfn._xlws.FILTER($U$1:$AX$1,
   TRANSPOSE(
    CHOOSE({1;2;3;4;5;6;7;8;9;10;11;12;13;14;15;16;17;18;19;20;21;22;23;24;25;26;27;28;29;30},
     COUNTIFS($U$2:$U$200,$G191)&gt;0,
     COUNTIFS($V$2:$V$200,$G191)&gt;0,
     COUNTIFS($W$2:$W$200,$G191)&gt;0,
     COUNTIFS($X$2:$X$200,$G191)&gt;0,
     COUNTIFS($Y$2:$Y$200,$G191)&gt;0,
     COUNTIFS($Z$2:$Z$200,$G191)&gt;0,
     COUNTIFS($AA$2:$AA$200,$G191)&gt;0,
     COUNTIFS($AB$2:$AB$200,$G191)&gt;0,
     COUNTIFS($AC$2:$AC$200,$G191)&gt;0,
     COUNTIFS($AD$2:$AD$200,$G191)&gt;0,
     COUNTIFS($AE$2:$AE$200,$G191)&gt;0,
     COUNTIFS($AF$2:$AF$200,$G191)&gt;0,
     COUNTIFS($AG$2:$AG$200,$G191)&gt;0,
     COUNTIFS($AH$2:$AH$200,$G191)&gt;0,
     COUNTIFS($AI$2:$AI$200,$G191)&gt;0,
     COUNTIFS($AJ$2:$AJ$200,$G191)&gt;0,
     COUNTIFS($AK$2:$AK$200,$G191)&gt;0,
     COUNTIFS($AL$2:$AL$200,$G191)&gt;0,
     COUNTIFS($AM$2:$AM$200,$G191)&gt;0,
     COUNTIFS($AN$2:$AN$200,$G191)&gt;0,
     COUNTIFS($AO$2:$AO$200,$G191)&gt;0,
     COUNTIFS($AP$2:$AP$200,$G191)&gt;0,
     COUNTIFS($AQ$2:$AQ$200,$G191)&gt;0,
     COUNTIFS($AR$2:$AR$200,$G191)&gt;0,
     COUNTIFS($AS$2:$AS$200,$G191)&gt;0,
     COUNTIFS($AT$2:$AT$200,$G191)&gt;0,
     COUNTIFS($AU$2:$AU$200,$G191)&gt;0,
     COUNTIFS($AV$2:$AV$200,$G191)&gt;0,
     COUNTIFS($AW$2:$AW$200,$G191)&gt;0,
     COUNTIFS($AX$2:$AX$200,$G191)&gt;0
   )),
  ),
  2
 ),
"")</f>
        <v/>
      </c>
      <c r="E191" s="3" t="str" cm="1">
        <f t="array" aca="1" ref="E191" ca="1">IFERROR(
 INDEX(
  _xlfn._xlws.FILTER($U$1:$AX$1,
   TRANSPOSE(
    CHOOSE({1;2;3;4;5;6;7;8;9;10;11;12;13;14;15;16;17;18;19;20;21;22;23;24;25;26;27;28;29;30},
     COUNTIFS($U$2:$U$200,$G191)&gt;0,
     COUNTIFS($V$2:$V$200,$G191)&gt;0,
     COUNTIFS($W$2:$W$200,$G191)&gt;0,
     COUNTIFS($X$2:$X$200,$G191)&gt;0,
     COUNTIFS($Y$2:$Y$200,$G191)&gt;0,
     COUNTIFS($Z$2:$Z$200,$G191)&gt;0,
     COUNTIFS($AA$2:$AA$200,$G191)&gt;0,
     COUNTIFS($AB$2:$AB$200,$G191)&gt;0,
     COUNTIFS($AC$2:$AC$200,$G191)&gt;0,
     COUNTIFS($AD$2:$AD$200,$G191)&gt;0,
     COUNTIFS($AE$2:$AE$200,$G191)&gt;0,
     COUNTIFS($AF$2:$AF$200,$G191)&gt;0,
     COUNTIFS($AG$2:$AG$200,$G191)&gt;0,
     COUNTIFS($AH$2:$AH$200,$G191)&gt;0,
     COUNTIFS($AI$2:$AI$200,$G191)&gt;0,
     COUNTIFS($AJ$2:$AJ$200,$G191)&gt;0,
     COUNTIFS($AK$2:$AK$200,$G191)&gt;0,
     COUNTIFS($AL$2:$AL$200,$G191)&gt;0,
     COUNTIFS($AM$2:$AM$200,$G191)&gt;0,
     COUNTIFS($AN$2:$AN$200,$G191)&gt;0,
     COUNTIFS($AO$2:$AO$200,$G191)&gt;0,
     COUNTIFS($AP$2:$AP$200,$G191)&gt;0,
     COUNTIFS($AQ$2:$AQ$200,$G191)&gt;0,
     COUNTIFS($AR$2:$AR$200,$G191)&gt;0,
     COUNTIFS($AS$2:$AS$200,$G191)&gt;0,
     COUNTIFS($AT$2:$AT$200,$G191)&gt;0,
     COUNTIFS($AU$2:$AU$200,$G191)&gt;0,
     COUNTIFS($AV$2:$AV$200,$G191)&gt;0,
     COUNTIFS($AW$2:$AW$200,$G191)&gt;0,
     COUNTIFS($AX$2:$AX$200,$G191)&gt;0
   )),
  ),
  3
 ),
"")</f>
        <v/>
      </c>
      <c r="F191" s="3" t="str" cm="1">
        <f t="array" aca="1" ref="F191" ca="1">IFERROR(
 INDEX(
  _xlfn._xlws.FILTER($U$1:$AX$1,
   TRANSPOSE(
    CHOOSE({1;2;3;4;5;6;7;8;9;10;11;12;13;14;15;16;17;18;19;20;21;22;23;24;25;26;27;28;29;30},
     COUNTIFS($U$2:$U$200,$G191)&gt;0,
     COUNTIFS($V$2:$V$200,$G191)&gt;0,
     COUNTIFS($W$2:$W$200,$G191)&gt;0,
     COUNTIFS($X$2:$X$200,$G191)&gt;0,
     COUNTIFS($Y$2:$Y$200,$G191)&gt;0,
     COUNTIFS($Z$2:$Z$200,$G191)&gt;0,
     COUNTIFS($AA$2:$AA$200,$G191)&gt;0,
     COUNTIFS($AB$2:$AB$200,$G191)&gt;0,
     COUNTIFS($AC$2:$AC$200,$G191)&gt;0,
     COUNTIFS($AD$2:$AD$200,$G191)&gt;0,
     COUNTIFS($AE$2:$AE$200,$G191)&gt;0,
     COUNTIFS($AF$2:$AF$200,$G191)&gt;0,
     COUNTIFS($AG$2:$AG$200,$G191)&gt;0,
     COUNTIFS($AH$2:$AH$200,$G191)&gt;0,
     COUNTIFS($AI$2:$AI$200,$G191)&gt;0,
     COUNTIFS($AJ$2:$AJ$200,$G191)&gt;0,
     COUNTIFS($AK$2:$AK$200,$G191)&gt;0,
     COUNTIFS($AL$2:$AL$200,$G191)&gt;0,
     COUNTIFS($AM$2:$AM$200,$G191)&gt;0,
     COUNTIFS($AN$2:$AN$200,$G191)&gt;0,
     COUNTIFS($AO$2:$AO$200,$G191)&gt;0,
     COUNTIFS($AP$2:$AP$200,$G191)&gt;0,
     COUNTIFS($AQ$2:$AQ$200,$G191)&gt;0,
     COUNTIFS($AR$2:$AR$200,$G191)&gt;0,
     COUNTIFS($AS$2:$AS$200,$G191)&gt;0,
     COUNTIFS($AT$2:$AT$200,$G191)&gt;0,
     COUNTIFS($AU$2:$AU$200,$G191)&gt;0,
     COUNTIFS($AV$2:$AV$200,$G191)&gt;0,
     COUNTIFS($AW$2:$AW$200,$G191)&gt;0,
     COUNTIFS($AX$2:$AX$200,$G191)&gt;0
   )),
  ),
  4
 ),
"")</f>
        <v/>
      </c>
      <c r="G191" t="str">
        <f ca="1"/>
        <v>Llanowar Reborn</v>
      </c>
      <c r="BO191" t="str">
        <f ca="1"/>
        <v>Xorn</v>
      </c>
      <c r="BT191" t="str">
        <f ca="1"/>
        <v>Terramorphic Expanse</v>
      </c>
    </row>
    <row r="192" spans="1:72" x14ac:dyDescent="0.25">
      <c r="A192" s="3" t="str">
        <f t="shared" ca="1" si="6"/>
        <v>3</v>
      </c>
      <c r="B192" s="3">
        <f t="shared" ca="1" si="7"/>
        <v>1</v>
      </c>
      <c r="C192" s="3" t="str">
        <f ca="1">IFERROR(
 INDEX($U$1:$AX$1,
  MATCH(TRUE,
   CHOOSE({1;2;3;4;5;6;7;8;9;10;11;12;13;14;15;16;17;18;19;20;21;22;23;24;25;26;27;28;29;30;31;32},
    COUNTIFS($U$2:$U$200,$G192)&gt;0,
    COUNTIFS($V$2:$V$200,$G192)&gt;0,
    COUNTIFS($W$2:$W$200,$G192)&gt;0,
    COUNTIFS($X$2:$X$200,$G192)&gt;0,
    COUNTIFS($Y$2:$Y$200,$G192)&gt;0,
    COUNTIFS($Z$2:$Z$200,$G192)&gt;0,
    COUNTIFS($AA$2:$AA$200,$G192)&gt;0,
    COUNTIFS($AB$2:$AB$200,$G192)&gt;0,
    COUNTIFS($AC$2:$AC$200,$G192)&gt;0,
    COUNTIFS($AD$2:$AD$200,$G192)&gt;0,
    COUNTIFS($AE$2:$AE$200,$G192)&gt;0,
    COUNTIFS($AF$2:$AF$200,$G192)&gt;0,
    COUNTIFS($AG$2:$AG$200,$G192)&gt;0,
    COUNTIFS($AH$2:$AH$200,$G192)&gt;0,
    COUNTIFS($AI$2:$AI$200,$G192)&gt;0,
    COUNTIFS($AJ$2:$AJ$200,$G192)&gt;0,
    COUNTIFS($AK$2:$AK$200,$G192)&gt;0,
    COUNTIFS($AL$2:$AL$200,$G192)&gt;0,
    COUNTIFS($AM$2:$AM$200,$G192)&gt;0,
    COUNTIFS($AN$2:$AN$200,$G192)&gt;0,
    COUNTIFS($AO$2:$AO$200,$G192)&gt;0,
    COUNTIFS($AP$2:$AP$200,$G192)&gt;0,
    COUNTIFS($AQ$2:$AQ$200,$G192)&gt;0,
    COUNTIFS($AR$2:$AR$200,$G192)&gt;0,
    COUNTIFS($AS$2:$AS$200,$G192)&gt;0,
    COUNTIFS($AT$2:$AT$200,$G192)&gt;0,
    COUNTIFS($AU$2:$AU$200,$G192)&gt;0,
    COUNTIFS($AV$2:$AV$200,$G192)&gt;0,
    COUNTIFS($AW$2:$AW$200,$G192)&gt;0,
    COUNTIFS($AX$2:$AX$200,$G192)&gt;0
   ),
  0)
 ),
"")</f>
        <v>Sisay</v>
      </c>
      <c r="D192" s="3" t="str" cm="1">
        <f t="array" aca="1" ref="D192" ca="1">IFERROR(
 INDEX(
  _xlfn._xlws.FILTER($U$1:$AX$1,
   TRANSPOSE(
    CHOOSE({1;2;3;4;5;6;7;8;9;10;11;12;13;14;15;16;17;18;19;20;21;22;23;24;25;26;27;28;29;30},
     COUNTIFS($U$2:$U$200,$G192)&gt;0,
     COUNTIFS($V$2:$V$200,$G192)&gt;0,
     COUNTIFS($W$2:$W$200,$G192)&gt;0,
     COUNTIFS($X$2:$X$200,$G192)&gt;0,
     COUNTIFS($Y$2:$Y$200,$G192)&gt;0,
     COUNTIFS($Z$2:$Z$200,$G192)&gt;0,
     COUNTIFS($AA$2:$AA$200,$G192)&gt;0,
     COUNTIFS($AB$2:$AB$200,$G192)&gt;0,
     COUNTIFS($AC$2:$AC$200,$G192)&gt;0,
     COUNTIFS($AD$2:$AD$200,$G192)&gt;0,
     COUNTIFS($AE$2:$AE$200,$G192)&gt;0,
     COUNTIFS($AF$2:$AF$200,$G192)&gt;0,
     COUNTIFS($AG$2:$AG$200,$G192)&gt;0,
     COUNTIFS($AH$2:$AH$200,$G192)&gt;0,
     COUNTIFS($AI$2:$AI$200,$G192)&gt;0,
     COUNTIFS($AJ$2:$AJ$200,$G192)&gt;0,
     COUNTIFS($AK$2:$AK$200,$G192)&gt;0,
     COUNTIFS($AL$2:$AL$200,$G192)&gt;0,
     COUNTIFS($AM$2:$AM$200,$G192)&gt;0,
     COUNTIFS($AN$2:$AN$200,$G192)&gt;0,
     COUNTIFS($AO$2:$AO$200,$G192)&gt;0,
     COUNTIFS($AP$2:$AP$200,$G192)&gt;0,
     COUNTIFS($AQ$2:$AQ$200,$G192)&gt;0,
     COUNTIFS($AR$2:$AR$200,$G192)&gt;0,
     COUNTIFS($AS$2:$AS$200,$G192)&gt;0,
     COUNTIFS($AT$2:$AT$200,$G192)&gt;0,
     COUNTIFS($AU$2:$AU$200,$G192)&gt;0,
     COUNTIFS($AV$2:$AV$200,$G192)&gt;0,
     COUNTIFS($AW$2:$AW$200,$G192)&gt;0,
     COUNTIFS($AX$2:$AX$200,$G192)&gt;0
   )),
  ),
  2
 ),
"")</f>
        <v/>
      </c>
      <c r="E192" s="3" t="str" cm="1">
        <f t="array" aca="1" ref="E192" ca="1">IFERROR(
 INDEX(
  _xlfn._xlws.FILTER($U$1:$AX$1,
   TRANSPOSE(
    CHOOSE({1;2;3;4;5;6;7;8;9;10;11;12;13;14;15;16;17;18;19;20;21;22;23;24;25;26;27;28;29;30},
     COUNTIFS($U$2:$U$200,$G192)&gt;0,
     COUNTIFS($V$2:$V$200,$G192)&gt;0,
     COUNTIFS($W$2:$W$200,$G192)&gt;0,
     COUNTIFS($X$2:$X$200,$G192)&gt;0,
     COUNTIFS($Y$2:$Y$200,$G192)&gt;0,
     COUNTIFS($Z$2:$Z$200,$G192)&gt;0,
     COUNTIFS($AA$2:$AA$200,$G192)&gt;0,
     COUNTIFS($AB$2:$AB$200,$G192)&gt;0,
     COUNTIFS($AC$2:$AC$200,$G192)&gt;0,
     COUNTIFS($AD$2:$AD$200,$G192)&gt;0,
     COUNTIFS($AE$2:$AE$200,$G192)&gt;0,
     COUNTIFS($AF$2:$AF$200,$G192)&gt;0,
     COUNTIFS($AG$2:$AG$200,$G192)&gt;0,
     COUNTIFS($AH$2:$AH$200,$G192)&gt;0,
     COUNTIFS($AI$2:$AI$200,$G192)&gt;0,
     COUNTIFS($AJ$2:$AJ$200,$G192)&gt;0,
     COUNTIFS($AK$2:$AK$200,$G192)&gt;0,
     COUNTIFS($AL$2:$AL$200,$G192)&gt;0,
     COUNTIFS($AM$2:$AM$200,$G192)&gt;0,
     COUNTIFS($AN$2:$AN$200,$G192)&gt;0,
     COUNTIFS($AO$2:$AO$200,$G192)&gt;0,
     COUNTIFS($AP$2:$AP$200,$G192)&gt;0,
     COUNTIFS($AQ$2:$AQ$200,$G192)&gt;0,
     COUNTIFS($AR$2:$AR$200,$G192)&gt;0,
     COUNTIFS($AS$2:$AS$200,$G192)&gt;0,
     COUNTIFS($AT$2:$AT$200,$G192)&gt;0,
     COUNTIFS($AU$2:$AU$200,$G192)&gt;0,
     COUNTIFS($AV$2:$AV$200,$G192)&gt;0,
     COUNTIFS($AW$2:$AW$200,$G192)&gt;0,
     COUNTIFS($AX$2:$AX$200,$G192)&gt;0
   )),
  ),
  3
 ),
"")</f>
        <v/>
      </c>
      <c r="F192" s="3" t="str" cm="1">
        <f t="array" aca="1" ref="F192" ca="1">IFERROR(
 INDEX(
  _xlfn._xlws.FILTER($U$1:$AX$1,
   TRANSPOSE(
    CHOOSE({1;2;3;4;5;6;7;8;9;10;11;12;13;14;15;16;17;18;19;20;21;22;23;24;25;26;27;28;29;30},
     COUNTIFS($U$2:$U$200,$G192)&gt;0,
     COUNTIFS($V$2:$V$200,$G192)&gt;0,
     COUNTIFS($W$2:$W$200,$G192)&gt;0,
     COUNTIFS($X$2:$X$200,$G192)&gt;0,
     COUNTIFS($Y$2:$Y$200,$G192)&gt;0,
     COUNTIFS($Z$2:$Z$200,$G192)&gt;0,
     COUNTIFS($AA$2:$AA$200,$G192)&gt;0,
     COUNTIFS($AB$2:$AB$200,$G192)&gt;0,
     COUNTIFS($AC$2:$AC$200,$G192)&gt;0,
     COUNTIFS($AD$2:$AD$200,$G192)&gt;0,
     COUNTIFS($AE$2:$AE$200,$G192)&gt;0,
     COUNTIFS($AF$2:$AF$200,$G192)&gt;0,
     COUNTIFS($AG$2:$AG$200,$G192)&gt;0,
     COUNTIFS($AH$2:$AH$200,$G192)&gt;0,
     COUNTIFS($AI$2:$AI$200,$G192)&gt;0,
     COUNTIFS($AJ$2:$AJ$200,$G192)&gt;0,
     COUNTIFS($AK$2:$AK$200,$G192)&gt;0,
     COUNTIFS($AL$2:$AL$200,$G192)&gt;0,
     COUNTIFS($AM$2:$AM$200,$G192)&gt;0,
     COUNTIFS($AN$2:$AN$200,$G192)&gt;0,
     COUNTIFS($AO$2:$AO$200,$G192)&gt;0,
     COUNTIFS($AP$2:$AP$200,$G192)&gt;0,
     COUNTIFS($AQ$2:$AQ$200,$G192)&gt;0,
     COUNTIFS($AR$2:$AR$200,$G192)&gt;0,
     COUNTIFS($AS$2:$AS$200,$G192)&gt;0,
     COUNTIFS($AT$2:$AT$200,$G192)&gt;0,
     COUNTIFS($AU$2:$AU$200,$G192)&gt;0,
     COUNTIFS($AV$2:$AV$200,$G192)&gt;0,
     COUNTIFS($AW$2:$AW$200,$G192)&gt;0,
     COUNTIFS($AX$2:$AX$200,$G192)&gt;0
   )),
  ),
  4
 ),
"")</f>
        <v/>
      </c>
      <c r="G192" t="str">
        <f ca="1"/>
        <v>Lolth, Rainha Aranha</v>
      </c>
      <c r="BO192" t="str">
        <f ca="1"/>
        <v>Zabaz, the Glimmerwasp</v>
      </c>
      <c r="BT192" t="str">
        <f ca="1"/>
        <v>Teyo, Geometric Tactician</v>
      </c>
    </row>
    <row r="193" spans="1:72" x14ac:dyDescent="0.25">
      <c r="A193" s="3" t="str">
        <f t="shared" ca="1" si="6"/>
        <v>1</v>
      </c>
      <c r="B193" s="3">
        <f t="shared" ca="1" si="7"/>
        <v>1</v>
      </c>
      <c r="C193" s="3" t="str">
        <f ca="1">IFERROR(
 INDEX($U$1:$AX$1,
  MATCH(TRUE,
   CHOOSE({1;2;3;4;5;6;7;8;9;10;11;12;13;14;15;16;17;18;19;20;21;22;23;24;25;26;27;28;29;30;31;32},
    COUNTIFS($U$2:$U$200,$G193)&gt;0,
    COUNTIFS($V$2:$V$200,$G193)&gt;0,
    COUNTIFS($W$2:$W$200,$G193)&gt;0,
    COUNTIFS($X$2:$X$200,$G193)&gt;0,
    COUNTIFS($Y$2:$Y$200,$G193)&gt;0,
    COUNTIFS($Z$2:$Z$200,$G193)&gt;0,
    COUNTIFS($AA$2:$AA$200,$G193)&gt;0,
    COUNTIFS($AB$2:$AB$200,$G193)&gt;0,
    COUNTIFS($AC$2:$AC$200,$G193)&gt;0,
    COUNTIFS($AD$2:$AD$200,$G193)&gt;0,
    COUNTIFS($AE$2:$AE$200,$G193)&gt;0,
    COUNTIFS($AF$2:$AF$200,$G193)&gt;0,
    COUNTIFS($AG$2:$AG$200,$G193)&gt;0,
    COUNTIFS($AH$2:$AH$200,$G193)&gt;0,
    COUNTIFS($AI$2:$AI$200,$G193)&gt;0,
    COUNTIFS($AJ$2:$AJ$200,$G193)&gt;0,
    COUNTIFS($AK$2:$AK$200,$G193)&gt;0,
    COUNTIFS($AL$2:$AL$200,$G193)&gt;0,
    COUNTIFS($AM$2:$AM$200,$G193)&gt;0,
    COUNTIFS($AN$2:$AN$200,$G193)&gt;0,
    COUNTIFS($AO$2:$AO$200,$G193)&gt;0,
    COUNTIFS($AP$2:$AP$200,$G193)&gt;0,
    COUNTIFS($AQ$2:$AQ$200,$G193)&gt;0,
    COUNTIFS($AR$2:$AR$200,$G193)&gt;0,
    COUNTIFS($AS$2:$AS$200,$G193)&gt;0,
    COUNTIFS($AT$2:$AT$200,$G193)&gt;0,
    COUNTIFS($AU$2:$AU$200,$G193)&gt;0,
    COUNTIFS($AV$2:$AV$200,$G193)&gt;0,
    COUNTIFS($AW$2:$AW$200,$G193)&gt;0,
    COUNTIFS($AX$2:$AX$200,$G193)&gt;0
   ),
  0)
 ),
"")</f>
        <v>Modular</v>
      </c>
      <c r="D193" s="3" t="str" cm="1">
        <f t="array" aca="1" ref="D193" ca="1">IFERROR(
 INDEX(
  _xlfn._xlws.FILTER($U$1:$AX$1,
   TRANSPOSE(
    CHOOSE({1;2;3;4;5;6;7;8;9;10;11;12;13;14;15;16;17;18;19;20;21;22;23;24;25;26;27;28;29;30},
     COUNTIFS($U$2:$U$200,$G193)&gt;0,
     COUNTIFS($V$2:$V$200,$G193)&gt;0,
     COUNTIFS($W$2:$W$200,$G193)&gt;0,
     COUNTIFS($X$2:$X$200,$G193)&gt;0,
     COUNTIFS($Y$2:$Y$200,$G193)&gt;0,
     COUNTIFS($Z$2:$Z$200,$G193)&gt;0,
     COUNTIFS($AA$2:$AA$200,$G193)&gt;0,
     COUNTIFS($AB$2:$AB$200,$G193)&gt;0,
     COUNTIFS($AC$2:$AC$200,$G193)&gt;0,
     COUNTIFS($AD$2:$AD$200,$G193)&gt;0,
     COUNTIFS($AE$2:$AE$200,$G193)&gt;0,
     COUNTIFS($AF$2:$AF$200,$G193)&gt;0,
     COUNTIFS($AG$2:$AG$200,$G193)&gt;0,
     COUNTIFS($AH$2:$AH$200,$G193)&gt;0,
     COUNTIFS($AI$2:$AI$200,$G193)&gt;0,
     COUNTIFS($AJ$2:$AJ$200,$G193)&gt;0,
     COUNTIFS($AK$2:$AK$200,$G193)&gt;0,
     COUNTIFS($AL$2:$AL$200,$G193)&gt;0,
     COUNTIFS($AM$2:$AM$200,$G193)&gt;0,
     COUNTIFS($AN$2:$AN$200,$G193)&gt;0,
     COUNTIFS($AO$2:$AO$200,$G193)&gt;0,
     COUNTIFS($AP$2:$AP$200,$G193)&gt;0,
     COUNTIFS($AQ$2:$AQ$200,$G193)&gt;0,
     COUNTIFS($AR$2:$AR$200,$G193)&gt;0,
     COUNTIFS($AS$2:$AS$200,$G193)&gt;0,
     COUNTIFS($AT$2:$AT$200,$G193)&gt;0,
     COUNTIFS($AU$2:$AU$200,$G193)&gt;0,
     COUNTIFS($AV$2:$AV$200,$G193)&gt;0,
     COUNTIFS($AW$2:$AW$200,$G193)&gt;0,
     COUNTIFS($AX$2:$AX$200,$G193)&gt;0
   )),
  ),
  2
 ),
"")</f>
        <v/>
      </c>
      <c r="E193" s="3" t="str" cm="1">
        <f t="array" aca="1" ref="E193" ca="1">IFERROR(
 INDEX(
  _xlfn._xlws.FILTER($U$1:$AX$1,
   TRANSPOSE(
    CHOOSE({1;2;3;4;5;6;7;8;9;10;11;12;13;14;15;16;17;18;19;20;21;22;23;24;25;26;27;28;29;30},
     COUNTIFS($U$2:$U$200,$G193)&gt;0,
     COUNTIFS($V$2:$V$200,$G193)&gt;0,
     COUNTIFS($W$2:$W$200,$G193)&gt;0,
     COUNTIFS($X$2:$X$200,$G193)&gt;0,
     COUNTIFS($Y$2:$Y$200,$G193)&gt;0,
     COUNTIFS($Z$2:$Z$200,$G193)&gt;0,
     COUNTIFS($AA$2:$AA$200,$G193)&gt;0,
     COUNTIFS($AB$2:$AB$200,$G193)&gt;0,
     COUNTIFS($AC$2:$AC$200,$G193)&gt;0,
     COUNTIFS($AD$2:$AD$200,$G193)&gt;0,
     COUNTIFS($AE$2:$AE$200,$G193)&gt;0,
     COUNTIFS($AF$2:$AF$200,$G193)&gt;0,
     COUNTIFS($AG$2:$AG$200,$G193)&gt;0,
     COUNTIFS($AH$2:$AH$200,$G193)&gt;0,
     COUNTIFS($AI$2:$AI$200,$G193)&gt;0,
     COUNTIFS($AJ$2:$AJ$200,$G193)&gt;0,
     COUNTIFS($AK$2:$AK$200,$G193)&gt;0,
     COUNTIFS($AL$2:$AL$200,$G193)&gt;0,
     COUNTIFS($AM$2:$AM$200,$G193)&gt;0,
     COUNTIFS($AN$2:$AN$200,$G193)&gt;0,
     COUNTIFS($AO$2:$AO$200,$G193)&gt;0,
     COUNTIFS($AP$2:$AP$200,$G193)&gt;0,
     COUNTIFS($AQ$2:$AQ$200,$G193)&gt;0,
     COUNTIFS($AR$2:$AR$200,$G193)&gt;0,
     COUNTIFS($AS$2:$AS$200,$G193)&gt;0,
     COUNTIFS($AT$2:$AT$200,$G193)&gt;0,
     COUNTIFS($AU$2:$AU$200,$G193)&gt;0,
     COUNTIFS($AV$2:$AV$200,$G193)&gt;0,
     COUNTIFS($AW$2:$AW$200,$G193)&gt;0,
     COUNTIFS($AX$2:$AX$200,$G193)&gt;0
   )),
  ),
  3
 ),
"")</f>
        <v/>
      </c>
      <c r="F193" s="3" t="str" cm="1">
        <f t="array" aca="1" ref="F193" ca="1">IFERROR(
 INDEX(
  _xlfn._xlws.FILTER($U$1:$AX$1,
   TRANSPOSE(
    CHOOSE({1;2;3;4;5;6;7;8;9;10;11;12;13;14;15;16;17;18;19;20;21;22;23;24;25;26;27;28;29;30},
     COUNTIFS($U$2:$U$200,$G193)&gt;0,
     COUNTIFS($V$2:$V$200,$G193)&gt;0,
     COUNTIFS($W$2:$W$200,$G193)&gt;0,
     COUNTIFS($X$2:$X$200,$G193)&gt;0,
     COUNTIFS($Y$2:$Y$200,$G193)&gt;0,
     COUNTIFS($Z$2:$Z$200,$G193)&gt;0,
     COUNTIFS($AA$2:$AA$200,$G193)&gt;0,
     COUNTIFS($AB$2:$AB$200,$G193)&gt;0,
     COUNTIFS($AC$2:$AC$200,$G193)&gt;0,
     COUNTIFS($AD$2:$AD$200,$G193)&gt;0,
     COUNTIFS($AE$2:$AE$200,$G193)&gt;0,
     COUNTIFS($AF$2:$AF$200,$G193)&gt;0,
     COUNTIFS($AG$2:$AG$200,$G193)&gt;0,
     COUNTIFS($AH$2:$AH$200,$G193)&gt;0,
     COUNTIFS($AI$2:$AI$200,$G193)&gt;0,
     COUNTIFS($AJ$2:$AJ$200,$G193)&gt;0,
     COUNTIFS($AK$2:$AK$200,$G193)&gt;0,
     COUNTIFS($AL$2:$AL$200,$G193)&gt;0,
     COUNTIFS($AM$2:$AM$200,$G193)&gt;0,
     COUNTIFS($AN$2:$AN$200,$G193)&gt;0,
     COUNTIFS($AO$2:$AO$200,$G193)&gt;0,
     COUNTIFS($AP$2:$AP$200,$G193)&gt;0,
     COUNTIFS($AQ$2:$AQ$200,$G193)&gt;0,
     COUNTIFS($AR$2:$AR$200,$G193)&gt;0,
     COUNTIFS($AS$2:$AS$200,$G193)&gt;0,
     COUNTIFS($AT$2:$AT$200,$G193)&gt;0,
     COUNTIFS($AU$2:$AU$200,$G193)&gt;0,
     COUNTIFS($AV$2:$AV$200,$G193)&gt;0,
     COUNTIFS($AW$2:$AW$200,$G193)&gt;0,
     COUNTIFS($AX$2:$AX$200,$G193)&gt;0
   )),
  ),
  4
 ),
"")</f>
        <v/>
      </c>
      <c r="G193" t="str">
        <f ca="1"/>
        <v>Long-Range Sensor</v>
      </c>
      <c r="BO193" t="str">
        <f ca="1"/>
        <v>Zack Fair</v>
      </c>
      <c r="BT193" t="str">
        <f ca="1"/>
        <v>The Masamune</v>
      </c>
    </row>
    <row r="194" spans="1:72" x14ac:dyDescent="0.25">
      <c r="A194" s="3" t="str">
        <f t="shared" ca="1" si="6"/>
        <v>2</v>
      </c>
      <c r="B194" s="3">
        <f t="shared" ca="1" si="7"/>
        <v>1</v>
      </c>
      <c r="C194" s="3" t="str">
        <f ca="1">IFERROR(
 INDEX($U$1:$AX$1,
  MATCH(TRUE,
   CHOOSE({1;2;3;4;5;6;7;8;9;10;11;12;13;14;15;16;17;18;19;20;21;22;23;24;25;26;27;28;29;30;31;32},
    COUNTIFS($U$2:$U$200,$G194)&gt;0,
    COUNTIFS($V$2:$V$200,$G194)&gt;0,
    COUNTIFS($W$2:$W$200,$G194)&gt;0,
    COUNTIFS($X$2:$X$200,$G194)&gt;0,
    COUNTIFS($Y$2:$Y$200,$G194)&gt;0,
    COUNTIFS($Z$2:$Z$200,$G194)&gt;0,
    COUNTIFS($AA$2:$AA$200,$G194)&gt;0,
    COUNTIFS($AB$2:$AB$200,$G194)&gt;0,
    COUNTIFS($AC$2:$AC$200,$G194)&gt;0,
    COUNTIFS($AD$2:$AD$200,$G194)&gt;0,
    COUNTIFS($AE$2:$AE$200,$G194)&gt;0,
    COUNTIFS($AF$2:$AF$200,$G194)&gt;0,
    COUNTIFS($AG$2:$AG$200,$G194)&gt;0,
    COUNTIFS($AH$2:$AH$200,$G194)&gt;0,
    COUNTIFS($AI$2:$AI$200,$G194)&gt;0,
    COUNTIFS($AJ$2:$AJ$200,$G194)&gt;0,
    COUNTIFS($AK$2:$AK$200,$G194)&gt;0,
    COUNTIFS($AL$2:$AL$200,$G194)&gt;0,
    COUNTIFS($AM$2:$AM$200,$G194)&gt;0,
    COUNTIFS($AN$2:$AN$200,$G194)&gt;0,
    COUNTIFS($AO$2:$AO$200,$G194)&gt;0,
    COUNTIFS($AP$2:$AP$200,$G194)&gt;0,
    COUNTIFS($AQ$2:$AQ$200,$G194)&gt;0,
    COUNTIFS($AR$2:$AR$200,$G194)&gt;0,
    COUNTIFS($AS$2:$AS$200,$G194)&gt;0,
    COUNTIFS($AT$2:$AT$200,$G194)&gt;0,
    COUNTIFS($AU$2:$AU$200,$G194)&gt;0,
    COUNTIFS($AV$2:$AV$200,$G194)&gt;0,
    COUNTIFS($AW$2:$AW$200,$G194)&gt;0,
    COUNTIFS($AX$2:$AX$200,$G194)&gt;0
   ),
  0)
 ),
"")</f>
        <v>Kumena</v>
      </c>
      <c r="D194" s="3" t="str" cm="1">
        <f t="array" aca="1" ref="D194" ca="1">IFERROR(
 INDEX(
  _xlfn._xlws.FILTER($U$1:$AX$1,
   TRANSPOSE(
    CHOOSE({1;2;3;4;5;6;7;8;9;10;11;12;13;14;15;16;17;18;19;20;21;22;23;24;25;26;27;28;29;30},
     COUNTIFS($U$2:$U$200,$G194)&gt;0,
     COUNTIFS($V$2:$V$200,$G194)&gt;0,
     COUNTIFS($W$2:$W$200,$G194)&gt;0,
     COUNTIFS($X$2:$X$200,$G194)&gt;0,
     COUNTIFS($Y$2:$Y$200,$G194)&gt;0,
     COUNTIFS($Z$2:$Z$200,$G194)&gt;0,
     COUNTIFS($AA$2:$AA$200,$G194)&gt;0,
     COUNTIFS($AB$2:$AB$200,$G194)&gt;0,
     COUNTIFS($AC$2:$AC$200,$G194)&gt;0,
     COUNTIFS($AD$2:$AD$200,$G194)&gt;0,
     COUNTIFS($AE$2:$AE$200,$G194)&gt;0,
     COUNTIFS($AF$2:$AF$200,$G194)&gt;0,
     COUNTIFS($AG$2:$AG$200,$G194)&gt;0,
     COUNTIFS($AH$2:$AH$200,$G194)&gt;0,
     COUNTIFS($AI$2:$AI$200,$G194)&gt;0,
     COUNTIFS($AJ$2:$AJ$200,$G194)&gt;0,
     COUNTIFS($AK$2:$AK$200,$G194)&gt;0,
     COUNTIFS($AL$2:$AL$200,$G194)&gt;0,
     COUNTIFS($AM$2:$AM$200,$G194)&gt;0,
     COUNTIFS($AN$2:$AN$200,$G194)&gt;0,
     COUNTIFS($AO$2:$AO$200,$G194)&gt;0,
     COUNTIFS($AP$2:$AP$200,$G194)&gt;0,
     COUNTIFS($AQ$2:$AQ$200,$G194)&gt;0,
     COUNTIFS($AR$2:$AR$200,$G194)&gt;0,
     COUNTIFS($AS$2:$AS$200,$G194)&gt;0,
     COUNTIFS($AT$2:$AT$200,$G194)&gt;0,
     COUNTIFS($AU$2:$AU$200,$G194)&gt;0,
     COUNTIFS($AV$2:$AV$200,$G194)&gt;0,
     COUNTIFS($AW$2:$AW$200,$G194)&gt;0,
     COUNTIFS($AX$2:$AX$200,$G194)&gt;0
   )),
  ),
  2
 ),
"")</f>
        <v/>
      </c>
      <c r="E194" s="3" t="str" cm="1">
        <f t="array" aca="1" ref="E194" ca="1">IFERROR(
 INDEX(
  _xlfn._xlws.FILTER($U$1:$AX$1,
   TRANSPOSE(
    CHOOSE({1;2;3;4;5;6;7;8;9;10;11;12;13;14;15;16;17;18;19;20;21;22;23;24;25;26;27;28;29;30},
     COUNTIFS($U$2:$U$200,$G194)&gt;0,
     COUNTIFS($V$2:$V$200,$G194)&gt;0,
     COUNTIFS($W$2:$W$200,$G194)&gt;0,
     COUNTIFS($X$2:$X$200,$G194)&gt;0,
     COUNTIFS($Y$2:$Y$200,$G194)&gt;0,
     COUNTIFS($Z$2:$Z$200,$G194)&gt;0,
     COUNTIFS($AA$2:$AA$200,$G194)&gt;0,
     COUNTIFS($AB$2:$AB$200,$G194)&gt;0,
     COUNTIFS($AC$2:$AC$200,$G194)&gt;0,
     COUNTIFS($AD$2:$AD$200,$G194)&gt;0,
     COUNTIFS($AE$2:$AE$200,$G194)&gt;0,
     COUNTIFS($AF$2:$AF$200,$G194)&gt;0,
     COUNTIFS($AG$2:$AG$200,$G194)&gt;0,
     COUNTIFS($AH$2:$AH$200,$G194)&gt;0,
     COUNTIFS($AI$2:$AI$200,$G194)&gt;0,
     COUNTIFS($AJ$2:$AJ$200,$G194)&gt;0,
     COUNTIFS($AK$2:$AK$200,$G194)&gt;0,
     COUNTIFS($AL$2:$AL$200,$G194)&gt;0,
     COUNTIFS($AM$2:$AM$200,$G194)&gt;0,
     COUNTIFS($AN$2:$AN$200,$G194)&gt;0,
     COUNTIFS($AO$2:$AO$200,$G194)&gt;0,
     COUNTIFS($AP$2:$AP$200,$G194)&gt;0,
     COUNTIFS($AQ$2:$AQ$200,$G194)&gt;0,
     COUNTIFS($AR$2:$AR$200,$G194)&gt;0,
     COUNTIFS($AS$2:$AS$200,$G194)&gt;0,
     COUNTIFS($AT$2:$AT$200,$G194)&gt;0,
     COUNTIFS($AU$2:$AU$200,$G194)&gt;0,
     COUNTIFS($AV$2:$AV$200,$G194)&gt;0,
     COUNTIFS($AW$2:$AW$200,$G194)&gt;0,
     COUNTIFS($AX$2:$AX$200,$G194)&gt;0
   )),
  ),
  3
 ),
"")</f>
        <v/>
      </c>
      <c r="F194" s="3" t="str" cm="1">
        <f t="array" aca="1" ref="F194" ca="1">IFERROR(
 INDEX(
  _xlfn._xlws.FILTER($U$1:$AX$1,
   TRANSPOSE(
    CHOOSE({1;2;3;4;5;6;7;8;9;10;11;12;13;14;15;16;17;18;19;20;21;22;23;24;25;26;27;28;29;30},
     COUNTIFS($U$2:$U$200,$G194)&gt;0,
     COUNTIFS($V$2:$V$200,$G194)&gt;0,
     COUNTIFS($W$2:$W$200,$G194)&gt;0,
     COUNTIFS($X$2:$X$200,$G194)&gt;0,
     COUNTIFS($Y$2:$Y$200,$G194)&gt;0,
     COUNTIFS($Z$2:$Z$200,$G194)&gt;0,
     COUNTIFS($AA$2:$AA$200,$G194)&gt;0,
     COUNTIFS($AB$2:$AB$200,$G194)&gt;0,
     COUNTIFS($AC$2:$AC$200,$G194)&gt;0,
     COUNTIFS($AD$2:$AD$200,$G194)&gt;0,
     COUNTIFS($AE$2:$AE$200,$G194)&gt;0,
     COUNTIFS($AF$2:$AF$200,$G194)&gt;0,
     COUNTIFS($AG$2:$AG$200,$G194)&gt;0,
     COUNTIFS($AH$2:$AH$200,$G194)&gt;0,
     COUNTIFS($AI$2:$AI$200,$G194)&gt;0,
     COUNTIFS($AJ$2:$AJ$200,$G194)&gt;0,
     COUNTIFS($AK$2:$AK$200,$G194)&gt;0,
     COUNTIFS($AL$2:$AL$200,$G194)&gt;0,
     COUNTIFS($AM$2:$AM$200,$G194)&gt;0,
     COUNTIFS($AN$2:$AN$200,$G194)&gt;0,
     COUNTIFS($AO$2:$AO$200,$G194)&gt;0,
     COUNTIFS($AP$2:$AP$200,$G194)&gt;0,
     COUNTIFS($AQ$2:$AQ$200,$G194)&gt;0,
     COUNTIFS($AR$2:$AR$200,$G194)&gt;0,
     COUNTIFS($AS$2:$AS$200,$G194)&gt;0,
     COUNTIFS($AT$2:$AT$200,$G194)&gt;0,
     COUNTIFS($AU$2:$AU$200,$G194)&gt;0,
     COUNTIFS($AV$2:$AV$200,$G194)&gt;0,
     COUNTIFS($AW$2:$AW$200,$G194)&gt;0,
     COUNTIFS($AX$2:$AX$200,$G194)&gt;0
   )),
  ),
  4
 ),
"")</f>
        <v/>
      </c>
      <c r="G194" t="str">
        <f ca="1"/>
        <v>Lord of Atlantis</v>
      </c>
      <c r="BO194" t="e">
        <f ca="1"/>
        <v>#REF!</v>
      </c>
      <c r="BT194" t="str">
        <f ca="1"/>
        <v>The Mycosynth Gardens</v>
      </c>
    </row>
    <row r="195" spans="1:72" x14ac:dyDescent="0.25">
      <c r="A195" s="3" t="str">
        <f t="shared" ref="A195:A258" ca="1" si="8">IFERROR(INDEX($S$3:$S$200, MATCH($C195, $I$3:$I$200, 0)), "")</f>
        <v>1</v>
      </c>
      <c r="B195" s="3">
        <f t="shared" ref="B195:B258" ca="1" si="9">COUNTIF(U:AX,G195)</f>
        <v>1</v>
      </c>
      <c r="C195" s="3" t="str">
        <f ca="1">IFERROR(
 INDEX($U$1:$AX$1,
  MATCH(TRUE,
   CHOOSE({1;2;3;4;5;6;7;8;9;10;11;12;13;14;15;16;17;18;19;20;21;22;23;24;25;26;27;28;29;30;31;32},
    COUNTIFS($U$2:$U$200,$G195)&gt;0,
    COUNTIFS($V$2:$V$200,$G195)&gt;0,
    COUNTIFS($W$2:$W$200,$G195)&gt;0,
    COUNTIFS($X$2:$X$200,$G195)&gt;0,
    COUNTIFS($Y$2:$Y$200,$G195)&gt;0,
    COUNTIFS($Z$2:$Z$200,$G195)&gt;0,
    COUNTIFS($AA$2:$AA$200,$G195)&gt;0,
    COUNTIFS($AB$2:$AB$200,$G195)&gt;0,
    COUNTIFS($AC$2:$AC$200,$G195)&gt;0,
    COUNTIFS($AD$2:$AD$200,$G195)&gt;0,
    COUNTIFS($AE$2:$AE$200,$G195)&gt;0,
    COUNTIFS($AF$2:$AF$200,$G195)&gt;0,
    COUNTIFS($AG$2:$AG$200,$G195)&gt;0,
    COUNTIFS($AH$2:$AH$200,$G195)&gt;0,
    COUNTIFS($AI$2:$AI$200,$G195)&gt;0,
    COUNTIFS($AJ$2:$AJ$200,$G195)&gt;0,
    COUNTIFS($AK$2:$AK$200,$G195)&gt;0,
    COUNTIFS($AL$2:$AL$200,$G195)&gt;0,
    COUNTIFS($AM$2:$AM$200,$G195)&gt;0,
    COUNTIFS($AN$2:$AN$200,$G195)&gt;0,
    COUNTIFS($AO$2:$AO$200,$G195)&gt;0,
    COUNTIFS($AP$2:$AP$200,$G195)&gt;0,
    COUNTIFS($AQ$2:$AQ$200,$G195)&gt;0,
    COUNTIFS($AR$2:$AR$200,$G195)&gt;0,
    COUNTIFS($AS$2:$AS$200,$G195)&gt;0,
    COUNTIFS($AT$2:$AT$200,$G195)&gt;0,
    COUNTIFS($AU$2:$AU$200,$G195)&gt;0,
    COUNTIFS($AV$2:$AV$200,$G195)&gt;0,
    COUNTIFS($AW$2:$AW$200,$G195)&gt;0,
    COUNTIFS($AX$2:$AX$200,$G195)&gt;0
   ),
  0)
 ),
"")</f>
        <v>Modular</v>
      </c>
      <c r="D195" s="3" t="str" cm="1">
        <f t="array" aca="1" ref="D195" ca="1">IFERROR(
 INDEX(
  _xlfn._xlws.FILTER($U$1:$AX$1,
   TRANSPOSE(
    CHOOSE({1;2;3;4;5;6;7;8;9;10;11;12;13;14;15;16;17;18;19;20;21;22;23;24;25;26;27;28;29;30},
     COUNTIFS($U$2:$U$200,$G195)&gt;0,
     COUNTIFS($V$2:$V$200,$G195)&gt;0,
     COUNTIFS($W$2:$W$200,$G195)&gt;0,
     COUNTIFS($X$2:$X$200,$G195)&gt;0,
     COUNTIFS($Y$2:$Y$200,$G195)&gt;0,
     COUNTIFS($Z$2:$Z$200,$G195)&gt;0,
     COUNTIFS($AA$2:$AA$200,$G195)&gt;0,
     COUNTIFS($AB$2:$AB$200,$G195)&gt;0,
     COUNTIFS($AC$2:$AC$200,$G195)&gt;0,
     COUNTIFS($AD$2:$AD$200,$G195)&gt;0,
     COUNTIFS($AE$2:$AE$200,$G195)&gt;0,
     COUNTIFS($AF$2:$AF$200,$G195)&gt;0,
     COUNTIFS($AG$2:$AG$200,$G195)&gt;0,
     COUNTIFS($AH$2:$AH$200,$G195)&gt;0,
     COUNTIFS($AI$2:$AI$200,$G195)&gt;0,
     COUNTIFS($AJ$2:$AJ$200,$G195)&gt;0,
     COUNTIFS($AK$2:$AK$200,$G195)&gt;0,
     COUNTIFS($AL$2:$AL$200,$G195)&gt;0,
     COUNTIFS($AM$2:$AM$200,$G195)&gt;0,
     COUNTIFS($AN$2:$AN$200,$G195)&gt;0,
     COUNTIFS($AO$2:$AO$200,$G195)&gt;0,
     COUNTIFS($AP$2:$AP$200,$G195)&gt;0,
     COUNTIFS($AQ$2:$AQ$200,$G195)&gt;0,
     COUNTIFS($AR$2:$AR$200,$G195)&gt;0,
     COUNTIFS($AS$2:$AS$200,$G195)&gt;0,
     COUNTIFS($AT$2:$AT$200,$G195)&gt;0,
     COUNTIFS($AU$2:$AU$200,$G195)&gt;0,
     COUNTIFS($AV$2:$AV$200,$G195)&gt;0,
     COUNTIFS($AW$2:$AW$200,$G195)&gt;0,
     COUNTIFS($AX$2:$AX$200,$G195)&gt;0
   )),
  ),
  2
 ),
"")</f>
        <v/>
      </c>
      <c r="E195" s="3" t="str" cm="1">
        <f t="array" aca="1" ref="E195" ca="1">IFERROR(
 INDEX(
  _xlfn._xlws.FILTER($U$1:$AX$1,
   TRANSPOSE(
    CHOOSE({1;2;3;4;5;6;7;8;9;10;11;12;13;14;15;16;17;18;19;20;21;22;23;24;25;26;27;28;29;30},
     COUNTIFS($U$2:$U$200,$G195)&gt;0,
     COUNTIFS($V$2:$V$200,$G195)&gt;0,
     COUNTIFS($W$2:$W$200,$G195)&gt;0,
     COUNTIFS($X$2:$X$200,$G195)&gt;0,
     COUNTIFS($Y$2:$Y$200,$G195)&gt;0,
     COUNTIFS($Z$2:$Z$200,$G195)&gt;0,
     COUNTIFS($AA$2:$AA$200,$G195)&gt;0,
     COUNTIFS($AB$2:$AB$200,$G195)&gt;0,
     COUNTIFS($AC$2:$AC$200,$G195)&gt;0,
     COUNTIFS($AD$2:$AD$200,$G195)&gt;0,
     COUNTIFS($AE$2:$AE$200,$G195)&gt;0,
     COUNTIFS($AF$2:$AF$200,$G195)&gt;0,
     COUNTIFS($AG$2:$AG$200,$G195)&gt;0,
     COUNTIFS($AH$2:$AH$200,$G195)&gt;0,
     COUNTIFS($AI$2:$AI$200,$G195)&gt;0,
     COUNTIFS($AJ$2:$AJ$200,$G195)&gt;0,
     COUNTIFS($AK$2:$AK$200,$G195)&gt;0,
     COUNTIFS($AL$2:$AL$200,$G195)&gt;0,
     COUNTIFS($AM$2:$AM$200,$G195)&gt;0,
     COUNTIFS($AN$2:$AN$200,$G195)&gt;0,
     COUNTIFS($AO$2:$AO$200,$G195)&gt;0,
     COUNTIFS($AP$2:$AP$200,$G195)&gt;0,
     COUNTIFS($AQ$2:$AQ$200,$G195)&gt;0,
     COUNTIFS($AR$2:$AR$200,$G195)&gt;0,
     COUNTIFS($AS$2:$AS$200,$G195)&gt;0,
     COUNTIFS($AT$2:$AT$200,$G195)&gt;0,
     COUNTIFS($AU$2:$AU$200,$G195)&gt;0,
     COUNTIFS($AV$2:$AV$200,$G195)&gt;0,
     COUNTIFS($AW$2:$AW$200,$G195)&gt;0,
     COUNTIFS($AX$2:$AX$200,$G195)&gt;0
   )),
  ),
  3
 ),
"")</f>
        <v/>
      </c>
      <c r="F195" s="3" t="str" cm="1">
        <f t="array" aca="1" ref="F195" ca="1">IFERROR(
 INDEX(
  _xlfn._xlws.FILTER($U$1:$AX$1,
   TRANSPOSE(
    CHOOSE({1;2;3;4;5;6;7;8;9;10;11;12;13;14;15;16;17;18;19;20;21;22;23;24;25;26;27;28;29;30},
     COUNTIFS($U$2:$U$200,$G195)&gt;0,
     COUNTIFS($V$2:$V$200,$G195)&gt;0,
     COUNTIFS($W$2:$W$200,$G195)&gt;0,
     COUNTIFS($X$2:$X$200,$G195)&gt;0,
     COUNTIFS($Y$2:$Y$200,$G195)&gt;0,
     COUNTIFS($Z$2:$Z$200,$G195)&gt;0,
     COUNTIFS($AA$2:$AA$200,$G195)&gt;0,
     COUNTIFS($AB$2:$AB$200,$G195)&gt;0,
     COUNTIFS($AC$2:$AC$200,$G195)&gt;0,
     COUNTIFS($AD$2:$AD$200,$G195)&gt;0,
     COUNTIFS($AE$2:$AE$200,$G195)&gt;0,
     COUNTIFS($AF$2:$AF$200,$G195)&gt;0,
     COUNTIFS($AG$2:$AG$200,$G195)&gt;0,
     COUNTIFS($AH$2:$AH$200,$G195)&gt;0,
     COUNTIFS($AI$2:$AI$200,$G195)&gt;0,
     COUNTIFS($AJ$2:$AJ$200,$G195)&gt;0,
     COUNTIFS($AK$2:$AK$200,$G195)&gt;0,
     COUNTIFS($AL$2:$AL$200,$G195)&gt;0,
     COUNTIFS($AM$2:$AM$200,$G195)&gt;0,
     COUNTIFS($AN$2:$AN$200,$G195)&gt;0,
     COUNTIFS($AO$2:$AO$200,$G195)&gt;0,
     COUNTIFS($AP$2:$AP$200,$G195)&gt;0,
     COUNTIFS($AQ$2:$AQ$200,$G195)&gt;0,
     COUNTIFS($AR$2:$AR$200,$G195)&gt;0,
     COUNTIFS($AS$2:$AS$200,$G195)&gt;0,
     COUNTIFS($AT$2:$AT$200,$G195)&gt;0,
     COUNTIFS($AU$2:$AU$200,$G195)&gt;0,
     COUNTIFS($AV$2:$AV$200,$G195)&gt;0,
     COUNTIFS($AW$2:$AW$200,$G195)&gt;0,
     COUNTIFS($AX$2:$AX$200,$G195)&gt;0
   )),
  ),
  4
 ),
"")</f>
        <v/>
      </c>
      <c r="G195" t="str">
        <f ca="1"/>
        <v>Lotus Field</v>
      </c>
      <c r="BT195" t="str">
        <f ca="1"/>
        <v>The Water Crystal</v>
      </c>
    </row>
    <row r="196" spans="1:72" x14ac:dyDescent="0.25">
      <c r="A196" s="3" t="str">
        <f t="shared" ca="1" si="8"/>
        <v>3</v>
      </c>
      <c r="B196" s="3">
        <f t="shared" ca="1" si="9"/>
        <v>1</v>
      </c>
      <c r="C196" s="3" t="str">
        <f ca="1">IFERROR(
 INDEX($U$1:$AX$1,
  MATCH(TRUE,
   CHOOSE({1;2;3;4;5;6;7;8;9;10;11;12;13;14;15;16;17;18;19;20;21;22;23;24;25;26;27;28;29;30;31;32},
    COUNTIFS($U$2:$U$200,$G196)&gt;0,
    COUNTIFS($V$2:$V$200,$G196)&gt;0,
    COUNTIFS($W$2:$W$200,$G196)&gt;0,
    COUNTIFS($X$2:$X$200,$G196)&gt;0,
    COUNTIFS($Y$2:$Y$200,$G196)&gt;0,
    COUNTIFS($Z$2:$Z$200,$G196)&gt;0,
    COUNTIFS($AA$2:$AA$200,$G196)&gt;0,
    COUNTIFS($AB$2:$AB$200,$G196)&gt;0,
    COUNTIFS($AC$2:$AC$200,$G196)&gt;0,
    COUNTIFS($AD$2:$AD$200,$G196)&gt;0,
    COUNTIFS($AE$2:$AE$200,$G196)&gt;0,
    COUNTIFS($AF$2:$AF$200,$G196)&gt;0,
    COUNTIFS($AG$2:$AG$200,$G196)&gt;0,
    COUNTIFS($AH$2:$AH$200,$G196)&gt;0,
    COUNTIFS($AI$2:$AI$200,$G196)&gt;0,
    COUNTIFS($AJ$2:$AJ$200,$G196)&gt;0,
    COUNTIFS($AK$2:$AK$200,$G196)&gt;0,
    COUNTIFS($AL$2:$AL$200,$G196)&gt;0,
    COUNTIFS($AM$2:$AM$200,$G196)&gt;0,
    COUNTIFS($AN$2:$AN$200,$G196)&gt;0,
    COUNTIFS($AO$2:$AO$200,$G196)&gt;0,
    COUNTIFS($AP$2:$AP$200,$G196)&gt;0,
    COUNTIFS($AQ$2:$AQ$200,$G196)&gt;0,
    COUNTIFS($AR$2:$AR$200,$G196)&gt;0,
    COUNTIFS($AS$2:$AS$200,$G196)&gt;0,
    COUNTIFS($AT$2:$AT$200,$G196)&gt;0,
    COUNTIFS($AU$2:$AU$200,$G196)&gt;0,
    COUNTIFS($AV$2:$AV$200,$G196)&gt;0,
    COUNTIFS($AW$2:$AW$200,$G196)&gt;0,
    COUNTIFS($AX$2:$AX$200,$G196)&gt;0
   ),
  0)
 ),
"")</f>
        <v>Yuriko</v>
      </c>
      <c r="D196" s="3" t="str" cm="1">
        <f t="array" aca="1" ref="D196" ca="1">IFERROR(
 INDEX(
  _xlfn._xlws.FILTER($U$1:$AX$1,
   TRANSPOSE(
    CHOOSE({1;2;3;4;5;6;7;8;9;10;11;12;13;14;15;16;17;18;19;20;21;22;23;24;25;26;27;28;29;30},
     COUNTIFS($U$2:$U$200,$G196)&gt;0,
     COUNTIFS($V$2:$V$200,$G196)&gt;0,
     COUNTIFS($W$2:$W$200,$G196)&gt;0,
     COUNTIFS($X$2:$X$200,$G196)&gt;0,
     COUNTIFS($Y$2:$Y$200,$G196)&gt;0,
     COUNTIFS($Z$2:$Z$200,$G196)&gt;0,
     COUNTIFS($AA$2:$AA$200,$G196)&gt;0,
     COUNTIFS($AB$2:$AB$200,$G196)&gt;0,
     COUNTIFS($AC$2:$AC$200,$G196)&gt;0,
     COUNTIFS($AD$2:$AD$200,$G196)&gt;0,
     COUNTIFS($AE$2:$AE$200,$G196)&gt;0,
     COUNTIFS($AF$2:$AF$200,$G196)&gt;0,
     COUNTIFS($AG$2:$AG$200,$G196)&gt;0,
     COUNTIFS($AH$2:$AH$200,$G196)&gt;0,
     COUNTIFS($AI$2:$AI$200,$G196)&gt;0,
     COUNTIFS($AJ$2:$AJ$200,$G196)&gt;0,
     COUNTIFS($AK$2:$AK$200,$G196)&gt;0,
     COUNTIFS($AL$2:$AL$200,$G196)&gt;0,
     COUNTIFS($AM$2:$AM$200,$G196)&gt;0,
     COUNTIFS($AN$2:$AN$200,$G196)&gt;0,
     COUNTIFS($AO$2:$AO$200,$G196)&gt;0,
     COUNTIFS($AP$2:$AP$200,$G196)&gt;0,
     COUNTIFS($AQ$2:$AQ$200,$G196)&gt;0,
     COUNTIFS($AR$2:$AR$200,$G196)&gt;0,
     COUNTIFS($AS$2:$AS$200,$G196)&gt;0,
     COUNTIFS($AT$2:$AT$200,$G196)&gt;0,
     COUNTIFS($AU$2:$AU$200,$G196)&gt;0,
     COUNTIFS($AV$2:$AV$200,$G196)&gt;0,
     COUNTIFS($AW$2:$AW$200,$G196)&gt;0,
     COUNTIFS($AX$2:$AX$200,$G196)&gt;0
   )),
  ),
  2
 ),
"")</f>
        <v/>
      </c>
      <c r="E196" s="3" t="str" cm="1">
        <f t="array" aca="1" ref="E196" ca="1">IFERROR(
 INDEX(
  _xlfn._xlws.FILTER($U$1:$AX$1,
   TRANSPOSE(
    CHOOSE({1;2;3;4;5;6;7;8;9;10;11;12;13;14;15;16;17;18;19;20;21;22;23;24;25;26;27;28;29;30},
     COUNTIFS($U$2:$U$200,$G196)&gt;0,
     COUNTIFS($V$2:$V$200,$G196)&gt;0,
     COUNTIFS($W$2:$W$200,$G196)&gt;0,
     COUNTIFS($X$2:$X$200,$G196)&gt;0,
     COUNTIFS($Y$2:$Y$200,$G196)&gt;0,
     COUNTIFS($Z$2:$Z$200,$G196)&gt;0,
     COUNTIFS($AA$2:$AA$200,$G196)&gt;0,
     COUNTIFS($AB$2:$AB$200,$G196)&gt;0,
     COUNTIFS($AC$2:$AC$200,$G196)&gt;0,
     COUNTIFS($AD$2:$AD$200,$G196)&gt;0,
     COUNTIFS($AE$2:$AE$200,$G196)&gt;0,
     COUNTIFS($AF$2:$AF$200,$G196)&gt;0,
     COUNTIFS($AG$2:$AG$200,$G196)&gt;0,
     COUNTIFS($AH$2:$AH$200,$G196)&gt;0,
     COUNTIFS($AI$2:$AI$200,$G196)&gt;0,
     COUNTIFS($AJ$2:$AJ$200,$G196)&gt;0,
     COUNTIFS($AK$2:$AK$200,$G196)&gt;0,
     COUNTIFS($AL$2:$AL$200,$G196)&gt;0,
     COUNTIFS($AM$2:$AM$200,$G196)&gt;0,
     COUNTIFS($AN$2:$AN$200,$G196)&gt;0,
     COUNTIFS($AO$2:$AO$200,$G196)&gt;0,
     COUNTIFS($AP$2:$AP$200,$G196)&gt;0,
     COUNTIFS($AQ$2:$AQ$200,$G196)&gt;0,
     COUNTIFS($AR$2:$AR$200,$G196)&gt;0,
     COUNTIFS($AS$2:$AS$200,$G196)&gt;0,
     COUNTIFS($AT$2:$AT$200,$G196)&gt;0,
     COUNTIFS($AU$2:$AU$200,$G196)&gt;0,
     COUNTIFS($AV$2:$AV$200,$G196)&gt;0,
     COUNTIFS($AW$2:$AW$200,$G196)&gt;0,
     COUNTIFS($AX$2:$AX$200,$G196)&gt;0
   )),
  ),
  3
 ),
"")</f>
        <v/>
      </c>
      <c r="F196" s="3" t="str" cm="1">
        <f t="array" aca="1" ref="F196" ca="1">IFERROR(
 INDEX(
  _xlfn._xlws.FILTER($U$1:$AX$1,
   TRANSPOSE(
    CHOOSE({1;2;3;4;5;6;7;8;9;10;11;12;13;14;15;16;17;18;19;20;21;22;23;24;25;26;27;28;29;30},
     COUNTIFS($U$2:$U$200,$G196)&gt;0,
     COUNTIFS($V$2:$V$200,$G196)&gt;0,
     COUNTIFS($W$2:$W$200,$G196)&gt;0,
     COUNTIFS($X$2:$X$200,$G196)&gt;0,
     COUNTIFS($Y$2:$Y$200,$G196)&gt;0,
     COUNTIFS($Z$2:$Z$200,$G196)&gt;0,
     COUNTIFS($AA$2:$AA$200,$G196)&gt;0,
     COUNTIFS($AB$2:$AB$200,$G196)&gt;0,
     COUNTIFS($AC$2:$AC$200,$G196)&gt;0,
     COUNTIFS($AD$2:$AD$200,$G196)&gt;0,
     COUNTIFS($AE$2:$AE$200,$G196)&gt;0,
     COUNTIFS($AF$2:$AF$200,$G196)&gt;0,
     COUNTIFS($AG$2:$AG$200,$G196)&gt;0,
     COUNTIFS($AH$2:$AH$200,$G196)&gt;0,
     COUNTIFS($AI$2:$AI$200,$G196)&gt;0,
     COUNTIFS($AJ$2:$AJ$200,$G196)&gt;0,
     COUNTIFS($AK$2:$AK$200,$G196)&gt;0,
     COUNTIFS($AL$2:$AL$200,$G196)&gt;0,
     COUNTIFS($AM$2:$AM$200,$G196)&gt;0,
     COUNTIFS($AN$2:$AN$200,$G196)&gt;0,
     COUNTIFS($AO$2:$AO$200,$G196)&gt;0,
     COUNTIFS($AP$2:$AP$200,$G196)&gt;0,
     COUNTIFS($AQ$2:$AQ$200,$G196)&gt;0,
     COUNTIFS($AR$2:$AR$200,$G196)&gt;0,
     COUNTIFS($AS$2:$AS$200,$G196)&gt;0,
     COUNTIFS($AT$2:$AT$200,$G196)&gt;0,
     COUNTIFS($AU$2:$AU$200,$G196)&gt;0,
     COUNTIFS($AV$2:$AV$200,$G196)&gt;0,
     COUNTIFS($AW$2:$AW$200,$G196)&gt;0,
     COUNTIFS($AX$2:$AX$200,$G196)&gt;0
   )),
  ),
  4
 ),
"")</f>
        <v/>
      </c>
      <c r="G196" t="str">
        <f ca="1"/>
        <v>Louisoix's Sacrifice</v>
      </c>
      <c r="BT196" t="str">
        <f ca="1"/>
        <v>Thought Vessel</v>
      </c>
    </row>
    <row r="197" spans="1:72" x14ac:dyDescent="0.25">
      <c r="A197" s="3" t="str">
        <f t="shared" ca="1" si="8"/>
        <v>2</v>
      </c>
      <c r="B197" s="3">
        <f t="shared" ca="1" si="9"/>
        <v>1</v>
      </c>
      <c r="C197" s="3" t="str">
        <f ca="1">IFERROR(
 INDEX($U$1:$AX$1,
  MATCH(TRUE,
   CHOOSE({1;2;3;4;5;6;7;8;9;10;11;12;13;14;15;16;17;18;19;20;21;22;23;24;25;26;27;28;29;30;31;32},
    COUNTIFS($U$2:$U$200,$G197)&gt;0,
    COUNTIFS($V$2:$V$200,$G197)&gt;0,
    COUNTIFS($W$2:$W$200,$G197)&gt;0,
    COUNTIFS($X$2:$X$200,$G197)&gt;0,
    COUNTIFS($Y$2:$Y$200,$G197)&gt;0,
    COUNTIFS($Z$2:$Z$200,$G197)&gt;0,
    COUNTIFS($AA$2:$AA$200,$G197)&gt;0,
    COUNTIFS($AB$2:$AB$200,$G197)&gt;0,
    COUNTIFS($AC$2:$AC$200,$G197)&gt;0,
    COUNTIFS($AD$2:$AD$200,$G197)&gt;0,
    COUNTIFS($AE$2:$AE$200,$G197)&gt;0,
    COUNTIFS($AF$2:$AF$200,$G197)&gt;0,
    COUNTIFS($AG$2:$AG$200,$G197)&gt;0,
    COUNTIFS($AH$2:$AH$200,$G197)&gt;0,
    COUNTIFS($AI$2:$AI$200,$G197)&gt;0,
    COUNTIFS($AJ$2:$AJ$200,$G197)&gt;0,
    COUNTIFS($AK$2:$AK$200,$G197)&gt;0,
    COUNTIFS($AL$2:$AL$200,$G197)&gt;0,
    COUNTIFS($AM$2:$AM$200,$G197)&gt;0,
    COUNTIFS($AN$2:$AN$200,$G197)&gt;0,
    COUNTIFS($AO$2:$AO$200,$G197)&gt;0,
    COUNTIFS($AP$2:$AP$200,$G197)&gt;0,
    COUNTIFS($AQ$2:$AQ$200,$G197)&gt;0,
    COUNTIFS($AR$2:$AR$200,$G197)&gt;0,
    COUNTIFS($AS$2:$AS$200,$G197)&gt;0,
    COUNTIFS($AT$2:$AT$200,$G197)&gt;0,
    COUNTIFS($AU$2:$AU$200,$G197)&gt;0,
    COUNTIFS($AV$2:$AV$200,$G197)&gt;0,
    COUNTIFS($AW$2:$AW$200,$G197)&gt;0,
    COUNTIFS($AX$2:$AX$200,$G197)&gt;0
   ),
  0)
 ),
"")</f>
        <v>Kumena</v>
      </c>
      <c r="D197" s="3" t="str" cm="1">
        <f t="array" aca="1" ref="D197" ca="1">IFERROR(
 INDEX(
  _xlfn._xlws.FILTER($U$1:$AX$1,
   TRANSPOSE(
    CHOOSE({1;2;3;4;5;6;7;8;9;10;11;12;13;14;15;16;17;18;19;20;21;22;23;24;25;26;27;28;29;30},
     COUNTIFS($U$2:$U$200,$G197)&gt;0,
     COUNTIFS($V$2:$V$200,$G197)&gt;0,
     COUNTIFS($W$2:$W$200,$G197)&gt;0,
     COUNTIFS($X$2:$X$200,$G197)&gt;0,
     COUNTIFS($Y$2:$Y$200,$G197)&gt;0,
     COUNTIFS($Z$2:$Z$200,$G197)&gt;0,
     COUNTIFS($AA$2:$AA$200,$G197)&gt;0,
     COUNTIFS($AB$2:$AB$200,$G197)&gt;0,
     COUNTIFS($AC$2:$AC$200,$G197)&gt;0,
     COUNTIFS($AD$2:$AD$200,$G197)&gt;0,
     COUNTIFS($AE$2:$AE$200,$G197)&gt;0,
     COUNTIFS($AF$2:$AF$200,$G197)&gt;0,
     COUNTIFS($AG$2:$AG$200,$G197)&gt;0,
     COUNTIFS($AH$2:$AH$200,$G197)&gt;0,
     COUNTIFS($AI$2:$AI$200,$G197)&gt;0,
     COUNTIFS($AJ$2:$AJ$200,$G197)&gt;0,
     COUNTIFS($AK$2:$AK$200,$G197)&gt;0,
     COUNTIFS($AL$2:$AL$200,$G197)&gt;0,
     COUNTIFS($AM$2:$AM$200,$G197)&gt;0,
     COUNTIFS($AN$2:$AN$200,$G197)&gt;0,
     COUNTIFS($AO$2:$AO$200,$G197)&gt;0,
     COUNTIFS($AP$2:$AP$200,$G197)&gt;0,
     COUNTIFS($AQ$2:$AQ$200,$G197)&gt;0,
     COUNTIFS($AR$2:$AR$200,$G197)&gt;0,
     COUNTIFS($AS$2:$AS$200,$G197)&gt;0,
     COUNTIFS($AT$2:$AT$200,$G197)&gt;0,
     COUNTIFS($AU$2:$AU$200,$G197)&gt;0,
     COUNTIFS($AV$2:$AV$200,$G197)&gt;0,
     COUNTIFS($AW$2:$AW$200,$G197)&gt;0,
     COUNTIFS($AX$2:$AX$200,$G197)&gt;0
   )),
  ),
  2
 ),
"")</f>
        <v/>
      </c>
      <c r="E197" s="3" t="str" cm="1">
        <f t="array" aca="1" ref="E197" ca="1">IFERROR(
 INDEX(
  _xlfn._xlws.FILTER($U$1:$AX$1,
   TRANSPOSE(
    CHOOSE({1;2;3;4;5;6;7;8;9;10;11;12;13;14;15;16;17;18;19;20;21;22;23;24;25;26;27;28;29;30},
     COUNTIFS($U$2:$U$200,$G197)&gt;0,
     COUNTIFS($V$2:$V$200,$G197)&gt;0,
     COUNTIFS($W$2:$W$200,$G197)&gt;0,
     COUNTIFS($X$2:$X$200,$G197)&gt;0,
     COUNTIFS($Y$2:$Y$200,$G197)&gt;0,
     COUNTIFS($Z$2:$Z$200,$G197)&gt;0,
     COUNTIFS($AA$2:$AA$200,$G197)&gt;0,
     COUNTIFS($AB$2:$AB$200,$G197)&gt;0,
     COUNTIFS($AC$2:$AC$200,$G197)&gt;0,
     COUNTIFS($AD$2:$AD$200,$G197)&gt;0,
     COUNTIFS($AE$2:$AE$200,$G197)&gt;0,
     COUNTIFS($AF$2:$AF$200,$G197)&gt;0,
     COUNTIFS($AG$2:$AG$200,$G197)&gt;0,
     COUNTIFS($AH$2:$AH$200,$G197)&gt;0,
     COUNTIFS($AI$2:$AI$200,$G197)&gt;0,
     COUNTIFS($AJ$2:$AJ$200,$G197)&gt;0,
     COUNTIFS($AK$2:$AK$200,$G197)&gt;0,
     COUNTIFS($AL$2:$AL$200,$G197)&gt;0,
     COUNTIFS($AM$2:$AM$200,$G197)&gt;0,
     COUNTIFS($AN$2:$AN$200,$G197)&gt;0,
     COUNTIFS($AO$2:$AO$200,$G197)&gt;0,
     COUNTIFS($AP$2:$AP$200,$G197)&gt;0,
     COUNTIFS($AQ$2:$AQ$200,$G197)&gt;0,
     COUNTIFS($AR$2:$AR$200,$G197)&gt;0,
     COUNTIFS($AS$2:$AS$200,$G197)&gt;0,
     COUNTIFS($AT$2:$AT$200,$G197)&gt;0,
     COUNTIFS($AU$2:$AU$200,$G197)&gt;0,
     COUNTIFS($AV$2:$AV$200,$G197)&gt;0,
     COUNTIFS($AW$2:$AW$200,$G197)&gt;0,
     COUNTIFS($AX$2:$AX$200,$G197)&gt;0
   )),
  ),
  3
 ),
"")</f>
        <v/>
      </c>
      <c r="F197" s="3" t="str" cm="1">
        <f t="array" aca="1" ref="F197" ca="1">IFERROR(
 INDEX(
  _xlfn._xlws.FILTER($U$1:$AX$1,
   TRANSPOSE(
    CHOOSE({1;2;3;4;5;6;7;8;9;10;11;12;13;14;15;16;17;18;19;20;21;22;23;24;25;26;27;28;29;30},
     COUNTIFS($U$2:$U$200,$G197)&gt;0,
     COUNTIFS($V$2:$V$200,$G197)&gt;0,
     COUNTIFS($W$2:$W$200,$G197)&gt;0,
     COUNTIFS($X$2:$X$200,$G197)&gt;0,
     COUNTIFS($Y$2:$Y$200,$G197)&gt;0,
     COUNTIFS($Z$2:$Z$200,$G197)&gt;0,
     COUNTIFS($AA$2:$AA$200,$G197)&gt;0,
     COUNTIFS($AB$2:$AB$200,$G197)&gt;0,
     COUNTIFS($AC$2:$AC$200,$G197)&gt;0,
     COUNTIFS($AD$2:$AD$200,$G197)&gt;0,
     COUNTIFS($AE$2:$AE$200,$G197)&gt;0,
     COUNTIFS($AF$2:$AF$200,$G197)&gt;0,
     COUNTIFS($AG$2:$AG$200,$G197)&gt;0,
     COUNTIFS($AH$2:$AH$200,$G197)&gt;0,
     COUNTIFS($AI$2:$AI$200,$G197)&gt;0,
     COUNTIFS($AJ$2:$AJ$200,$G197)&gt;0,
     COUNTIFS($AK$2:$AK$200,$G197)&gt;0,
     COUNTIFS($AL$2:$AL$200,$G197)&gt;0,
     COUNTIFS($AM$2:$AM$200,$G197)&gt;0,
     COUNTIFS($AN$2:$AN$200,$G197)&gt;0,
     COUNTIFS($AO$2:$AO$200,$G197)&gt;0,
     COUNTIFS($AP$2:$AP$200,$G197)&gt;0,
     COUNTIFS($AQ$2:$AQ$200,$G197)&gt;0,
     COUNTIFS($AR$2:$AR$200,$G197)&gt;0,
     COUNTIFS($AS$2:$AS$200,$G197)&gt;0,
     COUNTIFS($AT$2:$AT$200,$G197)&gt;0,
     COUNTIFS($AU$2:$AU$200,$G197)&gt;0,
     COUNTIFS($AV$2:$AV$200,$G197)&gt;0,
     COUNTIFS($AW$2:$AW$200,$G197)&gt;0,
     COUNTIFS($AX$2:$AX$200,$G197)&gt;0
   )),
  ),
  4
 ),
"")</f>
        <v/>
      </c>
      <c r="G197" t="str">
        <f ca="1"/>
        <v>Lullmage Mentor</v>
      </c>
      <c r="BT197" t="str">
        <f ca="1"/>
        <v>Thousand-Year Elixir</v>
      </c>
    </row>
    <row r="198" spans="1:72" x14ac:dyDescent="0.25">
      <c r="A198" s="3" t="str">
        <f t="shared" ca="1" si="8"/>
        <v>3</v>
      </c>
      <c r="B198" s="3">
        <f t="shared" ca="1" si="9"/>
        <v>1</v>
      </c>
      <c r="C198" s="3" t="str">
        <f ca="1">IFERROR(
 INDEX($U$1:$AX$1,
  MATCH(TRUE,
   CHOOSE({1;2;3;4;5;6;7;8;9;10;11;12;13;14;15;16;17;18;19;20;21;22;23;24;25;26;27;28;29;30;31;32},
    COUNTIFS($U$2:$U$200,$G198)&gt;0,
    COUNTIFS($V$2:$V$200,$G198)&gt;0,
    COUNTIFS($W$2:$W$200,$G198)&gt;0,
    COUNTIFS($X$2:$X$200,$G198)&gt;0,
    COUNTIFS($Y$2:$Y$200,$G198)&gt;0,
    COUNTIFS($Z$2:$Z$200,$G198)&gt;0,
    COUNTIFS($AA$2:$AA$200,$G198)&gt;0,
    COUNTIFS($AB$2:$AB$200,$G198)&gt;0,
    COUNTIFS($AC$2:$AC$200,$G198)&gt;0,
    COUNTIFS($AD$2:$AD$200,$G198)&gt;0,
    COUNTIFS($AE$2:$AE$200,$G198)&gt;0,
    COUNTIFS($AF$2:$AF$200,$G198)&gt;0,
    COUNTIFS($AG$2:$AG$200,$G198)&gt;0,
    COUNTIFS($AH$2:$AH$200,$G198)&gt;0,
    COUNTIFS($AI$2:$AI$200,$G198)&gt;0,
    COUNTIFS($AJ$2:$AJ$200,$G198)&gt;0,
    COUNTIFS($AK$2:$AK$200,$G198)&gt;0,
    COUNTIFS($AL$2:$AL$200,$G198)&gt;0,
    COUNTIFS($AM$2:$AM$200,$G198)&gt;0,
    COUNTIFS($AN$2:$AN$200,$G198)&gt;0,
    COUNTIFS($AO$2:$AO$200,$G198)&gt;0,
    COUNTIFS($AP$2:$AP$200,$G198)&gt;0,
    COUNTIFS($AQ$2:$AQ$200,$G198)&gt;0,
    COUNTIFS($AR$2:$AR$200,$G198)&gt;0,
    COUNTIFS($AS$2:$AS$200,$G198)&gt;0,
    COUNTIFS($AT$2:$AT$200,$G198)&gt;0,
    COUNTIFS($AU$2:$AU$200,$G198)&gt;0,
    COUNTIFS($AV$2:$AV$200,$G198)&gt;0,
    COUNTIFS($AW$2:$AW$200,$G198)&gt;0,
    COUNTIFS($AX$2:$AX$200,$G198)&gt;0
   ),
  0)
 ),
"")</f>
        <v>VialIshai</v>
      </c>
      <c r="D198" s="3" t="str" cm="1">
        <f t="array" aca="1" ref="D198" ca="1">IFERROR(
 INDEX(
  _xlfn._xlws.FILTER($U$1:$AX$1,
   TRANSPOSE(
    CHOOSE({1;2;3;4;5;6;7;8;9;10;11;12;13;14;15;16;17;18;19;20;21;22;23;24;25;26;27;28;29;30},
     COUNTIFS($U$2:$U$200,$G198)&gt;0,
     COUNTIFS($V$2:$V$200,$G198)&gt;0,
     COUNTIFS($W$2:$W$200,$G198)&gt;0,
     COUNTIFS($X$2:$X$200,$G198)&gt;0,
     COUNTIFS($Y$2:$Y$200,$G198)&gt;0,
     COUNTIFS($Z$2:$Z$200,$G198)&gt;0,
     COUNTIFS($AA$2:$AA$200,$G198)&gt;0,
     COUNTIFS($AB$2:$AB$200,$G198)&gt;0,
     COUNTIFS($AC$2:$AC$200,$G198)&gt;0,
     COUNTIFS($AD$2:$AD$200,$G198)&gt;0,
     COUNTIFS($AE$2:$AE$200,$G198)&gt;0,
     COUNTIFS($AF$2:$AF$200,$G198)&gt;0,
     COUNTIFS($AG$2:$AG$200,$G198)&gt;0,
     COUNTIFS($AH$2:$AH$200,$G198)&gt;0,
     COUNTIFS($AI$2:$AI$200,$G198)&gt;0,
     COUNTIFS($AJ$2:$AJ$200,$G198)&gt;0,
     COUNTIFS($AK$2:$AK$200,$G198)&gt;0,
     COUNTIFS($AL$2:$AL$200,$G198)&gt;0,
     COUNTIFS($AM$2:$AM$200,$G198)&gt;0,
     COUNTIFS($AN$2:$AN$200,$G198)&gt;0,
     COUNTIFS($AO$2:$AO$200,$G198)&gt;0,
     COUNTIFS($AP$2:$AP$200,$G198)&gt;0,
     COUNTIFS($AQ$2:$AQ$200,$G198)&gt;0,
     COUNTIFS($AR$2:$AR$200,$G198)&gt;0,
     COUNTIFS($AS$2:$AS$200,$G198)&gt;0,
     COUNTIFS($AT$2:$AT$200,$G198)&gt;0,
     COUNTIFS($AU$2:$AU$200,$G198)&gt;0,
     COUNTIFS($AV$2:$AV$200,$G198)&gt;0,
     COUNTIFS($AW$2:$AW$200,$G198)&gt;0,
     COUNTIFS($AX$2:$AX$200,$G198)&gt;0
   )),
  ),
  2
 ),
"")</f>
        <v/>
      </c>
      <c r="E198" s="3" t="str" cm="1">
        <f t="array" aca="1" ref="E198" ca="1">IFERROR(
 INDEX(
  _xlfn._xlws.FILTER($U$1:$AX$1,
   TRANSPOSE(
    CHOOSE({1;2;3;4;5;6;7;8;9;10;11;12;13;14;15;16;17;18;19;20;21;22;23;24;25;26;27;28;29;30},
     COUNTIFS($U$2:$U$200,$G198)&gt;0,
     COUNTIFS($V$2:$V$200,$G198)&gt;0,
     COUNTIFS($W$2:$W$200,$G198)&gt;0,
     COUNTIFS($X$2:$X$200,$G198)&gt;0,
     COUNTIFS($Y$2:$Y$200,$G198)&gt;0,
     COUNTIFS($Z$2:$Z$200,$G198)&gt;0,
     COUNTIFS($AA$2:$AA$200,$G198)&gt;0,
     COUNTIFS($AB$2:$AB$200,$G198)&gt;0,
     COUNTIFS($AC$2:$AC$200,$G198)&gt;0,
     COUNTIFS($AD$2:$AD$200,$G198)&gt;0,
     COUNTIFS($AE$2:$AE$200,$G198)&gt;0,
     COUNTIFS($AF$2:$AF$200,$G198)&gt;0,
     COUNTIFS($AG$2:$AG$200,$G198)&gt;0,
     COUNTIFS($AH$2:$AH$200,$G198)&gt;0,
     COUNTIFS($AI$2:$AI$200,$G198)&gt;0,
     COUNTIFS($AJ$2:$AJ$200,$G198)&gt;0,
     COUNTIFS($AK$2:$AK$200,$G198)&gt;0,
     COUNTIFS($AL$2:$AL$200,$G198)&gt;0,
     COUNTIFS($AM$2:$AM$200,$G198)&gt;0,
     COUNTIFS($AN$2:$AN$200,$G198)&gt;0,
     COUNTIFS($AO$2:$AO$200,$G198)&gt;0,
     COUNTIFS($AP$2:$AP$200,$G198)&gt;0,
     COUNTIFS($AQ$2:$AQ$200,$G198)&gt;0,
     COUNTIFS($AR$2:$AR$200,$G198)&gt;0,
     COUNTIFS($AS$2:$AS$200,$G198)&gt;0,
     COUNTIFS($AT$2:$AT$200,$G198)&gt;0,
     COUNTIFS($AU$2:$AU$200,$G198)&gt;0,
     COUNTIFS($AV$2:$AV$200,$G198)&gt;0,
     COUNTIFS($AW$2:$AW$200,$G198)&gt;0,
     COUNTIFS($AX$2:$AX$200,$G198)&gt;0
   )),
  ),
  3
 ),
"")</f>
        <v/>
      </c>
      <c r="F198" s="3" t="str" cm="1">
        <f t="array" aca="1" ref="F198" ca="1">IFERROR(
 INDEX(
  _xlfn._xlws.FILTER($U$1:$AX$1,
   TRANSPOSE(
    CHOOSE({1;2;3;4;5;6;7;8;9;10;11;12;13;14;15;16;17;18;19;20;21;22;23;24;25;26;27;28;29;30},
     COUNTIFS($U$2:$U$200,$G198)&gt;0,
     COUNTIFS($V$2:$V$200,$G198)&gt;0,
     COUNTIFS($W$2:$W$200,$G198)&gt;0,
     COUNTIFS($X$2:$X$200,$G198)&gt;0,
     COUNTIFS($Y$2:$Y$200,$G198)&gt;0,
     COUNTIFS($Z$2:$Z$200,$G198)&gt;0,
     COUNTIFS($AA$2:$AA$200,$G198)&gt;0,
     COUNTIFS($AB$2:$AB$200,$G198)&gt;0,
     COUNTIFS($AC$2:$AC$200,$G198)&gt;0,
     COUNTIFS($AD$2:$AD$200,$G198)&gt;0,
     COUNTIFS($AE$2:$AE$200,$G198)&gt;0,
     COUNTIFS($AF$2:$AF$200,$G198)&gt;0,
     COUNTIFS($AG$2:$AG$200,$G198)&gt;0,
     COUNTIFS($AH$2:$AH$200,$G198)&gt;0,
     COUNTIFS($AI$2:$AI$200,$G198)&gt;0,
     COUNTIFS($AJ$2:$AJ$200,$G198)&gt;0,
     COUNTIFS($AK$2:$AK$200,$G198)&gt;0,
     COUNTIFS($AL$2:$AL$200,$G198)&gt;0,
     COUNTIFS($AM$2:$AM$200,$G198)&gt;0,
     COUNTIFS($AN$2:$AN$200,$G198)&gt;0,
     COUNTIFS($AO$2:$AO$200,$G198)&gt;0,
     COUNTIFS($AP$2:$AP$200,$G198)&gt;0,
     COUNTIFS($AQ$2:$AQ$200,$G198)&gt;0,
     COUNTIFS($AR$2:$AR$200,$G198)&gt;0,
     COUNTIFS($AS$2:$AS$200,$G198)&gt;0,
     COUNTIFS($AT$2:$AT$200,$G198)&gt;0,
     COUNTIFS($AU$2:$AU$200,$G198)&gt;0,
     COUNTIFS($AV$2:$AV$200,$G198)&gt;0,
     COUNTIFS($AW$2:$AW$200,$G198)&gt;0,
     COUNTIFS($AX$2:$AX$200,$G198)&gt;0
   )),
  ),
  4
 ),
"")</f>
        <v/>
      </c>
      <c r="G198" t="str">
        <f ca="1"/>
        <v>Luxury Suite</v>
      </c>
      <c r="BT198" t="str">
        <f ca="1"/>
        <v>Three Tree City</v>
      </c>
    </row>
    <row r="199" spans="1:72" x14ac:dyDescent="0.25">
      <c r="A199" s="3" t="str">
        <f t="shared" ca="1" si="8"/>
        <v>2</v>
      </c>
      <c r="B199" s="3">
        <f t="shared" ca="1" si="9"/>
        <v>1</v>
      </c>
      <c r="C199" s="3" t="str">
        <f ca="1">IFERROR(
 INDEX($U$1:$AX$1,
  MATCH(TRUE,
   CHOOSE({1;2;3;4;5;6;7;8;9;10;11;12;13;14;15;16;17;18;19;20;21;22;23;24;25;26;27;28;29;30;31;32},
    COUNTIFS($U$2:$U$200,$G199)&gt;0,
    COUNTIFS($V$2:$V$200,$G199)&gt;0,
    COUNTIFS($W$2:$W$200,$G199)&gt;0,
    COUNTIFS($X$2:$X$200,$G199)&gt;0,
    COUNTIFS($Y$2:$Y$200,$G199)&gt;0,
    COUNTIFS($Z$2:$Z$200,$G199)&gt;0,
    COUNTIFS($AA$2:$AA$200,$G199)&gt;0,
    COUNTIFS($AB$2:$AB$200,$G199)&gt;0,
    COUNTIFS($AC$2:$AC$200,$G199)&gt;0,
    COUNTIFS($AD$2:$AD$200,$G199)&gt;0,
    COUNTIFS($AE$2:$AE$200,$G199)&gt;0,
    COUNTIFS($AF$2:$AF$200,$G199)&gt;0,
    COUNTIFS($AG$2:$AG$200,$G199)&gt;0,
    COUNTIFS($AH$2:$AH$200,$G199)&gt;0,
    COUNTIFS($AI$2:$AI$200,$G199)&gt;0,
    COUNTIFS($AJ$2:$AJ$200,$G199)&gt;0,
    COUNTIFS($AK$2:$AK$200,$G199)&gt;0,
    COUNTIFS($AL$2:$AL$200,$G199)&gt;0,
    COUNTIFS($AM$2:$AM$200,$G199)&gt;0,
    COUNTIFS($AN$2:$AN$200,$G199)&gt;0,
    COUNTIFS($AO$2:$AO$200,$G199)&gt;0,
    COUNTIFS($AP$2:$AP$200,$G199)&gt;0,
    COUNTIFS($AQ$2:$AQ$200,$G199)&gt;0,
    COUNTIFS($AR$2:$AR$200,$G199)&gt;0,
    COUNTIFS($AS$2:$AS$200,$G199)&gt;0,
    COUNTIFS($AT$2:$AT$200,$G199)&gt;0,
    COUNTIFS($AU$2:$AU$200,$G199)&gt;0,
    COUNTIFS($AV$2:$AV$200,$G199)&gt;0,
    COUNTIFS($AW$2:$AW$200,$G199)&gt;0,
    COUNTIFS($AX$2:$AX$200,$G199)&gt;0
   ),
  0)
 ),
"")</f>
        <v>Narset</v>
      </c>
      <c r="D199" s="3" t="str" cm="1">
        <f t="array" aca="1" ref="D199" ca="1">IFERROR(
 INDEX(
  _xlfn._xlws.FILTER($U$1:$AX$1,
   TRANSPOSE(
    CHOOSE({1;2;3;4;5;6;7;8;9;10;11;12;13;14;15;16;17;18;19;20;21;22;23;24;25;26;27;28;29;30},
     COUNTIFS($U$2:$U$200,$G199)&gt;0,
     COUNTIFS($V$2:$V$200,$G199)&gt;0,
     COUNTIFS($W$2:$W$200,$G199)&gt;0,
     COUNTIFS($X$2:$X$200,$G199)&gt;0,
     COUNTIFS($Y$2:$Y$200,$G199)&gt;0,
     COUNTIFS($Z$2:$Z$200,$G199)&gt;0,
     COUNTIFS($AA$2:$AA$200,$G199)&gt;0,
     COUNTIFS($AB$2:$AB$200,$G199)&gt;0,
     COUNTIFS($AC$2:$AC$200,$G199)&gt;0,
     COUNTIFS($AD$2:$AD$200,$G199)&gt;0,
     COUNTIFS($AE$2:$AE$200,$G199)&gt;0,
     COUNTIFS($AF$2:$AF$200,$G199)&gt;0,
     COUNTIFS($AG$2:$AG$200,$G199)&gt;0,
     COUNTIFS($AH$2:$AH$200,$G199)&gt;0,
     COUNTIFS($AI$2:$AI$200,$G199)&gt;0,
     COUNTIFS($AJ$2:$AJ$200,$G199)&gt;0,
     COUNTIFS($AK$2:$AK$200,$G199)&gt;0,
     COUNTIFS($AL$2:$AL$200,$G199)&gt;0,
     COUNTIFS($AM$2:$AM$200,$G199)&gt;0,
     COUNTIFS($AN$2:$AN$200,$G199)&gt;0,
     COUNTIFS($AO$2:$AO$200,$G199)&gt;0,
     COUNTIFS($AP$2:$AP$200,$G199)&gt;0,
     COUNTIFS($AQ$2:$AQ$200,$G199)&gt;0,
     COUNTIFS($AR$2:$AR$200,$G199)&gt;0,
     COUNTIFS($AS$2:$AS$200,$G199)&gt;0,
     COUNTIFS($AT$2:$AT$200,$G199)&gt;0,
     COUNTIFS($AU$2:$AU$200,$G199)&gt;0,
     COUNTIFS($AV$2:$AV$200,$G199)&gt;0,
     COUNTIFS($AW$2:$AW$200,$G199)&gt;0,
     COUNTIFS($AX$2:$AX$200,$G199)&gt;0
   )),
  ),
  2
 ),
"")</f>
        <v/>
      </c>
      <c r="E199" s="3" t="str" cm="1">
        <f t="array" aca="1" ref="E199" ca="1">IFERROR(
 INDEX(
  _xlfn._xlws.FILTER($U$1:$AX$1,
   TRANSPOSE(
    CHOOSE({1;2;3;4;5;6;7;8;9;10;11;12;13;14;15;16;17;18;19;20;21;22;23;24;25;26;27;28;29;30},
     COUNTIFS($U$2:$U$200,$G199)&gt;0,
     COUNTIFS($V$2:$V$200,$G199)&gt;0,
     COUNTIFS($W$2:$W$200,$G199)&gt;0,
     COUNTIFS($X$2:$X$200,$G199)&gt;0,
     COUNTIFS($Y$2:$Y$200,$G199)&gt;0,
     COUNTIFS($Z$2:$Z$200,$G199)&gt;0,
     COUNTIFS($AA$2:$AA$200,$G199)&gt;0,
     COUNTIFS($AB$2:$AB$200,$G199)&gt;0,
     COUNTIFS($AC$2:$AC$200,$G199)&gt;0,
     COUNTIFS($AD$2:$AD$200,$G199)&gt;0,
     COUNTIFS($AE$2:$AE$200,$G199)&gt;0,
     COUNTIFS($AF$2:$AF$200,$G199)&gt;0,
     COUNTIFS($AG$2:$AG$200,$G199)&gt;0,
     COUNTIFS($AH$2:$AH$200,$G199)&gt;0,
     COUNTIFS($AI$2:$AI$200,$G199)&gt;0,
     COUNTIFS($AJ$2:$AJ$200,$G199)&gt;0,
     COUNTIFS($AK$2:$AK$200,$G199)&gt;0,
     COUNTIFS($AL$2:$AL$200,$G199)&gt;0,
     COUNTIFS($AM$2:$AM$200,$G199)&gt;0,
     COUNTIFS($AN$2:$AN$200,$G199)&gt;0,
     COUNTIFS($AO$2:$AO$200,$G199)&gt;0,
     COUNTIFS($AP$2:$AP$200,$G199)&gt;0,
     COUNTIFS($AQ$2:$AQ$200,$G199)&gt;0,
     COUNTIFS($AR$2:$AR$200,$G199)&gt;0,
     COUNTIFS($AS$2:$AS$200,$G199)&gt;0,
     COUNTIFS($AT$2:$AT$200,$G199)&gt;0,
     COUNTIFS($AU$2:$AU$200,$G199)&gt;0,
     COUNTIFS($AV$2:$AV$200,$G199)&gt;0,
     COUNTIFS($AW$2:$AW$200,$G199)&gt;0,
     COUNTIFS($AX$2:$AX$200,$G199)&gt;0
   )),
  ),
  3
 ),
"")</f>
        <v/>
      </c>
      <c r="F199" s="3" t="str" cm="1">
        <f t="array" aca="1" ref="F199" ca="1">IFERROR(
 INDEX(
  _xlfn._xlws.FILTER($U$1:$AX$1,
   TRANSPOSE(
    CHOOSE({1;2;3;4;5;6;7;8;9;10;11;12;13;14;15;16;17;18;19;20;21;22;23;24;25;26;27;28;29;30},
     COUNTIFS($U$2:$U$200,$G199)&gt;0,
     COUNTIFS($V$2:$V$200,$G199)&gt;0,
     COUNTIFS($W$2:$W$200,$G199)&gt;0,
     COUNTIFS($X$2:$X$200,$G199)&gt;0,
     COUNTIFS($Y$2:$Y$200,$G199)&gt;0,
     COUNTIFS($Z$2:$Z$200,$G199)&gt;0,
     COUNTIFS($AA$2:$AA$200,$G199)&gt;0,
     COUNTIFS($AB$2:$AB$200,$G199)&gt;0,
     COUNTIFS($AC$2:$AC$200,$G199)&gt;0,
     COUNTIFS($AD$2:$AD$200,$G199)&gt;0,
     COUNTIFS($AE$2:$AE$200,$G199)&gt;0,
     COUNTIFS($AF$2:$AF$200,$G199)&gt;0,
     COUNTIFS($AG$2:$AG$200,$G199)&gt;0,
     COUNTIFS($AH$2:$AH$200,$G199)&gt;0,
     COUNTIFS($AI$2:$AI$200,$G199)&gt;0,
     COUNTIFS($AJ$2:$AJ$200,$G199)&gt;0,
     COUNTIFS($AK$2:$AK$200,$G199)&gt;0,
     COUNTIFS($AL$2:$AL$200,$G199)&gt;0,
     COUNTIFS($AM$2:$AM$200,$G199)&gt;0,
     COUNTIFS($AN$2:$AN$200,$G199)&gt;0,
     COUNTIFS($AO$2:$AO$200,$G199)&gt;0,
     COUNTIFS($AP$2:$AP$200,$G199)&gt;0,
     COUNTIFS($AQ$2:$AQ$200,$G199)&gt;0,
     COUNTIFS($AR$2:$AR$200,$G199)&gt;0,
     COUNTIFS($AS$2:$AS$200,$G199)&gt;0,
     COUNTIFS($AT$2:$AT$200,$G199)&gt;0,
     COUNTIFS($AU$2:$AU$200,$G199)&gt;0,
     COUNTIFS($AV$2:$AV$200,$G199)&gt;0,
     COUNTIFS($AW$2:$AW$200,$G199)&gt;0,
     COUNTIFS($AX$2:$AX$200,$G199)&gt;0
   )),
  ),
  4
 ),
"")</f>
        <v/>
      </c>
      <c r="G199" t="str">
        <f ca="1"/>
        <v>Maddening Cacophony</v>
      </c>
      <c r="BT199" t="str">
        <f ca="1"/>
        <v>Three Visits</v>
      </c>
    </row>
    <row r="200" spans="1:72" x14ac:dyDescent="0.25">
      <c r="A200" s="3" t="str">
        <f t="shared" ca="1" si="8"/>
        <v>1</v>
      </c>
      <c r="B200" s="3">
        <f t="shared" ca="1" si="9"/>
        <v>1</v>
      </c>
      <c r="C200" s="3" t="str">
        <f ca="1">IFERROR(
 INDEX($U$1:$AX$1,
  MATCH(TRUE,
   CHOOSE({1;2;3;4;5;6;7;8;9;10;11;12;13;14;15;16;17;18;19;20;21;22;23;24;25;26;27;28;29;30;31;32},
    COUNTIFS($U$2:$U$200,$G200)&gt;0,
    COUNTIFS($V$2:$V$200,$G200)&gt;0,
    COUNTIFS($W$2:$W$200,$G200)&gt;0,
    COUNTIFS($X$2:$X$200,$G200)&gt;0,
    COUNTIFS($Y$2:$Y$200,$G200)&gt;0,
    COUNTIFS($Z$2:$Z$200,$G200)&gt;0,
    COUNTIFS($AA$2:$AA$200,$G200)&gt;0,
    COUNTIFS($AB$2:$AB$200,$G200)&gt;0,
    COUNTIFS($AC$2:$AC$200,$G200)&gt;0,
    COUNTIFS($AD$2:$AD$200,$G200)&gt;0,
    COUNTIFS($AE$2:$AE$200,$G200)&gt;0,
    COUNTIFS($AF$2:$AF$200,$G200)&gt;0,
    COUNTIFS($AG$2:$AG$200,$G200)&gt;0,
    COUNTIFS($AH$2:$AH$200,$G200)&gt;0,
    COUNTIFS($AI$2:$AI$200,$G200)&gt;0,
    COUNTIFS($AJ$2:$AJ$200,$G200)&gt;0,
    COUNTIFS($AK$2:$AK$200,$G200)&gt;0,
    COUNTIFS($AL$2:$AL$200,$G200)&gt;0,
    COUNTIFS($AM$2:$AM$200,$G200)&gt;0,
    COUNTIFS($AN$2:$AN$200,$G200)&gt;0,
    COUNTIFS($AO$2:$AO$200,$G200)&gt;0,
    COUNTIFS($AP$2:$AP$200,$G200)&gt;0,
    COUNTIFS($AQ$2:$AQ$200,$G200)&gt;0,
    COUNTIFS($AR$2:$AR$200,$G200)&gt;0,
    COUNTIFS($AS$2:$AS$200,$G200)&gt;0,
    COUNTIFS($AT$2:$AT$200,$G200)&gt;0,
    COUNTIFS($AU$2:$AU$200,$G200)&gt;0,
    COUNTIFS($AV$2:$AV$200,$G200)&gt;0,
    COUNTIFS($AW$2:$AW$200,$G200)&gt;0,
    COUNTIFS($AX$2:$AX$200,$G200)&gt;0
   ),
  0)
 ),
"")</f>
        <v>Tayam</v>
      </c>
      <c r="D200" s="3" t="str" cm="1">
        <f t="array" aca="1" ref="D200" ca="1">IFERROR(
 INDEX(
  _xlfn._xlws.FILTER($U$1:$AX$1,
   TRANSPOSE(
    CHOOSE({1;2;3;4;5;6;7;8;9;10;11;12;13;14;15;16;17;18;19;20;21;22;23;24;25;26;27;28;29;30},
     COUNTIFS($U$2:$U$200,$G200)&gt;0,
     COUNTIFS($V$2:$V$200,$G200)&gt;0,
     COUNTIFS($W$2:$W$200,$G200)&gt;0,
     COUNTIFS($X$2:$X$200,$G200)&gt;0,
     COUNTIFS($Y$2:$Y$200,$G200)&gt;0,
     COUNTIFS($Z$2:$Z$200,$G200)&gt;0,
     COUNTIFS($AA$2:$AA$200,$G200)&gt;0,
     COUNTIFS($AB$2:$AB$200,$G200)&gt;0,
     COUNTIFS($AC$2:$AC$200,$G200)&gt;0,
     COUNTIFS($AD$2:$AD$200,$G200)&gt;0,
     COUNTIFS($AE$2:$AE$200,$G200)&gt;0,
     COUNTIFS($AF$2:$AF$200,$G200)&gt;0,
     COUNTIFS($AG$2:$AG$200,$G200)&gt;0,
     COUNTIFS($AH$2:$AH$200,$G200)&gt;0,
     COUNTIFS($AI$2:$AI$200,$G200)&gt;0,
     COUNTIFS($AJ$2:$AJ$200,$G200)&gt;0,
     COUNTIFS($AK$2:$AK$200,$G200)&gt;0,
     COUNTIFS($AL$2:$AL$200,$G200)&gt;0,
     COUNTIFS($AM$2:$AM$200,$G200)&gt;0,
     COUNTIFS($AN$2:$AN$200,$G200)&gt;0,
     COUNTIFS($AO$2:$AO$200,$G200)&gt;0,
     COUNTIFS($AP$2:$AP$200,$G200)&gt;0,
     COUNTIFS($AQ$2:$AQ$200,$G200)&gt;0,
     COUNTIFS($AR$2:$AR$200,$G200)&gt;0,
     COUNTIFS($AS$2:$AS$200,$G200)&gt;0,
     COUNTIFS($AT$2:$AT$200,$G200)&gt;0,
     COUNTIFS($AU$2:$AU$200,$G200)&gt;0,
     COUNTIFS($AV$2:$AV$200,$G200)&gt;0,
     COUNTIFS($AW$2:$AW$200,$G200)&gt;0,
     COUNTIFS($AX$2:$AX$200,$G200)&gt;0
   )),
  ),
  2
 ),
"")</f>
        <v/>
      </c>
      <c r="E200" s="3" t="str" cm="1">
        <f t="array" aca="1" ref="E200" ca="1">IFERROR(
 INDEX(
  _xlfn._xlws.FILTER($U$1:$AX$1,
   TRANSPOSE(
    CHOOSE({1;2;3;4;5;6;7;8;9;10;11;12;13;14;15;16;17;18;19;20;21;22;23;24;25;26;27;28;29;30},
     COUNTIFS($U$2:$U$200,$G200)&gt;0,
     COUNTIFS($V$2:$V$200,$G200)&gt;0,
     COUNTIFS($W$2:$W$200,$G200)&gt;0,
     COUNTIFS($X$2:$X$200,$G200)&gt;0,
     COUNTIFS($Y$2:$Y$200,$G200)&gt;0,
     COUNTIFS($Z$2:$Z$200,$G200)&gt;0,
     COUNTIFS($AA$2:$AA$200,$G200)&gt;0,
     COUNTIFS($AB$2:$AB$200,$G200)&gt;0,
     COUNTIFS($AC$2:$AC$200,$G200)&gt;0,
     COUNTIFS($AD$2:$AD$200,$G200)&gt;0,
     COUNTIFS($AE$2:$AE$200,$G200)&gt;0,
     COUNTIFS($AF$2:$AF$200,$G200)&gt;0,
     COUNTIFS($AG$2:$AG$200,$G200)&gt;0,
     COUNTIFS($AH$2:$AH$200,$G200)&gt;0,
     COUNTIFS($AI$2:$AI$200,$G200)&gt;0,
     COUNTIFS($AJ$2:$AJ$200,$G200)&gt;0,
     COUNTIFS($AK$2:$AK$200,$G200)&gt;0,
     COUNTIFS($AL$2:$AL$200,$G200)&gt;0,
     COUNTIFS($AM$2:$AM$200,$G200)&gt;0,
     COUNTIFS($AN$2:$AN$200,$G200)&gt;0,
     COUNTIFS($AO$2:$AO$200,$G200)&gt;0,
     COUNTIFS($AP$2:$AP$200,$G200)&gt;0,
     COUNTIFS($AQ$2:$AQ$200,$G200)&gt;0,
     COUNTIFS($AR$2:$AR$200,$G200)&gt;0,
     COUNTIFS($AS$2:$AS$200,$G200)&gt;0,
     COUNTIFS($AT$2:$AT$200,$G200)&gt;0,
     COUNTIFS($AU$2:$AU$200,$G200)&gt;0,
     COUNTIFS($AV$2:$AV$200,$G200)&gt;0,
     COUNTIFS($AW$2:$AW$200,$G200)&gt;0,
     COUNTIFS($AX$2:$AX$200,$G200)&gt;0
   )),
  ),
  3
 ),
"")</f>
        <v/>
      </c>
      <c r="F200" s="3" t="str" cm="1">
        <f t="array" aca="1" ref="F200" ca="1">IFERROR(
 INDEX(
  _xlfn._xlws.FILTER($U$1:$AX$1,
   TRANSPOSE(
    CHOOSE({1;2;3;4;5;6;7;8;9;10;11;12;13;14;15;16;17;18;19;20;21;22;23;24;25;26;27;28;29;30},
     COUNTIFS($U$2:$U$200,$G200)&gt;0,
     COUNTIFS($V$2:$V$200,$G200)&gt;0,
     COUNTIFS($W$2:$W$200,$G200)&gt;0,
     COUNTIFS($X$2:$X$200,$G200)&gt;0,
     COUNTIFS($Y$2:$Y$200,$G200)&gt;0,
     COUNTIFS($Z$2:$Z$200,$G200)&gt;0,
     COUNTIFS($AA$2:$AA$200,$G200)&gt;0,
     COUNTIFS($AB$2:$AB$200,$G200)&gt;0,
     COUNTIFS($AC$2:$AC$200,$G200)&gt;0,
     COUNTIFS($AD$2:$AD$200,$G200)&gt;0,
     COUNTIFS($AE$2:$AE$200,$G200)&gt;0,
     COUNTIFS($AF$2:$AF$200,$G200)&gt;0,
     COUNTIFS($AG$2:$AG$200,$G200)&gt;0,
     COUNTIFS($AH$2:$AH$200,$G200)&gt;0,
     COUNTIFS($AI$2:$AI$200,$G200)&gt;0,
     COUNTIFS($AJ$2:$AJ$200,$G200)&gt;0,
     COUNTIFS($AK$2:$AK$200,$G200)&gt;0,
     COUNTIFS($AL$2:$AL$200,$G200)&gt;0,
     COUNTIFS($AM$2:$AM$200,$G200)&gt;0,
     COUNTIFS($AN$2:$AN$200,$G200)&gt;0,
     COUNTIFS($AO$2:$AO$200,$G200)&gt;0,
     COUNTIFS($AP$2:$AP$200,$G200)&gt;0,
     COUNTIFS($AQ$2:$AQ$200,$G200)&gt;0,
     COUNTIFS($AR$2:$AR$200,$G200)&gt;0,
     COUNTIFS($AS$2:$AS$200,$G200)&gt;0,
     COUNTIFS($AT$2:$AT$200,$G200)&gt;0,
     COUNTIFS($AU$2:$AU$200,$G200)&gt;0,
     COUNTIFS($AV$2:$AV$200,$G200)&gt;0,
     COUNTIFS($AW$2:$AW$200,$G200)&gt;0,
     COUNTIFS($AX$2:$AX$200,$G200)&gt;0
   )),
  ),
  4
 ),
"")</f>
        <v/>
      </c>
      <c r="G200" t="str">
        <f ca="1"/>
        <v>Maester Seymour</v>
      </c>
      <c r="BT200" t="str">
        <f ca="1"/>
        <v>Throne of the God-Pharaoh</v>
      </c>
    </row>
    <row r="201" spans="1:72" x14ac:dyDescent="0.25">
      <c r="A201" s="3" t="str">
        <f t="shared" ca="1" si="8"/>
        <v>2</v>
      </c>
      <c r="B201" s="3">
        <f t="shared" ca="1" si="9"/>
        <v>1</v>
      </c>
      <c r="C201" s="3" t="str">
        <f ca="1">IFERROR(
 INDEX($U$1:$AX$1,
  MATCH(TRUE,
   CHOOSE({1;2;3;4;5;6;7;8;9;10;11;12;13;14;15;16;17;18;19;20;21;22;23;24;25;26;27;28;29;30;31;32},
    COUNTIFS($U$2:$U$200,$G201)&gt;0,
    COUNTIFS($V$2:$V$200,$G201)&gt;0,
    COUNTIFS($W$2:$W$200,$G201)&gt;0,
    COUNTIFS($X$2:$X$200,$G201)&gt;0,
    COUNTIFS($Y$2:$Y$200,$G201)&gt;0,
    COUNTIFS($Z$2:$Z$200,$G201)&gt;0,
    COUNTIFS($AA$2:$AA$200,$G201)&gt;0,
    COUNTIFS($AB$2:$AB$200,$G201)&gt;0,
    COUNTIFS($AC$2:$AC$200,$G201)&gt;0,
    COUNTIFS($AD$2:$AD$200,$G201)&gt;0,
    COUNTIFS($AE$2:$AE$200,$G201)&gt;0,
    COUNTIFS($AF$2:$AF$200,$G201)&gt;0,
    COUNTIFS($AG$2:$AG$200,$G201)&gt;0,
    COUNTIFS($AH$2:$AH$200,$G201)&gt;0,
    COUNTIFS($AI$2:$AI$200,$G201)&gt;0,
    COUNTIFS($AJ$2:$AJ$200,$G201)&gt;0,
    COUNTIFS($AK$2:$AK$200,$G201)&gt;0,
    COUNTIFS($AL$2:$AL$200,$G201)&gt;0,
    COUNTIFS($AM$2:$AM$200,$G201)&gt;0,
    COUNTIFS($AN$2:$AN$200,$G201)&gt;0,
    COUNTIFS($AO$2:$AO$200,$G201)&gt;0,
    COUNTIFS($AP$2:$AP$200,$G201)&gt;0,
    COUNTIFS($AQ$2:$AQ$200,$G201)&gt;0,
    COUNTIFS($AR$2:$AR$200,$G201)&gt;0,
    COUNTIFS($AS$2:$AS$200,$G201)&gt;0,
    COUNTIFS($AT$2:$AT$200,$G201)&gt;0,
    COUNTIFS($AU$2:$AU$200,$G201)&gt;0,
    COUNTIFS($AV$2:$AV$200,$G201)&gt;0,
    COUNTIFS($AW$2:$AW$200,$G201)&gt;0,
    COUNTIFS($AX$2:$AX$200,$G201)&gt;0
   ),
  0)
 ),
"")</f>
        <v>Piratas</v>
      </c>
      <c r="D201" s="3" t="str" cm="1">
        <f t="array" aca="1" ref="D201" ca="1">IFERROR(
 INDEX(
  _xlfn._xlws.FILTER($U$1:$AX$1,
   TRANSPOSE(
    CHOOSE({1;2;3;4;5;6;7;8;9;10;11;12;13;14;15;16;17;18;19;20;21;22;23;24;25;26;27;28;29;30},
     COUNTIFS($U$2:$U$200,$G201)&gt;0,
     COUNTIFS($V$2:$V$200,$G201)&gt;0,
     COUNTIFS($W$2:$W$200,$G201)&gt;0,
     COUNTIFS($X$2:$X$200,$G201)&gt;0,
     COUNTIFS($Y$2:$Y$200,$G201)&gt;0,
     COUNTIFS($Z$2:$Z$200,$G201)&gt;0,
     COUNTIFS($AA$2:$AA$200,$G201)&gt;0,
     COUNTIFS($AB$2:$AB$200,$G201)&gt;0,
     COUNTIFS($AC$2:$AC$200,$G201)&gt;0,
     COUNTIFS($AD$2:$AD$200,$G201)&gt;0,
     COUNTIFS($AE$2:$AE$200,$G201)&gt;0,
     COUNTIFS($AF$2:$AF$200,$G201)&gt;0,
     COUNTIFS($AG$2:$AG$200,$G201)&gt;0,
     COUNTIFS($AH$2:$AH$200,$G201)&gt;0,
     COUNTIFS($AI$2:$AI$200,$G201)&gt;0,
     COUNTIFS($AJ$2:$AJ$200,$G201)&gt;0,
     COUNTIFS($AK$2:$AK$200,$G201)&gt;0,
     COUNTIFS($AL$2:$AL$200,$G201)&gt;0,
     COUNTIFS($AM$2:$AM$200,$G201)&gt;0,
     COUNTIFS($AN$2:$AN$200,$G201)&gt;0,
     COUNTIFS($AO$2:$AO$200,$G201)&gt;0,
     COUNTIFS($AP$2:$AP$200,$G201)&gt;0,
     COUNTIFS($AQ$2:$AQ$200,$G201)&gt;0,
     COUNTIFS($AR$2:$AR$200,$G201)&gt;0,
     COUNTIFS($AS$2:$AS$200,$G201)&gt;0,
     COUNTIFS($AT$2:$AT$200,$G201)&gt;0,
     COUNTIFS($AU$2:$AU$200,$G201)&gt;0,
     COUNTIFS($AV$2:$AV$200,$G201)&gt;0,
     COUNTIFS($AW$2:$AW$200,$G201)&gt;0,
     COUNTIFS($AX$2:$AX$200,$G201)&gt;0
   )),
  ),
  2
 ),
"")</f>
        <v/>
      </c>
      <c r="E201" s="3" t="str" cm="1">
        <f t="array" aca="1" ref="E201" ca="1">IFERROR(
 INDEX(
  _xlfn._xlws.FILTER($U$1:$AX$1,
   TRANSPOSE(
    CHOOSE({1;2;3;4;5;6;7;8;9;10;11;12;13;14;15;16;17;18;19;20;21;22;23;24;25;26;27;28;29;30},
     COUNTIFS($U$2:$U$200,$G201)&gt;0,
     COUNTIFS($V$2:$V$200,$G201)&gt;0,
     COUNTIFS($W$2:$W$200,$G201)&gt;0,
     COUNTIFS($X$2:$X$200,$G201)&gt;0,
     COUNTIFS($Y$2:$Y$200,$G201)&gt;0,
     COUNTIFS($Z$2:$Z$200,$G201)&gt;0,
     COUNTIFS($AA$2:$AA$200,$G201)&gt;0,
     COUNTIFS($AB$2:$AB$200,$G201)&gt;0,
     COUNTIFS($AC$2:$AC$200,$G201)&gt;0,
     COUNTIFS($AD$2:$AD$200,$G201)&gt;0,
     COUNTIFS($AE$2:$AE$200,$G201)&gt;0,
     COUNTIFS($AF$2:$AF$200,$G201)&gt;0,
     COUNTIFS($AG$2:$AG$200,$G201)&gt;0,
     COUNTIFS($AH$2:$AH$200,$G201)&gt;0,
     COUNTIFS($AI$2:$AI$200,$G201)&gt;0,
     COUNTIFS($AJ$2:$AJ$200,$G201)&gt;0,
     COUNTIFS($AK$2:$AK$200,$G201)&gt;0,
     COUNTIFS($AL$2:$AL$200,$G201)&gt;0,
     COUNTIFS($AM$2:$AM$200,$G201)&gt;0,
     COUNTIFS($AN$2:$AN$200,$G201)&gt;0,
     COUNTIFS($AO$2:$AO$200,$G201)&gt;0,
     COUNTIFS($AP$2:$AP$200,$G201)&gt;0,
     COUNTIFS($AQ$2:$AQ$200,$G201)&gt;0,
     COUNTIFS($AR$2:$AR$200,$G201)&gt;0,
     COUNTIFS($AS$2:$AS$200,$G201)&gt;0,
     COUNTIFS($AT$2:$AT$200,$G201)&gt;0,
     COUNTIFS($AU$2:$AU$200,$G201)&gt;0,
     COUNTIFS($AV$2:$AV$200,$G201)&gt;0,
     COUNTIFS($AW$2:$AW$200,$G201)&gt;0,
     COUNTIFS($AX$2:$AX$200,$G201)&gt;0
   )),
  ),
  3
 ),
"")</f>
        <v/>
      </c>
      <c r="F201" s="3" t="str" cm="1">
        <f t="array" aca="1" ref="F201" ca="1">IFERROR(
 INDEX(
  _xlfn._xlws.FILTER($U$1:$AX$1,
   TRANSPOSE(
    CHOOSE({1;2;3;4;5;6;7;8;9;10;11;12;13;14;15;16;17;18;19;20;21;22;23;24;25;26;27;28;29;30},
     COUNTIFS($U$2:$U$200,$G201)&gt;0,
     COUNTIFS($V$2:$V$200,$G201)&gt;0,
     COUNTIFS($W$2:$W$200,$G201)&gt;0,
     COUNTIFS($X$2:$X$200,$G201)&gt;0,
     COUNTIFS($Y$2:$Y$200,$G201)&gt;0,
     COUNTIFS($Z$2:$Z$200,$G201)&gt;0,
     COUNTIFS($AA$2:$AA$200,$G201)&gt;0,
     COUNTIFS($AB$2:$AB$200,$G201)&gt;0,
     COUNTIFS($AC$2:$AC$200,$G201)&gt;0,
     COUNTIFS($AD$2:$AD$200,$G201)&gt;0,
     COUNTIFS($AE$2:$AE$200,$G201)&gt;0,
     COUNTIFS($AF$2:$AF$200,$G201)&gt;0,
     COUNTIFS($AG$2:$AG$200,$G201)&gt;0,
     COUNTIFS($AH$2:$AH$200,$G201)&gt;0,
     COUNTIFS($AI$2:$AI$200,$G201)&gt;0,
     COUNTIFS($AJ$2:$AJ$200,$G201)&gt;0,
     COUNTIFS($AK$2:$AK$200,$G201)&gt;0,
     COUNTIFS($AL$2:$AL$200,$G201)&gt;0,
     COUNTIFS($AM$2:$AM$200,$G201)&gt;0,
     COUNTIFS($AN$2:$AN$200,$G201)&gt;0,
     COUNTIFS($AO$2:$AO$200,$G201)&gt;0,
     COUNTIFS($AP$2:$AP$200,$G201)&gt;0,
     COUNTIFS($AQ$2:$AQ$200,$G201)&gt;0,
     COUNTIFS($AR$2:$AR$200,$G201)&gt;0,
     COUNTIFS($AS$2:$AS$200,$G201)&gt;0,
     COUNTIFS($AT$2:$AT$200,$G201)&gt;0,
     COUNTIFS($AU$2:$AU$200,$G201)&gt;0,
     COUNTIFS($AV$2:$AV$200,$G201)&gt;0,
     COUNTIFS($AW$2:$AW$200,$G201)&gt;0,
     COUNTIFS($AX$2:$AX$200,$G201)&gt;0
   )),
  ),
  4
 ),
"")</f>
        <v/>
      </c>
      <c r="G201" t="str">
        <f ca="1"/>
        <v>Malcolm, Alluring Scoundrel</v>
      </c>
      <c r="BT201" t="str">
        <f ca="1"/>
        <v>Thrumming Hivepool</v>
      </c>
    </row>
    <row r="202" spans="1:72" x14ac:dyDescent="0.25">
      <c r="A202" s="3" t="str">
        <f t="shared" ca="1" si="8"/>
        <v>1</v>
      </c>
      <c r="B202" s="3">
        <f t="shared" ca="1" si="9"/>
        <v>1</v>
      </c>
      <c r="C202" s="3" t="str">
        <f ca="1">IFERROR(
 INDEX($U$1:$AX$1,
  MATCH(TRUE,
   CHOOSE({1;2;3;4;5;6;7;8;9;10;11;12;13;14;15;16;17;18;19;20;21;22;23;24;25;26;27;28;29;30;31;32},
    COUNTIFS($U$2:$U$200,$G202)&gt;0,
    COUNTIFS($V$2:$V$200,$G202)&gt;0,
    COUNTIFS($W$2:$W$200,$G202)&gt;0,
    COUNTIFS($X$2:$X$200,$G202)&gt;0,
    COUNTIFS($Y$2:$Y$200,$G202)&gt;0,
    COUNTIFS($Z$2:$Z$200,$G202)&gt;0,
    COUNTIFS($AA$2:$AA$200,$G202)&gt;0,
    COUNTIFS($AB$2:$AB$200,$G202)&gt;0,
    COUNTIFS($AC$2:$AC$200,$G202)&gt;0,
    COUNTIFS($AD$2:$AD$200,$G202)&gt;0,
    COUNTIFS($AE$2:$AE$200,$G202)&gt;0,
    COUNTIFS($AF$2:$AF$200,$G202)&gt;0,
    COUNTIFS($AG$2:$AG$200,$G202)&gt;0,
    COUNTIFS($AH$2:$AH$200,$G202)&gt;0,
    COUNTIFS($AI$2:$AI$200,$G202)&gt;0,
    COUNTIFS($AJ$2:$AJ$200,$G202)&gt;0,
    COUNTIFS($AK$2:$AK$200,$G202)&gt;0,
    COUNTIFS($AL$2:$AL$200,$G202)&gt;0,
    COUNTIFS($AM$2:$AM$200,$G202)&gt;0,
    COUNTIFS($AN$2:$AN$200,$G202)&gt;0,
    COUNTIFS($AO$2:$AO$200,$G202)&gt;0,
    COUNTIFS($AP$2:$AP$200,$G202)&gt;0,
    COUNTIFS($AQ$2:$AQ$200,$G202)&gt;0,
    COUNTIFS($AR$2:$AR$200,$G202)&gt;0,
    COUNTIFS($AS$2:$AS$200,$G202)&gt;0,
    COUNTIFS($AT$2:$AT$200,$G202)&gt;0,
    COUNTIFS($AU$2:$AU$200,$G202)&gt;0,
    COUNTIFS($AV$2:$AV$200,$G202)&gt;0,
    COUNTIFS($AW$2:$AW$200,$G202)&gt;0,
    COUNTIFS($AX$2:$AX$200,$G202)&gt;0
   ),
  0)
 ),
"")</f>
        <v>Tayam</v>
      </c>
      <c r="D202" s="3" t="str" cm="1">
        <f t="array" aca="1" ref="D202" ca="1">IFERROR(
 INDEX(
  _xlfn._xlws.FILTER($U$1:$AX$1,
   TRANSPOSE(
    CHOOSE({1;2;3;4;5;6;7;8;9;10;11;12;13;14;15;16;17;18;19;20;21;22;23;24;25;26;27;28;29;30},
     COUNTIFS($U$2:$U$200,$G202)&gt;0,
     COUNTIFS($V$2:$V$200,$G202)&gt;0,
     COUNTIFS($W$2:$W$200,$G202)&gt;0,
     COUNTIFS($X$2:$X$200,$G202)&gt;0,
     COUNTIFS($Y$2:$Y$200,$G202)&gt;0,
     COUNTIFS($Z$2:$Z$200,$G202)&gt;0,
     COUNTIFS($AA$2:$AA$200,$G202)&gt;0,
     COUNTIFS($AB$2:$AB$200,$G202)&gt;0,
     COUNTIFS($AC$2:$AC$200,$G202)&gt;0,
     COUNTIFS($AD$2:$AD$200,$G202)&gt;0,
     COUNTIFS($AE$2:$AE$200,$G202)&gt;0,
     COUNTIFS($AF$2:$AF$200,$G202)&gt;0,
     COUNTIFS($AG$2:$AG$200,$G202)&gt;0,
     COUNTIFS($AH$2:$AH$200,$G202)&gt;0,
     COUNTIFS($AI$2:$AI$200,$G202)&gt;0,
     COUNTIFS($AJ$2:$AJ$200,$G202)&gt;0,
     COUNTIFS($AK$2:$AK$200,$G202)&gt;0,
     COUNTIFS($AL$2:$AL$200,$G202)&gt;0,
     COUNTIFS($AM$2:$AM$200,$G202)&gt;0,
     COUNTIFS($AN$2:$AN$200,$G202)&gt;0,
     COUNTIFS($AO$2:$AO$200,$G202)&gt;0,
     COUNTIFS($AP$2:$AP$200,$G202)&gt;0,
     COUNTIFS($AQ$2:$AQ$200,$G202)&gt;0,
     COUNTIFS($AR$2:$AR$200,$G202)&gt;0,
     COUNTIFS($AS$2:$AS$200,$G202)&gt;0,
     COUNTIFS($AT$2:$AT$200,$G202)&gt;0,
     COUNTIFS($AU$2:$AU$200,$G202)&gt;0,
     COUNTIFS($AV$2:$AV$200,$G202)&gt;0,
     COUNTIFS($AW$2:$AW$200,$G202)&gt;0,
     COUNTIFS($AX$2:$AX$200,$G202)&gt;0
   )),
  ),
  2
 ),
"")</f>
        <v/>
      </c>
      <c r="E202" s="3" t="str" cm="1">
        <f t="array" aca="1" ref="E202" ca="1">IFERROR(
 INDEX(
  _xlfn._xlws.FILTER($U$1:$AX$1,
   TRANSPOSE(
    CHOOSE({1;2;3;4;5;6;7;8;9;10;11;12;13;14;15;16;17;18;19;20;21;22;23;24;25;26;27;28;29;30},
     COUNTIFS($U$2:$U$200,$G202)&gt;0,
     COUNTIFS($V$2:$V$200,$G202)&gt;0,
     COUNTIFS($W$2:$W$200,$G202)&gt;0,
     COUNTIFS($X$2:$X$200,$G202)&gt;0,
     COUNTIFS($Y$2:$Y$200,$G202)&gt;0,
     COUNTIFS($Z$2:$Z$200,$G202)&gt;0,
     COUNTIFS($AA$2:$AA$200,$G202)&gt;0,
     COUNTIFS($AB$2:$AB$200,$G202)&gt;0,
     COUNTIFS($AC$2:$AC$200,$G202)&gt;0,
     COUNTIFS($AD$2:$AD$200,$G202)&gt;0,
     COUNTIFS($AE$2:$AE$200,$G202)&gt;0,
     COUNTIFS($AF$2:$AF$200,$G202)&gt;0,
     COUNTIFS($AG$2:$AG$200,$G202)&gt;0,
     COUNTIFS($AH$2:$AH$200,$G202)&gt;0,
     COUNTIFS($AI$2:$AI$200,$G202)&gt;0,
     COUNTIFS($AJ$2:$AJ$200,$G202)&gt;0,
     COUNTIFS($AK$2:$AK$200,$G202)&gt;0,
     COUNTIFS($AL$2:$AL$200,$G202)&gt;0,
     COUNTIFS($AM$2:$AM$200,$G202)&gt;0,
     COUNTIFS($AN$2:$AN$200,$G202)&gt;0,
     COUNTIFS($AO$2:$AO$200,$G202)&gt;0,
     COUNTIFS($AP$2:$AP$200,$G202)&gt;0,
     COUNTIFS($AQ$2:$AQ$200,$G202)&gt;0,
     COUNTIFS($AR$2:$AR$200,$G202)&gt;0,
     COUNTIFS($AS$2:$AS$200,$G202)&gt;0,
     COUNTIFS($AT$2:$AT$200,$G202)&gt;0,
     COUNTIFS($AU$2:$AU$200,$G202)&gt;0,
     COUNTIFS($AV$2:$AV$200,$G202)&gt;0,
     COUNTIFS($AW$2:$AW$200,$G202)&gt;0,
     COUNTIFS($AX$2:$AX$200,$G202)&gt;0
   )),
  ),
  3
 ),
"")</f>
        <v/>
      </c>
      <c r="F202" s="3" t="str" cm="1">
        <f t="array" aca="1" ref="F202" ca="1">IFERROR(
 INDEX(
  _xlfn._xlws.FILTER($U$1:$AX$1,
   TRANSPOSE(
    CHOOSE({1;2;3;4;5;6;7;8;9;10;11;12;13;14;15;16;17;18;19;20;21;22;23;24;25;26;27;28;29;30},
     COUNTIFS($U$2:$U$200,$G202)&gt;0,
     COUNTIFS($V$2:$V$200,$G202)&gt;0,
     COUNTIFS($W$2:$W$200,$G202)&gt;0,
     COUNTIFS($X$2:$X$200,$G202)&gt;0,
     COUNTIFS($Y$2:$Y$200,$G202)&gt;0,
     COUNTIFS($Z$2:$Z$200,$G202)&gt;0,
     COUNTIFS($AA$2:$AA$200,$G202)&gt;0,
     COUNTIFS($AB$2:$AB$200,$G202)&gt;0,
     COUNTIFS($AC$2:$AC$200,$G202)&gt;0,
     COUNTIFS($AD$2:$AD$200,$G202)&gt;0,
     COUNTIFS($AE$2:$AE$200,$G202)&gt;0,
     COUNTIFS($AF$2:$AF$200,$G202)&gt;0,
     COUNTIFS($AG$2:$AG$200,$G202)&gt;0,
     COUNTIFS($AH$2:$AH$200,$G202)&gt;0,
     COUNTIFS($AI$2:$AI$200,$G202)&gt;0,
     COUNTIFS($AJ$2:$AJ$200,$G202)&gt;0,
     COUNTIFS($AK$2:$AK$200,$G202)&gt;0,
     COUNTIFS($AL$2:$AL$200,$G202)&gt;0,
     COUNTIFS($AM$2:$AM$200,$G202)&gt;0,
     COUNTIFS($AN$2:$AN$200,$G202)&gt;0,
     COUNTIFS($AO$2:$AO$200,$G202)&gt;0,
     COUNTIFS($AP$2:$AP$200,$G202)&gt;0,
     COUNTIFS($AQ$2:$AQ$200,$G202)&gt;0,
     COUNTIFS($AR$2:$AR$200,$G202)&gt;0,
     COUNTIFS($AS$2:$AS$200,$G202)&gt;0,
     COUNTIFS($AT$2:$AT$200,$G202)&gt;0,
     COUNTIFS($AU$2:$AU$200,$G202)&gt;0,
     COUNTIFS($AV$2:$AV$200,$G202)&gt;0,
     COUNTIFS($AW$2:$AW$200,$G202)&gt;0,
     COUNTIFS($AX$2:$AX$200,$G202)&gt;0
   )),
  ),
  4
 ),
"")</f>
        <v/>
      </c>
      <c r="G202" t="str">
        <f ca="1"/>
        <v>Managorger Hydra</v>
      </c>
      <c r="BT202" t="str">
        <f ca="1"/>
        <v>Tishana, Voice of Thunder</v>
      </c>
    </row>
    <row r="203" spans="1:72" x14ac:dyDescent="0.25">
      <c r="A203" s="3" t="str">
        <f t="shared" ca="1" si="8"/>
        <v>3</v>
      </c>
      <c r="B203" s="3">
        <f t="shared" ca="1" si="9"/>
        <v>1</v>
      </c>
      <c r="C203" s="3" t="str">
        <f ca="1">IFERROR(
 INDEX($U$1:$AX$1,
  MATCH(TRUE,
   CHOOSE({1;2;3;4;5;6;7;8;9;10;11;12;13;14;15;16;17;18;19;20;21;22;23;24;25;26;27;28;29;30;31;32},
    COUNTIFS($U$2:$U$200,$G203)&gt;0,
    COUNTIFS($V$2:$V$200,$G203)&gt;0,
    COUNTIFS($W$2:$W$200,$G203)&gt;0,
    COUNTIFS($X$2:$X$200,$G203)&gt;0,
    COUNTIFS($Y$2:$Y$200,$G203)&gt;0,
    COUNTIFS($Z$2:$Z$200,$G203)&gt;0,
    COUNTIFS($AA$2:$AA$200,$G203)&gt;0,
    COUNTIFS($AB$2:$AB$200,$G203)&gt;0,
    COUNTIFS($AC$2:$AC$200,$G203)&gt;0,
    COUNTIFS($AD$2:$AD$200,$G203)&gt;0,
    COUNTIFS($AE$2:$AE$200,$G203)&gt;0,
    COUNTIFS($AF$2:$AF$200,$G203)&gt;0,
    COUNTIFS($AG$2:$AG$200,$G203)&gt;0,
    COUNTIFS($AH$2:$AH$200,$G203)&gt;0,
    COUNTIFS($AI$2:$AI$200,$G203)&gt;0,
    COUNTIFS($AJ$2:$AJ$200,$G203)&gt;0,
    COUNTIFS($AK$2:$AK$200,$G203)&gt;0,
    COUNTIFS($AL$2:$AL$200,$G203)&gt;0,
    COUNTIFS($AM$2:$AM$200,$G203)&gt;0,
    COUNTIFS($AN$2:$AN$200,$G203)&gt;0,
    COUNTIFS($AO$2:$AO$200,$G203)&gt;0,
    COUNTIFS($AP$2:$AP$200,$G203)&gt;0,
    COUNTIFS($AQ$2:$AQ$200,$G203)&gt;0,
    COUNTIFS($AR$2:$AR$200,$G203)&gt;0,
    COUNTIFS($AS$2:$AS$200,$G203)&gt;0,
    COUNTIFS($AT$2:$AT$200,$G203)&gt;0,
    COUNTIFS($AU$2:$AU$200,$G203)&gt;0,
    COUNTIFS($AV$2:$AV$200,$G203)&gt;0,
    COUNTIFS($AW$2:$AW$200,$G203)&gt;0,
    COUNTIFS($AX$2:$AX$200,$G203)&gt;0
   ),
  0)
 ),
"")</f>
        <v>VialIshai</v>
      </c>
      <c r="D203" s="3" t="str" cm="1">
        <f t="array" aca="1" ref="D203" ca="1">IFERROR(
 INDEX(
  _xlfn._xlws.FILTER($U$1:$AX$1,
   TRANSPOSE(
    CHOOSE({1;2;3;4;5;6;7;8;9;10;11;12;13;14;15;16;17;18;19;20;21;22;23;24;25;26;27;28;29;30},
     COUNTIFS($U$2:$U$200,$G203)&gt;0,
     COUNTIFS($V$2:$V$200,$G203)&gt;0,
     COUNTIFS($W$2:$W$200,$G203)&gt;0,
     COUNTIFS($X$2:$X$200,$G203)&gt;0,
     COUNTIFS($Y$2:$Y$200,$G203)&gt;0,
     COUNTIFS($Z$2:$Z$200,$G203)&gt;0,
     COUNTIFS($AA$2:$AA$200,$G203)&gt;0,
     COUNTIFS($AB$2:$AB$200,$G203)&gt;0,
     COUNTIFS($AC$2:$AC$200,$G203)&gt;0,
     COUNTIFS($AD$2:$AD$200,$G203)&gt;0,
     COUNTIFS($AE$2:$AE$200,$G203)&gt;0,
     COUNTIFS($AF$2:$AF$200,$G203)&gt;0,
     COUNTIFS($AG$2:$AG$200,$G203)&gt;0,
     COUNTIFS($AH$2:$AH$200,$G203)&gt;0,
     COUNTIFS($AI$2:$AI$200,$G203)&gt;0,
     COUNTIFS($AJ$2:$AJ$200,$G203)&gt;0,
     COUNTIFS($AK$2:$AK$200,$G203)&gt;0,
     COUNTIFS($AL$2:$AL$200,$G203)&gt;0,
     COUNTIFS($AM$2:$AM$200,$G203)&gt;0,
     COUNTIFS($AN$2:$AN$200,$G203)&gt;0,
     COUNTIFS($AO$2:$AO$200,$G203)&gt;0,
     COUNTIFS($AP$2:$AP$200,$G203)&gt;0,
     COUNTIFS($AQ$2:$AQ$200,$G203)&gt;0,
     COUNTIFS($AR$2:$AR$200,$G203)&gt;0,
     COUNTIFS($AS$2:$AS$200,$G203)&gt;0,
     COUNTIFS($AT$2:$AT$200,$G203)&gt;0,
     COUNTIFS($AU$2:$AU$200,$G203)&gt;0,
     COUNTIFS($AV$2:$AV$200,$G203)&gt;0,
     COUNTIFS($AW$2:$AW$200,$G203)&gt;0,
     COUNTIFS($AX$2:$AX$200,$G203)&gt;0
   )),
  ),
  2
 ),
"")</f>
        <v/>
      </c>
      <c r="E203" s="3" t="str" cm="1">
        <f t="array" aca="1" ref="E203" ca="1">IFERROR(
 INDEX(
  _xlfn._xlws.FILTER($U$1:$AX$1,
   TRANSPOSE(
    CHOOSE({1;2;3;4;5;6;7;8;9;10;11;12;13;14;15;16;17;18;19;20;21;22;23;24;25;26;27;28;29;30},
     COUNTIFS($U$2:$U$200,$G203)&gt;0,
     COUNTIFS($V$2:$V$200,$G203)&gt;0,
     COUNTIFS($W$2:$W$200,$G203)&gt;0,
     COUNTIFS($X$2:$X$200,$G203)&gt;0,
     COUNTIFS($Y$2:$Y$200,$G203)&gt;0,
     COUNTIFS($Z$2:$Z$200,$G203)&gt;0,
     COUNTIFS($AA$2:$AA$200,$G203)&gt;0,
     COUNTIFS($AB$2:$AB$200,$G203)&gt;0,
     COUNTIFS($AC$2:$AC$200,$G203)&gt;0,
     COUNTIFS($AD$2:$AD$200,$G203)&gt;0,
     COUNTIFS($AE$2:$AE$200,$G203)&gt;0,
     COUNTIFS($AF$2:$AF$200,$G203)&gt;0,
     COUNTIFS($AG$2:$AG$200,$G203)&gt;0,
     COUNTIFS($AH$2:$AH$200,$G203)&gt;0,
     COUNTIFS($AI$2:$AI$200,$G203)&gt;0,
     COUNTIFS($AJ$2:$AJ$200,$G203)&gt;0,
     COUNTIFS($AK$2:$AK$200,$G203)&gt;0,
     COUNTIFS($AL$2:$AL$200,$G203)&gt;0,
     COUNTIFS($AM$2:$AM$200,$G203)&gt;0,
     COUNTIFS($AN$2:$AN$200,$G203)&gt;0,
     COUNTIFS($AO$2:$AO$200,$G203)&gt;0,
     COUNTIFS($AP$2:$AP$200,$G203)&gt;0,
     COUNTIFS($AQ$2:$AQ$200,$G203)&gt;0,
     COUNTIFS($AR$2:$AR$200,$G203)&gt;0,
     COUNTIFS($AS$2:$AS$200,$G203)&gt;0,
     COUNTIFS($AT$2:$AT$200,$G203)&gt;0,
     COUNTIFS($AU$2:$AU$200,$G203)&gt;0,
     COUNTIFS($AV$2:$AV$200,$G203)&gt;0,
     COUNTIFS($AW$2:$AW$200,$G203)&gt;0,
     COUNTIFS($AX$2:$AX$200,$G203)&gt;0
   )),
  ),
  3
 ),
"")</f>
        <v/>
      </c>
      <c r="F203" s="3" t="str" cm="1">
        <f t="array" aca="1" ref="F203" ca="1">IFERROR(
 INDEX(
  _xlfn._xlws.FILTER($U$1:$AX$1,
   TRANSPOSE(
    CHOOSE({1;2;3;4;5;6;7;8;9;10;11;12;13;14;15;16;17;18;19;20;21;22;23;24;25;26;27;28;29;30},
     COUNTIFS($U$2:$U$200,$G203)&gt;0,
     COUNTIFS($V$2:$V$200,$G203)&gt;0,
     COUNTIFS($W$2:$W$200,$G203)&gt;0,
     COUNTIFS($X$2:$X$200,$G203)&gt;0,
     COUNTIFS($Y$2:$Y$200,$G203)&gt;0,
     COUNTIFS($Z$2:$Z$200,$G203)&gt;0,
     COUNTIFS($AA$2:$AA$200,$G203)&gt;0,
     COUNTIFS($AB$2:$AB$200,$G203)&gt;0,
     COUNTIFS($AC$2:$AC$200,$G203)&gt;0,
     COUNTIFS($AD$2:$AD$200,$G203)&gt;0,
     COUNTIFS($AE$2:$AE$200,$G203)&gt;0,
     COUNTIFS($AF$2:$AF$200,$G203)&gt;0,
     COUNTIFS($AG$2:$AG$200,$G203)&gt;0,
     COUNTIFS($AH$2:$AH$200,$G203)&gt;0,
     COUNTIFS($AI$2:$AI$200,$G203)&gt;0,
     COUNTIFS($AJ$2:$AJ$200,$G203)&gt;0,
     COUNTIFS($AK$2:$AK$200,$G203)&gt;0,
     COUNTIFS($AL$2:$AL$200,$G203)&gt;0,
     COUNTIFS($AM$2:$AM$200,$G203)&gt;0,
     COUNTIFS($AN$2:$AN$200,$G203)&gt;0,
     COUNTIFS($AO$2:$AO$200,$G203)&gt;0,
     COUNTIFS($AP$2:$AP$200,$G203)&gt;0,
     COUNTIFS($AQ$2:$AQ$200,$G203)&gt;0,
     COUNTIFS($AR$2:$AR$200,$G203)&gt;0,
     COUNTIFS($AS$2:$AS$200,$G203)&gt;0,
     COUNTIFS($AT$2:$AT$200,$G203)&gt;0,
     COUNTIFS($AU$2:$AU$200,$G203)&gt;0,
     COUNTIFS($AV$2:$AV$200,$G203)&gt;0,
     COUNTIFS($AW$2:$AW$200,$G203)&gt;0,
     COUNTIFS($AX$2:$AX$200,$G203)&gt;0
   )),
  ),
  4
 ),
"")</f>
        <v/>
      </c>
      <c r="G203" t="str">
        <f ca="1"/>
        <v>Mandate of Peace</v>
      </c>
      <c r="BT203" t="str">
        <f ca="1"/>
        <v>Titania, Voice of Gaea</v>
      </c>
    </row>
    <row r="204" spans="1:72" x14ac:dyDescent="0.25">
      <c r="A204" s="3" t="str">
        <f t="shared" ca="1" si="8"/>
        <v>1</v>
      </c>
      <c r="B204" s="3">
        <f t="shared" ca="1" si="9"/>
        <v>1</v>
      </c>
      <c r="C204" s="3" t="str">
        <f ca="1">IFERROR(
 INDEX($U$1:$AX$1,
  MATCH(TRUE,
   CHOOSE({1;2;3;4;5;6;7;8;9;10;11;12;13;14;15;16;17;18;19;20;21;22;23;24;25;26;27;28;29;30;31;32},
    COUNTIFS($U$2:$U$200,$G204)&gt;0,
    COUNTIFS($V$2:$V$200,$G204)&gt;0,
    COUNTIFS($W$2:$W$200,$G204)&gt;0,
    COUNTIFS($X$2:$X$200,$G204)&gt;0,
    COUNTIFS($Y$2:$Y$200,$G204)&gt;0,
    COUNTIFS($Z$2:$Z$200,$G204)&gt;0,
    COUNTIFS($AA$2:$AA$200,$G204)&gt;0,
    COUNTIFS($AB$2:$AB$200,$G204)&gt;0,
    COUNTIFS($AC$2:$AC$200,$G204)&gt;0,
    COUNTIFS($AD$2:$AD$200,$G204)&gt;0,
    COUNTIFS($AE$2:$AE$200,$G204)&gt;0,
    COUNTIFS($AF$2:$AF$200,$G204)&gt;0,
    COUNTIFS($AG$2:$AG$200,$G204)&gt;0,
    COUNTIFS($AH$2:$AH$200,$G204)&gt;0,
    COUNTIFS($AI$2:$AI$200,$G204)&gt;0,
    COUNTIFS($AJ$2:$AJ$200,$G204)&gt;0,
    COUNTIFS($AK$2:$AK$200,$G204)&gt;0,
    COUNTIFS($AL$2:$AL$200,$G204)&gt;0,
    COUNTIFS($AM$2:$AM$200,$G204)&gt;0,
    COUNTIFS($AN$2:$AN$200,$G204)&gt;0,
    COUNTIFS($AO$2:$AO$200,$G204)&gt;0,
    COUNTIFS($AP$2:$AP$200,$G204)&gt;0,
    COUNTIFS($AQ$2:$AQ$200,$G204)&gt;0,
    COUNTIFS($AR$2:$AR$200,$G204)&gt;0,
    COUNTIFS($AS$2:$AS$200,$G204)&gt;0,
    COUNTIFS($AT$2:$AT$200,$G204)&gt;0,
    COUNTIFS($AU$2:$AU$200,$G204)&gt;0,
    COUNTIFS($AV$2:$AV$200,$G204)&gt;0,
    COUNTIFS($AW$2:$AW$200,$G204)&gt;0,
    COUNTIFS($AX$2:$AX$200,$G204)&gt;0
   ),
  0)
 ),
"")</f>
        <v>Baylen</v>
      </c>
      <c r="D204" s="3" t="str" cm="1">
        <f t="array" aca="1" ref="D204" ca="1">IFERROR(
 INDEX(
  _xlfn._xlws.FILTER($U$1:$AX$1,
   TRANSPOSE(
    CHOOSE({1;2;3;4;5;6;7;8;9;10;11;12;13;14;15;16;17;18;19;20;21;22;23;24;25;26;27;28;29;30},
     COUNTIFS($U$2:$U$200,$G204)&gt;0,
     COUNTIFS($V$2:$V$200,$G204)&gt;0,
     COUNTIFS($W$2:$W$200,$G204)&gt;0,
     COUNTIFS($X$2:$X$200,$G204)&gt;0,
     COUNTIFS($Y$2:$Y$200,$G204)&gt;0,
     COUNTIFS($Z$2:$Z$200,$G204)&gt;0,
     COUNTIFS($AA$2:$AA$200,$G204)&gt;0,
     COUNTIFS($AB$2:$AB$200,$G204)&gt;0,
     COUNTIFS($AC$2:$AC$200,$G204)&gt;0,
     COUNTIFS($AD$2:$AD$200,$G204)&gt;0,
     COUNTIFS($AE$2:$AE$200,$G204)&gt;0,
     COUNTIFS($AF$2:$AF$200,$G204)&gt;0,
     COUNTIFS($AG$2:$AG$200,$G204)&gt;0,
     COUNTIFS($AH$2:$AH$200,$G204)&gt;0,
     COUNTIFS($AI$2:$AI$200,$G204)&gt;0,
     COUNTIFS($AJ$2:$AJ$200,$G204)&gt;0,
     COUNTIFS($AK$2:$AK$200,$G204)&gt;0,
     COUNTIFS($AL$2:$AL$200,$G204)&gt;0,
     COUNTIFS($AM$2:$AM$200,$G204)&gt;0,
     COUNTIFS($AN$2:$AN$200,$G204)&gt;0,
     COUNTIFS($AO$2:$AO$200,$G204)&gt;0,
     COUNTIFS($AP$2:$AP$200,$G204)&gt;0,
     COUNTIFS($AQ$2:$AQ$200,$G204)&gt;0,
     COUNTIFS($AR$2:$AR$200,$G204)&gt;0,
     COUNTIFS($AS$2:$AS$200,$G204)&gt;0,
     COUNTIFS($AT$2:$AT$200,$G204)&gt;0,
     COUNTIFS($AU$2:$AU$200,$G204)&gt;0,
     COUNTIFS($AV$2:$AV$200,$G204)&gt;0,
     COUNTIFS($AW$2:$AW$200,$G204)&gt;0,
     COUNTIFS($AX$2:$AX$200,$G204)&gt;0
   )),
  ),
  2
 ),
"")</f>
        <v/>
      </c>
      <c r="E204" s="3" t="str" cm="1">
        <f t="array" aca="1" ref="E204" ca="1">IFERROR(
 INDEX(
  _xlfn._xlws.FILTER($U$1:$AX$1,
   TRANSPOSE(
    CHOOSE({1;2;3;4;5;6;7;8;9;10;11;12;13;14;15;16;17;18;19;20;21;22;23;24;25;26;27;28;29;30},
     COUNTIFS($U$2:$U$200,$G204)&gt;0,
     COUNTIFS($V$2:$V$200,$G204)&gt;0,
     COUNTIFS($W$2:$W$200,$G204)&gt;0,
     COUNTIFS($X$2:$X$200,$G204)&gt;0,
     COUNTIFS($Y$2:$Y$200,$G204)&gt;0,
     COUNTIFS($Z$2:$Z$200,$G204)&gt;0,
     COUNTIFS($AA$2:$AA$200,$G204)&gt;0,
     COUNTIFS($AB$2:$AB$200,$G204)&gt;0,
     COUNTIFS($AC$2:$AC$200,$G204)&gt;0,
     COUNTIFS($AD$2:$AD$200,$G204)&gt;0,
     COUNTIFS($AE$2:$AE$200,$G204)&gt;0,
     COUNTIFS($AF$2:$AF$200,$G204)&gt;0,
     COUNTIFS($AG$2:$AG$200,$G204)&gt;0,
     COUNTIFS($AH$2:$AH$200,$G204)&gt;0,
     COUNTIFS($AI$2:$AI$200,$G204)&gt;0,
     COUNTIFS($AJ$2:$AJ$200,$G204)&gt;0,
     COUNTIFS($AK$2:$AK$200,$G204)&gt;0,
     COUNTIFS($AL$2:$AL$200,$G204)&gt;0,
     COUNTIFS($AM$2:$AM$200,$G204)&gt;0,
     COUNTIFS($AN$2:$AN$200,$G204)&gt;0,
     COUNTIFS($AO$2:$AO$200,$G204)&gt;0,
     COUNTIFS($AP$2:$AP$200,$G204)&gt;0,
     COUNTIFS($AQ$2:$AQ$200,$G204)&gt;0,
     COUNTIFS($AR$2:$AR$200,$G204)&gt;0,
     COUNTIFS($AS$2:$AS$200,$G204)&gt;0,
     COUNTIFS($AT$2:$AT$200,$G204)&gt;0,
     COUNTIFS($AU$2:$AU$200,$G204)&gt;0,
     COUNTIFS($AV$2:$AV$200,$G204)&gt;0,
     COUNTIFS($AW$2:$AW$200,$G204)&gt;0,
     COUNTIFS($AX$2:$AX$200,$G204)&gt;0
   )),
  ),
  3
 ),
"")</f>
        <v/>
      </c>
      <c r="F204" s="3" t="str" cm="1">
        <f t="array" aca="1" ref="F204" ca="1">IFERROR(
 INDEX(
  _xlfn._xlws.FILTER($U$1:$AX$1,
   TRANSPOSE(
    CHOOSE({1;2;3;4;5;6;7;8;9;10;11;12;13;14;15;16;17;18;19;20;21;22;23;24;25;26;27;28;29;30},
     COUNTIFS($U$2:$U$200,$G204)&gt;0,
     COUNTIFS($V$2:$V$200,$G204)&gt;0,
     COUNTIFS($W$2:$W$200,$G204)&gt;0,
     COUNTIFS($X$2:$X$200,$G204)&gt;0,
     COUNTIFS($Y$2:$Y$200,$G204)&gt;0,
     COUNTIFS($Z$2:$Z$200,$G204)&gt;0,
     COUNTIFS($AA$2:$AA$200,$G204)&gt;0,
     COUNTIFS($AB$2:$AB$200,$G204)&gt;0,
     COUNTIFS($AC$2:$AC$200,$G204)&gt;0,
     COUNTIFS($AD$2:$AD$200,$G204)&gt;0,
     COUNTIFS($AE$2:$AE$200,$G204)&gt;0,
     COUNTIFS($AF$2:$AF$200,$G204)&gt;0,
     COUNTIFS($AG$2:$AG$200,$G204)&gt;0,
     COUNTIFS($AH$2:$AH$200,$G204)&gt;0,
     COUNTIFS($AI$2:$AI$200,$G204)&gt;0,
     COUNTIFS($AJ$2:$AJ$200,$G204)&gt;0,
     COUNTIFS($AK$2:$AK$200,$G204)&gt;0,
     COUNTIFS($AL$2:$AL$200,$G204)&gt;0,
     COUNTIFS($AM$2:$AM$200,$G204)&gt;0,
     COUNTIFS($AN$2:$AN$200,$G204)&gt;0,
     COUNTIFS($AO$2:$AO$200,$G204)&gt;0,
     COUNTIFS($AP$2:$AP$200,$G204)&gt;0,
     COUNTIFS($AQ$2:$AQ$200,$G204)&gt;0,
     COUNTIFS($AR$2:$AR$200,$G204)&gt;0,
     COUNTIFS($AS$2:$AS$200,$G204)&gt;0,
     COUNTIFS($AT$2:$AT$200,$G204)&gt;0,
     COUNTIFS($AU$2:$AU$200,$G204)&gt;0,
     COUNTIFS($AV$2:$AV$200,$G204)&gt;0,
     COUNTIFS($AW$2:$AW$200,$G204)&gt;0,
     COUNTIFS($AX$2:$AX$200,$G204)&gt;0
   )),
  ),
  4
 ),
"")</f>
        <v/>
      </c>
      <c r="G204" t="str">
        <f ca="1"/>
        <v>Marcha dos Canonizados</v>
      </c>
      <c r="BT204" t="str">
        <f ca="1"/>
        <v>Training Center</v>
      </c>
    </row>
    <row r="205" spans="1:72" x14ac:dyDescent="0.25">
      <c r="A205" s="3" t="str">
        <f t="shared" ca="1" si="8"/>
        <v>1</v>
      </c>
      <c r="B205" s="3">
        <f t="shared" ca="1" si="9"/>
        <v>1</v>
      </c>
      <c r="C205" s="3" t="str">
        <f ca="1">IFERROR(
 INDEX($U$1:$AX$1,
  MATCH(TRUE,
   CHOOSE({1;2;3;4;5;6;7;8;9;10;11;12;13;14;15;16;17;18;19;20;21;22;23;24;25;26;27;28;29;30;31;32},
    COUNTIFS($U$2:$U$200,$G205)&gt;0,
    COUNTIFS($V$2:$V$200,$G205)&gt;0,
    COUNTIFS($W$2:$W$200,$G205)&gt;0,
    COUNTIFS($X$2:$X$200,$G205)&gt;0,
    COUNTIFS($Y$2:$Y$200,$G205)&gt;0,
    COUNTIFS($Z$2:$Z$200,$G205)&gt;0,
    COUNTIFS($AA$2:$AA$200,$G205)&gt;0,
    COUNTIFS($AB$2:$AB$200,$G205)&gt;0,
    COUNTIFS($AC$2:$AC$200,$G205)&gt;0,
    COUNTIFS($AD$2:$AD$200,$G205)&gt;0,
    COUNTIFS($AE$2:$AE$200,$G205)&gt;0,
    COUNTIFS($AF$2:$AF$200,$G205)&gt;0,
    COUNTIFS($AG$2:$AG$200,$G205)&gt;0,
    COUNTIFS($AH$2:$AH$200,$G205)&gt;0,
    COUNTIFS($AI$2:$AI$200,$G205)&gt;0,
    COUNTIFS($AJ$2:$AJ$200,$G205)&gt;0,
    COUNTIFS($AK$2:$AK$200,$G205)&gt;0,
    COUNTIFS($AL$2:$AL$200,$G205)&gt;0,
    COUNTIFS($AM$2:$AM$200,$G205)&gt;0,
    COUNTIFS($AN$2:$AN$200,$G205)&gt;0,
    COUNTIFS($AO$2:$AO$200,$G205)&gt;0,
    COUNTIFS($AP$2:$AP$200,$G205)&gt;0,
    COUNTIFS($AQ$2:$AQ$200,$G205)&gt;0,
    COUNTIFS($AR$2:$AR$200,$G205)&gt;0,
    COUNTIFS($AS$2:$AS$200,$G205)&gt;0,
    COUNTIFS($AT$2:$AT$200,$G205)&gt;0,
    COUNTIFS($AU$2:$AU$200,$G205)&gt;0,
    COUNTIFS($AV$2:$AV$200,$G205)&gt;0,
    COUNTIFS($AW$2:$AW$200,$G205)&gt;0,
    COUNTIFS($AX$2:$AX$200,$G205)&gt;0
   ),
  0)
 ),
"")</f>
        <v>Modular</v>
      </c>
      <c r="D205" s="3" t="str" cm="1">
        <f t="array" aca="1" ref="D205" ca="1">IFERROR(
 INDEX(
  _xlfn._xlws.FILTER($U$1:$AX$1,
   TRANSPOSE(
    CHOOSE({1;2;3;4;5;6;7;8;9;10;11;12;13;14;15;16;17;18;19;20;21;22;23;24;25;26;27;28;29;30},
     COUNTIFS($U$2:$U$200,$G205)&gt;0,
     COUNTIFS($V$2:$V$200,$G205)&gt;0,
     COUNTIFS($W$2:$W$200,$G205)&gt;0,
     COUNTIFS($X$2:$X$200,$G205)&gt;0,
     COUNTIFS($Y$2:$Y$200,$G205)&gt;0,
     COUNTIFS($Z$2:$Z$200,$G205)&gt;0,
     COUNTIFS($AA$2:$AA$200,$G205)&gt;0,
     COUNTIFS($AB$2:$AB$200,$G205)&gt;0,
     COUNTIFS($AC$2:$AC$200,$G205)&gt;0,
     COUNTIFS($AD$2:$AD$200,$G205)&gt;0,
     COUNTIFS($AE$2:$AE$200,$G205)&gt;0,
     COUNTIFS($AF$2:$AF$200,$G205)&gt;0,
     COUNTIFS($AG$2:$AG$200,$G205)&gt;0,
     COUNTIFS($AH$2:$AH$200,$G205)&gt;0,
     COUNTIFS($AI$2:$AI$200,$G205)&gt;0,
     COUNTIFS($AJ$2:$AJ$200,$G205)&gt;0,
     COUNTIFS($AK$2:$AK$200,$G205)&gt;0,
     COUNTIFS($AL$2:$AL$200,$G205)&gt;0,
     COUNTIFS($AM$2:$AM$200,$G205)&gt;0,
     COUNTIFS($AN$2:$AN$200,$G205)&gt;0,
     COUNTIFS($AO$2:$AO$200,$G205)&gt;0,
     COUNTIFS($AP$2:$AP$200,$G205)&gt;0,
     COUNTIFS($AQ$2:$AQ$200,$G205)&gt;0,
     COUNTIFS($AR$2:$AR$200,$G205)&gt;0,
     COUNTIFS($AS$2:$AS$200,$G205)&gt;0,
     COUNTIFS($AT$2:$AT$200,$G205)&gt;0,
     COUNTIFS($AU$2:$AU$200,$G205)&gt;0,
     COUNTIFS($AV$2:$AV$200,$G205)&gt;0,
     COUNTIFS($AW$2:$AW$200,$G205)&gt;0,
     COUNTIFS($AX$2:$AX$200,$G205)&gt;0
   )),
  ),
  2
 ),
"")</f>
        <v/>
      </c>
      <c r="E205" s="3" t="str" cm="1">
        <f t="array" aca="1" ref="E205" ca="1">IFERROR(
 INDEX(
  _xlfn._xlws.FILTER($U$1:$AX$1,
   TRANSPOSE(
    CHOOSE({1;2;3;4;5;6;7;8;9;10;11;12;13;14;15;16;17;18;19;20;21;22;23;24;25;26;27;28;29;30},
     COUNTIFS($U$2:$U$200,$G205)&gt;0,
     COUNTIFS($V$2:$V$200,$G205)&gt;0,
     COUNTIFS($W$2:$W$200,$G205)&gt;0,
     COUNTIFS($X$2:$X$200,$G205)&gt;0,
     COUNTIFS($Y$2:$Y$200,$G205)&gt;0,
     COUNTIFS($Z$2:$Z$200,$G205)&gt;0,
     COUNTIFS($AA$2:$AA$200,$G205)&gt;0,
     COUNTIFS($AB$2:$AB$200,$G205)&gt;0,
     COUNTIFS($AC$2:$AC$200,$G205)&gt;0,
     COUNTIFS($AD$2:$AD$200,$G205)&gt;0,
     COUNTIFS($AE$2:$AE$200,$G205)&gt;0,
     COUNTIFS($AF$2:$AF$200,$G205)&gt;0,
     COUNTIFS($AG$2:$AG$200,$G205)&gt;0,
     COUNTIFS($AH$2:$AH$200,$G205)&gt;0,
     COUNTIFS($AI$2:$AI$200,$G205)&gt;0,
     COUNTIFS($AJ$2:$AJ$200,$G205)&gt;0,
     COUNTIFS($AK$2:$AK$200,$G205)&gt;0,
     COUNTIFS($AL$2:$AL$200,$G205)&gt;0,
     COUNTIFS($AM$2:$AM$200,$G205)&gt;0,
     COUNTIFS($AN$2:$AN$200,$G205)&gt;0,
     COUNTIFS($AO$2:$AO$200,$G205)&gt;0,
     COUNTIFS($AP$2:$AP$200,$G205)&gt;0,
     COUNTIFS($AQ$2:$AQ$200,$G205)&gt;0,
     COUNTIFS($AR$2:$AR$200,$G205)&gt;0,
     COUNTIFS($AS$2:$AS$200,$G205)&gt;0,
     COUNTIFS($AT$2:$AT$200,$G205)&gt;0,
     COUNTIFS($AU$2:$AU$200,$G205)&gt;0,
     COUNTIFS($AV$2:$AV$200,$G205)&gt;0,
     COUNTIFS($AW$2:$AW$200,$G205)&gt;0,
     COUNTIFS($AX$2:$AX$200,$G205)&gt;0
   )),
  ),
  3
 ),
"")</f>
        <v/>
      </c>
      <c r="F205" s="3" t="str" cm="1">
        <f t="array" aca="1" ref="F205" ca="1">IFERROR(
 INDEX(
  _xlfn._xlws.FILTER($U$1:$AX$1,
   TRANSPOSE(
    CHOOSE({1;2;3;4;5;6;7;8;9;10;11;12;13;14;15;16;17;18;19;20;21;22;23;24;25;26;27;28;29;30},
     COUNTIFS($U$2:$U$200,$G205)&gt;0,
     COUNTIFS($V$2:$V$200,$G205)&gt;0,
     COUNTIFS($W$2:$W$200,$G205)&gt;0,
     COUNTIFS($X$2:$X$200,$G205)&gt;0,
     COUNTIFS($Y$2:$Y$200,$G205)&gt;0,
     COUNTIFS($Z$2:$Z$200,$G205)&gt;0,
     COUNTIFS($AA$2:$AA$200,$G205)&gt;0,
     COUNTIFS($AB$2:$AB$200,$G205)&gt;0,
     COUNTIFS($AC$2:$AC$200,$G205)&gt;0,
     COUNTIFS($AD$2:$AD$200,$G205)&gt;0,
     COUNTIFS($AE$2:$AE$200,$G205)&gt;0,
     COUNTIFS($AF$2:$AF$200,$G205)&gt;0,
     COUNTIFS($AG$2:$AG$200,$G205)&gt;0,
     COUNTIFS($AH$2:$AH$200,$G205)&gt;0,
     COUNTIFS($AI$2:$AI$200,$G205)&gt;0,
     COUNTIFS($AJ$2:$AJ$200,$G205)&gt;0,
     COUNTIFS($AK$2:$AK$200,$G205)&gt;0,
     COUNTIFS($AL$2:$AL$200,$G205)&gt;0,
     COUNTIFS($AM$2:$AM$200,$G205)&gt;0,
     COUNTIFS($AN$2:$AN$200,$G205)&gt;0,
     COUNTIFS($AO$2:$AO$200,$G205)&gt;0,
     COUNTIFS($AP$2:$AP$200,$G205)&gt;0,
     COUNTIFS($AQ$2:$AQ$200,$G205)&gt;0,
     COUNTIFS($AR$2:$AR$200,$G205)&gt;0,
     COUNTIFS($AS$2:$AS$200,$G205)&gt;0,
     COUNTIFS($AT$2:$AT$200,$G205)&gt;0,
     COUNTIFS($AU$2:$AU$200,$G205)&gt;0,
     COUNTIFS($AV$2:$AV$200,$G205)&gt;0,
     COUNTIFS($AW$2:$AW$200,$G205)&gt;0,
     COUNTIFS($AX$2:$AX$200,$G205)&gt;0
   )),
  ),
  4
 ),
"")</f>
        <v/>
      </c>
      <c r="G205" t="str">
        <f ca="1"/>
        <v>Marketback Walker</v>
      </c>
      <c r="BT205" t="str">
        <f ca="1"/>
        <v>Trenzalore Clocktower</v>
      </c>
    </row>
    <row r="206" spans="1:72" x14ac:dyDescent="0.25">
      <c r="A206" s="3" t="str">
        <f t="shared" ca="1" si="8"/>
        <v>5</v>
      </c>
      <c r="B206" s="3">
        <f t="shared" ca="1" si="9"/>
        <v>1</v>
      </c>
      <c r="C206" s="3" t="str">
        <f ca="1">IFERROR(
 INDEX($U$1:$AX$1,
  MATCH(TRUE,
   CHOOSE({1;2;3;4;5;6;7;8;9;10;11;12;13;14;15;16;17;18;19;20;21;22;23;24;25;26;27;28;29;30;31;32},
    COUNTIFS($U$2:$U$200,$G206)&gt;0,
    COUNTIFS($V$2:$V$200,$G206)&gt;0,
    COUNTIFS($W$2:$W$200,$G206)&gt;0,
    COUNTIFS($X$2:$X$200,$G206)&gt;0,
    COUNTIFS($Y$2:$Y$200,$G206)&gt;0,
    COUNTIFS($Z$2:$Z$200,$G206)&gt;0,
    COUNTIFS($AA$2:$AA$200,$G206)&gt;0,
    COUNTIFS($AB$2:$AB$200,$G206)&gt;0,
    COUNTIFS($AC$2:$AC$200,$G206)&gt;0,
    COUNTIFS($AD$2:$AD$200,$G206)&gt;0,
    COUNTIFS($AE$2:$AE$200,$G206)&gt;0,
    COUNTIFS($AF$2:$AF$200,$G206)&gt;0,
    COUNTIFS($AG$2:$AG$200,$G206)&gt;0,
    COUNTIFS($AH$2:$AH$200,$G206)&gt;0,
    COUNTIFS($AI$2:$AI$200,$G206)&gt;0,
    COUNTIFS($AJ$2:$AJ$200,$G206)&gt;0,
    COUNTIFS($AK$2:$AK$200,$G206)&gt;0,
    COUNTIFS($AL$2:$AL$200,$G206)&gt;0,
    COUNTIFS($AM$2:$AM$200,$G206)&gt;0,
    COUNTIFS($AN$2:$AN$200,$G206)&gt;0,
    COUNTIFS($AO$2:$AO$200,$G206)&gt;0,
    COUNTIFS($AP$2:$AP$200,$G206)&gt;0,
    COUNTIFS($AQ$2:$AQ$200,$G206)&gt;0,
    COUNTIFS($AR$2:$AR$200,$G206)&gt;0,
    COUNTIFS($AS$2:$AS$200,$G206)&gt;0,
    COUNTIFS($AT$2:$AT$200,$G206)&gt;0,
    COUNTIFS($AU$2:$AU$200,$G206)&gt;0,
    COUNTIFS($AV$2:$AV$200,$G206)&gt;0,
    COUNTIFS($AW$2:$AW$200,$G206)&gt;0,
    COUNTIFS($AX$2:$AX$200,$G206)&gt;0
   ),
  0)
 ),
"")</f>
        <v>Thrakiri</v>
      </c>
      <c r="D206" s="3" t="str" cm="1">
        <f t="array" aca="1" ref="D206" ca="1">IFERROR(
 INDEX(
  _xlfn._xlws.FILTER($U$1:$AX$1,
   TRANSPOSE(
    CHOOSE({1;2;3;4;5;6;7;8;9;10;11;12;13;14;15;16;17;18;19;20;21;22;23;24;25;26;27;28;29;30},
     COUNTIFS($U$2:$U$200,$G206)&gt;0,
     COUNTIFS($V$2:$V$200,$G206)&gt;0,
     COUNTIFS($W$2:$W$200,$G206)&gt;0,
     COUNTIFS($X$2:$X$200,$G206)&gt;0,
     COUNTIFS($Y$2:$Y$200,$G206)&gt;0,
     COUNTIFS($Z$2:$Z$200,$G206)&gt;0,
     COUNTIFS($AA$2:$AA$200,$G206)&gt;0,
     COUNTIFS($AB$2:$AB$200,$G206)&gt;0,
     COUNTIFS($AC$2:$AC$200,$G206)&gt;0,
     COUNTIFS($AD$2:$AD$200,$G206)&gt;0,
     COUNTIFS($AE$2:$AE$200,$G206)&gt;0,
     COUNTIFS($AF$2:$AF$200,$G206)&gt;0,
     COUNTIFS($AG$2:$AG$200,$G206)&gt;0,
     COUNTIFS($AH$2:$AH$200,$G206)&gt;0,
     COUNTIFS($AI$2:$AI$200,$G206)&gt;0,
     COUNTIFS($AJ$2:$AJ$200,$G206)&gt;0,
     COUNTIFS($AK$2:$AK$200,$G206)&gt;0,
     COUNTIFS($AL$2:$AL$200,$G206)&gt;0,
     COUNTIFS($AM$2:$AM$200,$G206)&gt;0,
     COUNTIFS($AN$2:$AN$200,$G206)&gt;0,
     COUNTIFS($AO$2:$AO$200,$G206)&gt;0,
     COUNTIFS($AP$2:$AP$200,$G206)&gt;0,
     COUNTIFS($AQ$2:$AQ$200,$G206)&gt;0,
     COUNTIFS($AR$2:$AR$200,$G206)&gt;0,
     COUNTIFS($AS$2:$AS$200,$G206)&gt;0,
     COUNTIFS($AT$2:$AT$200,$G206)&gt;0,
     COUNTIFS($AU$2:$AU$200,$G206)&gt;0,
     COUNTIFS($AV$2:$AV$200,$G206)&gt;0,
     COUNTIFS($AW$2:$AW$200,$G206)&gt;0,
     COUNTIFS($AX$2:$AX$200,$G206)&gt;0
   )),
  ),
  2
 ),
"")</f>
        <v/>
      </c>
      <c r="E206" s="3" t="str" cm="1">
        <f t="array" aca="1" ref="E206" ca="1">IFERROR(
 INDEX(
  _xlfn._xlws.FILTER($U$1:$AX$1,
   TRANSPOSE(
    CHOOSE({1;2;3;4;5;6;7;8;9;10;11;12;13;14;15;16;17;18;19;20;21;22;23;24;25;26;27;28;29;30},
     COUNTIFS($U$2:$U$200,$G206)&gt;0,
     COUNTIFS($V$2:$V$200,$G206)&gt;0,
     COUNTIFS($W$2:$W$200,$G206)&gt;0,
     COUNTIFS($X$2:$X$200,$G206)&gt;0,
     COUNTIFS($Y$2:$Y$200,$G206)&gt;0,
     COUNTIFS($Z$2:$Z$200,$G206)&gt;0,
     COUNTIFS($AA$2:$AA$200,$G206)&gt;0,
     COUNTIFS($AB$2:$AB$200,$G206)&gt;0,
     COUNTIFS($AC$2:$AC$200,$G206)&gt;0,
     COUNTIFS($AD$2:$AD$200,$G206)&gt;0,
     COUNTIFS($AE$2:$AE$200,$G206)&gt;0,
     COUNTIFS($AF$2:$AF$200,$G206)&gt;0,
     COUNTIFS($AG$2:$AG$200,$G206)&gt;0,
     COUNTIFS($AH$2:$AH$200,$G206)&gt;0,
     COUNTIFS($AI$2:$AI$200,$G206)&gt;0,
     COUNTIFS($AJ$2:$AJ$200,$G206)&gt;0,
     COUNTIFS($AK$2:$AK$200,$G206)&gt;0,
     COUNTIFS($AL$2:$AL$200,$G206)&gt;0,
     COUNTIFS($AM$2:$AM$200,$G206)&gt;0,
     COUNTIFS($AN$2:$AN$200,$G206)&gt;0,
     COUNTIFS($AO$2:$AO$200,$G206)&gt;0,
     COUNTIFS($AP$2:$AP$200,$G206)&gt;0,
     COUNTIFS($AQ$2:$AQ$200,$G206)&gt;0,
     COUNTIFS($AR$2:$AR$200,$G206)&gt;0,
     COUNTIFS($AS$2:$AS$200,$G206)&gt;0,
     COUNTIFS($AT$2:$AT$200,$G206)&gt;0,
     COUNTIFS($AU$2:$AU$200,$G206)&gt;0,
     COUNTIFS($AV$2:$AV$200,$G206)&gt;0,
     COUNTIFS($AW$2:$AW$200,$G206)&gt;0,
     COUNTIFS($AX$2:$AX$200,$G206)&gt;0
   )),
  ),
  3
 ),
"")</f>
        <v/>
      </c>
      <c r="F206" s="3" t="str" cm="1">
        <f t="array" aca="1" ref="F206" ca="1">IFERROR(
 INDEX(
  _xlfn._xlws.FILTER($U$1:$AX$1,
   TRANSPOSE(
    CHOOSE({1;2;3;4;5;6;7;8;9;10;11;12;13;14;15;16;17;18;19;20;21;22;23;24;25;26;27;28;29;30},
     COUNTIFS($U$2:$U$200,$G206)&gt;0,
     COUNTIFS($V$2:$V$200,$G206)&gt;0,
     COUNTIFS($W$2:$W$200,$G206)&gt;0,
     COUNTIFS($X$2:$X$200,$G206)&gt;0,
     COUNTIFS($Y$2:$Y$200,$G206)&gt;0,
     COUNTIFS($Z$2:$Z$200,$G206)&gt;0,
     COUNTIFS($AA$2:$AA$200,$G206)&gt;0,
     COUNTIFS($AB$2:$AB$200,$G206)&gt;0,
     COUNTIFS($AC$2:$AC$200,$G206)&gt;0,
     COUNTIFS($AD$2:$AD$200,$G206)&gt;0,
     COUNTIFS($AE$2:$AE$200,$G206)&gt;0,
     COUNTIFS($AF$2:$AF$200,$G206)&gt;0,
     COUNTIFS($AG$2:$AG$200,$G206)&gt;0,
     COUNTIFS($AH$2:$AH$200,$G206)&gt;0,
     COUNTIFS($AI$2:$AI$200,$G206)&gt;0,
     COUNTIFS($AJ$2:$AJ$200,$G206)&gt;0,
     COUNTIFS($AK$2:$AK$200,$G206)&gt;0,
     COUNTIFS($AL$2:$AL$200,$G206)&gt;0,
     COUNTIFS($AM$2:$AM$200,$G206)&gt;0,
     COUNTIFS($AN$2:$AN$200,$G206)&gt;0,
     COUNTIFS($AO$2:$AO$200,$G206)&gt;0,
     COUNTIFS($AP$2:$AP$200,$G206)&gt;0,
     COUNTIFS($AQ$2:$AQ$200,$G206)&gt;0,
     COUNTIFS($AR$2:$AR$200,$G206)&gt;0,
     COUNTIFS($AS$2:$AS$200,$G206)&gt;0,
     COUNTIFS($AT$2:$AT$200,$G206)&gt;0,
     COUNTIFS($AU$2:$AU$200,$G206)&gt;0,
     COUNTIFS($AV$2:$AV$200,$G206)&gt;0,
     COUNTIFS($AW$2:$AW$200,$G206)&gt;0,
     COUNTIFS($AX$2:$AX$200,$G206)&gt;0
   )),
  ),
  4
 ),
"")</f>
        <v/>
      </c>
      <c r="G206" t="str">
        <f ca="1"/>
        <v>Matoya, Archon Elder</v>
      </c>
      <c r="BT206" t="str">
        <f ca="1"/>
        <v>Três Passos à Frente</v>
      </c>
    </row>
    <row r="207" spans="1:72" x14ac:dyDescent="0.25">
      <c r="A207" s="3" t="str">
        <f t="shared" ca="1" si="8"/>
        <v>2</v>
      </c>
      <c r="B207" s="3">
        <f t="shared" ca="1" si="9"/>
        <v>1</v>
      </c>
      <c r="C207" s="3" t="str">
        <f ca="1">IFERROR(
 INDEX($U$1:$AX$1,
  MATCH(TRUE,
   CHOOSE({1;2;3;4;5;6;7;8;9;10;11;12;13;14;15;16;17;18;19;20;21;22;23;24;25;26;27;28;29;30;31;32},
    COUNTIFS($U$2:$U$200,$G207)&gt;0,
    COUNTIFS($V$2:$V$200,$G207)&gt;0,
    COUNTIFS($W$2:$W$200,$G207)&gt;0,
    COUNTIFS($X$2:$X$200,$G207)&gt;0,
    COUNTIFS($Y$2:$Y$200,$G207)&gt;0,
    COUNTIFS($Z$2:$Z$200,$G207)&gt;0,
    COUNTIFS($AA$2:$AA$200,$G207)&gt;0,
    COUNTIFS($AB$2:$AB$200,$G207)&gt;0,
    COUNTIFS($AC$2:$AC$200,$G207)&gt;0,
    COUNTIFS($AD$2:$AD$200,$G207)&gt;0,
    COUNTIFS($AE$2:$AE$200,$G207)&gt;0,
    COUNTIFS($AF$2:$AF$200,$G207)&gt;0,
    COUNTIFS($AG$2:$AG$200,$G207)&gt;0,
    COUNTIFS($AH$2:$AH$200,$G207)&gt;0,
    COUNTIFS($AI$2:$AI$200,$G207)&gt;0,
    COUNTIFS($AJ$2:$AJ$200,$G207)&gt;0,
    COUNTIFS($AK$2:$AK$200,$G207)&gt;0,
    COUNTIFS($AL$2:$AL$200,$G207)&gt;0,
    COUNTIFS($AM$2:$AM$200,$G207)&gt;0,
    COUNTIFS($AN$2:$AN$200,$G207)&gt;0,
    COUNTIFS($AO$2:$AO$200,$G207)&gt;0,
    COUNTIFS($AP$2:$AP$200,$G207)&gt;0,
    COUNTIFS($AQ$2:$AQ$200,$G207)&gt;0,
    COUNTIFS($AR$2:$AR$200,$G207)&gt;0,
    COUNTIFS($AS$2:$AS$200,$G207)&gt;0,
    COUNTIFS($AT$2:$AT$200,$G207)&gt;0,
    COUNTIFS($AU$2:$AU$200,$G207)&gt;0,
    COUNTIFS($AV$2:$AV$200,$G207)&gt;0,
    COUNTIFS($AW$2:$AW$200,$G207)&gt;0,
    COUNTIFS($AX$2:$AX$200,$G207)&gt;0
   ),
  0)
 ),
"")</f>
        <v>Narset</v>
      </c>
      <c r="D207" s="3" t="str" cm="1">
        <f t="array" aca="1" ref="D207" ca="1">IFERROR(
 INDEX(
  _xlfn._xlws.FILTER($U$1:$AX$1,
   TRANSPOSE(
    CHOOSE({1;2;3;4;5;6;7;8;9;10;11;12;13;14;15;16;17;18;19;20;21;22;23;24;25;26;27;28;29;30},
     COUNTIFS($U$2:$U$200,$G207)&gt;0,
     COUNTIFS($V$2:$V$200,$G207)&gt;0,
     COUNTIFS($W$2:$W$200,$G207)&gt;0,
     COUNTIFS($X$2:$X$200,$G207)&gt;0,
     COUNTIFS($Y$2:$Y$200,$G207)&gt;0,
     COUNTIFS($Z$2:$Z$200,$G207)&gt;0,
     COUNTIFS($AA$2:$AA$200,$G207)&gt;0,
     COUNTIFS($AB$2:$AB$200,$G207)&gt;0,
     COUNTIFS($AC$2:$AC$200,$G207)&gt;0,
     COUNTIFS($AD$2:$AD$200,$G207)&gt;0,
     COUNTIFS($AE$2:$AE$200,$G207)&gt;0,
     COUNTIFS($AF$2:$AF$200,$G207)&gt;0,
     COUNTIFS($AG$2:$AG$200,$G207)&gt;0,
     COUNTIFS($AH$2:$AH$200,$G207)&gt;0,
     COUNTIFS($AI$2:$AI$200,$G207)&gt;0,
     COUNTIFS($AJ$2:$AJ$200,$G207)&gt;0,
     COUNTIFS($AK$2:$AK$200,$G207)&gt;0,
     COUNTIFS($AL$2:$AL$200,$G207)&gt;0,
     COUNTIFS($AM$2:$AM$200,$G207)&gt;0,
     COUNTIFS($AN$2:$AN$200,$G207)&gt;0,
     COUNTIFS($AO$2:$AO$200,$G207)&gt;0,
     COUNTIFS($AP$2:$AP$200,$G207)&gt;0,
     COUNTIFS($AQ$2:$AQ$200,$G207)&gt;0,
     COUNTIFS($AR$2:$AR$200,$G207)&gt;0,
     COUNTIFS($AS$2:$AS$200,$G207)&gt;0,
     COUNTIFS($AT$2:$AT$200,$G207)&gt;0,
     COUNTIFS($AU$2:$AU$200,$G207)&gt;0,
     COUNTIFS($AV$2:$AV$200,$G207)&gt;0,
     COUNTIFS($AW$2:$AW$200,$G207)&gt;0,
     COUNTIFS($AX$2:$AX$200,$G207)&gt;0
   )),
  ),
  2
 ),
"")</f>
        <v/>
      </c>
      <c r="E207" s="3" t="str" cm="1">
        <f t="array" aca="1" ref="E207" ca="1">IFERROR(
 INDEX(
  _xlfn._xlws.FILTER($U$1:$AX$1,
   TRANSPOSE(
    CHOOSE({1;2;3;4;5;6;7;8;9;10;11;12;13;14;15;16;17;18;19;20;21;22;23;24;25;26;27;28;29;30},
     COUNTIFS($U$2:$U$200,$G207)&gt;0,
     COUNTIFS($V$2:$V$200,$G207)&gt;0,
     COUNTIFS($W$2:$W$200,$G207)&gt;0,
     COUNTIFS($X$2:$X$200,$G207)&gt;0,
     COUNTIFS($Y$2:$Y$200,$G207)&gt;0,
     COUNTIFS($Z$2:$Z$200,$G207)&gt;0,
     COUNTIFS($AA$2:$AA$200,$G207)&gt;0,
     COUNTIFS($AB$2:$AB$200,$G207)&gt;0,
     COUNTIFS($AC$2:$AC$200,$G207)&gt;0,
     COUNTIFS($AD$2:$AD$200,$G207)&gt;0,
     COUNTIFS($AE$2:$AE$200,$G207)&gt;0,
     COUNTIFS($AF$2:$AF$200,$G207)&gt;0,
     COUNTIFS($AG$2:$AG$200,$G207)&gt;0,
     COUNTIFS($AH$2:$AH$200,$G207)&gt;0,
     COUNTIFS($AI$2:$AI$200,$G207)&gt;0,
     COUNTIFS($AJ$2:$AJ$200,$G207)&gt;0,
     COUNTIFS($AK$2:$AK$200,$G207)&gt;0,
     COUNTIFS($AL$2:$AL$200,$G207)&gt;0,
     COUNTIFS($AM$2:$AM$200,$G207)&gt;0,
     COUNTIFS($AN$2:$AN$200,$G207)&gt;0,
     COUNTIFS($AO$2:$AO$200,$G207)&gt;0,
     COUNTIFS($AP$2:$AP$200,$G207)&gt;0,
     COUNTIFS($AQ$2:$AQ$200,$G207)&gt;0,
     COUNTIFS($AR$2:$AR$200,$G207)&gt;0,
     COUNTIFS($AS$2:$AS$200,$G207)&gt;0,
     COUNTIFS($AT$2:$AT$200,$G207)&gt;0,
     COUNTIFS($AU$2:$AU$200,$G207)&gt;0,
     COUNTIFS($AV$2:$AV$200,$G207)&gt;0,
     COUNTIFS($AW$2:$AW$200,$G207)&gt;0,
     COUNTIFS($AX$2:$AX$200,$G207)&gt;0
   )),
  ),
  3
 ),
"")</f>
        <v/>
      </c>
      <c r="F207" s="3" t="str" cm="1">
        <f t="array" aca="1" ref="F207" ca="1">IFERROR(
 INDEX(
  _xlfn._xlws.FILTER($U$1:$AX$1,
   TRANSPOSE(
    CHOOSE({1;2;3;4;5;6;7;8;9;10;11;12;13;14;15;16;17;18;19;20;21;22;23;24;25;26;27;28;29;30},
     COUNTIFS($U$2:$U$200,$G207)&gt;0,
     COUNTIFS($V$2:$V$200,$G207)&gt;0,
     COUNTIFS($W$2:$W$200,$G207)&gt;0,
     COUNTIFS($X$2:$X$200,$G207)&gt;0,
     COUNTIFS($Y$2:$Y$200,$G207)&gt;0,
     COUNTIFS($Z$2:$Z$200,$G207)&gt;0,
     COUNTIFS($AA$2:$AA$200,$G207)&gt;0,
     COUNTIFS($AB$2:$AB$200,$G207)&gt;0,
     COUNTIFS($AC$2:$AC$200,$G207)&gt;0,
     COUNTIFS($AD$2:$AD$200,$G207)&gt;0,
     COUNTIFS($AE$2:$AE$200,$G207)&gt;0,
     COUNTIFS($AF$2:$AF$200,$G207)&gt;0,
     COUNTIFS($AG$2:$AG$200,$G207)&gt;0,
     COUNTIFS($AH$2:$AH$200,$G207)&gt;0,
     COUNTIFS($AI$2:$AI$200,$G207)&gt;0,
     COUNTIFS($AJ$2:$AJ$200,$G207)&gt;0,
     COUNTIFS($AK$2:$AK$200,$G207)&gt;0,
     COUNTIFS($AL$2:$AL$200,$G207)&gt;0,
     COUNTIFS($AM$2:$AM$200,$G207)&gt;0,
     COUNTIFS($AN$2:$AN$200,$G207)&gt;0,
     COUNTIFS($AO$2:$AO$200,$G207)&gt;0,
     COUNTIFS($AP$2:$AP$200,$G207)&gt;0,
     COUNTIFS($AQ$2:$AQ$200,$G207)&gt;0,
     COUNTIFS($AR$2:$AR$200,$G207)&gt;0,
     COUNTIFS($AS$2:$AS$200,$G207)&gt;0,
     COUNTIFS($AT$2:$AT$200,$G207)&gt;0,
     COUNTIFS($AU$2:$AU$200,$G207)&gt;0,
     COUNTIFS($AV$2:$AV$200,$G207)&gt;0,
     COUNTIFS($AW$2:$AW$200,$G207)&gt;0,
     COUNTIFS($AX$2:$AX$200,$G207)&gt;0
   )),
  ),
  4
 ),
"")</f>
        <v/>
      </c>
      <c r="G207" t="str">
        <f ca="1"/>
        <v>Memory Erosion</v>
      </c>
      <c r="BT207" t="str">
        <f ca="1"/>
        <v>Trioma de Indatha</v>
      </c>
    </row>
    <row r="208" spans="1:72" x14ac:dyDescent="0.25">
      <c r="A208" s="3" t="str">
        <f t="shared" ca="1" si="8"/>
        <v>3</v>
      </c>
      <c r="B208" s="3">
        <f t="shared" ca="1" si="9"/>
        <v>1</v>
      </c>
      <c r="C208" s="3" t="str">
        <f ca="1">IFERROR(
 INDEX($U$1:$AX$1,
  MATCH(TRUE,
   CHOOSE({1;2;3;4;5;6;7;8;9;10;11;12;13;14;15;16;17;18;19;20;21;22;23;24;25;26;27;28;29;30;31;32},
    COUNTIFS($U$2:$U$200,$G208)&gt;0,
    COUNTIFS($V$2:$V$200,$G208)&gt;0,
    COUNTIFS($W$2:$W$200,$G208)&gt;0,
    COUNTIFS($X$2:$X$200,$G208)&gt;0,
    COUNTIFS($Y$2:$Y$200,$G208)&gt;0,
    COUNTIFS($Z$2:$Z$200,$G208)&gt;0,
    COUNTIFS($AA$2:$AA$200,$G208)&gt;0,
    COUNTIFS($AB$2:$AB$200,$G208)&gt;0,
    COUNTIFS($AC$2:$AC$200,$G208)&gt;0,
    COUNTIFS($AD$2:$AD$200,$G208)&gt;0,
    COUNTIFS($AE$2:$AE$200,$G208)&gt;0,
    COUNTIFS($AF$2:$AF$200,$G208)&gt;0,
    COUNTIFS($AG$2:$AG$200,$G208)&gt;0,
    COUNTIFS($AH$2:$AH$200,$G208)&gt;0,
    COUNTIFS($AI$2:$AI$200,$G208)&gt;0,
    COUNTIFS($AJ$2:$AJ$200,$G208)&gt;0,
    COUNTIFS($AK$2:$AK$200,$G208)&gt;0,
    COUNTIFS($AL$2:$AL$200,$G208)&gt;0,
    COUNTIFS($AM$2:$AM$200,$G208)&gt;0,
    COUNTIFS($AN$2:$AN$200,$G208)&gt;0,
    COUNTIFS($AO$2:$AO$200,$G208)&gt;0,
    COUNTIFS($AP$2:$AP$200,$G208)&gt;0,
    COUNTIFS($AQ$2:$AQ$200,$G208)&gt;0,
    COUNTIFS($AR$2:$AR$200,$G208)&gt;0,
    COUNTIFS($AS$2:$AS$200,$G208)&gt;0,
    COUNTIFS($AT$2:$AT$200,$G208)&gt;0,
    COUNTIFS($AU$2:$AU$200,$G208)&gt;0,
    COUNTIFS($AV$2:$AV$200,$G208)&gt;0,
    COUNTIFS($AW$2:$AW$200,$G208)&gt;0,
    COUNTIFS($AX$2:$AX$200,$G208)&gt;0
   ),
  0)
 ),
"")</f>
        <v>Inalla</v>
      </c>
      <c r="D208" s="3" t="str" cm="1">
        <f t="array" aca="1" ref="D208" ca="1">IFERROR(
 INDEX(
  _xlfn._xlws.FILTER($U$1:$AX$1,
   TRANSPOSE(
    CHOOSE({1;2;3;4;5;6;7;8;9;10;11;12;13;14;15;16;17;18;19;20;21;22;23;24;25;26;27;28;29;30},
     COUNTIFS($U$2:$U$200,$G208)&gt;0,
     COUNTIFS($V$2:$V$200,$G208)&gt;0,
     COUNTIFS($W$2:$W$200,$G208)&gt;0,
     COUNTIFS($X$2:$X$200,$G208)&gt;0,
     COUNTIFS($Y$2:$Y$200,$G208)&gt;0,
     COUNTIFS($Z$2:$Z$200,$G208)&gt;0,
     COUNTIFS($AA$2:$AA$200,$G208)&gt;0,
     COUNTIFS($AB$2:$AB$200,$G208)&gt;0,
     COUNTIFS($AC$2:$AC$200,$G208)&gt;0,
     COUNTIFS($AD$2:$AD$200,$G208)&gt;0,
     COUNTIFS($AE$2:$AE$200,$G208)&gt;0,
     COUNTIFS($AF$2:$AF$200,$G208)&gt;0,
     COUNTIFS($AG$2:$AG$200,$G208)&gt;0,
     COUNTIFS($AH$2:$AH$200,$G208)&gt;0,
     COUNTIFS($AI$2:$AI$200,$G208)&gt;0,
     COUNTIFS($AJ$2:$AJ$200,$G208)&gt;0,
     COUNTIFS($AK$2:$AK$200,$G208)&gt;0,
     COUNTIFS($AL$2:$AL$200,$G208)&gt;0,
     COUNTIFS($AM$2:$AM$200,$G208)&gt;0,
     COUNTIFS($AN$2:$AN$200,$G208)&gt;0,
     COUNTIFS($AO$2:$AO$200,$G208)&gt;0,
     COUNTIFS($AP$2:$AP$200,$G208)&gt;0,
     COUNTIFS($AQ$2:$AQ$200,$G208)&gt;0,
     COUNTIFS($AR$2:$AR$200,$G208)&gt;0,
     COUNTIFS($AS$2:$AS$200,$G208)&gt;0,
     COUNTIFS($AT$2:$AT$200,$G208)&gt;0,
     COUNTIFS($AU$2:$AU$200,$G208)&gt;0,
     COUNTIFS($AV$2:$AV$200,$G208)&gt;0,
     COUNTIFS($AW$2:$AW$200,$G208)&gt;0,
     COUNTIFS($AX$2:$AX$200,$G208)&gt;0
   )),
  ),
  2
 ),
"")</f>
        <v/>
      </c>
      <c r="E208" s="3" t="str" cm="1">
        <f t="array" aca="1" ref="E208" ca="1">IFERROR(
 INDEX(
  _xlfn._xlws.FILTER($U$1:$AX$1,
   TRANSPOSE(
    CHOOSE({1;2;3;4;5;6;7;8;9;10;11;12;13;14;15;16;17;18;19;20;21;22;23;24;25;26;27;28;29;30},
     COUNTIFS($U$2:$U$200,$G208)&gt;0,
     COUNTIFS($V$2:$V$200,$G208)&gt;0,
     COUNTIFS($W$2:$W$200,$G208)&gt;0,
     COUNTIFS($X$2:$X$200,$G208)&gt;0,
     COUNTIFS($Y$2:$Y$200,$G208)&gt;0,
     COUNTIFS($Z$2:$Z$200,$G208)&gt;0,
     COUNTIFS($AA$2:$AA$200,$G208)&gt;0,
     COUNTIFS($AB$2:$AB$200,$G208)&gt;0,
     COUNTIFS($AC$2:$AC$200,$G208)&gt;0,
     COUNTIFS($AD$2:$AD$200,$G208)&gt;0,
     COUNTIFS($AE$2:$AE$200,$G208)&gt;0,
     COUNTIFS($AF$2:$AF$200,$G208)&gt;0,
     COUNTIFS($AG$2:$AG$200,$G208)&gt;0,
     COUNTIFS($AH$2:$AH$200,$G208)&gt;0,
     COUNTIFS($AI$2:$AI$200,$G208)&gt;0,
     COUNTIFS($AJ$2:$AJ$200,$G208)&gt;0,
     COUNTIFS($AK$2:$AK$200,$G208)&gt;0,
     COUNTIFS($AL$2:$AL$200,$G208)&gt;0,
     COUNTIFS($AM$2:$AM$200,$G208)&gt;0,
     COUNTIFS($AN$2:$AN$200,$G208)&gt;0,
     COUNTIFS($AO$2:$AO$200,$G208)&gt;0,
     COUNTIFS($AP$2:$AP$200,$G208)&gt;0,
     COUNTIFS($AQ$2:$AQ$200,$G208)&gt;0,
     COUNTIFS($AR$2:$AR$200,$G208)&gt;0,
     COUNTIFS($AS$2:$AS$200,$G208)&gt;0,
     COUNTIFS($AT$2:$AT$200,$G208)&gt;0,
     COUNTIFS($AU$2:$AU$200,$G208)&gt;0,
     COUNTIFS($AV$2:$AV$200,$G208)&gt;0,
     COUNTIFS($AW$2:$AW$200,$G208)&gt;0,
     COUNTIFS($AX$2:$AX$200,$G208)&gt;0
   )),
  ),
  3
 ),
"")</f>
        <v/>
      </c>
      <c r="F208" s="3" t="str" cm="1">
        <f t="array" aca="1" ref="F208" ca="1">IFERROR(
 INDEX(
  _xlfn._xlws.FILTER($U$1:$AX$1,
   TRANSPOSE(
    CHOOSE({1;2;3;4;5;6;7;8;9;10;11;12;13;14;15;16;17;18;19;20;21;22;23;24;25;26;27;28;29;30},
     COUNTIFS($U$2:$U$200,$G208)&gt;0,
     COUNTIFS($V$2:$V$200,$G208)&gt;0,
     COUNTIFS($W$2:$W$200,$G208)&gt;0,
     COUNTIFS($X$2:$X$200,$G208)&gt;0,
     COUNTIFS($Y$2:$Y$200,$G208)&gt;0,
     COUNTIFS($Z$2:$Z$200,$G208)&gt;0,
     COUNTIFS($AA$2:$AA$200,$G208)&gt;0,
     COUNTIFS($AB$2:$AB$200,$G208)&gt;0,
     COUNTIFS($AC$2:$AC$200,$G208)&gt;0,
     COUNTIFS($AD$2:$AD$200,$G208)&gt;0,
     COUNTIFS($AE$2:$AE$200,$G208)&gt;0,
     COUNTIFS($AF$2:$AF$200,$G208)&gt;0,
     COUNTIFS($AG$2:$AG$200,$G208)&gt;0,
     COUNTIFS($AH$2:$AH$200,$G208)&gt;0,
     COUNTIFS($AI$2:$AI$200,$G208)&gt;0,
     COUNTIFS($AJ$2:$AJ$200,$G208)&gt;0,
     COUNTIFS($AK$2:$AK$200,$G208)&gt;0,
     COUNTIFS($AL$2:$AL$200,$G208)&gt;0,
     COUNTIFS($AM$2:$AM$200,$G208)&gt;0,
     COUNTIFS($AN$2:$AN$200,$G208)&gt;0,
     COUNTIFS($AO$2:$AO$200,$G208)&gt;0,
     COUNTIFS($AP$2:$AP$200,$G208)&gt;0,
     COUNTIFS($AQ$2:$AQ$200,$G208)&gt;0,
     COUNTIFS($AR$2:$AR$200,$G208)&gt;0,
     COUNTIFS($AS$2:$AS$200,$G208)&gt;0,
     COUNTIFS($AT$2:$AT$200,$G208)&gt;0,
     COUNTIFS($AU$2:$AU$200,$G208)&gt;0,
     COUNTIFS($AV$2:$AV$200,$G208)&gt;0,
     COUNTIFS($AW$2:$AW$200,$G208)&gt;0,
     COUNTIFS($AX$2:$AX$200,$G208)&gt;0
   )),
  ),
  4
 ),
"")</f>
        <v/>
      </c>
      <c r="G208" t="str">
        <f ca="1"/>
        <v>Merchant of Secrets</v>
      </c>
      <c r="BT208" t="str">
        <f ca="1"/>
        <v>Trioma de Raugrin</v>
      </c>
    </row>
    <row r="209" spans="1:72" x14ac:dyDescent="0.25">
      <c r="A209" s="3" t="str">
        <f t="shared" ca="1" si="8"/>
        <v>2</v>
      </c>
      <c r="B209" s="3">
        <f t="shared" ca="1" si="9"/>
        <v>1</v>
      </c>
      <c r="C209" s="3" t="str">
        <f ca="1">IFERROR(
 INDEX($U$1:$AX$1,
  MATCH(TRUE,
   CHOOSE({1;2;3;4;5;6;7;8;9;10;11;12;13;14;15;16;17;18;19;20;21;22;23;24;25;26;27;28;29;30;31;32},
    COUNTIFS($U$2:$U$200,$G209)&gt;0,
    COUNTIFS($V$2:$V$200,$G209)&gt;0,
    COUNTIFS($W$2:$W$200,$G209)&gt;0,
    COUNTIFS($X$2:$X$200,$G209)&gt;0,
    COUNTIFS($Y$2:$Y$200,$G209)&gt;0,
    COUNTIFS($Z$2:$Z$200,$G209)&gt;0,
    COUNTIFS($AA$2:$AA$200,$G209)&gt;0,
    COUNTIFS($AB$2:$AB$200,$G209)&gt;0,
    COUNTIFS($AC$2:$AC$200,$G209)&gt;0,
    COUNTIFS($AD$2:$AD$200,$G209)&gt;0,
    COUNTIFS($AE$2:$AE$200,$G209)&gt;0,
    COUNTIFS($AF$2:$AF$200,$G209)&gt;0,
    COUNTIFS($AG$2:$AG$200,$G209)&gt;0,
    COUNTIFS($AH$2:$AH$200,$G209)&gt;0,
    COUNTIFS($AI$2:$AI$200,$G209)&gt;0,
    COUNTIFS($AJ$2:$AJ$200,$G209)&gt;0,
    COUNTIFS($AK$2:$AK$200,$G209)&gt;0,
    COUNTIFS($AL$2:$AL$200,$G209)&gt;0,
    COUNTIFS($AM$2:$AM$200,$G209)&gt;0,
    COUNTIFS($AN$2:$AN$200,$G209)&gt;0,
    COUNTIFS($AO$2:$AO$200,$G209)&gt;0,
    COUNTIFS($AP$2:$AP$200,$G209)&gt;0,
    COUNTIFS($AQ$2:$AQ$200,$G209)&gt;0,
    COUNTIFS($AR$2:$AR$200,$G209)&gt;0,
    COUNTIFS($AS$2:$AS$200,$G209)&gt;0,
    COUNTIFS($AT$2:$AT$200,$G209)&gt;0,
    COUNTIFS($AU$2:$AU$200,$G209)&gt;0,
    COUNTIFS($AV$2:$AV$200,$G209)&gt;0,
    COUNTIFS($AW$2:$AW$200,$G209)&gt;0,
    COUNTIFS($AX$2:$AX$200,$G209)&gt;0
   ),
  0)
 ),
"")</f>
        <v>Kumena</v>
      </c>
      <c r="D209" s="3" t="str" cm="1">
        <f t="array" aca="1" ref="D209" ca="1">IFERROR(
 INDEX(
  _xlfn._xlws.FILTER($U$1:$AX$1,
   TRANSPOSE(
    CHOOSE({1;2;3;4;5;6;7;8;9;10;11;12;13;14;15;16;17;18;19;20;21;22;23;24;25;26;27;28;29;30},
     COUNTIFS($U$2:$U$200,$G209)&gt;0,
     COUNTIFS($V$2:$V$200,$G209)&gt;0,
     COUNTIFS($W$2:$W$200,$G209)&gt;0,
     COUNTIFS($X$2:$X$200,$G209)&gt;0,
     COUNTIFS($Y$2:$Y$200,$G209)&gt;0,
     COUNTIFS($Z$2:$Z$200,$G209)&gt;0,
     COUNTIFS($AA$2:$AA$200,$G209)&gt;0,
     COUNTIFS($AB$2:$AB$200,$G209)&gt;0,
     COUNTIFS($AC$2:$AC$200,$G209)&gt;0,
     COUNTIFS($AD$2:$AD$200,$G209)&gt;0,
     COUNTIFS($AE$2:$AE$200,$G209)&gt;0,
     COUNTIFS($AF$2:$AF$200,$G209)&gt;0,
     COUNTIFS($AG$2:$AG$200,$G209)&gt;0,
     COUNTIFS($AH$2:$AH$200,$G209)&gt;0,
     COUNTIFS($AI$2:$AI$200,$G209)&gt;0,
     COUNTIFS($AJ$2:$AJ$200,$G209)&gt;0,
     COUNTIFS($AK$2:$AK$200,$G209)&gt;0,
     COUNTIFS($AL$2:$AL$200,$G209)&gt;0,
     COUNTIFS($AM$2:$AM$200,$G209)&gt;0,
     COUNTIFS($AN$2:$AN$200,$G209)&gt;0,
     COUNTIFS($AO$2:$AO$200,$G209)&gt;0,
     COUNTIFS($AP$2:$AP$200,$G209)&gt;0,
     COUNTIFS($AQ$2:$AQ$200,$G209)&gt;0,
     COUNTIFS($AR$2:$AR$200,$G209)&gt;0,
     COUNTIFS($AS$2:$AS$200,$G209)&gt;0,
     COUNTIFS($AT$2:$AT$200,$G209)&gt;0,
     COUNTIFS($AU$2:$AU$200,$G209)&gt;0,
     COUNTIFS($AV$2:$AV$200,$G209)&gt;0,
     COUNTIFS($AW$2:$AW$200,$G209)&gt;0,
     COUNTIFS($AX$2:$AX$200,$G209)&gt;0
   )),
  ),
  2
 ),
"")</f>
        <v/>
      </c>
      <c r="E209" s="3" t="str" cm="1">
        <f t="array" aca="1" ref="E209" ca="1">IFERROR(
 INDEX(
  _xlfn._xlws.FILTER($U$1:$AX$1,
   TRANSPOSE(
    CHOOSE({1;2;3;4;5;6;7;8;9;10;11;12;13;14;15;16;17;18;19;20;21;22;23;24;25;26;27;28;29;30},
     COUNTIFS($U$2:$U$200,$G209)&gt;0,
     COUNTIFS($V$2:$V$200,$G209)&gt;0,
     COUNTIFS($W$2:$W$200,$G209)&gt;0,
     COUNTIFS($X$2:$X$200,$G209)&gt;0,
     COUNTIFS($Y$2:$Y$200,$G209)&gt;0,
     COUNTIFS($Z$2:$Z$200,$G209)&gt;0,
     COUNTIFS($AA$2:$AA$200,$G209)&gt;0,
     COUNTIFS($AB$2:$AB$200,$G209)&gt;0,
     COUNTIFS($AC$2:$AC$200,$G209)&gt;0,
     COUNTIFS($AD$2:$AD$200,$G209)&gt;0,
     COUNTIFS($AE$2:$AE$200,$G209)&gt;0,
     COUNTIFS($AF$2:$AF$200,$G209)&gt;0,
     COUNTIFS($AG$2:$AG$200,$G209)&gt;0,
     COUNTIFS($AH$2:$AH$200,$G209)&gt;0,
     COUNTIFS($AI$2:$AI$200,$G209)&gt;0,
     COUNTIFS($AJ$2:$AJ$200,$G209)&gt;0,
     COUNTIFS($AK$2:$AK$200,$G209)&gt;0,
     COUNTIFS($AL$2:$AL$200,$G209)&gt;0,
     COUNTIFS($AM$2:$AM$200,$G209)&gt;0,
     COUNTIFS($AN$2:$AN$200,$G209)&gt;0,
     COUNTIFS($AO$2:$AO$200,$G209)&gt;0,
     COUNTIFS($AP$2:$AP$200,$G209)&gt;0,
     COUNTIFS($AQ$2:$AQ$200,$G209)&gt;0,
     COUNTIFS($AR$2:$AR$200,$G209)&gt;0,
     COUNTIFS($AS$2:$AS$200,$G209)&gt;0,
     COUNTIFS($AT$2:$AT$200,$G209)&gt;0,
     COUNTIFS($AU$2:$AU$200,$G209)&gt;0,
     COUNTIFS($AV$2:$AV$200,$G209)&gt;0,
     COUNTIFS($AW$2:$AW$200,$G209)&gt;0,
     COUNTIFS($AX$2:$AX$200,$G209)&gt;0
   )),
  ),
  3
 ),
"")</f>
        <v/>
      </c>
      <c r="F209" s="3" t="str" cm="1">
        <f t="array" aca="1" ref="F209" ca="1">IFERROR(
 INDEX(
  _xlfn._xlws.FILTER($U$1:$AX$1,
   TRANSPOSE(
    CHOOSE({1;2;3;4;5;6;7;8;9;10;11;12;13;14;15;16;17;18;19;20;21;22;23;24;25;26;27;28;29;30},
     COUNTIFS($U$2:$U$200,$G209)&gt;0,
     COUNTIFS($V$2:$V$200,$G209)&gt;0,
     COUNTIFS($W$2:$W$200,$G209)&gt;0,
     COUNTIFS($X$2:$X$200,$G209)&gt;0,
     COUNTIFS($Y$2:$Y$200,$G209)&gt;0,
     COUNTIFS($Z$2:$Z$200,$G209)&gt;0,
     COUNTIFS($AA$2:$AA$200,$G209)&gt;0,
     COUNTIFS($AB$2:$AB$200,$G209)&gt;0,
     COUNTIFS($AC$2:$AC$200,$G209)&gt;0,
     COUNTIFS($AD$2:$AD$200,$G209)&gt;0,
     COUNTIFS($AE$2:$AE$200,$G209)&gt;0,
     COUNTIFS($AF$2:$AF$200,$G209)&gt;0,
     COUNTIFS($AG$2:$AG$200,$G209)&gt;0,
     COUNTIFS($AH$2:$AH$200,$G209)&gt;0,
     COUNTIFS($AI$2:$AI$200,$G209)&gt;0,
     COUNTIFS($AJ$2:$AJ$200,$G209)&gt;0,
     COUNTIFS($AK$2:$AK$200,$G209)&gt;0,
     COUNTIFS($AL$2:$AL$200,$G209)&gt;0,
     COUNTIFS($AM$2:$AM$200,$G209)&gt;0,
     COUNTIFS($AN$2:$AN$200,$G209)&gt;0,
     COUNTIFS($AO$2:$AO$200,$G209)&gt;0,
     COUNTIFS($AP$2:$AP$200,$G209)&gt;0,
     COUNTIFS($AQ$2:$AQ$200,$G209)&gt;0,
     COUNTIFS($AR$2:$AR$200,$G209)&gt;0,
     COUNTIFS($AS$2:$AS$200,$G209)&gt;0,
     COUNTIFS($AT$2:$AT$200,$G209)&gt;0,
     COUNTIFS($AU$2:$AU$200,$G209)&gt;0,
     COUNTIFS($AV$2:$AV$200,$G209)&gt;0,
     COUNTIFS($AW$2:$AW$200,$G209)&gt;0,
     COUNTIFS($AX$2:$AX$200,$G209)&gt;0
   )),
  ),
  4
 ),
"")</f>
        <v/>
      </c>
      <c r="G209" t="str">
        <f ca="1"/>
        <v>Merrow Commerce</v>
      </c>
      <c r="BT209" t="str">
        <f ca="1"/>
        <v>Trioma de Zagoth</v>
      </c>
    </row>
    <row r="210" spans="1:72" x14ac:dyDescent="0.25">
      <c r="A210" s="3" t="str">
        <f t="shared" ca="1" si="8"/>
        <v>2</v>
      </c>
      <c r="B210" s="3">
        <f t="shared" ca="1" si="9"/>
        <v>1</v>
      </c>
      <c r="C210" s="3" t="str">
        <f ca="1">IFERROR(
 INDEX($U$1:$AX$1,
  MATCH(TRUE,
   CHOOSE({1;2;3;4;5;6;7;8;9;10;11;12;13;14;15;16;17;18;19;20;21;22;23;24;25;26;27;28;29;30;31;32},
    COUNTIFS($U$2:$U$200,$G210)&gt;0,
    COUNTIFS($V$2:$V$200,$G210)&gt;0,
    COUNTIFS($W$2:$W$200,$G210)&gt;0,
    COUNTIFS($X$2:$X$200,$G210)&gt;0,
    COUNTIFS($Y$2:$Y$200,$G210)&gt;0,
    COUNTIFS($Z$2:$Z$200,$G210)&gt;0,
    COUNTIFS($AA$2:$AA$200,$G210)&gt;0,
    COUNTIFS($AB$2:$AB$200,$G210)&gt;0,
    COUNTIFS($AC$2:$AC$200,$G210)&gt;0,
    COUNTIFS($AD$2:$AD$200,$G210)&gt;0,
    COUNTIFS($AE$2:$AE$200,$G210)&gt;0,
    COUNTIFS($AF$2:$AF$200,$G210)&gt;0,
    COUNTIFS($AG$2:$AG$200,$G210)&gt;0,
    COUNTIFS($AH$2:$AH$200,$G210)&gt;0,
    COUNTIFS($AI$2:$AI$200,$G210)&gt;0,
    COUNTIFS($AJ$2:$AJ$200,$G210)&gt;0,
    COUNTIFS($AK$2:$AK$200,$G210)&gt;0,
    COUNTIFS($AL$2:$AL$200,$G210)&gt;0,
    COUNTIFS($AM$2:$AM$200,$G210)&gt;0,
    COUNTIFS($AN$2:$AN$200,$G210)&gt;0,
    COUNTIFS($AO$2:$AO$200,$G210)&gt;0,
    COUNTIFS($AP$2:$AP$200,$G210)&gt;0,
    COUNTIFS($AQ$2:$AQ$200,$G210)&gt;0,
    COUNTIFS($AR$2:$AR$200,$G210)&gt;0,
    COUNTIFS($AS$2:$AS$200,$G210)&gt;0,
    COUNTIFS($AT$2:$AT$200,$G210)&gt;0,
    COUNTIFS($AU$2:$AU$200,$G210)&gt;0,
    COUNTIFS($AV$2:$AV$200,$G210)&gt;0,
    COUNTIFS($AW$2:$AW$200,$G210)&gt;0,
    COUNTIFS($AX$2:$AX$200,$G210)&gt;0
   ),
  0)
 ),
"")</f>
        <v>Kumena</v>
      </c>
      <c r="D210" s="3" t="str" cm="1">
        <f t="array" aca="1" ref="D210" ca="1">IFERROR(
 INDEX(
  _xlfn._xlws.FILTER($U$1:$AX$1,
   TRANSPOSE(
    CHOOSE({1;2;3;4;5;6;7;8;9;10;11;12;13;14;15;16;17;18;19;20;21;22;23;24;25;26;27;28;29;30},
     COUNTIFS($U$2:$U$200,$G210)&gt;0,
     COUNTIFS($V$2:$V$200,$G210)&gt;0,
     COUNTIFS($W$2:$W$200,$G210)&gt;0,
     COUNTIFS($X$2:$X$200,$G210)&gt;0,
     COUNTIFS($Y$2:$Y$200,$G210)&gt;0,
     COUNTIFS($Z$2:$Z$200,$G210)&gt;0,
     COUNTIFS($AA$2:$AA$200,$G210)&gt;0,
     COUNTIFS($AB$2:$AB$200,$G210)&gt;0,
     COUNTIFS($AC$2:$AC$200,$G210)&gt;0,
     COUNTIFS($AD$2:$AD$200,$G210)&gt;0,
     COUNTIFS($AE$2:$AE$200,$G210)&gt;0,
     COUNTIFS($AF$2:$AF$200,$G210)&gt;0,
     COUNTIFS($AG$2:$AG$200,$G210)&gt;0,
     COUNTIFS($AH$2:$AH$200,$G210)&gt;0,
     COUNTIFS($AI$2:$AI$200,$G210)&gt;0,
     COUNTIFS($AJ$2:$AJ$200,$G210)&gt;0,
     COUNTIFS($AK$2:$AK$200,$G210)&gt;0,
     COUNTIFS($AL$2:$AL$200,$G210)&gt;0,
     COUNTIFS($AM$2:$AM$200,$G210)&gt;0,
     COUNTIFS($AN$2:$AN$200,$G210)&gt;0,
     COUNTIFS($AO$2:$AO$200,$G210)&gt;0,
     COUNTIFS($AP$2:$AP$200,$G210)&gt;0,
     COUNTIFS($AQ$2:$AQ$200,$G210)&gt;0,
     COUNTIFS($AR$2:$AR$200,$G210)&gt;0,
     COUNTIFS($AS$2:$AS$200,$G210)&gt;0,
     COUNTIFS($AT$2:$AT$200,$G210)&gt;0,
     COUNTIFS($AU$2:$AU$200,$G210)&gt;0,
     COUNTIFS($AV$2:$AV$200,$G210)&gt;0,
     COUNTIFS($AW$2:$AW$200,$G210)&gt;0,
     COUNTIFS($AX$2:$AX$200,$G210)&gt;0
   )),
  ),
  2
 ),
"")</f>
        <v/>
      </c>
      <c r="E210" s="3" t="str" cm="1">
        <f t="array" aca="1" ref="E210" ca="1">IFERROR(
 INDEX(
  _xlfn._xlws.FILTER($U$1:$AX$1,
   TRANSPOSE(
    CHOOSE({1;2;3;4;5;6;7;8;9;10;11;12;13;14;15;16;17;18;19;20;21;22;23;24;25;26;27;28;29;30},
     COUNTIFS($U$2:$U$200,$G210)&gt;0,
     COUNTIFS($V$2:$V$200,$G210)&gt;0,
     COUNTIFS($W$2:$W$200,$G210)&gt;0,
     COUNTIFS($X$2:$X$200,$G210)&gt;0,
     COUNTIFS($Y$2:$Y$200,$G210)&gt;0,
     COUNTIFS($Z$2:$Z$200,$G210)&gt;0,
     COUNTIFS($AA$2:$AA$200,$G210)&gt;0,
     COUNTIFS($AB$2:$AB$200,$G210)&gt;0,
     COUNTIFS($AC$2:$AC$200,$G210)&gt;0,
     COUNTIFS($AD$2:$AD$200,$G210)&gt;0,
     COUNTIFS($AE$2:$AE$200,$G210)&gt;0,
     COUNTIFS($AF$2:$AF$200,$G210)&gt;0,
     COUNTIFS($AG$2:$AG$200,$G210)&gt;0,
     COUNTIFS($AH$2:$AH$200,$G210)&gt;0,
     COUNTIFS($AI$2:$AI$200,$G210)&gt;0,
     COUNTIFS($AJ$2:$AJ$200,$G210)&gt;0,
     COUNTIFS($AK$2:$AK$200,$G210)&gt;0,
     COUNTIFS($AL$2:$AL$200,$G210)&gt;0,
     COUNTIFS($AM$2:$AM$200,$G210)&gt;0,
     COUNTIFS($AN$2:$AN$200,$G210)&gt;0,
     COUNTIFS($AO$2:$AO$200,$G210)&gt;0,
     COUNTIFS($AP$2:$AP$200,$G210)&gt;0,
     COUNTIFS($AQ$2:$AQ$200,$G210)&gt;0,
     COUNTIFS($AR$2:$AR$200,$G210)&gt;0,
     COUNTIFS($AS$2:$AS$200,$G210)&gt;0,
     COUNTIFS($AT$2:$AT$200,$G210)&gt;0,
     COUNTIFS($AU$2:$AU$200,$G210)&gt;0,
     COUNTIFS($AV$2:$AV$200,$G210)&gt;0,
     COUNTIFS($AW$2:$AW$200,$G210)&gt;0,
     COUNTIFS($AX$2:$AX$200,$G210)&gt;0
   )),
  ),
  3
 ),
"")</f>
        <v/>
      </c>
      <c r="F210" s="3" t="str" cm="1">
        <f t="array" aca="1" ref="F210" ca="1">IFERROR(
 INDEX(
  _xlfn._xlws.FILTER($U$1:$AX$1,
   TRANSPOSE(
    CHOOSE({1;2;3;4;5;6;7;8;9;10;11;12;13;14;15;16;17;18;19;20;21;22;23;24;25;26;27;28;29;30},
     COUNTIFS($U$2:$U$200,$G210)&gt;0,
     COUNTIFS($V$2:$V$200,$G210)&gt;0,
     COUNTIFS($W$2:$W$200,$G210)&gt;0,
     COUNTIFS($X$2:$X$200,$G210)&gt;0,
     COUNTIFS($Y$2:$Y$200,$G210)&gt;0,
     COUNTIFS($Z$2:$Z$200,$G210)&gt;0,
     COUNTIFS($AA$2:$AA$200,$G210)&gt;0,
     COUNTIFS($AB$2:$AB$200,$G210)&gt;0,
     COUNTIFS($AC$2:$AC$200,$G210)&gt;0,
     COUNTIFS($AD$2:$AD$200,$G210)&gt;0,
     COUNTIFS($AE$2:$AE$200,$G210)&gt;0,
     COUNTIFS($AF$2:$AF$200,$G210)&gt;0,
     COUNTIFS($AG$2:$AG$200,$G210)&gt;0,
     COUNTIFS($AH$2:$AH$200,$G210)&gt;0,
     COUNTIFS($AI$2:$AI$200,$G210)&gt;0,
     COUNTIFS($AJ$2:$AJ$200,$G210)&gt;0,
     COUNTIFS($AK$2:$AK$200,$G210)&gt;0,
     COUNTIFS($AL$2:$AL$200,$G210)&gt;0,
     COUNTIFS($AM$2:$AM$200,$G210)&gt;0,
     COUNTIFS($AN$2:$AN$200,$G210)&gt;0,
     COUNTIFS($AO$2:$AO$200,$G210)&gt;0,
     COUNTIFS($AP$2:$AP$200,$G210)&gt;0,
     COUNTIFS($AQ$2:$AQ$200,$G210)&gt;0,
     COUNTIFS($AR$2:$AR$200,$G210)&gt;0,
     COUNTIFS($AS$2:$AS$200,$G210)&gt;0,
     COUNTIFS($AT$2:$AT$200,$G210)&gt;0,
     COUNTIFS($AU$2:$AU$200,$G210)&gt;0,
     COUNTIFS($AV$2:$AV$200,$G210)&gt;0,
     COUNTIFS($AW$2:$AW$200,$G210)&gt;0,
     COUNTIFS($AX$2:$AX$200,$G210)&gt;0
   )),
  ),
  4
 ),
"")</f>
        <v/>
      </c>
      <c r="G210" t="str">
        <f ca="1"/>
        <v>Merrow Harbinger</v>
      </c>
      <c r="BT210" t="str">
        <f ca="1"/>
        <v>Ulamog, o Profanador</v>
      </c>
    </row>
    <row r="211" spans="1:72" x14ac:dyDescent="0.25">
      <c r="A211" s="3" t="str">
        <f t="shared" ca="1" si="8"/>
        <v>1</v>
      </c>
      <c r="B211" s="3">
        <f t="shared" ca="1" si="9"/>
        <v>1</v>
      </c>
      <c r="C211" s="3" t="str">
        <f ca="1">IFERROR(
 INDEX($U$1:$AX$1,
  MATCH(TRUE,
   CHOOSE({1;2;3;4;5;6;7;8;9;10;11;12;13;14;15;16;17;18;19;20;21;22;23;24;25;26;27;28;29;30;31;32},
    COUNTIFS($U$2:$U$200,$G211)&gt;0,
    COUNTIFS($V$2:$V$200,$G211)&gt;0,
    COUNTIFS($W$2:$W$200,$G211)&gt;0,
    COUNTIFS($X$2:$X$200,$G211)&gt;0,
    COUNTIFS($Y$2:$Y$200,$G211)&gt;0,
    COUNTIFS($Z$2:$Z$200,$G211)&gt;0,
    COUNTIFS($AA$2:$AA$200,$G211)&gt;0,
    COUNTIFS($AB$2:$AB$200,$G211)&gt;0,
    COUNTIFS($AC$2:$AC$200,$G211)&gt;0,
    COUNTIFS($AD$2:$AD$200,$G211)&gt;0,
    COUNTIFS($AE$2:$AE$200,$G211)&gt;0,
    COUNTIFS($AF$2:$AF$200,$G211)&gt;0,
    COUNTIFS($AG$2:$AG$200,$G211)&gt;0,
    COUNTIFS($AH$2:$AH$200,$G211)&gt;0,
    COUNTIFS($AI$2:$AI$200,$G211)&gt;0,
    COUNTIFS($AJ$2:$AJ$200,$G211)&gt;0,
    COUNTIFS($AK$2:$AK$200,$G211)&gt;0,
    COUNTIFS($AL$2:$AL$200,$G211)&gt;0,
    COUNTIFS($AM$2:$AM$200,$G211)&gt;0,
    COUNTIFS($AN$2:$AN$200,$G211)&gt;0,
    COUNTIFS($AO$2:$AO$200,$G211)&gt;0,
    COUNTIFS($AP$2:$AP$200,$G211)&gt;0,
    COUNTIFS($AQ$2:$AQ$200,$G211)&gt;0,
    COUNTIFS($AR$2:$AR$200,$G211)&gt;0,
    COUNTIFS($AS$2:$AS$200,$G211)&gt;0,
    COUNTIFS($AT$2:$AT$200,$G211)&gt;0,
    COUNTIFS($AU$2:$AU$200,$G211)&gt;0,
    COUNTIFS($AV$2:$AV$200,$G211)&gt;0,
    COUNTIFS($AW$2:$AW$200,$G211)&gt;0,
    COUNTIFS($AX$2:$AX$200,$G211)&gt;0
   ),
  0)
 ),
"")</f>
        <v>Modular</v>
      </c>
      <c r="D211" s="3" t="str" cm="1">
        <f t="array" aca="1" ref="D211" ca="1">IFERROR(
 INDEX(
  _xlfn._xlws.FILTER($U$1:$AX$1,
   TRANSPOSE(
    CHOOSE({1;2;3;4;5;6;7;8;9;10;11;12;13;14;15;16;17;18;19;20;21;22;23;24;25;26;27;28;29;30},
     COUNTIFS($U$2:$U$200,$G211)&gt;0,
     COUNTIFS($V$2:$V$200,$G211)&gt;0,
     COUNTIFS($W$2:$W$200,$G211)&gt;0,
     COUNTIFS($X$2:$X$200,$G211)&gt;0,
     COUNTIFS($Y$2:$Y$200,$G211)&gt;0,
     COUNTIFS($Z$2:$Z$200,$G211)&gt;0,
     COUNTIFS($AA$2:$AA$200,$G211)&gt;0,
     COUNTIFS($AB$2:$AB$200,$G211)&gt;0,
     COUNTIFS($AC$2:$AC$200,$G211)&gt;0,
     COUNTIFS($AD$2:$AD$200,$G211)&gt;0,
     COUNTIFS($AE$2:$AE$200,$G211)&gt;0,
     COUNTIFS($AF$2:$AF$200,$G211)&gt;0,
     COUNTIFS($AG$2:$AG$200,$G211)&gt;0,
     COUNTIFS($AH$2:$AH$200,$G211)&gt;0,
     COUNTIFS($AI$2:$AI$200,$G211)&gt;0,
     COUNTIFS($AJ$2:$AJ$200,$G211)&gt;0,
     COUNTIFS($AK$2:$AK$200,$G211)&gt;0,
     COUNTIFS($AL$2:$AL$200,$G211)&gt;0,
     COUNTIFS($AM$2:$AM$200,$G211)&gt;0,
     COUNTIFS($AN$2:$AN$200,$G211)&gt;0,
     COUNTIFS($AO$2:$AO$200,$G211)&gt;0,
     COUNTIFS($AP$2:$AP$200,$G211)&gt;0,
     COUNTIFS($AQ$2:$AQ$200,$G211)&gt;0,
     COUNTIFS($AR$2:$AR$200,$G211)&gt;0,
     COUNTIFS($AS$2:$AS$200,$G211)&gt;0,
     COUNTIFS($AT$2:$AT$200,$G211)&gt;0,
     COUNTIFS($AU$2:$AU$200,$G211)&gt;0,
     COUNTIFS($AV$2:$AV$200,$G211)&gt;0,
     COUNTIFS($AW$2:$AW$200,$G211)&gt;0,
     COUNTIFS($AX$2:$AX$200,$G211)&gt;0
   )),
  ),
  2
 ),
"")</f>
        <v/>
      </c>
      <c r="E211" s="3" t="str" cm="1">
        <f t="array" aca="1" ref="E211" ca="1">IFERROR(
 INDEX(
  _xlfn._xlws.FILTER($U$1:$AX$1,
   TRANSPOSE(
    CHOOSE({1;2;3;4;5;6;7;8;9;10;11;12;13;14;15;16;17;18;19;20;21;22;23;24;25;26;27;28;29;30},
     COUNTIFS($U$2:$U$200,$G211)&gt;0,
     COUNTIFS($V$2:$V$200,$G211)&gt;0,
     COUNTIFS($W$2:$W$200,$G211)&gt;0,
     COUNTIFS($X$2:$X$200,$G211)&gt;0,
     COUNTIFS($Y$2:$Y$200,$G211)&gt;0,
     COUNTIFS($Z$2:$Z$200,$G211)&gt;0,
     COUNTIFS($AA$2:$AA$200,$G211)&gt;0,
     COUNTIFS($AB$2:$AB$200,$G211)&gt;0,
     COUNTIFS($AC$2:$AC$200,$G211)&gt;0,
     COUNTIFS($AD$2:$AD$200,$G211)&gt;0,
     COUNTIFS($AE$2:$AE$200,$G211)&gt;0,
     COUNTIFS($AF$2:$AF$200,$G211)&gt;0,
     COUNTIFS($AG$2:$AG$200,$G211)&gt;0,
     COUNTIFS($AH$2:$AH$200,$G211)&gt;0,
     COUNTIFS($AI$2:$AI$200,$G211)&gt;0,
     COUNTIFS($AJ$2:$AJ$200,$G211)&gt;0,
     COUNTIFS($AK$2:$AK$200,$G211)&gt;0,
     COUNTIFS($AL$2:$AL$200,$G211)&gt;0,
     COUNTIFS($AM$2:$AM$200,$G211)&gt;0,
     COUNTIFS($AN$2:$AN$200,$G211)&gt;0,
     COUNTIFS($AO$2:$AO$200,$G211)&gt;0,
     COUNTIFS($AP$2:$AP$200,$G211)&gt;0,
     COUNTIFS($AQ$2:$AQ$200,$G211)&gt;0,
     COUNTIFS($AR$2:$AR$200,$G211)&gt;0,
     COUNTIFS($AS$2:$AS$200,$G211)&gt;0,
     COUNTIFS($AT$2:$AT$200,$G211)&gt;0,
     COUNTIFS($AU$2:$AU$200,$G211)&gt;0,
     COUNTIFS($AV$2:$AV$200,$G211)&gt;0,
     COUNTIFS($AW$2:$AW$200,$G211)&gt;0,
     COUNTIFS($AX$2:$AX$200,$G211)&gt;0
   )),
  ),
  3
 ),
"")</f>
        <v/>
      </c>
      <c r="F211" s="3" t="str" cm="1">
        <f t="array" aca="1" ref="F211" ca="1">IFERROR(
 INDEX(
  _xlfn._xlws.FILTER($U$1:$AX$1,
   TRANSPOSE(
    CHOOSE({1;2;3;4;5;6;7;8;9;10;11;12;13;14;15;16;17;18;19;20;21;22;23;24;25;26;27;28;29;30},
     COUNTIFS($U$2:$U$200,$G211)&gt;0,
     COUNTIFS($V$2:$V$200,$G211)&gt;0,
     COUNTIFS($W$2:$W$200,$G211)&gt;0,
     COUNTIFS($X$2:$X$200,$G211)&gt;0,
     COUNTIFS($Y$2:$Y$200,$G211)&gt;0,
     COUNTIFS($Z$2:$Z$200,$G211)&gt;0,
     COUNTIFS($AA$2:$AA$200,$G211)&gt;0,
     COUNTIFS($AB$2:$AB$200,$G211)&gt;0,
     COUNTIFS($AC$2:$AC$200,$G211)&gt;0,
     COUNTIFS($AD$2:$AD$200,$G211)&gt;0,
     COUNTIFS($AE$2:$AE$200,$G211)&gt;0,
     COUNTIFS($AF$2:$AF$200,$G211)&gt;0,
     COUNTIFS($AG$2:$AG$200,$G211)&gt;0,
     COUNTIFS($AH$2:$AH$200,$G211)&gt;0,
     COUNTIFS($AI$2:$AI$200,$G211)&gt;0,
     COUNTIFS($AJ$2:$AJ$200,$G211)&gt;0,
     COUNTIFS($AK$2:$AK$200,$G211)&gt;0,
     COUNTIFS($AL$2:$AL$200,$G211)&gt;0,
     COUNTIFS($AM$2:$AM$200,$G211)&gt;0,
     COUNTIFS($AN$2:$AN$200,$G211)&gt;0,
     COUNTIFS($AO$2:$AO$200,$G211)&gt;0,
     COUNTIFS($AP$2:$AP$200,$G211)&gt;0,
     COUNTIFS($AQ$2:$AQ$200,$G211)&gt;0,
     COUNTIFS($AR$2:$AR$200,$G211)&gt;0,
     COUNTIFS($AS$2:$AS$200,$G211)&gt;0,
     COUNTIFS($AT$2:$AT$200,$G211)&gt;0,
     COUNTIFS($AU$2:$AU$200,$G211)&gt;0,
     COUNTIFS($AV$2:$AV$200,$G211)&gt;0,
     COUNTIFS($AW$2:$AW$200,$G211)&gt;0,
     COUNTIFS($AX$2:$AX$200,$G211)&gt;0
   )),
  ),
  4
 ),
"")</f>
        <v/>
      </c>
      <c r="G211" t="str">
        <f ca="1"/>
        <v>Mindless Automaton</v>
      </c>
      <c r="BT211" t="str">
        <f ca="1"/>
        <v>Ulamog, the Infinite Gyre</v>
      </c>
    </row>
    <row r="212" spans="1:72" x14ac:dyDescent="0.25">
      <c r="A212" s="3" t="str">
        <f t="shared" ca="1" si="8"/>
        <v>2</v>
      </c>
      <c r="B212" s="3">
        <f t="shared" ca="1" si="9"/>
        <v>1</v>
      </c>
      <c r="C212" s="3" t="str">
        <f ca="1">IFERROR(
 INDEX($U$1:$AX$1,
  MATCH(TRUE,
   CHOOSE({1;2;3;4;5;6;7;8;9;10;11;12;13;14;15;16;17;18;19;20;21;22;23;24;25;26;27;28;29;30;31;32},
    COUNTIFS($U$2:$U$200,$G212)&gt;0,
    COUNTIFS($V$2:$V$200,$G212)&gt;0,
    COUNTIFS($W$2:$W$200,$G212)&gt;0,
    COUNTIFS($X$2:$X$200,$G212)&gt;0,
    COUNTIFS($Y$2:$Y$200,$G212)&gt;0,
    COUNTIFS($Z$2:$Z$200,$G212)&gt;0,
    COUNTIFS($AA$2:$AA$200,$G212)&gt;0,
    COUNTIFS($AB$2:$AB$200,$G212)&gt;0,
    COUNTIFS($AC$2:$AC$200,$G212)&gt;0,
    COUNTIFS($AD$2:$AD$200,$G212)&gt;0,
    COUNTIFS($AE$2:$AE$200,$G212)&gt;0,
    COUNTIFS($AF$2:$AF$200,$G212)&gt;0,
    COUNTIFS($AG$2:$AG$200,$G212)&gt;0,
    COUNTIFS($AH$2:$AH$200,$G212)&gt;0,
    COUNTIFS($AI$2:$AI$200,$G212)&gt;0,
    COUNTIFS($AJ$2:$AJ$200,$G212)&gt;0,
    COUNTIFS($AK$2:$AK$200,$G212)&gt;0,
    COUNTIFS($AL$2:$AL$200,$G212)&gt;0,
    COUNTIFS($AM$2:$AM$200,$G212)&gt;0,
    COUNTIFS($AN$2:$AN$200,$G212)&gt;0,
    COUNTIFS($AO$2:$AO$200,$G212)&gt;0,
    COUNTIFS($AP$2:$AP$200,$G212)&gt;0,
    COUNTIFS($AQ$2:$AQ$200,$G212)&gt;0,
    COUNTIFS($AR$2:$AR$200,$G212)&gt;0,
    COUNTIFS($AS$2:$AS$200,$G212)&gt;0,
    COUNTIFS($AT$2:$AT$200,$G212)&gt;0,
    COUNTIFS($AU$2:$AU$200,$G212)&gt;0,
    COUNTIFS($AV$2:$AV$200,$G212)&gt;0,
    COUNTIFS($AW$2:$AW$200,$G212)&gt;0,
    COUNTIFS($AX$2:$AX$200,$G212)&gt;0
   ),
  0)
 ),
"")</f>
        <v>Piratas</v>
      </c>
      <c r="D212" s="3" t="str" cm="1">
        <f t="array" aca="1" ref="D212" ca="1">IFERROR(
 INDEX(
  _xlfn._xlws.FILTER($U$1:$AX$1,
   TRANSPOSE(
    CHOOSE({1;2;3;4;5;6;7;8;9;10;11;12;13;14;15;16;17;18;19;20;21;22;23;24;25;26;27;28;29;30},
     COUNTIFS($U$2:$U$200,$G212)&gt;0,
     COUNTIFS($V$2:$V$200,$G212)&gt;0,
     COUNTIFS($W$2:$W$200,$G212)&gt;0,
     COUNTIFS($X$2:$X$200,$G212)&gt;0,
     COUNTIFS($Y$2:$Y$200,$G212)&gt;0,
     COUNTIFS($Z$2:$Z$200,$G212)&gt;0,
     COUNTIFS($AA$2:$AA$200,$G212)&gt;0,
     COUNTIFS($AB$2:$AB$200,$G212)&gt;0,
     COUNTIFS($AC$2:$AC$200,$G212)&gt;0,
     COUNTIFS($AD$2:$AD$200,$G212)&gt;0,
     COUNTIFS($AE$2:$AE$200,$G212)&gt;0,
     COUNTIFS($AF$2:$AF$200,$G212)&gt;0,
     COUNTIFS($AG$2:$AG$200,$G212)&gt;0,
     COUNTIFS($AH$2:$AH$200,$G212)&gt;0,
     COUNTIFS($AI$2:$AI$200,$G212)&gt;0,
     COUNTIFS($AJ$2:$AJ$200,$G212)&gt;0,
     COUNTIFS($AK$2:$AK$200,$G212)&gt;0,
     COUNTIFS($AL$2:$AL$200,$G212)&gt;0,
     COUNTIFS($AM$2:$AM$200,$G212)&gt;0,
     COUNTIFS($AN$2:$AN$200,$G212)&gt;0,
     COUNTIFS($AO$2:$AO$200,$G212)&gt;0,
     COUNTIFS($AP$2:$AP$200,$G212)&gt;0,
     COUNTIFS($AQ$2:$AQ$200,$G212)&gt;0,
     COUNTIFS($AR$2:$AR$200,$G212)&gt;0,
     COUNTIFS($AS$2:$AS$200,$G212)&gt;0,
     COUNTIFS($AT$2:$AT$200,$G212)&gt;0,
     COUNTIFS($AU$2:$AU$200,$G212)&gt;0,
     COUNTIFS($AV$2:$AV$200,$G212)&gt;0,
     COUNTIFS($AW$2:$AW$200,$G212)&gt;0,
     COUNTIFS($AX$2:$AX$200,$G212)&gt;0
   )),
  ),
  2
 ),
"")</f>
        <v/>
      </c>
      <c r="E212" s="3" t="str" cm="1">
        <f t="array" aca="1" ref="E212" ca="1">IFERROR(
 INDEX(
  _xlfn._xlws.FILTER($U$1:$AX$1,
   TRANSPOSE(
    CHOOSE({1;2;3;4;5;6;7;8;9;10;11;12;13;14;15;16;17;18;19;20;21;22;23;24;25;26;27;28;29;30},
     COUNTIFS($U$2:$U$200,$G212)&gt;0,
     COUNTIFS($V$2:$V$200,$G212)&gt;0,
     COUNTIFS($W$2:$W$200,$G212)&gt;0,
     COUNTIFS($X$2:$X$200,$G212)&gt;0,
     COUNTIFS($Y$2:$Y$200,$G212)&gt;0,
     COUNTIFS($Z$2:$Z$200,$G212)&gt;0,
     COUNTIFS($AA$2:$AA$200,$G212)&gt;0,
     COUNTIFS($AB$2:$AB$200,$G212)&gt;0,
     COUNTIFS($AC$2:$AC$200,$G212)&gt;0,
     COUNTIFS($AD$2:$AD$200,$G212)&gt;0,
     COUNTIFS($AE$2:$AE$200,$G212)&gt;0,
     COUNTIFS($AF$2:$AF$200,$G212)&gt;0,
     COUNTIFS($AG$2:$AG$200,$G212)&gt;0,
     COUNTIFS($AH$2:$AH$200,$G212)&gt;0,
     COUNTIFS($AI$2:$AI$200,$G212)&gt;0,
     COUNTIFS($AJ$2:$AJ$200,$G212)&gt;0,
     COUNTIFS($AK$2:$AK$200,$G212)&gt;0,
     COUNTIFS($AL$2:$AL$200,$G212)&gt;0,
     COUNTIFS($AM$2:$AM$200,$G212)&gt;0,
     COUNTIFS($AN$2:$AN$200,$G212)&gt;0,
     COUNTIFS($AO$2:$AO$200,$G212)&gt;0,
     COUNTIFS($AP$2:$AP$200,$G212)&gt;0,
     COUNTIFS($AQ$2:$AQ$200,$G212)&gt;0,
     COUNTIFS($AR$2:$AR$200,$G212)&gt;0,
     COUNTIFS($AS$2:$AS$200,$G212)&gt;0,
     COUNTIFS($AT$2:$AT$200,$G212)&gt;0,
     COUNTIFS($AU$2:$AU$200,$G212)&gt;0,
     COUNTIFS($AV$2:$AV$200,$G212)&gt;0,
     COUNTIFS($AW$2:$AW$200,$G212)&gt;0,
     COUNTIFS($AX$2:$AX$200,$G212)&gt;0
   )),
  ),
  3
 ),
"")</f>
        <v/>
      </c>
      <c r="F212" s="3" t="str" cm="1">
        <f t="array" aca="1" ref="F212" ca="1">IFERROR(
 INDEX(
  _xlfn._xlws.FILTER($U$1:$AX$1,
   TRANSPOSE(
    CHOOSE({1;2;3;4;5;6;7;8;9;10;11;12;13;14;15;16;17;18;19;20;21;22;23;24;25;26;27;28;29;30},
     COUNTIFS($U$2:$U$200,$G212)&gt;0,
     COUNTIFS($V$2:$V$200,$G212)&gt;0,
     COUNTIFS($W$2:$W$200,$G212)&gt;0,
     COUNTIFS($X$2:$X$200,$G212)&gt;0,
     COUNTIFS($Y$2:$Y$200,$G212)&gt;0,
     COUNTIFS($Z$2:$Z$200,$G212)&gt;0,
     COUNTIFS($AA$2:$AA$200,$G212)&gt;0,
     COUNTIFS($AB$2:$AB$200,$G212)&gt;0,
     COUNTIFS($AC$2:$AC$200,$G212)&gt;0,
     COUNTIFS($AD$2:$AD$200,$G212)&gt;0,
     COUNTIFS($AE$2:$AE$200,$G212)&gt;0,
     COUNTIFS($AF$2:$AF$200,$G212)&gt;0,
     COUNTIFS($AG$2:$AG$200,$G212)&gt;0,
     COUNTIFS($AH$2:$AH$200,$G212)&gt;0,
     COUNTIFS($AI$2:$AI$200,$G212)&gt;0,
     COUNTIFS($AJ$2:$AJ$200,$G212)&gt;0,
     COUNTIFS($AK$2:$AK$200,$G212)&gt;0,
     COUNTIFS($AL$2:$AL$200,$G212)&gt;0,
     COUNTIFS($AM$2:$AM$200,$G212)&gt;0,
     COUNTIFS($AN$2:$AN$200,$G212)&gt;0,
     COUNTIFS($AO$2:$AO$200,$G212)&gt;0,
     COUNTIFS($AP$2:$AP$200,$G212)&gt;0,
     COUNTIFS($AQ$2:$AQ$200,$G212)&gt;0,
     COUNTIFS($AR$2:$AR$200,$G212)&gt;0,
     COUNTIFS($AS$2:$AS$200,$G212)&gt;0,
     COUNTIFS($AT$2:$AT$200,$G212)&gt;0,
     COUNTIFS($AU$2:$AU$200,$G212)&gt;0,
     COUNTIFS($AV$2:$AV$200,$G212)&gt;0,
     COUNTIFS($AW$2:$AW$200,$G212)&gt;0,
     COUNTIFS($AX$2:$AX$200,$G212)&gt;0
   )),
  ),
  4
 ),
"")</f>
        <v/>
      </c>
      <c r="G212" t="str">
        <f ca="1"/>
        <v>Mines of Moria</v>
      </c>
      <c r="BT212" t="str">
        <f ca="1"/>
        <v>Unholy Annex // Ritual Chamber</v>
      </c>
    </row>
    <row r="213" spans="1:72" x14ac:dyDescent="0.25">
      <c r="A213" s="3" t="str">
        <f t="shared" ca="1" si="8"/>
        <v>3</v>
      </c>
      <c r="B213" s="3">
        <f t="shared" ca="1" si="9"/>
        <v>1</v>
      </c>
      <c r="C213" s="3" t="str">
        <f ca="1">IFERROR(
 INDEX($U$1:$AX$1,
  MATCH(TRUE,
   CHOOSE({1;2;3;4;5;6;7;8;9;10;11;12;13;14;15;16;17;18;19;20;21;22;23;24;25;26;27;28;29;30;31;32},
    COUNTIFS($U$2:$U$200,$G213)&gt;0,
    COUNTIFS($V$2:$V$200,$G213)&gt;0,
    COUNTIFS($W$2:$W$200,$G213)&gt;0,
    COUNTIFS($X$2:$X$200,$G213)&gt;0,
    COUNTIFS($Y$2:$Y$200,$G213)&gt;0,
    COUNTIFS($Z$2:$Z$200,$G213)&gt;0,
    COUNTIFS($AA$2:$AA$200,$G213)&gt;0,
    COUNTIFS($AB$2:$AB$200,$G213)&gt;0,
    COUNTIFS($AC$2:$AC$200,$G213)&gt;0,
    COUNTIFS($AD$2:$AD$200,$G213)&gt;0,
    COUNTIFS($AE$2:$AE$200,$G213)&gt;0,
    COUNTIFS($AF$2:$AF$200,$G213)&gt;0,
    COUNTIFS($AG$2:$AG$200,$G213)&gt;0,
    COUNTIFS($AH$2:$AH$200,$G213)&gt;0,
    COUNTIFS($AI$2:$AI$200,$G213)&gt;0,
    COUNTIFS($AJ$2:$AJ$200,$G213)&gt;0,
    COUNTIFS($AK$2:$AK$200,$G213)&gt;0,
    COUNTIFS($AL$2:$AL$200,$G213)&gt;0,
    COUNTIFS($AM$2:$AM$200,$G213)&gt;0,
    COUNTIFS($AN$2:$AN$200,$G213)&gt;0,
    COUNTIFS($AO$2:$AO$200,$G213)&gt;0,
    COUNTIFS($AP$2:$AP$200,$G213)&gt;0,
    COUNTIFS($AQ$2:$AQ$200,$G213)&gt;0,
    COUNTIFS($AR$2:$AR$200,$G213)&gt;0,
    COUNTIFS($AS$2:$AS$200,$G213)&gt;0,
    COUNTIFS($AT$2:$AT$200,$G213)&gt;0,
    COUNTIFS($AU$2:$AU$200,$G213)&gt;0,
    COUNTIFS($AV$2:$AV$200,$G213)&gt;0,
    COUNTIFS($AW$2:$AW$200,$G213)&gt;0,
    COUNTIFS($AX$2:$AX$200,$G213)&gt;0
   ),
  0)
 ),
"")</f>
        <v>Muzzio</v>
      </c>
      <c r="D213" s="3" t="str" cm="1">
        <f t="array" aca="1" ref="D213" ca="1">IFERROR(
 INDEX(
  _xlfn._xlws.FILTER($U$1:$AX$1,
   TRANSPOSE(
    CHOOSE({1;2;3;4;5;6;7;8;9;10;11;12;13;14;15;16;17;18;19;20;21;22;23;24;25;26;27;28;29;30},
     COUNTIFS($U$2:$U$200,$G213)&gt;0,
     COUNTIFS($V$2:$V$200,$G213)&gt;0,
     COUNTIFS($W$2:$W$200,$G213)&gt;0,
     COUNTIFS($X$2:$X$200,$G213)&gt;0,
     COUNTIFS($Y$2:$Y$200,$G213)&gt;0,
     COUNTIFS($Z$2:$Z$200,$G213)&gt;0,
     COUNTIFS($AA$2:$AA$200,$G213)&gt;0,
     COUNTIFS($AB$2:$AB$200,$G213)&gt;0,
     COUNTIFS($AC$2:$AC$200,$G213)&gt;0,
     COUNTIFS($AD$2:$AD$200,$G213)&gt;0,
     COUNTIFS($AE$2:$AE$200,$G213)&gt;0,
     COUNTIFS($AF$2:$AF$200,$G213)&gt;0,
     COUNTIFS($AG$2:$AG$200,$G213)&gt;0,
     COUNTIFS($AH$2:$AH$200,$G213)&gt;0,
     COUNTIFS($AI$2:$AI$200,$G213)&gt;0,
     COUNTIFS($AJ$2:$AJ$200,$G213)&gt;0,
     COUNTIFS($AK$2:$AK$200,$G213)&gt;0,
     COUNTIFS($AL$2:$AL$200,$G213)&gt;0,
     COUNTIFS($AM$2:$AM$200,$G213)&gt;0,
     COUNTIFS($AN$2:$AN$200,$G213)&gt;0,
     COUNTIFS($AO$2:$AO$200,$G213)&gt;0,
     COUNTIFS($AP$2:$AP$200,$G213)&gt;0,
     COUNTIFS($AQ$2:$AQ$200,$G213)&gt;0,
     COUNTIFS($AR$2:$AR$200,$G213)&gt;0,
     COUNTIFS($AS$2:$AS$200,$G213)&gt;0,
     COUNTIFS($AT$2:$AT$200,$G213)&gt;0,
     COUNTIFS($AU$2:$AU$200,$G213)&gt;0,
     COUNTIFS($AV$2:$AV$200,$G213)&gt;0,
     COUNTIFS($AW$2:$AW$200,$G213)&gt;0,
     COUNTIFS($AX$2:$AX$200,$G213)&gt;0
   )),
  ),
  2
 ),
"")</f>
        <v/>
      </c>
      <c r="E213" s="3" t="str" cm="1">
        <f t="array" aca="1" ref="E213" ca="1">IFERROR(
 INDEX(
  _xlfn._xlws.FILTER($U$1:$AX$1,
   TRANSPOSE(
    CHOOSE({1;2;3;4;5;6;7;8;9;10;11;12;13;14;15;16;17;18;19;20;21;22;23;24;25;26;27;28;29;30},
     COUNTIFS($U$2:$U$200,$G213)&gt;0,
     COUNTIFS($V$2:$V$200,$G213)&gt;0,
     COUNTIFS($W$2:$W$200,$G213)&gt;0,
     COUNTIFS($X$2:$X$200,$G213)&gt;0,
     COUNTIFS($Y$2:$Y$200,$G213)&gt;0,
     COUNTIFS($Z$2:$Z$200,$G213)&gt;0,
     COUNTIFS($AA$2:$AA$200,$G213)&gt;0,
     COUNTIFS($AB$2:$AB$200,$G213)&gt;0,
     COUNTIFS($AC$2:$AC$200,$G213)&gt;0,
     COUNTIFS($AD$2:$AD$200,$G213)&gt;0,
     COUNTIFS($AE$2:$AE$200,$G213)&gt;0,
     COUNTIFS($AF$2:$AF$200,$G213)&gt;0,
     COUNTIFS($AG$2:$AG$200,$G213)&gt;0,
     COUNTIFS($AH$2:$AH$200,$G213)&gt;0,
     COUNTIFS($AI$2:$AI$200,$G213)&gt;0,
     COUNTIFS($AJ$2:$AJ$200,$G213)&gt;0,
     COUNTIFS($AK$2:$AK$200,$G213)&gt;0,
     COUNTIFS($AL$2:$AL$200,$G213)&gt;0,
     COUNTIFS($AM$2:$AM$200,$G213)&gt;0,
     COUNTIFS($AN$2:$AN$200,$G213)&gt;0,
     COUNTIFS($AO$2:$AO$200,$G213)&gt;0,
     COUNTIFS($AP$2:$AP$200,$G213)&gt;0,
     COUNTIFS($AQ$2:$AQ$200,$G213)&gt;0,
     COUNTIFS($AR$2:$AR$200,$G213)&gt;0,
     COUNTIFS($AS$2:$AS$200,$G213)&gt;0,
     COUNTIFS($AT$2:$AT$200,$G213)&gt;0,
     COUNTIFS($AU$2:$AU$200,$G213)&gt;0,
     COUNTIFS($AV$2:$AV$200,$G213)&gt;0,
     COUNTIFS($AW$2:$AW$200,$G213)&gt;0,
     COUNTIFS($AX$2:$AX$200,$G213)&gt;0
   )),
  ),
  3
 ),
"")</f>
        <v/>
      </c>
      <c r="F213" s="3" t="str" cm="1">
        <f t="array" aca="1" ref="F213" ca="1">IFERROR(
 INDEX(
  _xlfn._xlws.FILTER($U$1:$AX$1,
   TRANSPOSE(
    CHOOSE({1;2;3;4;5;6;7;8;9;10;11;12;13;14;15;16;17;18;19;20;21;22;23;24;25;26;27;28;29;30},
     COUNTIFS($U$2:$U$200,$G213)&gt;0,
     COUNTIFS($V$2:$V$200,$G213)&gt;0,
     COUNTIFS($W$2:$W$200,$G213)&gt;0,
     COUNTIFS($X$2:$X$200,$G213)&gt;0,
     COUNTIFS($Y$2:$Y$200,$G213)&gt;0,
     COUNTIFS($Z$2:$Z$200,$G213)&gt;0,
     COUNTIFS($AA$2:$AA$200,$G213)&gt;0,
     COUNTIFS($AB$2:$AB$200,$G213)&gt;0,
     COUNTIFS($AC$2:$AC$200,$G213)&gt;0,
     COUNTIFS($AD$2:$AD$200,$G213)&gt;0,
     COUNTIFS($AE$2:$AE$200,$G213)&gt;0,
     COUNTIFS($AF$2:$AF$200,$G213)&gt;0,
     COUNTIFS($AG$2:$AG$200,$G213)&gt;0,
     COUNTIFS($AH$2:$AH$200,$G213)&gt;0,
     COUNTIFS($AI$2:$AI$200,$G213)&gt;0,
     COUNTIFS($AJ$2:$AJ$200,$G213)&gt;0,
     COUNTIFS($AK$2:$AK$200,$G213)&gt;0,
     COUNTIFS($AL$2:$AL$200,$G213)&gt;0,
     COUNTIFS($AM$2:$AM$200,$G213)&gt;0,
     COUNTIFS($AN$2:$AN$200,$G213)&gt;0,
     COUNTIFS($AO$2:$AO$200,$G213)&gt;0,
     COUNTIFS($AP$2:$AP$200,$G213)&gt;0,
     COUNTIFS($AQ$2:$AQ$200,$G213)&gt;0,
     COUNTIFS($AR$2:$AR$200,$G213)&gt;0,
     COUNTIFS($AS$2:$AS$200,$G213)&gt;0,
     COUNTIFS($AT$2:$AT$200,$G213)&gt;0,
     COUNTIFS($AU$2:$AU$200,$G213)&gt;0,
     COUNTIFS($AV$2:$AV$200,$G213)&gt;0,
     COUNTIFS($AW$2:$AW$200,$G213)&gt;0,
     COUNTIFS($AX$2:$AX$200,$G213)&gt;0
   )),
  ),
  4
 ),
"")</f>
        <v/>
      </c>
      <c r="G213" t="str">
        <f ca="1"/>
        <v>Mirrex</v>
      </c>
      <c r="BT213" t="str">
        <f ca="1"/>
        <v>Unstoppable Plan</v>
      </c>
    </row>
    <row r="214" spans="1:72" x14ac:dyDescent="0.25">
      <c r="A214" s="3" t="str">
        <f t="shared" ca="1" si="8"/>
        <v>3</v>
      </c>
      <c r="B214" s="3">
        <f t="shared" ca="1" si="9"/>
        <v>1</v>
      </c>
      <c r="C214" s="3" t="str">
        <f ca="1">IFERROR(
 INDEX($U$1:$AX$1,
  MATCH(TRUE,
   CHOOSE({1;2;3;4;5;6;7;8;9;10;11;12;13;14;15;16;17;18;19;20;21;22;23;24;25;26;27;28;29;30;31;32},
    COUNTIFS($U$2:$U$200,$G214)&gt;0,
    COUNTIFS($V$2:$V$200,$G214)&gt;0,
    COUNTIFS($W$2:$W$200,$G214)&gt;0,
    COUNTIFS($X$2:$X$200,$G214)&gt;0,
    COUNTIFS($Y$2:$Y$200,$G214)&gt;0,
    COUNTIFS($Z$2:$Z$200,$G214)&gt;0,
    COUNTIFS($AA$2:$AA$200,$G214)&gt;0,
    COUNTIFS($AB$2:$AB$200,$G214)&gt;0,
    COUNTIFS($AC$2:$AC$200,$G214)&gt;0,
    COUNTIFS($AD$2:$AD$200,$G214)&gt;0,
    COUNTIFS($AE$2:$AE$200,$G214)&gt;0,
    COUNTIFS($AF$2:$AF$200,$G214)&gt;0,
    COUNTIFS($AG$2:$AG$200,$G214)&gt;0,
    COUNTIFS($AH$2:$AH$200,$G214)&gt;0,
    COUNTIFS($AI$2:$AI$200,$G214)&gt;0,
    COUNTIFS($AJ$2:$AJ$200,$G214)&gt;0,
    COUNTIFS($AK$2:$AK$200,$G214)&gt;0,
    COUNTIFS($AL$2:$AL$200,$G214)&gt;0,
    COUNTIFS($AM$2:$AM$200,$G214)&gt;0,
    COUNTIFS($AN$2:$AN$200,$G214)&gt;0,
    COUNTIFS($AO$2:$AO$200,$G214)&gt;0,
    COUNTIFS($AP$2:$AP$200,$G214)&gt;0,
    COUNTIFS($AQ$2:$AQ$200,$G214)&gt;0,
    COUNTIFS($AR$2:$AR$200,$G214)&gt;0,
    COUNTIFS($AS$2:$AS$200,$G214)&gt;0,
    COUNTIFS($AT$2:$AT$200,$G214)&gt;0,
    COUNTIFS($AU$2:$AU$200,$G214)&gt;0,
    COUNTIFS($AV$2:$AV$200,$G214)&gt;0,
    COUNTIFS($AW$2:$AW$200,$G214)&gt;0,
    COUNTIFS($AX$2:$AX$200,$G214)&gt;0
   ),
  0)
 ),
"")</f>
        <v>Inalla</v>
      </c>
      <c r="D214" s="3" t="str" cm="1">
        <f t="array" aca="1" ref="D214" ca="1">IFERROR(
 INDEX(
  _xlfn._xlws.FILTER($U$1:$AX$1,
   TRANSPOSE(
    CHOOSE({1;2;3;4;5;6;7;8;9;10;11;12;13;14;15;16;17;18;19;20;21;22;23;24;25;26;27;28;29;30},
     COUNTIFS($U$2:$U$200,$G214)&gt;0,
     COUNTIFS($V$2:$V$200,$G214)&gt;0,
     COUNTIFS($W$2:$W$200,$G214)&gt;0,
     COUNTIFS($X$2:$X$200,$G214)&gt;0,
     COUNTIFS($Y$2:$Y$200,$G214)&gt;0,
     COUNTIFS($Z$2:$Z$200,$G214)&gt;0,
     COUNTIFS($AA$2:$AA$200,$G214)&gt;0,
     COUNTIFS($AB$2:$AB$200,$G214)&gt;0,
     COUNTIFS($AC$2:$AC$200,$G214)&gt;0,
     COUNTIFS($AD$2:$AD$200,$G214)&gt;0,
     COUNTIFS($AE$2:$AE$200,$G214)&gt;0,
     COUNTIFS($AF$2:$AF$200,$G214)&gt;0,
     COUNTIFS($AG$2:$AG$200,$G214)&gt;0,
     COUNTIFS($AH$2:$AH$200,$G214)&gt;0,
     COUNTIFS($AI$2:$AI$200,$G214)&gt;0,
     COUNTIFS($AJ$2:$AJ$200,$G214)&gt;0,
     COUNTIFS($AK$2:$AK$200,$G214)&gt;0,
     COUNTIFS($AL$2:$AL$200,$G214)&gt;0,
     COUNTIFS($AM$2:$AM$200,$G214)&gt;0,
     COUNTIFS($AN$2:$AN$200,$G214)&gt;0,
     COUNTIFS($AO$2:$AO$200,$G214)&gt;0,
     COUNTIFS($AP$2:$AP$200,$G214)&gt;0,
     COUNTIFS($AQ$2:$AQ$200,$G214)&gt;0,
     COUNTIFS($AR$2:$AR$200,$G214)&gt;0,
     COUNTIFS($AS$2:$AS$200,$G214)&gt;0,
     COUNTIFS($AT$2:$AT$200,$G214)&gt;0,
     COUNTIFS($AU$2:$AU$200,$G214)&gt;0,
     COUNTIFS($AV$2:$AV$200,$G214)&gt;0,
     COUNTIFS($AW$2:$AW$200,$G214)&gt;0,
     COUNTIFS($AX$2:$AX$200,$G214)&gt;0
   )),
  ),
  2
 ),
"")</f>
        <v/>
      </c>
      <c r="E214" s="3" t="str" cm="1">
        <f t="array" aca="1" ref="E214" ca="1">IFERROR(
 INDEX(
  _xlfn._xlws.FILTER($U$1:$AX$1,
   TRANSPOSE(
    CHOOSE({1;2;3;4;5;6;7;8;9;10;11;12;13;14;15;16;17;18;19;20;21;22;23;24;25;26;27;28;29;30},
     COUNTIFS($U$2:$U$200,$G214)&gt;0,
     COUNTIFS($V$2:$V$200,$G214)&gt;0,
     COUNTIFS($W$2:$W$200,$G214)&gt;0,
     COUNTIFS($X$2:$X$200,$G214)&gt;0,
     COUNTIFS($Y$2:$Y$200,$G214)&gt;0,
     COUNTIFS($Z$2:$Z$200,$G214)&gt;0,
     COUNTIFS($AA$2:$AA$200,$G214)&gt;0,
     COUNTIFS($AB$2:$AB$200,$G214)&gt;0,
     COUNTIFS($AC$2:$AC$200,$G214)&gt;0,
     COUNTIFS($AD$2:$AD$200,$G214)&gt;0,
     COUNTIFS($AE$2:$AE$200,$G214)&gt;0,
     COUNTIFS($AF$2:$AF$200,$G214)&gt;0,
     COUNTIFS($AG$2:$AG$200,$G214)&gt;0,
     COUNTIFS($AH$2:$AH$200,$G214)&gt;0,
     COUNTIFS($AI$2:$AI$200,$G214)&gt;0,
     COUNTIFS($AJ$2:$AJ$200,$G214)&gt;0,
     COUNTIFS($AK$2:$AK$200,$G214)&gt;0,
     COUNTIFS($AL$2:$AL$200,$G214)&gt;0,
     COUNTIFS($AM$2:$AM$200,$G214)&gt;0,
     COUNTIFS($AN$2:$AN$200,$G214)&gt;0,
     COUNTIFS($AO$2:$AO$200,$G214)&gt;0,
     COUNTIFS($AP$2:$AP$200,$G214)&gt;0,
     COUNTIFS($AQ$2:$AQ$200,$G214)&gt;0,
     COUNTIFS($AR$2:$AR$200,$G214)&gt;0,
     COUNTIFS($AS$2:$AS$200,$G214)&gt;0,
     COUNTIFS($AT$2:$AT$200,$G214)&gt;0,
     COUNTIFS($AU$2:$AU$200,$G214)&gt;0,
     COUNTIFS($AV$2:$AV$200,$G214)&gt;0,
     COUNTIFS($AW$2:$AW$200,$G214)&gt;0,
     COUNTIFS($AX$2:$AX$200,$G214)&gt;0
   )),
  ),
  3
 ),
"")</f>
        <v/>
      </c>
      <c r="F214" s="3" t="str" cm="1">
        <f t="array" aca="1" ref="F214" ca="1">IFERROR(
 INDEX(
  _xlfn._xlws.FILTER($U$1:$AX$1,
   TRANSPOSE(
    CHOOSE({1;2;3;4;5;6;7;8;9;10;11;12;13;14;15;16;17;18;19;20;21;22;23;24;25;26;27;28;29;30},
     COUNTIFS($U$2:$U$200,$G214)&gt;0,
     COUNTIFS($V$2:$V$200,$G214)&gt;0,
     COUNTIFS($W$2:$W$200,$G214)&gt;0,
     COUNTIFS($X$2:$X$200,$G214)&gt;0,
     COUNTIFS($Y$2:$Y$200,$G214)&gt;0,
     COUNTIFS($Z$2:$Z$200,$G214)&gt;0,
     COUNTIFS($AA$2:$AA$200,$G214)&gt;0,
     COUNTIFS($AB$2:$AB$200,$G214)&gt;0,
     COUNTIFS($AC$2:$AC$200,$G214)&gt;0,
     COUNTIFS($AD$2:$AD$200,$G214)&gt;0,
     COUNTIFS($AE$2:$AE$200,$G214)&gt;0,
     COUNTIFS($AF$2:$AF$200,$G214)&gt;0,
     COUNTIFS($AG$2:$AG$200,$G214)&gt;0,
     COUNTIFS($AH$2:$AH$200,$G214)&gt;0,
     COUNTIFS($AI$2:$AI$200,$G214)&gt;0,
     COUNTIFS($AJ$2:$AJ$200,$G214)&gt;0,
     COUNTIFS($AK$2:$AK$200,$G214)&gt;0,
     COUNTIFS($AL$2:$AL$200,$G214)&gt;0,
     COUNTIFS($AM$2:$AM$200,$G214)&gt;0,
     COUNTIFS($AN$2:$AN$200,$G214)&gt;0,
     COUNTIFS($AO$2:$AO$200,$G214)&gt;0,
     COUNTIFS($AP$2:$AP$200,$G214)&gt;0,
     COUNTIFS($AQ$2:$AQ$200,$G214)&gt;0,
     COUNTIFS($AR$2:$AR$200,$G214)&gt;0,
     COUNTIFS($AS$2:$AS$200,$G214)&gt;0,
     COUNTIFS($AT$2:$AT$200,$G214)&gt;0,
     COUNTIFS($AU$2:$AU$200,$G214)&gt;0,
     COUNTIFS($AV$2:$AV$200,$G214)&gt;0,
     COUNTIFS($AW$2:$AW$200,$G214)&gt;0,
     COUNTIFS($AX$2:$AX$200,$G214)&gt;0
   )),
  ),
  4
 ),
"")</f>
        <v/>
      </c>
      <c r="G214" t="str">
        <f ca="1"/>
        <v>Mistbind Clique</v>
      </c>
      <c r="BT214" t="str">
        <f ca="1"/>
        <v>Uthros, Titanic Godcore</v>
      </c>
    </row>
    <row r="215" spans="1:72" x14ac:dyDescent="0.25">
      <c r="A215" s="3" t="str">
        <f t="shared" ca="1" si="8"/>
        <v>3</v>
      </c>
      <c r="B215" s="3">
        <f t="shared" ca="1" si="9"/>
        <v>2</v>
      </c>
      <c r="C215" s="3" t="str">
        <f ca="1">IFERROR(
 INDEX($U$1:$AX$1,
  MATCH(TRUE,
   CHOOSE({1;2;3;4;5;6;7;8;9;10;11;12;13;14;15;16;17;18;19;20;21;22;23;24;25;26;27;28;29;30;31;32},
    COUNTIFS($U$2:$U$200,$G215)&gt;0,
    COUNTIFS($V$2:$V$200,$G215)&gt;0,
    COUNTIFS($W$2:$W$200,$G215)&gt;0,
    COUNTIFS($X$2:$X$200,$G215)&gt;0,
    COUNTIFS($Y$2:$Y$200,$G215)&gt;0,
    COUNTIFS($Z$2:$Z$200,$G215)&gt;0,
    COUNTIFS($AA$2:$AA$200,$G215)&gt;0,
    COUNTIFS($AB$2:$AB$200,$G215)&gt;0,
    COUNTIFS($AC$2:$AC$200,$G215)&gt;0,
    COUNTIFS($AD$2:$AD$200,$G215)&gt;0,
    COUNTIFS($AE$2:$AE$200,$G215)&gt;0,
    COUNTIFS($AF$2:$AF$200,$G215)&gt;0,
    COUNTIFS($AG$2:$AG$200,$G215)&gt;0,
    COUNTIFS($AH$2:$AH$200,$G215)&gt;0,
    COUNTIFS($AI$2:$AI$200,$G215)&gt;0,
    COUNTIFS($AJ$2:$AJ$200,$G215)&gt;0,
    COUNTIFS($AK$2:$AK$200,$G215)&gt;0,
    COUNTIFS($AL$2:$AL$200,$G215)&gt;0,
    COUNTIFS($AM$2:$AM$200,$G215)&gt;0,
    COUNTIFS($AN$2:$AN$200,$G215)&gt;0,
    COUNTIFS($AO$2:$AO$200,$G215)&gt;0,
    COUNTIFS($AP$2:$AP$200,$G215)&gt;0,
    COUNTIFS($AQ$2:$AQ$200,$G215)&gt;0,
    COUNTIFS($AR$2:$AR$200,$G215)&gt;0,
    COUNTIFS($AS$2:$AS$200,$G215)&gt;0,
    COUNTIFS($AT$2:$AT$200,$G215)&gt;0,
    COUNTIFS($AU$2:$AU$200,$G215)&gt;0,
    COUNTIFS($AV$2:$AV$200,$G215)&gt;0,
    COUNTIFS($AW$2:$AW$200,$G215)&gt;0,
    COUNTIFS($AX$2:$AX$200,$G215)&gt;0
   ),
  0)
 ),
"")</f>
        <v>JhoiraB</v>
      </c>
      <c r="D215" s="3" t="str" cm="1">
        <f t="array" aca="1" ref="D215" ca="1">IFERROR(
 INDEX(
  _xlfn._xlws.FILTER($U$1:$AX$1,
   TRANSPOSE(
    CHOOSE({1;2;3;4;5;6;7;8;9;10;11;12;13;14;15;16;17;18;19;20;21;22;23;24;25;26;27;28;29;30},
     COUNTIFS($U$2:$U$200,$G215)&gt;0,
     COUNTIFS($V$2:$V$200,$G215)&gt;0,
     COUNTIFS($W$2:$W$200,$G215)&gt;0,
     COUNTIFS($X$2:$X$200,$G215)&gt;0,
     COUNTIFS($Y$2:$Y$200,$G215)&gt;0,
     COUNTIFS($Z$2:$Z$200,$G215)&gt;0,
     COUNTIFS($AA$2:$AA$200,$G215)&gt;0,
     COUNTIFS($AB$2:$AB$200,$G215)&gt;0,
     COUNTIFS($AC$2:$AC$200,$G215)&gt;0,
     COUNTIFS($AD$2:$AD$200,$G215)&gt;0,
     COUNTIFS($AE$2:$AE$200,$G215)&gt;0,
     COUNTIFS($AF$2:$AF$200,$G215)&gt;0,
     COUNTIFS($AG$2:$AG$200,$G215)&gt;0,
     COUNTIFS($AH$2:$AH$200,$G215)&gt;0,
     COUNTIFS($AI$2:$AI$200,$G215)&gt;0,
     COUNTIFS($AJ$2:$AJ$200,$G215)&gt;0,
     COUNTIFS($AK$2:$AK$200,$G215)&gt;0,
     COUNTIFS($AL$2:$AL$200,$G215)&gt;0,
     COUNTIFS($AM$2:$AM$200,$G215)&gt;0,
     COUNTIFS($AN$2:$AN$200,$G215)&gt;0,
     COUNTIFS($AO$2:$AO$200,$G215)&gt;0,
     COUNTIFS($AP$2:$AP$200,$G215)&gt;0,
     COUNTIFS($AQ$2:$AQ$200,$G215)&gt;0,
     COUNTIFS($AR$2:$AR$200,$G215)&gt;0,
     COUNTIFS($AS$2:$AS$200,$G215)&gt;0,
     COUNTIFS($AT$2:$AT$200,$G215)&gt;0,
     COUNTIFS($AU$2:$AU$200,$G215)&gt;0,
     COUNTIFS($AV$2:$AV$200,$G215)&gt;0,
     COUNTIFS($AW$2:$AW$200,$G215)&gt;0,
     COUNTIFS($AX$2:$AX$200,$G215)&gt;0
   )),
  ),
  2
 ),
"")</f>
        <v>Jhoira</v>
      </c>
      <c r="E215" s="3" t="str" cm="1">
        <f t="array" aca="1" ref="E215" ca="1">IFERROR(
 INDEX(
  _xlfn._xlws.FILTER($U$1:$AX$1,
   TRANSPOSE(
    CHOOSE({1;2;3;4;5;6;7;8;9;10;11;12;13;14;15;16;17;18;19;20;21;22;23;24;25;26;27;28;29;30},
     COUNTIFS($U$2:$U$200,$G215)&gt;0,
     COUNTIFS($V$2:$V$200,$G215)&gt;0,
     COUNTIFS($W$2:$W$200,$G215)&gt;0,
     COUNTIFS($X$2:$X$200,$G215)&gt;0,
     COUNTIFS($Y$2:$Y$200,$G215)&gt;0,
     COUNTIFS($Z$2:$Z$200,$G215)&gt;0,
     COUNTIFS($AA$2:$AA$200,$G215)&gt;0,
     COUNTIFS($AB$2:$AB$200,$G215)&gt;0,
     COUNTIFS($AC$2:$AC$200,$G215)&gt;0,
     COUNTIFS($AD$2:$AD$200,$G215)&gt;0,
     COUNTIFS($AE$2:$AE$200,$G215)&gt;0,
     COUNTIFS($AF$2:$AF$200,$G215)&gt;0,
     COUNTIFS($AG$2:$AG$200,$G215)&gt;0,
     COUNTIFS($AH$2:$AH$200,$G215)&gt;0,
     COUNTIFS($AI$2:$AI$200,$G215)&gt;0,
     COUNTIFS($AJ$2:$AJ$200,$G215)&gt;0,
     COUNTIFS($AK$2:$AK$200,$G215)&gt;0,
     COUNTIFS($AL$2:$AL$200,$G215)&gt;0,
     COUNTIFS($AM$2:$AM$200,$G215)&gt;0,
     COUNTIFS($AN$2:$AN$200,$G215)&gt;0,
     COUNTIFS($AO$2:$AO$200,$G215)&gt;0,
     COUNTIFS($AP$2:$AP$200,$G215)&gt;0,
     COUNTIFS($AQ$2:$AQ$200,$G215)&gt;0,
     COUNTIFS($AR$2:$AR$200,$G215)&gt;0,
     COUNTIFS($AS$2:$AS$200,$G215)&gt;0,
     COUNTIFS($AT$2:$AT$200,$G215)&gt;0,
     COUNTIFS($AU$2:$AU$200,$G215)&gt;0,
     COUNTIFS($AV$2:$AV$200,$G215)&gt;0,
     COUNTIFS($AW$2:$AW$200,$G215)&gt;0,
     COUNTIFS($AX$2:$AX$200,$G215)&gt;0
   )),
  ),
  3
 ),
"")</f>
        <v/>
      </c>
      <c r="F215" s="3" t="str" cm="1">
        <f t="array" aca="1" ref="F215" ca="1">IFERROR(
 INDEX(
  _xlfn._xlws.FILTER($U$1:$AX$1,
   TRANSPOSE(
    CHOOSE({1;2;3;4;5;6;7;8;9;10;11;12;13;14;15;16;17;18;19;20;21;22;23;24;25;26;27;28;29;30},
     COUNTIFS($U$2:$U$200,$G215)&gt;0,
     COUNTIFS($V$2:$V$200,$G215)&gt;0,
     COUNTIFS($W$2:$W$200,$G215)&gt;0,
     COUNTIFS($X$2:$X$200,$G215)&gt;0,
     COUNTIFS($Y$2:$Y$200,$G215)&gt;0,
     COUNTIFS($Z$2:$Z$200,$G215)&gt;0,
     COUNTIFS($AA$2:$AA$200,$G215)&gt;0,
     COUNTIFS($AB$2:$AB$200,$G215)&gt;0,
     COUNTIFS($AC$2:$AC$200,$G215)&gt;0,
     COUNTIFS($AD$2:$AD$200,$G215)&gt;0,
     COUNTIFS($AE$2:$AE$200,$G215)&gt;0,
     COUNTIFS($AF$2:$AF$200,$G215)&gt;0,
     COUNTIFS($AG$2:$AG$200,$G215)&gt;0,
     COUNTIFS($AH$2:$AH$200,$G215)&gt;0,
     COUNTIFS($AI$2:$AI$200,$G215)&gt;0,
     COUNTIFS($AJ$2:$AJ$200,$G215)&gt;0,
     COUNTIFS($AK$2:$AK$200,$G215)&gt;0,
     COUNTIFS($AL$2:$AL$200,$G215)&gt;0,
     COUNTIFS($AM$2:$AM$200,$G215)&gt;0,
     COUNTIFS($AN$2:$AN$200,$G215)&gt;0,
     COUNTIFS($AO$2:$AO$200,$G215)&gt;0,
     COUNTIFS($AP$2:$AP$200,$G215)&gt;0,
     COUNTIFS($AQ$2:$AQ$200,$G215)&gt;0,
     COUNTIFS($AR$2:$AR$200,$G215)&gt;0,
     COUNTIFS($AS$2:$AS$200,$G215)&gt;0,
     COUNTIFS($AT$2:$AT$200,$G215)&gt;0,
     COUNTIFS($AU$2:$AU$200,$G215)&gt;0,
     COUNTIFS($AV$2:$AV$200,$G215)&gt;0,
     COUNTIFS($AW$2:$AW$200,$G215)&gt;0,
     COUNTIFS($AX$2:$AX$200,$G215)&gt;0
   )),
  ),
  4
 ),
"")</f>
        <v/>
      </c>
      <c r="G215" t="str">
        <f ca="1"/>
        <v>Mistrise Village</v>
      </c>
      <c r="BT215" t="str">
        <f ca="1"/>
        <v>Valfenda</v>
      </c>
    </row>
    <row r="216" spans="1:72" x14ac:dyDescent="0.25">
      <c r="A216" s="3" t="str">
        <f t="shared" ca="1" si="8"/>
        <v>3</v>
      </c>
      <c r="B216" s="3">
        <f t="shared" ca="1" si="9"/>
        <v>1</v>
      </c>
      <c r="C216" s="3" t="str">
        <f ca="1">IFERROR(
 INDEX($U$1:$AX$1,
  MATCH(TRUE,
   CHOOSE({1;2;3;4;5;6;7;8;9;10;11;12;13;14;15;16;17;18;19;20;21;22;23;24;25;26;27;28;29;30;31;32},
    COUNTIFS($U$2:$U$200,$G216)&gt;0,
    COUNTIFS($V$2:$V$200,$G216)&gt;0,
    COUNTIFS($W$2:$W$200,$G216)&gt;0,
    COUNTIFS($X$2:$X$200,$G216)&gt;0,
    COUNTIFS($Y$2:$Y$200,$G216)&gt;0,
    COUNTIFS($Z$2:$Z$200,$G216)&gt;0,
    COUNTIFS($AA$2:$AA$200,$G216)&gt;0,
    COUNTIFS($AB$2:$AB$200,$G216)&gt;0,
    COUNTIFS($AC$2:$AC$200,$G216)&gt;0,
    COUNTIFS($AD$2:$AD$200,$G216)&gt;0,
    COUNTIFS($AE$2:$AE$200,$G216)&gt;0,
    COUNTIFS($AF$2:$AF$200,$G216)&gt;0,
    COUNTIFS($AG$2:$AG$200,$G216)&gt;0,
    COUNTIFS($AH$2:$AH$200,$G216)&gt;0,
    COUNTIFS($AI$2:$AI$200,$G216)&gt;0,
    COUNTIFS($AJ$2:$AJ$200,$G216)&gt;0,
    COUNTIFS($AK$2:$AK$200,$G216)&gt;0,
    COUNTIFS($AL$2:$AL$200,$G216)&gt;0,
    COUNTIFS($AM$2:$AM$200,$G216)&gt;0,
    COUNTIFS($AN$2:$AN$200,$G216)&gt;0,
    COUNTIFS($AO$2:$AO$200,$G216)&gt;0,
    COUNTIFS($AP$2:$AP$200,$G216)&gt;0,
    COUNTIFS($AQ$2:$AQ$200,$G216)&gt;0,
    COUNTIFS($AR$2:$AR$200,$G216)&gt;0,
    COUNTIFS($AS$2:$AS$200,$G216)&gt;0,
    COUNTIFS($AT$2:$AT$200,$G216)&gt;0,
    COUNTIFS($AU$2:$AU$200,$G216)&gt;0,
    COUNTIFS($AV$2:$AV$200,$G216)&gt;0,
    COUNTIFS($AW$2:$AW$200,$G216)&gt;0,
    COUNTIFS($AX$2:$AX$200,$G216)&gt;0
   ),
  0)
 ),
"")</f>
        <v>Zimone</v>
      </c>
      <c r="D216" s="3" t="str" cm="1">
        <f t="array" aca="1" ref="D216" ca="1">IFERROR(
 INDEX(
  _xlfn._xlws.FILTER($U$1:$AX$1,
   TRANSPOSE(
    CHOOSE({1;2;3;4;5;6;7;8;9;10;11;12;13;14;15;16;17;18;19;20;21;22;23;24;25;26;27;28;29;30},
     COUNTIFS($U$2:$U$200,$G216)&gt;0,
     COUNTIFS($V$2:$V$200,$G216)&gt;0,
     COUNTIFS($W$2:$W$200,$G216)&gt;0,
     COUNTIFS($X$2:$X$200,$G216)&gt;0,
     COUNTIFS($Y$2:$Y$200,$G216)&gt;0,
     COUNTIFS($Z$2:$Z$200,$G216)&gt;0,
     COUNTIFS($AA$2:$AA$200,$G216)&gt;0,
     COUNTIFS($AB$2:$AB$200,$G216)&gt;0,
     COUNTIFS($AC$2:$AC$200,$G216)&gt;0,
     COUNTIFS($AD$2:$AD$200,$G216)&gt;0,
     COUNTIFS($AE$2:$AE$200,$G216)&gt;0,
     COUNTIFS($AF$2:$AF$200,$G216)&gt;0,
     COUNTIFS($AG$2:$AG$200,$G216)&gt;0,
     COUNTIFS($AH$2:$AH$200,$G216)&gt;0,
     COUNTIFS($AI$2:$AI$200,$G216)&gt;0,
     COUNTIFS($AJ$2:$AJ$200,$G216)&gt;0,
     COUNTIFS($AK$2:$AK$200,$G216)&gt;0,
     COUNTIFS($AL$2:$AL$200,$G216)&gt;0,
     COUNTIFS($AM$2:$AM$200,$G216)&gt;0,
     COUNTIFS($AN$2:$AN$200,$G216)&gt;0,
     COUNTIFS($AO$2:$AO$200,$G216)&gt;0,
     COUNTIFS($AP$2:$AP$200,$G216)&gt;0,
     COUNTIFS($AQ$2:$AQ$200,$G216)&gt;0,
     COUNTIFS($AR$2:$AR$200,$G216)&gt;0,
     COUNTIFS($AS$2:$AS$200,$G216)&gt;0,
     COUNTIFS($AT$2:$AT$200,$G216)&gt;0,
     COUNTIFS($AU$2:$AU$200,$G216)&gt;0,
     COUNTIFS($AV$2:$AV$200,$G216)&gt;0,
     COUNTIFS($AW$2:$AW$200,$G216)&gt;0,
     COUNTIFS($AX$2:$AX$200,$G216)&gt;0
   )),
  ),
  2
 ),
"")</f>
        <v/>
      </c>
      <c r="E216" s="3" t="str" cm="1">
        <f t="array" aca="1" ref="E216" ca="1">IFERROR(
 INDEX(
  _xlfn._xlws.FILTER($U$1:$AX$1,
   TRANSPOSE(
    CHOOSE({1;2;3;4;5;6;7;8;9;10;11;12;13;14;15;16;17;18;19;20;21;22;23;24;25;26;27;28;29;30},
     COUNTIFS($U$2:$U$200,$G216)&gt;0,
     COUNTIFS($V$2:$V$200,$G216)&gt;0,
     COUNTIFS($W$2:$W$200,$G216)&gt;0,
     COUNTIFS($X$2:$X$200,$G216)&gt;0,
     COUNTIFS($Y$2:$Y$200,$G216)&gt;0,
     COUNTIFS($Z$2:$Z$200,$G216)&gt;0,
     COUNTIFS($AA$2:$AA$200,$G216)&gt;0,
     COUNTIFS($AB$2:$AB$200,$G216)&gt;0,
     COUNTIFS($AC$2:$AC$200,$G216)&gt;0,
     COUNTIFS($AD$2:$AD$200,$G216)&gt;0,
     COUNTIFS($AE$2:$AE$200,$G216)&gt;0,
     COUNTIFS($AF$2:$AF$200,$G216)&gt;0,
     COUNTIFS($AG$2:$AG$200,$G216)&gt;0,
     COUNTIFS($AH$2:$AH$200,$G216)&gt;0,
     COUNTIFS($AI$2:$AI$200,$G216)&gt;0,
     COUNTIFS($AJ$2:$AJ$200,$G216)&gt;0,
     COUNTIFS($AK$2:$AK$200,$G216)&gt;0,
     COUNTIFS($AL$2:$AL$200,$G216)&gt;0,
     COUNTIFS($AM$2:$AM$200,$G216)&gt;0,
     COUNTIFS($AN$2:$AN$200,$G216)&gt;0,
     COUNTIFS($AO$2:$AO$200,$G216)&gt;0,
     COUNTIFS($AP$2:$AP$200,$G216)&gt;0,
     COUNTIFS($AQ$2:$AQ$200,$G216)&gt;0,
     COUNTIFS($AR$2:$AR$200,$G216)&gt;0,
     COUNTIFS($AS$2:$AS$200,$G216)&gt;0,
     COUNTIFS($AT$2:$AT$200,$G216)&gt;0,
     COUNTIFS($AU$2:$AU$200,$G216)&gt;0,
     COUNTIFS($AV$2:$AV$200,$G216)&gt;0,
     COUNTIFS($AW$2:$AW$200,$G216)&gt;0,
     COUNTIFS($AX$2:$AX$200,$G216)&gt;0
   )),
  ),
  3
 ),
"")</f>
        <v/>
      </c>
      <c r="F216" s="3" t="str" cm="1">
        <f t="array" aca="1" ref="F216" ca="1">IFERROR(
 INDEX(
  _xlfn._xlws.FILTER($U$1:$AX$1,
   TRANSPOSE(
    CHOOSE({1;2;3;4;5;6;7;8;9;10;11;12;13;14;15;16;17;18;19;20;21;22;23;24;25;26;27;28;29;30},
     COUNTIFS($U$2:$U$200,$G216)&gt;0,
     COUNTIFS($V$2:$V$200,$G216)&gt;0,
     COUNTIFS($W$2:$W$200,$G216)&gt;0,
     COUNTIFS($X$2:$X$200,$G216)&gt;0,
     COUNTIFS($Y$2:$Y$200,$G216)&gt;0,
     COUNTIFS($Z$2:$Z$200,$G216)&gt;0,
     COUNTIFS($AA$2:$AA$200,$G216)&gt;0,
     COUNTIFS($AB$2:$AB$200,$G216)&gt;0,
     COUNTIFS($AC$2:$AC$200,$G216)&gt;0,
     COUNTIFS($AD$2:$AD$200,$G216)&gt;0,
     COUNTIFS($AE$2:$AE$200,$G216)&gt;0,
     COUNTIFS($AF$2:$AF$200,$G216)&gt;0,
     COUNTIFS($AG$2:$AG$200,$G216)&gt;0,
     COUNTIFS($AH$2:$AH$200,$G216)&gt;0,
     COUNTIFS($AI$2:$AI$200,$G216)&gt;0,
     COUNTIFS($AJ$2:$AJ$200,$G216)&gt;0,
     COUNTIFS($AK$2:$AK$200,$G216)&gt;0,
     COUNTIFS($AL$2:$AL$200,$G216)&gt;0,
     COUNTIFS($AM$2:$AM$200,$G216)&gt;0,
     COUNTIFS($AN$2:$AN$200,$G216)&gt;0,
     COUNTIFS($AO$2:$AO$200,$G216)&gt;0,
     COUNTIFS($AP$2:$AP$200,$G216)&gt;0,
     COUNTIFS($AQ$2:$AQ$200,$G216)&gt;0,
     COUNTIFS($AR$2:$AR$200,$G216)&gt;0,
     COUNTIFS($AS$2:$AS$200,$G216)&gt;0,
     COUNTIFS($AT$2:$AT$200,$G216)&gt;0,
     COUNTIFS($AU$2:$AU$200,$G216)&gt;0,
     COUNTIFS($AV$2:$AV$200,$G216)&gt;0,
     COUNTIFS($AW$2:$AW$200,$G216)&gt;0,
     COUNTIFS($AX$2:$AX$200,$G216)&gt;0
   )),
  ),
  4
 ),
"")</f>
        <v/>
      </c>
      <c r="G216" t="str">
        <f ca="1"/>
        <v>Misty Rainforest</v>
      </c>
      <c r="BT216" t="str">
        <f ca="1"/>
        <v>Vanquisher's Banner</v>
      </c>
    </row>
    <row r="217" spans="1:72" x14ac:dyDescent="0.25">
      <c r="A217" s="3" t="str">
        <f t="shared" ca="1" si="8"/>
        <v>3</v>
      </c>
      <c r="B217" s="3">
        <f t="shared" ca="1" si="9"/>
        <v>1</v>
      </c>
      <c r="C217" s="3" t="str">
        <f ca="1">IFERROR(
 INDEX($U$1:$AX$1,
  MATCH(TRUE,
   CHOOSE({1;2;3;4;5;6;7;8;9;10;11;12;13;14;15;16;17;18;19;20;21;22;23;24;25;26;27;28;29;30;31;32},
    COUNTIFS($U$2:$U$200,$G217)&gt;0,
    COUNTIFS($V$2:$V$200,$G217)&gt;0,
    COUNTIFS($W$2:$W$200,$G217)&gt;0,
    COUNTIFS($X$2:$X$200,$G217)&gt;0,
    COUNTIFS($Y$2:$Y$200,$G217)&gt;0,
    COUNTIFS($Z$2:$Z$200,$G217)&gt;0,
    COUNTIFS($AA$2:$AA$200,$G217)&gt;0,
    COUNTIFS($AB$2:$AB$200,$G217)&gt;0,
    COUNTIFS($AC$2:$AC$200,$G217)&gt;0,
    COUNTIFS($AD$2:$AD$200,$G217)&gt;0,
    COUNTIFS($AE$2:$AE$200,$G217)&gt;0,
    COUNTIFS($AF$2:$AF$200,$G217)&gt;0,
    COUNTIFS($AG$2:$AG$200,$G217)&gt;0,
    COUNTIFS($AH$2:$AH$200,$G217)&gt;0,
    COUNTIFS($AI$2:$AI$200,$G217)&gt;0,
    COUNTIFS($AJ$2:$AJ$200,$G217)&gt;0,
    COUNTIFS($AK$2:$AK$200,$G217)&gt;0,
    COUNTIFS($AL$2:$AL$200,$G217)&gt;0,
    COUNTIFS($AM$2:$AM$200,$G217)&gt;0,
    COUNTIFS($AN$2:$AN$200,$G217)&gt;0,
    COUNTIFS($AO$2:$AO$200,$G217)&gt;0,
    COUNTIFS($AP$2:$AP$200,$G217)&gt;0,
    COUNTIFS($AQ$2:$AQ$200,$G217)&gt;0,
    COUNTIFS($AR$2:$AR$200,$G217)&gt;0,
    COUNTIFS($AS$2:$AS$200,$G217)&gt;0,
    COUNTIFS($AT$2:$AT$200,$G217)&gt;0,
    COUNTIFS($AU$2:$AU$200,$G217)&gt;0,
    COUNTIFS($AV$2:$AV$200,$G217)&gt;0,
    COUNTIFS($AW$2:$AW$200,$G217)&gt;0,
    COUNTIFS($AX$2:$AX$200,$G217)&gt;0
   ),
  0)
 ),
"")</f>
        <v>Inalla</v>
      </c>
      <c r="D217" s="3" t="str" cm="1">
        <f t="array" aca="1" ref="D217" ca="1">IFERROR(
 INDEX(
  _xlfn._xlws.FILTER($U$1:$AX$1,
   TRANSPOSE(
    CHOOSE({1;2;3;4;5;6;7;8;9;10;11;12;13;14;15;16;17;18;19;20;21;22;23;24;25;26;27;28;29;30},
     COUNTIFS($U$2:$U$200,$G217)&gt;0,
     COUNTIFS($V$2:$V$200,$G217)&gt;0,
     COUNTIFS($W$2:$W$200,$G217)&gt;0,
     COUNTIFS($X$2:$X$200,$G217)&gt;0,
     COUNTIFS($Y$2:$Y$200,$G217)&gt;0,
     COUNTIFS($Z$2:$Z$200,$G217)&gt;0,
     COUNTIFS($AA$2:$AA$200,$G217)&gt;0,
     COUNTIFS($AB$2:$AB$200,$G217)&gt;0,
     COUNTIFS($AC$2:$AC$200,$G217)&gt;0,
     COUNTIFS($AD$2:$AD$200,$G217)&gt;0,
     COUNTIFS($AE$2:$AE$200,$G217)&gt;0,
     COUNTIFS($AF$2:$AF$200,$G217)&gt;0,
     COUNTIFS($AG$2:$AG$200,$G217)&gt;0,
     COUNTIFS($AH$2:$AH$200,$G217)&gt;0,
     COUNTIFS($AI$2:$AI$200,$G217)&gt;0,
     COUNTIFS($AJ$2:$AJ$200,$G217)&gt;0,
     COUNTIFS($AK$2:$AK$200,$G217)&gt;0,
     COUNTIFS($AL$2:$AL$200,$G217)&gt;0,
     COUNTIFS($AM$2:$AM$200,$G217)&gt;0,
     COUNTIFS($AN$2:$AN$200,$G217)&gt;0,
     COUNTIFS($AO$2:$AO$200,$G217)&gt;0,
     COUNTIFS($AP$2:$AP$200,$G217)&gt;0,
     COUNTIFS($AQ$2:$AQ$200,$G217)&gt;0,
     COUNTIFS($AR$2:$AR$200,$G217)&gt;0,
     COUNTIFS($AS$2:$AS$200,$G217)&gt;0,
     COUNTIFS($AT$2:$AT$200,$G217)&gt;0,
     COUNTIFS($AU$2:$AU$200,$G217)&gt;0,
     COUNTIFS($AV$2:$AV$200,$G217)&gt;0,
     COUNTIFS($AW$2:$AW$200,$G217)&gt;0,
     COUNTIFS($AX$2:$AX$200,$G217)&gt;0
   )),
  ),
  2
 ),
"")</f>
        <v/>
      </c>
      <c r="E217" s="3" t="str" cm="1">
        <f t="array" aca="1" ref="E217" ca="1">IFERROR(
 INDEX(
  _xlfn._xlws.FILTER($U$1:$AX$1,
   TRANSPOSE(
    CHOOSE({1;2;3;4;5;6;7;8;9;10;11;12;13;14;15;16;17;18;19;20;21;22;23;24;25;26;27;28;29;30},
     COUNTIFS($U$2:$U$200,$G217)&gt;0,
     COUNTIFS($V$2:$V$200,$G217)&gt;0,
     COUNTIFS($W$2:$W$200,$G217)&gt;0,
     COUNTIFS($X$2:$X$200,$G217)&gt;0,
     COUNTIFS($Y$2:$Y$200,$G217)&gt;0,
     COUNTIFS($Z$2:$Z$200,$G217)&gt;0,
     COUNTIFS($AA$2:$AA$200,$G217)&gt;0,
     COUNTIFS($AB$2:$AB$200,$G217)&gt;0,
     COUNTIFS($AC$2:$AC$200,$G217)&gt;0,
     COUNTIFS($AD$2:$AD$200,$G217)&gt;0,
     COUNTIFS($AE$2:$AE$200,$G217)&gt;0,
     COUNTIFS($AF$2:$AF$200,$G217)&gt;0,
     COUNTIFS($AG$2:$AG$200,$G217)&gt;0,
     COUNTIFS($AH$2:$AH$200,$G217)&gt;0,
     COUNTIFS($AI$2:$AI$200,$G217)&gt;0,
     COUNTIFS($AJ$2:$AJ$200,$G217)&gt;0,
     COUNTIFS($AK$2:$AK$200,$G217)&gt;0,
     COUNTIFS($AL$2:$AL$200,$G217)&gt;0,
     COUNTIFS($AM$2:$AM$200,$G217)&gt;0,
     COUNTIFS($AN$2:$AN$200,$G217)&gt;0,
     COUNTIFS($AO$2:$AO$200,$G217)&gt;0,
     COUNTIFS($AP$2:$AP$200,$G217)&gt;0,
     COUNTIFS($AQ$2:$AQ$200,$G217)&gt;0,
     COUNTIFS($AR$2:$AR$200,$G217)&gt;0,
     COUNTIFS($AS$2:$AS$200,$G217)&gt;0,
     COUNTIFS($AT$2:$AT$200,$G217)&gt;0,
     COUNTIFS($AU$2:$AU$200,$G217)&gt;0,
     COUNTIFS($AV$2:$AV$200,$G217)&gt;0,
     COUNTIFS($AW$2:$AW$200,$G217)&gt;0,
     COUNTIFS($AX$2:$AX$200,$G217)&gt;0
   )),
  ),
  3
 ),
"")</f>
        <v/>
      </c>
      <c r="F217" s="3" t="str" cm="1">
        <f t="array" aca="1" ref="F217" ca="1">IFERROR(
 INDEX(
  _xlfn._xlws.FILTER($U$1:$AX$1,
   TRANSPOSE(
    CHOOSE({1;2;3;4;5;6;7;8;9;10;11;12;13;14;15;16;17;18;19;20;21;22;23;24;25;26;27;28;29;30},
     COUNTIFS($U$2:$U$200,$G217)&gt;0,
     COUNTIFS($V$2:$V$200,$G217)&gt;0,
     COUNTIFS($W$2:$W$200,$G217)&gt;0,
     COUNTIFS($X$2:$X$200,$G217)&gt;0,
     COUNTIFS($Y$2:$Y$200,$G217)&gt;0,
     COUNTIFS($Z$2:$Z$200,$G217)&gt;0,
     COUNTIFS($AA$2:$AA$200,$G217)&gt;0,
     COUNTIFS($AB$2:$AB$200,$G217)&gt;0,
     COUNTIFS($AC$2:$AC$200,$G217)&gt;0,
     COUNTIFS($AD$2:$AD$200,$G217)&gt;0,
     COUNTIFS($AE$2:$AE$200,$G217)&gt;0,
     COUNTIFS($AF$2:$AF$200,$G217)&gt;0,
     COUNTIFS($AG$2:$AG$200,$G217)&gt;0,
     COUNTIFS($AH$2:$AH$200,$G217)&gt;0,
     COUNTIFS($AI$2:$AI$200,$G217)&gt;0,
     COUNTIFS($AJ$2:$AJ$200,$G217)&gt;0,
     COUNTIFS($AK$2:$AK$200,$G217)&gt;0,
     COUNTIFS($AL$2:$AL$200,$G217)&gt;0,
     COUNTIFS($AM$2:$AM$200,$G217)&gt;0,
     COUNTIFS($AN$2:$AN$200,$G217)&gt;0,
     COUNTIFS($AO$2:$AO$200,$G217)&gt;0,
     COUNTIFS($AP$2:$AP$200,$G217)&gt;0,
     COUNTIFS($AQ$2:$AQ$200,$G217)&gt;0,
     COUNTIFS($AR$2:$AR$200,$G217)&gt;0,
     COUNTIFS($AS$2:$AS$200,$G217)&gt;0,
     COUNTIFS($AT$2:$AT$200,$G217)&gt;0,
     COUNTIFS($AU$2:$AU$200,$G217)&gt;0,
     COUNTIFS($AV$2:$AV$200,$G217)&gt;0,
     COUNTIFS($AW$2:$AW$200,$G217)&gt;0,
     COUNTIFS($AX$2:$AX$200,$G217)&gt;0
   )),
  ),
  4
 ),
"")</f>
        <v/>
      </c>
      <c r="G217" t="str">
        <f ca="1"/>
        <v>Molten Echoes</v>
      </c>
      <c r="BT217" t="str">
        <f ca="1"/>
        <v>Vault of the Archangel</v>
      </c>
    </row>
    <row r="218" spans="1:72" x14ac:dyDescent="0.25">
      <c r="A218" s="3" t="str">
        <f t="shared" ca="1" si="8"/>
        <v>2</v>
      </c>
      <c r="B218" s="3">
        <f t="shared" ca="1" si="9"/>
        <v>1</v>
      </c>
      <c r="C218" s="3" t="str">
        <f ca="1">IFERROR(
 INDEX($U$1:$AX$1,
  MATCH(TRUE,
   CHOOSE({1;2;3;4;5;6;7;8;9;10;11;12;13;14;15;16;17;18;19;20;21;22;23;24;25;26;27;28;29;30;31;32},
    COUNTIFS($U$2:$U$200,$G218)&gt;0,
    COUNTIFS($V$2:$V$200,$G218)&gt;0,
    COUNTIFS($W$2:$W$200,$G218)&gt;0,
    COUNTIFS($X$2:$X$200,$G218)&gt;0,
    COUNTIFS($Y$2:$Y$200,$G218)&gt;0,
    COUNTIFS($Z$2:$Z$200,$G218)&gt;0,
    COUNTIFS($AA$2:$AA$200,$G218)&gt;0,
    COUNTIFS($AB$2:$AB$200,$G218)&gt;0,
    COUNTIFS($AC$2:$AC$200,$G218)&gt;0,
    COUNTIFS($AD$2:$AD$200,$G218)&gt;0,
    COUNTIFS($AE$2:$AE$200,$G218)&gt;0,
    COUNTIFS($AF$2:$AF$200,$G218)&gt;0,
    COUNTIFS($AG$2:$AG$200,$G218)&gt;0,
    COUNTIFS($AH$2:$AH$200,$G218)&gt;0,
    COUNTIFS($AI$2:$AI$200,$G218)&gt;0,
    COUNTIFS($AJ$2:$AJ$200,$G218)&gt;0,
    COUNTIFS($AK$2:$AK$200,$G218)&gt;0,
    COUNTIFS($AL$2:$AL$200,$G218)&gt;0,
    COUNTIFS($AM$2:$AM$200,$G218)&gt;0,
    COUNTIFS($AN$2:$AN$200,$G218)&gt;0,
    COUNTIFS($AO$2:$AO$200,$G218)&gt;0,
    COUNTIFS($AP$2:$AP$200,$G218)&gt;0,
    COUNTIFS($AQ$2:$AQ$200,$G218)&gt;0,
    COUNTIFS($AR$2:$AR$200,$G218)&gt;0,
    COUNTIFS($AS$2:$AS$200,$G218)&gt;0,
    COUNTIFS($AT$2:$AT$200,$G218)&gt;0,
    COUNTIFS($AU$2:$AU$200,$G218)&gt;0,
    COUNTIFS($AV$2:$AV$200,$G218)&gt;0,
    COUNTIFS($AW$2:$AW$200,$G218)&gt;0,
    COUNTIFS($AX$2:$AX$200,$G218)&gt;0
   ),
  0)
 ),
"")</f>
        <v>Narset</v>
      </c>
      <c r="D218" s="3" t="str" cm="1">
        <f t="array" aca="1" ref="D218" ca="1">IFERROR(
 INDEX(
  _xlfn._xlws.FILTER($U$1:$AX$1,
   TRANSPOSE(
    CHOOSE({1;2;3;4;5;6;7;8;9;10;11;12;13;14;15;16;17;18;19;20;21;22;23;24;25;26;27;28;29;30},
     COUNTIFS($U$2:$U$200,$G218)&gt;0,
     COUNTIFS($V$2:$V$200,$G218)&gt;0,
     COUNTIFS($W$2:$W$200,$G218)&gt;0,
     COUNTIFS($X$2:$X$200,$G218)&gt;0,
     COUNTIFS($Y$2:$Y$200,$G218)&gt;0,
     COUNTIFS($Z$2:$Z$200,$G218)&gt;0,
     COUNTIFS($AA$2:$AA$200,$G218)&gt;0,
     COUNTIFS($AB$2:$AB$200,$G218)&gt;0,
     COUNTIFS($AC$2:$AC$200,$G218)&gt;0,
     COUNTIFS($AD$2:$AD$200,$G218)&gt;0,
     COUNTIFS($AE$2:$AE$200,$G218)&gt;0,
     COUNTIFS($AF$2:$AF$200,$G218)&gt;0,
     COUNTIFS($AG$2:$AG$200,$G218)&gt;0,
     COUNTIFS($AH$2:$AH$200,$G218)&gt;0,
     COUNTIFS($AI$2:$AI$200,$G218)&gt;0,
     COUNTIFS($AJ$2:$AJ$200,$G218)&gt;0,
     COUNTIFS($AK$2:$AK$200,$G218)&gt;0,
     COUNTIFS($AL$2:$AL$200,$G218)&gt;0,
     COUNTIFS($AM$2:$AM$200,$G218)&gt;0,
     COUNTIFS($AN$2:$AN$200,$G218)&gt;0,
     COUNTIFS($AO$2:$AO$200,$G218)&gt;0,
     COUNTIFS($AP$2:$AP$200,$G218)&gt;0,
     COUNTIFS($AQ$2:$AQ$200,$G218)&gt;0,
     COUNTIFS($AR$2:$AR$200,$G218)&gt;0,
     COUNTIFS($AS$2:$AS$200,$G218)&gt;0,
     COUNTIFS($AT$2:$AT$200,$G218)&gt;0,
     COUNTIFS($AU$2:$AU$200,$G218)&gt;0,
     COUNTIFS($AV$2:$AV$200,$G218)&gt;0,
     COUNTIFS($AW$2:$AW$200,$G218)&gt;0,
     COUNTIFS($AX$2:$AX$200,$G218)&gt;0
   )),
  ),
  2
 ),
"")</f>
        <v/>
      </c>
      <c r="E218" s="3" t="str" cm="1">
        <f t="array" aca="1" ref="E218" ca="1">IFERROR(
 INDEX(
  _xlfn._xlws.FILTER($U$1:$AX$1,
   TRANSPOSE(
    CHOOSE({1;2;3;4;5;6;7;8;9;10;11;12;13;14;15;16;17;18;19;20;21;22;23;24;25;26;27;28;29;30},
     COUNTIFS($U$2:$U$200,$G218)&gt;0,
     COUNTIFS($V$2:$V$200,$G218)&gt;0,
     COUNTIFS($W$2:$W$200,$G218)&gt;0,
     COUNTIFS($X$2:$X$200,$G218)&gt;0,
     COUNTIFS($Y$2:$Y$200,$G218)&gt;0,
     COUNTIFS($Z$2:$Z$200,$G218)&gt;0,
     COUNTIFS($AA$2:$AA$200,$G218)&gt;0,
     COUNTIFS($AB$2:$AB$200,$G218)&gt;0,
     COUNTIFS($AC$2:$AC$200,$G218)&gt;0,
     COUNTIFS($AD$2:$AD$200,$G218)&gt;0,
     COUNTIFS($AE$2:$AE$200,$G218)&gt;0,
     COUNTIFS($AF$2:$AF$200,$G218)&gt;0,
     COUNTIFS($AG$2:$AG$200,$G218)&gt;0,
     COUNTIFS($AH$2:$AH$200,$G218)&gt;0,
     COUNTIFS($AI$2:$AI$200,$G218)&gt;0,
     COUNTIFS($AJ$2:$AJ$200,$G218)&gt;0,
     COUNTIFS($AK$2:$AK$200,$G218)&gt;0,
     COUNTIFS($AL$2:$AL$200,$G218)&gt;0,
     COUNTIFS($AM$2:$AM$200,$G218)&gt;0,
     COUNTIFS($AN$2:$AN$200,$G218)&gt;0,
     COUNTIFS($AO$2:$AO$200,$G218)&gt;0,
     COUNTIFS($AP$2:$AP$200,$G218)&gt;0,
     COUNTIFS($AQ$2:$AQ$200,$G218)&gt;0,
     COUNTIFS($AR$2:$AR$200,$G218)&gt;0,
     COUNTIFS($AS$2:$AS$200,$G218)&gt;0,
     COUNTIFS($AT$2:$AT$200,$G218)&gt;0,
     COUNTIFS($AU$2:$AU$200,$G218)&gt;0,
     COUNTIFS($AV$2:$AV$200,$G218)&gt;0,
     COUNTIFS($AW$2:$AW$200,$G218)&gt;0,
     COUNTIFS($AX$2:$AX$200,$G218)&gt;0
   )),
  ),
  3
 ),
"")</f>
        <v/>
      </c>
      <c r="F218" s="3" t="str" cm="1">
        <f t="array" aca="1" ref="F218" ca="1">IFERROR(
 INDEX(
  _xlfn._xlws.FILTER($U$1:$AX$1,
   TRANSPOSE(
    CHOOSE({1;2;3;4;5;6;7;8;9;10;11;12;13;14;15;16;17;18;19;20;21;22;23;24;25;26;27;28;29;30},
     COUNTIFS($U$2:$U$200,$G218)&gt;0,
     COUNTIFS($V$2:$V$200,$G218)&gt;0,
     COUNTIFS($W$2:$W$200,$G218)&gt;0,
     COUNTIFS($X$2:$X$200,$G218)&gt;0,
     COUNTIFS($Y$2:$Y$200,$G218)&gt;0,
     COUNTIFS($Z$2:$Z$200,$G218)&gt;0,
     COUNTIFS($AA$2:$AA$200,$G218)&gt;0,
     COUNTIFS($AB$2:$AB$200,$G218)&gt;0,
     COUNTIFS($AC$2:$AC$200,$G218)&gt;0,
     COUNTIFS($AD$2:$AD$200,$G218)&gt;0,
     COUNTIFS($AE$2:$AE$200,$G218)&gt;0,
     COUNTIFS($AF$2:$AF$200,$G218)&gt;0,
     COUNTIFS($AG$2:$AG$200,$G218)&gt;0,
     COUNTIFS($AH$2:$AH$200,$G218)&gt;0,
     COUNTIFS($AI$2:$AI$200,$G218)&gt;0,
     COUNTIFS($AJ$2:$AJ$200,$G218)&gt;0,
     COUNTIFS($AK$2:$AK$200,$G218)&gt;0,
     COUNTIFS($AL$2:$AL$200,$G218)&gt;0,
     COUNTIFS($AM$2:$AM$200,$G218)&gt;0,
     COUNTIFS($AN$2:$AN$200,$G218)&gt;0,
     COUNTIFS($AO$2:$AO$200,$G218)&gt;0,
     COUNTIFS($AP$2:$AP$200,$G218)&gt;0,
     COUNTIFS($AQ$2:$AQ$200,$G218)&gt;0,
     COUNTIFS($AR$2:$AR$200,$G218)&gt;0,
     COUNTIFS($AS$2:$AS$200,$G218)&gt;0,
     COUNTIFS($AT$2:$AT$200,$G218)&gt;0,
     COUNTIFS($AU$2:$AU$200,$G218)&gt;0,
     COUNTIFS($AV$2:$AV$200,$G218)&gt;0,
     COUNTIFS($AW$2:$AW$200,$G218)&gt;0,
     COUNTIFS($AX$2:$AX$200,$G218)&gt;0
   )),
  ),
  4
 ),
"")</f>
        <v/>
      </c>
      <c r="G218" t="str">
        <f ca="1"/>
        <v>Monastery Siege</v>
      </c>
      <c r="BT218" t="str">
        <f ca="1"/>
        <v>Vexing Puzzlebox</v>
      </c>
    </row>
    <row r="219" spans="1:72" x14ac:dyDescent="0.25">
      <c r="A219" s="3" t="str">
        <f t="shared" ca="1" si="8"/>
        <v>1</v>
      </c>
      <c r="B219" s="3">
        <f t="shared" ca="1" si="9"/>
        <v>1</v>
      </c>
      <c r="C219" s="3" t="str">
        <f ca="1">IFERROR(
 INDEX($U$1:$AX$1,
  MATCH(TRUE,
   CHOOSE({1;2;3;4;5;6;7;8;9;10;11;12;13;14;15;16;17;18;19;20;21;22;23;24;25;26;27;28;29;30;31;32},
    COUNTIFS($U$2:$U$200,$G219)&gt;0,
    COUNTIFS($V$2:$V$200,$G219)&gt;0,
    COUNTIFS($W$2:$W$200,$G219)&gt;0,
    COUNTIFS($X$2:$X$200,$G219)&gt;0,
    COUNTIFS($Y$2:$Y$200,$G219)&gt;0,
    COUNTIFS($Z$2:$Z$200,$G219)&gt;0,
    COUNTIFS($AA$2:$AA$200,$G219)&gt;0,
    COUNTIFS($AB$2:$AB$200,$G219)&gt;0,
    COUNTIFS($AC$2:$AC$200,$G219)&gt;0,
    COUNTIFS($AD$2:$AD$200,$G219)&gt;0,
    COUNTIFS($AE$2:$AE$200,$G219)&gt;0,
    COUNTIFS($AF$2:$AF$200,$G219)&gt;0,
    COUNTIFS($AG$2:$AG$200,$G219)&gt;0,
    COUNTIFS($AH$2:$AH$200,$G219)&gt;0,
    COUNTIFS($AI$2:$AI$200,$G219)&gt;0,
    COUNTIFS($AJ$2:$AJ$200,$G219)&gt;0,
    COUNTIFS($AK$2:$AK$200,$G219)&gt;0,
    COUNTIFS($AL$2:$AL$200,$G219)&gt;0,
    COUNTIFS($AM$2:$AM$200,$G219)&gt;0,
    COUNTIFS($AN$2:$AN$200,$G219)&gt;0,
    COUNTIFS($AO$2:$AO$200,$G219)&gt;0,
    COUNTIFS($AP$2:$AP$200,$G219)&gt;0,
    COUNTIFS($AQ$2:$AQ$200,$G219)&gt;0,
    COUNTIFS($AR$2:$AR$200,$G219)&gt;0,
    COUNTIFS($AS$2:$AS$200,$G219)&gt;0,
    COUNTIFS($AT$2:$AT$200,$G219)&gt;0,
    COUNTIFS($AU$2:$AU$200,$G219)&gt;0,
    COUNTIFS($AV$2:$AV$200,$G219)&gt;0,
    COUNTIFS($AW$2:$AW$200,$G219)&gt;0,
    COUNTIFS($AX$2:$AX$200,$G219)&gt;0
   ),
  0)
 ),
"")</f>
        <v>Modular</v>
      </c>
      <c r="D219" s="3" t="str" cm="1">
        <f t="array" aca="1" ref="D219" ca="1">IFERROR(
 INDEX(
  _xlfn._xlws.FILTER($U$1:$AX$1,
   TRANSPOSE(
    CHOOSE({1;2;3;4;5;6;7;8;9;10;11;12;13;14;15;16;17;18;19;20;21;22;23;24;25;26;27;28;29;30},
     COUNTIFS($U$2:$U$200,$G219)&gt;0,
     COUNTIFS($V$2:$V$200,$G219)&gt;0,
     COUNTIFS($W$2:$W$200,$G219)&gt;0,
     COUNTIFS($X$2:$X$200,$G219)&gt;0,
     COUNTIFS($Y$2:$Y$200,$G219)&gt;0,
     COUNTIFS($Z$2:$Z$200,$G219)&gt;0,
     COUNTIFS($AA$2:$AA$200,$G219)&gt;0,
     COUNTIFS($AB$2:$AB$200,$G219)&gt;0,
     COUNTIFS($AC$2:$AC$200,$G219)&gt;0,
     COUNTIFS($AD$2:$AD$200,$G219)&gt;0,
     COUNTIFS($AE$2:$AE$200,$G219)&gt;0,
     COUNTIFS($AF$2:$AF$200,$G219)&gt;0,
     COUNTIFS($AG$2:$AG$200,$G219)&gt;0,
     COUNTIFS($AH$2:$AH$200,$G219)&gt;0,
     COUNTIFS($AI$2:$AI$200,$G219)&gt;0,
     COUNTIFS($AJ$2:$AJ$200,$G219)&gt;0,
     COUNTIFS($AK$2:$AK$200,$G219)&gt;0,
     COUNTIFS($AL$2:$AL$200,$G219)&gt;0,
     COUNTIFS($AM$2:$AM$200,$G219)&gt;0,
     COUNTIFS($AN$2:$AN$200,$G219)&gt;0,
     COUNTIFS($AO$2:$AO$200,$G219)&gt;0,
     COUNTIFS($AP$2:$AP$200,$G219)&gt;0,
     COUNTIFS($AQ$2:$AQ$200,$G219)&gt;0,
     COUNTIFS($AR$2:$AR$200,$G219)&gt;0,
     COUNTIFS($AS$2:$AS$200,$G219)&gt;0,
     COUNTIFS($AT$2:$AT$200,$G219)&gt;0,
     COUNTIFS($AU$2:$AU$200,$G219)&gt;0,
     COUNTIFS($AV$2:$AV$200,$G219)&gt;0,
     COUNTIFS($AW$2:$AW$200,$G219)&gt;0,
     COUNTIFS($AX$2:$AX$200,$G219)&gt;0
   )),
  ),
  2
 ),
"")</f>
        <v/>
      </c>
      <c r="E219" s="3" t="str" cm="1">
        <f t="array" aca="1" ref="E219" ca="1">IFERROR(
 INDEX(
  _xlfn._xlws.FILTER($U$1:$AX$1,
   TRANSPOSE(
    CHOOSE({1;2;3;4;5;6;7;8;9;10;11;12;13;14;15;16;17;18;19;20;21;22;23;24;25;26;27;28;29;30},
     COUNTIFS($U$2:$U$200,$G219)&gt;0,
     COUNTIFS($V$2:$V$200,$G219)&gt;0,
     COUNTIFS($W$2:$W$200,$G219)&gt;0,
     COUNTIFS($X$2:$X$200,$G219)&gt;0,
     COUNTIFS($Y$2:$Y$200,$G219)&gt;0,
     COUNTIFS($Z$2:$Z$200,$G219)&gt;0,
     COUNTIFS($AA$2:$AA$200,$G219)&gt;0,
     COUNTIFS($AB$2:$AB$200,$G219)&gt;0,
     COUNTIFS($AC$2:$AC$200,$G219)&gt;0,
     COUNTIFS($AD$2:$AD$200,$G219)&gt;0,
     COUNTIFS($AE$2:$AE$200,$G219)&gt;0,
     COUNTIFS($AF$2:$AF$200,$G219)&gt;0,
     COUNTIFS($AG$2:$AG$200,$G219)&gt;0,
     COUNTIFS($AH$2:$AH$200,$G219)&gt;0,
     COUNTIFS($AI$2:$AI$200,$G219)&gt;0,
     COUNTIFS($AJ$2:$AJ$200,$G219)&gt;0,
     COUNTIFS($AK$2:$AK$200,$G219)&gt;0,
     COUNTIFS($AL$2:$AL$200,$G219)&gt;0,
     COUNTIFS($AM$2:$AM$200,$G219)&gt;0,
     COUNTIFS($AN$2:$AN$200,$G219)&gt;0,
     COUNTIFS($AO$2:$AO$200,$G219)&gt;0,
     COUNTIFS($AP$2:$AP$200,$G219)&gt;0,
     COUNTIFS($AQ$2:$AQ$200,$G219)&gt;0,
     COUNTIFS($AR$2:$AR$200,$G219)&gt;0,
     COUNTIFS($AS$2:$AS$200,$G219)&gt;0,
     COUNTIFS($AT$2:$AT$200,$G219)&gt;0,
     COUNTIFS($AU$2:$AU$200,$G219)&gt;0,
     COUNTIFS($AV$2:$AV$200,$G219)&gt;0,
     COUNTIFS($AW$2:$AW$200,$G219)&gt;0,
     COUNTIFS($AX$2:$AX$200,$G219)&gt;0
   )),
  ),
  3
 ),
"")</f>
        <v/>
      </c>
      <c r="F219" s="3" t="str" cm="1">
        <f t="array" aca="1" ref="F219" ca="1">IFERROR(
 INDEX(
  _xlfn._xlws.FILTER($U$1:$AX$1,
   TRANSPOSE(
    CHOOSE({1;2;3;4;5;6;7;8;9;10;11;12;13;14;15;16;17;18;19;20;21;22;23;24;25;26;27;28;29;30},
     COUNTIFS($U$2:$U$200,$G219)&gt;0,
     COUNTIFS($V$2:$V$200,$G219)&gt;0,
     COUNTIFS($W$2:$W$200,$G219)&gt;0,
     COUNTIFS($X$2:$X$200,$G219)&gt;0,
     COUNTIFS($Y$2:$Y$200,$G219)&gt;0,
     COUNTIFS($Z$2:$Z$200,$G219)&gt;0,
     COUNTIFS($AA$2:$AA$200,$G219)&gt;0,
     COUNTIFS($AB$2:$AB$200,$G219)&gt;0,
     COUNTIFS($AC$2:$AC$200,$G219)&gt;0,
     COUNTIFS($AD$2:$AD$200,$G219)&gt;0,
     COUNTIFS($AE$2:$AE$200,$G219)&gt;0,
     COUNTIFS($AF$2:$AF$200,$G219)&gt;0,
     COUNTIFS($AG$2:$AG$200,$G219)&gt;0,
     COUNTIFS($AH$2:$AH$200,$G219)&gt;0,
     COUNTIFS($AI$2:$AI$200,$G219)&gt;0,
     COUNTIFS($AJ$2:$AJ$200,$G219)&gt;0,
     COUNTIFS($AK$2:$AK$200,$G219)&gt;0,
     COUNTIFS($AL$2:$AL$200,$G219)&gt;0,
     COUNTIFS($AM$2:$AM$200,$G219)&gt;0,
     COUNTIFS($AN$2:$AN$200,$G219)&gt;0,
     COUNTIFS($AO$2:$AO$200,$G219)&gt;0,
     COUNTIFS($AP$2:$AP$200,$G219)&gt;0,
     COUNTIFS($AQ$2:$AQ$200,$G219)&gt;0,
     COUNTIFS($AR$2:$AR$200,$G219)&gt;0,
     COUNTIFS($AS$2:$AS$200,$G219)&gt;0,
     COUNTIFS($AT$2:$AT$200,$G219)&gt;0,
     COUNTIFS($AU$2:$AU$200,$G219)&gt;0,
     COUNTIFS($AV$2:$AV$200,$G219)&gt;0,
     COUNTIFS($AW$2:$AW$200,$G219)&gt;0,
     COUNTIFS($AX$2:$AX$200,$G219)&gt;0
   )),
  ),
  4
 ),
"")</f>
        <v/>
      </c>
      <c r="G219" t="str">
        <f ca="1"/>
        <v>Monumental Henge</v>
      </c>
      <c r="BT219" t="str">
        <f ca="1"/>
        <v>Vontade Dominadora</v>
      </c>
    </row>
    <row r="220" spans="1:72" x14ac:dyDescent="0.25">
      <c r="A220" s="3" t="str">
        <f t="shared" ca="1" si="8"/>
        <v>3</v>
      </c>
      <c r="B220" s="3">
        <f t="shared" ca="1" si="9"/>
        <v>1</v>
      </c>
      <c r="C220" s="3" t="str">
        <f ca="1">IFERROR(
 INDEX($U$1:$AX$1,
  MATCH(TRUE,
   CHOOSE({1;2;3;4;5;6;7;8;9;10;11;12;13;14;15;16;17;18;19;20;21;22;23;24;25;26;27;28;29;30;31;32},
    COUNTIFS($U$2:$U$200,$G220)&gt;0,
    COUNTIFS($V$2:$V$200,$G220)&gt;0,
    COUNTIFS($W$2:$W$200,$G220)&gt;0,
    COUNTIFS($X$2:$X$200,$G220)&gt;0,
    COUNTIFS($Y$2:$Y$200,$G220)&gt;0,
    COUNTIFS($Z$2:$Z$200,$G220)&gt;0,
    COUNTIFS($AA$2:$AA$200,$G220)&gt;0,
    COUNTIFS($AB$2:$AB$200,$G220)&gt;0,
    COUNTIFS($AC$2:$AC$200,$G220)&gt;0,
    COUNTIFS($AD$2:$AD$200,$G220)&gt;0,
    COUNTIFS($AE$2:$AE$200,$G220)&gt;0,
    COUNTIFS($AF$2:$AF$200,$G220)&gt;0,
    COUNTIFS($AG$2:$AG$200,$G220)&gt;0,
    COUNTIFS($AH$2:$AH$200,$G220)&gt;0,
    COUNTIFS($AI$2:$AI$200,$G220)&gt;0,
    COUNTIFS($AJ$2:$AJ$200,$G220)&gt;0,
    COUNTIFS($AK$2:$AK$200,$G220)&gt;0,
    COUNTIFS($AL$2:$AL$200,$G220)&gt;0,
    COUNTIFS($AM$2:$AM$200,$G220)&gt;0,
    COUNTIFS($AN$2:$AN$200,$G220)&gt;0,
    COUNTIFS($AO$2:$AO$200,$G220)&gt;0,
    COUNTIFS($AP$2:$AP$200,$G220)&gt;0,
    COUNTIFS($AQ$2:$AQ$200,$G220)&gt;0,
    COUNTIFS($AR$2:$AR$200,$G220)&gt;0,
    COUNTIFS($AS$2:$AS$200,$G220)&gt;0,
    COUNTIFS($AT$2:$AT$200,$G220)&gt;0,
    COUNTIFS($AU$2:$AU$200,$G220)&gt;0,
    COUNTIFS($AV$2:$AV$200,$G220)&gt;0,
    COUNTIFS($AW$2:$AW$200,$G220)&gt;0,
    COUNTIFS($AX$2:$AX$200,$G220)&gt;0
   ),
  0)
 ),
"")</f>
        <v>Yuriko</v>
      </c>
      <c r="D220" s="3" t="str" cm="1">
        <f t="array" aca="1" ref="D220" ca="1">IFERROR(
 INDEX(
  _xlfn._xlws.FILTER($U$1:$AX$1,
   TRANSPOSE(
    CHOOSE({1;2;3;4;5;6;7;8;9;10;11;12;13;14;15;16;17;18;19;20;21;22;23;24;25;26;27;28;29;30},
     COUNTIFS($U$2:$U$200,$G220)&gt;0,
     COUNTIFS($V$2:$V$200,$G220)&gt;0,
     COUNTIFS($W$2:$W$200,$G220)&gt;0,
     COUNTIFS($X$2:$X$200,$G220)&gt;0,
     COUNTIFS($Y$2:$Y$200,$G220)&gt;0,
     COUNTIFS($Z$2:$Z$200,$G220)&gt;0,
     COUNTIFS($AA$2:$AA$200,$G220)&gt;0,
     COUNTIFS($AB$2:$AB$200,$G220)&gt;0,
     COUNTIFS($AC$2:$AC$200,$G220)&gt;0,
     COUNTIFS($AD$2:$AD$200,$G220)&gt;0,
     COUNTIFS($AE$2:$AE$200,$G220)&gt;0,
     COUNTIFS($AF$2:$AF$200,$G220)&gt;0,
     COUNTIFS($AG$2:$AG$200,$G220)&gt;0,
     COUNTIFS($AH$2:$AH$200,$G220)&gt;0,
     COUNTIFS($AI$2:$AI$200,$G220)&gt;0,
     COUNTIFS($AJ$2:$AJ$200,$G220)&gt;0,
     COUNTIFS($AK$2:$AK$200,$G220)&gt;0,
     COUNTIFS($AL$2:$AL$200,$G220)&gt;0,
     COUNTIFS($AM$2:$AM$200,$G220)&gt;0,
     COUNTIFS($AN$2:$AN$200,$G220)&gt;0,
     COUNTIFS($AO$2:$AO$200,$G220)&gt;0,
     COUNTIFS($AP$2:$AP$200,$G220)&gt;0,
     COUNTIFS($AQ$2:$AQ$200,$G220)&gt;0,
     COUNTIFS($AR$2:$AR$200,$G220)&gt;0,
     COUNTIFS($AS$2:$AS$200,$G220)&gt;0,
     COUNTIFS($AT$2:$AT$200,$G220)&gt;0,
     COUNTIFS($AU$2:$AU$200,$G220)&gt;0,
     COUNTIFS($AV$2:$AV$200,$G220)&gt;0,
     COUNTIFS($AW$2:$AW$200,$G220)&gt;0,
     COUNTIFS($AX$2:$AX$200,$G220)&gt;0
   )),
  ),
  2
 ),
"")</f>
        <v/>
      </c>
      <c r="E220" s="3" t="str" cm="1">
        <f t="array" aca="1" ref="E220" ca="1">IFERROR(
 INDEX(
  _xlfn._xlws.FILTER($U$1:$AX$1,
   TRANSPOSE(
    CHOOSE({1;2;3;4;5;6;7;8;9;10;11;12;13;14;15;16;17;18;19;20;21;22;23;24;25;26;27;28;29;30},
     COUNTIFS($U$2:$U$200,$G220)&gt;0,
     COUNTIFS($V$2:$V$200,$G220)&gt;0,
     COUNTIFS($W$2:$W$200,$G220)&gt;0,
     COUNTIFS($X$2:$X$200,$G220)&gt;0,
     COUNTIFS($Y$2:$Y$200,$G220)&gt;0,
     COUNTIFS($Z$2:$Z$200,$G220)&gt;0,
     COUNTIFS($AA$2:$AA$200,$G220)&gt;0,
     COUNTIFS($AB$2:$AB$200,$G220)&gt;0,
     COUNTIFS($AC$2:$AC$200,$G220)&gt;0,
     COUNTIFS($AD$2:$AD$200,$G220)&gt;0,
     COUNTIFS($AE$2:$AE$200,$G220)&gt;0,
     COUNTIFS($AF$2:$AF$200,$G220)&gt;0,
     COUNTIFS($AG$2:$AG$200,$G220)&gt;0,
     COUNTIFS($AH$2:$AH$200,$G220)&gt;0,
     COUNTIFS($AI$2:$AI$200,$G220)&gt;0,
     COUNTIFS($AJ$2:$AJ$200,$G220)&gt;0,
     COUNTIFS($AK$2:$AK$200,$G220)&gt;0,
     COUNTIFS($AL$2:$AL$200,$G220)&gt;0,
     COUNTIFS($AM$2:$AM$200,$G220)&gt;0,
     COUNTIFS($AN$2:$AN$200,$G220)&gt;0,
     COUNTIFS($AO$2:$AO$200,$G220)&gt;0,
     COUNTIFS($AP$2:$AP$200,$G220)&gt;0,
     COUNTIFS($AQ$2:$AQ$200,$G220)&gt;0,
     COUNTIFS($AR$2:$AR$200,$G220)&gt;0,
     COUNTIFS($AS$2:$AS$200,$G220)&gt;0,
     COUNTIFS($AT$2:$AT$200,$G220)&gt;0,
     COUNTIFS($AU$2:$AU$200,$G220)&gt;0,
     COUNTIFS($AV$2:$AV$200,$G220)&gt;0,
     COUNTIFS($AW$2:$AW$200,$G220)&gt;0,
     COUNTIFS($AX$2:$AX$200,$G220)&gt;0
   )),
  ),
  3
 ),
"")</f>
        <v/>
      </c>
      <c r="F220" s="3" t="str" cm="1">
        <f t="array" aca="1" ref="F220" ca="1">IFERROR(
 INDEX(
  _xlfn._xlws.FILTER($U$1:$AX$1,
   TRANSPOSE(
    CHOOSE({1;2;3;4;5;6;7;8;9;10;11;12;13;14;15;16;17;18;19;20;21;22;23;24;25;26;27;28;29;30},
     COUNTIFS($U$2:$U$200,$G220)&gt;0,
     COUNTIFS($V$2:$V$200,$G220)&gt;0,
     COUNTIFS($W$2:$W$200,$G220)&gt;0,
     COUNTIFS($X$2:$X$200,$G220)&gt;0,
     COUNTIFS($Y$2:$Y$200,$G220)&gt;0,
     COUNTIFS($Z$2:$Z$200,$G220)&gt;0,
     COUNTIFS($AA$2:$AA$200,$G220)&gt;0,
     COUNTIFS($AB$2:$AB$200,$G220)&gt;0,
     COUNTIFS($AC$2:$AC$200,$G220)&gt;0,
     COUNTIFS($AD$2:$AD$200,$G220)&gt;0,
     COUNTIFS($AE$2:$AE$200,$G220)&gt;0,
     COUNTIFS($AF$2:$AF$200,$G220)&gt;0,
     COUNTIFS($AG$2:$AG$200,$G220)&gt;0,
     COUNTIFS($AH$2:$AH$200,$G220)&gt;0,
     COUNTIFS($AI$2:$AI$200,$G220)&gt;0,
     COUNTIFS($AJ$2:$AJ$200,$G220)&gt;0,
     COUNTIFS($AK$2:$AK$200,$G220)&gt;0,
     COUNTIFS($AL$2:$AL$200,$G220)&gt;0,
     COUNTIFS($AM$2:$AM$200,$G220)&gt;0,
     COUNTIFS($AN$2:$AN$200,$G220)&gt;0,
     COUNTIFS($AO$2:$AO$200,$G220)&gt;0,
     COUNTIFS($AP$2:$AP$200,$G220)&gt;0,
     COUNTIFS($AQ$2:$AQ$200,$G220)&gt;0,
     COUNTIFS($AR$2:$AR$200,$G220)&gt;0,
     COUNTIFS($AS$2:$AS$200,$G220)&gt;0,
     COUNTIFS($AT$2:$AT$200,$G220)&gt;0,
     COUNTIFS($AU$2:$AU$200,$G220)&gt;0,
     COUNTIFS($AV$2:$AV$200,$G220)&gt;0,
     COUNTIFS($AW$2:$AW$200,$G220)&gt;0,
     COUNTIFS($AX$2:$AX$200,$G220)&gt;0
   )),
  ),
  4
 ),
"")</f>
        <v/>
      </c>
      <c r="G220" t="str">
        <f ca="1"/>
        <v>Morphic Pool</v>
      </c>
      <c r="BT220" t="str">
        <f ca="1"/>
        <v>Vronos, Masked Inquisitor</v>
      </c>
    </row>
    <row r="221" spans="1:72" x14ac:dyDescent="0.25">
      <c r="A221" s="3" t="str">
        <f t="shared" ca="1" si="8"/>
        <v>1</v>
      </c>
      <c r="B221" s="3">
        <f t="shared" ca="1" si="9"/>
        <v>1</v>
      </c>
      <c r="C221" s="3" t="str">
        <f ca="1">IFERROR(
 INDEX($U$1:$AX$1,
  MATCH(TRUE,
   CHOOSE({1;2;3;4;5;6;7;8;9;10;11;12;13;14;15;16;17;18;19;20;21;22;23;24;25;26;27;28;29;30;31;32},
    COUNTIFS($U$2:$U$200,$G221)&gt;0,
    COUNTIFS($V$2:$V$200,$G221)&gt;0,
    COUNTIFS($W$2:$W$200,$G221)&gt;0,
    COUNTIFS($X$2:$X$200,$G221)&gt;0,
    COUNTIFS($Y$2:$Y$200,$G221)&gt;0,
    COUNTIFS($Z$2:$Z$200,$G221)&gt;0,
    COUNTIFS($AA$2:$AA$200,$G221)&gt;0,
    COUNTIFS($AB$2:$AB$200,$G221)&gt;0,
    COUNTIFS($AC$2:$AC$200,$G221)&gt;0,
    COUNTIFS($AD$2:$AD$200,$G221)&gt;0,
    COUNTIFS($AE$2:$AE$200,$G221)&gt;0,
    COUNTIFS($AF$2:$AF$200,$G221)&gt;0,
    COUNTIFS($AG$2:$AG$200,$G221)&gt;0,
    COUNTIFS($AH$2:$AH$200,$G221)&gt;0,
    COUNTIFS($AI$2:$AI$200,$G221)&gt;0,
    COUNTIFS($AJ$2:$AJ$200,$G221)&gt;0,
    COUNTIFS($AK$2:$AK$200,$G221)&gt;0,
    COUNTIFS($AL$2:$AL$200,$G221)&gt;0,
    COUNTIFS($AM$2:$AM$200,$G221)&gt;0,
    COUNTIFS($AN$2:$AN$200,$G221)&gt;0,
    COUNTIFS($AO$2:$AO$200,$G221)&gt;0,
    COUNTIFS($AP$2:$AP$200,$G221)&gt;0,
    COUNTIFS($AQ$2:$AQ$200,$G221)&gt;0,
    COUNTIFS($AR$2:$AR$200,$G221)&gt;0,
    COUNTIFS($AS$2:$AS$200,$G221)&gt;0,
    COUNTIFS($AT$2:$AT$200,$G221)&gt;0,
    COUNTIFS($AU$2:$AU$200,$G221)&gt;0,
    COUNTIFS($AV$2:$AV$200,$G221)&gt;0,
    COUNTIFS($AW$2:$AW$200,$G221)&gt;0,
    COUNTIFS($AX$2:$AX$200,$G221)&gt;0
   ),
  0)
 ),
"")</f>
        <v>Baylen</v>
      </c>
      <c r="D221" s="3" t="str" cm="1">
        <f t="array" aca="1" ref="D221" ca="1">IFERROR(
 INDEX(
  _xlfn._xlws.FILTER($U$1:$AX$1,
   TRANSPOSE(
    CHOOSE({1;2;3;4;5;6;7;8;9;10;11;12;13;14;15;16;17;18;19;20;21;22;23;24;25;26;27;28;29;30},
     COUNTIFS($U$2:$U$200,$G221)&gt;0,
     COUNTIFS($V$2:$V$200,$G221)&gt;0,
     COUNTIFS($W$2:$W$200,$G221)&gt;0,
     COUNTIFS($X$2:$X$200,$G221)&gt;0,
     COUNTIFS($Y$2:$Y$200,$G221)&gt;0,
     COUNTIFS($Z$2:$Z$200,$G221)&gt;0,
     COUNTIFS($AA$2:$AA$200,$G221)&gt;0,
     COUNTIFS($AB$2:$AB$200,$G221)&gt;0,
     COUNTIFS($AC$2:$AC$200,$G221)&gt;0,
     COUNTIFS($AD$2:$AD$200,$G221)&gt;0,
     COUNTIFS($AE$2:$AE$200,$G221)&gt;0,
     COUNTIFS($AF$2:$AF$200,$G221)&gt;0,
     COUNTIFS($AG$2:$AG$200,$G221)&gt;0,
     COUNTIFS($AH$2:$AH$200,$G221)&gt;0,
     COUNTIFS($AI$2:$AI$200,$G221)&gt;0,
     COUNTIFS($AJ$2:$AJ$200,$G221)&gt;0,
     COUNTIFS($AK$2:$AK$200,$G221)&gt;0,
     COUNTIFS($AL$2:$AL$200,$G221)&gt;0,
     COUNTIFS($AM$2:$AM$200,$G221)&gt;0,
     COUNTIFS($AN$2:$AN$200,$G221)&gt;0,
     COUNTIFS($AO$2:$AO$200,$G221)&gt;0,
     COUNTIFS($AP$2:$AP$200,$G221)&gt;0,
     COUNTIFS($AQ$2:$AQ$200,$G221)&gt;0,
     COUNTIFS($AR$2:$AR$200,$G221)&gt;0,
     COUNTIFS($AS$2:$AS$200,$G221)&gt;0,
     COUNTIFS($AT$2:$AT$200,$G221)&gt;0,
     COUNTIFS($AU$2:$AU$200,$G221)&gt;0,
     COUNTIFS($AV$2:$AV$200,$G221)&gt;0,
     COUNTIFS($AW$2:$AW$200,$G221)&gt;0,
     COUNTIFS($AX$2:$AX$200,$G221)&gt;0
   )),
  ),
  2
 ),
"")</f>
        <v/>
      </c>
      <c r="E221" s="3" t="str" cm="1">
        <f t="array" aca="1" ref="E221" ca="1">IFERROR(
 INDEX(
  _xlfn._xlws.FILTER($U$1:$AX$1,
   TRANSPOSE(
    CHOOSE({1;2;3;4;5;6;7;8;9;10;11;12;13;14;15;16;17;18;19;20;21;22;23;24;25;26;27;28;29;30},
     COUNTIFS($U$2:$U$200,$G221)&gt;0,
     COUNTIFS($V$2:$V$200,$G221)&gt;0,
     COUNTIFS($W$2:$W$200,$G221)&gt;0,
     COUNTIFS($X$2:$X$200,$G221)&gt;0,
     COUNTIFS($Y$2:$Y$200,$G221)&gt;0,
     COUNTIFS($Z$2:$Z$200,$G221)&gt;0,
     COUNTIFS($AA$2:$AA$200,$G221)&gt;0,
     COUNTIFS($AB$2:$AB$200,$G221)&gt;0,
     COUNTIFS($AC$2:$AC$200,$G221)&gt;0,
     COUNTIFS($AD$2:$AD$200,$G221)&gt;0,
     COUNTIFS($AE$2:$AE$200,$G221)&gt;0,
     COUNTIFS($AF$2:$AF$200,$G221)&gt;0,
     COUNTIFS($AG$2:$AG$200,$G221)&gt;0,
     COUNTIFS($AH$2:$AH$200,$G221)&gt;0,
     COUNTIFS($AI$2:$AI$200,$G221)&gt;0,
     COUNTIFS($AJ$2:$AJ$200,$G221)&gt;0,
     COUNTIFS($AK$2:$AK$200,$G221)&gt;0,
     COUNTIFS($AL$2:$AL$200,$G221)&gt;0,
     COUNTIFS($AM$2:$AM$200,$G221)&gt;0,
     COUNTIFS($AN$2:$AN$200,$G221)&gt;0,
     COUNTIFS($AO$2:$AO$200,$G221)&gt;0,
     COUNTIFS($AP$2:$AP$200,$G221)&gt;0,
     COUNTIFS($AQ$2:$AQ$200,$G221)&gt;0,
     COUNTIFS($AR$2:$AR$200,$G221)&gt;0,
     COUNTIFS($AS$2:$AS$200,$G221)&gt;0,
     COUNTIFS($AT$2:$AT$200,$G221)&gt;0,
     COUNTIFS($AU$2:$AU$200,$G221)&gt;0,
     COUNTIFS($AV$2:$AV$200,$G221)&gt;0,
     COUNTIFS($AW$2:$AW$200,$G221)&gt;0,
     COUNTIFS($AX$2:$AX$200,$G221)&gt;0
   )),
  ),
  3
 ),
"")</f>
        <v/>
      </c>
      <c r="F221" s="3" t="str" cm="1">
        <f t="array" aca="1" ref="F221" ca="1">IFERROR(
 INDEX(
  _xlfn._xlws.FILTER($U$1:$AX$1,
   TRANSPOSE(
    CHOOSE({1;2;3;4;5;6;7;8;9;10;11;12;13;14;15;16;17;18;19;20;21;22;23;24;25;26;27;28;29;30},
     COUNTIFS($U$2:$U$200,$G221)&gt;0,
     COUNTIFS($V$2:$V$200,$G221)&gt;0,
     COUNTIFS($W$2:$W$200,$G221)&gt;0,
     COUNTIFS($X$2:$X$200,$G221)&gt;0,
     COUNTIFS($Y$2:$Y$200,$G221)&gt;0,
     COUNTIFS($Z$2:$Z$200,$G221)&gt;0,
     COUNTIFS($AA$2:$AA$200,$G221)&gt;0,
     COUNTIFS($AB$2:$AB$200,$G221)&gt;0,
     COUNTIFS($AC$2:$AC$200,$G221)&gt;0,
     COUNTIFS($AD$2:$AD$200,$G221)&gt;0,
     COUNTIFS($AE$2:$AE$200,$G221)&gt;0,
     COUNTIFS($AF$2:$AF$200,$G221)&gt;0,
     COUNTIFS($AG$2:$AG$200,$G221)&gt;0,
     COUNTIFS($AH$2:$AH$200,$G221)&gt;0,
     COUNTIFS($AI$2:$AI$200,$G221)&gt;0,
     COUNTIFS($AJ$2:$AJ$200,$G221)&gt;0,
     COUNTIFS($AK$2:$AK$200,$G221)&gt;0,
     COUNTIFS($AL$2:$AL$200,$G221)&gt;0,
     COUNTIFS($AM$2:$AM$200,$G221)&gt;0,
     COUNTIFS($AN$2:$AN$200,$G221)&gt;0,
     COUNTIFS($AO$2:$AO$200,$G221)&gt;0,
     COUNTIFS($AP$2:$AP$200,$G221)&gt;0,
     COUNTIFS($AQ$2:$AQ$200,$G221)&gt;0,
     COUNTIFS($AR$2:$AR$200,$G221)&gt;0,
     COUNTIFS($AS$2:$AS$200,$G221)&gt;0,
     COUNTIFS($AT$2:$AT$200,$G221)&gt;0,
     COUNTIFS($AU$2:$AU$200,$G221)&gt;0,
     COUNTIFS($AV$2:$AV$200,$G221)&gt;0,
     COUNTIFS($AW$2:$AW$200,$G221)&gt;0,
     COUNTIFS($AX$2:$AX$200,$G221)&gt;0
   )),
  ),
  4
 ),
"")</f>
        <v/>
      </c>
      <c r="G221" t="str">
        <f ca="1"/>
        <v>Mossfire Valley</v>
      </c>
      <c r="BT221" t="str">
        <f ca="1"/>
        <v>Warren Soultrader</v>
      </c>
    </row>
    <row r="222" spans="1:72" x14ac:dyDescent="0.25">
      <c r="A222" s="3" t="str">
        <f t="shared" ca="1" si="8"/>
        <v>3</v>
      </c>
      <c r="B222" s="3">
        <f t="shared" ca="1" si="9"/>
        <v>1</v>
      </c>
      <c r="C222" s="3" t="str">
        <f ca="1">IFERROR(
 INDEX($U$1:$AX$1,
  MATCH(TRUE,
   CHOOSE({1;2;3;4;5;6;7;8;9;10;11;12;13;14;15;16;17;18;19;20;21;22;23;24;25;26;27;28;29;30;31;32},
    COUNTIFS($U$2:$U$200,$G222)&gt;0,
    COUNTIFS($V$2:$V$200,$G222)&gt;0,
    COUNTIFS($W$2:$W$200,$G222)&gt;0,
    COUNTIFS($X$2:$X$200,$G222)&gt;0,
    COUNTIFS($Y$2:$Y$200,$G222)&gt;0,
    COUNTIFS($Z$2:$Z$200,$G222)&gt;0,
    COUNTIFS($AA$2:$AA$200,$G222)&gt;0,
    COUNTIFS($AB$2:$AB$200,$G222)&gt;0,
    COUNTIFS($AC$2:$AC$200,$G222)&gt;0,
    COUNTIFS($AD$2:$AD$200,$G222)&gt;0,
    COUNTIFS($AE$2:$AE$200,$G222)&gt;0,
    COUNTIFS($AF$2:$AF$200,$G222)&gt;0,
    COUNTIFS($AG$2:$AG$200,$G222)&gt;0,
    COUNTIFS($AH$2:$AH$200,$G222)&gt;0,
    COUNTIFS($AI$2:$AI$200,$G222)&gt;0,
    COUNTIFS($AJ$2:$AJ$200,$G222)&gt;0,
    COUNTIFS($AK$2:$AK$200,$G222)&gt;0,
    COUNTIFS($AL$2:$AL$200,$G222)&gt;0,
    COUNTIFS($AM$2:$AM$200,$G222)&gt;0,
    COUNTIFS($AN$2:$AN$200,$G222)&gt;0,
    COUNTIFS($AO$2:$AO$200,$G222)&gt;0,
    COUNTIFS($AP$2:$AP$200,$G222)&gt;0,
    COUNTIFS($AQ$2:$AQ$200,$G222)&gt;0,
    COUNTIFS($AR$2:$AR$200,$G222)&gt;0,
    COUNTIFS($AS$2:$AS$200,$G222)&gt;0,
    COUNTIFS($AT$2:$AT$200,$G222)&gt;0,
    COUNTIFS($AU$2:$AU$200,$G222)&gt;0,
    COUNTIFS($AV$2:$AV$200,$G222)&gt;0,
    COUNTIFS($AW$2:$AW$200,$G222)&gt;0,
    COUNTIFS($AX$2:$AX$200,$G222)&gt;0
   ),
  0)
 ),
"")</f>
        <v>Carlos</v>
      </c>
      <c r="D222" s="3" t="str" cm="1">
        <f t="array" aca="1" ref="D222" ca="1">IFERROR(
 INDEX(
  _xlfn._xlws.FILTER($U$1:$AX$1,
   TRANSPOSE(
    CHOOSE({1;2;3;4;5;6;7;8;9;10;11;12;13;14;15;16;17;18;19;20;21;22;23;24;25;26;27;28;29;30},
     COUNTIFS($U$2:$U$200,$G222)&gt;0,
     COUNTIFS($V$2:$V$200,$G222)&gt;0,
     COUNTIFS($W$2:$W$200,$G222)&gt;0,
     COUNTIFS($X$2:$X$200,$G222)&gt;0,
     COUNTIFS($Y$2:$Y$200,$G222)&gt;0,
     COUNTIFS($Z$2:$Z$200,$G222)&gt;0,
     COUNTIFS($AA$2:$AA$200,$G222)&gt;0,
     COUNTIFS($AB$2:$AB$200,$G222)&gt;0,
     COUNTIFS($AC$2:$AC$200,$G222)&gt;0,
     COUNTIFS($AD$2:$AD$200,$G222)&gt;0,
     COUNTIFS($AE$2:$AE$200,$G222)&gt;0,
     COUNTIFS($AF$2:$AF$200,$G222)&gt;0,
     COUNTIFS($AG$2:$AG$200,$G222)&gt;0,
     COUNTIFS($AH$2:$AH$200,$G222)&gt;0,
     COUNTIFS($AI$2:$AI$200,$G222)&gt;0,
     COUNTIFS($AJ$2:$AJ$200,$G222)&gt;0,
     COUNTIFS($AK$2:$AK$200,$G222)&gt;0,
     COUNTIFS($AL$2:$AL$200,$G222)&gt;0,
     COUNTIFS($AM$2:$AM$200,$G222)&gt;0,
     COUNTIFS($AN$2:$AN$200,$G222)&gt;0,
     COUNTIFS($AO$2:$AO$200,$G222)&gt;0,
     COUNTIFS($AP$2:$AP$200,$G222)&gt;0,
     COUNTIFS($AQ$2:$AQ$200,$G222)&gt;0,
     COUNTIFS($AR$2:$AR$200,$G222)&gt;0,
     COUNTIFS($AS$2:$AS$200,$G222)&gt;0,
     COUNTIFS($AT$2:$AT$200,$G222)&gt;0,
     COUNTIFS($AU$2:$AU$200,$G222)&gt;0,
     COUNTIFS($AV$2:$AV$200,$G222)&gt;0,
     COUNTIFS($AW$2:$AW$200,$G222)&gt;0,
     COUNTIFS($AX$2:$AX$200,$G222)&gt;0
   )),
  ),
  2
 ),
"")</f>
        <v/>
      </c>
      <c r="E222" s="3" t="str" cm="1">
        <f t="array" aca="1" ref="E222" ca="1">IFERROR(
 INDEX(
  _xlfn._xlws.FILTER($U$1:$AX$1,
   TRANSPOSE(
    CHOOSE({1;2;3;4;5;6;7;8;9;10;11;12;13;14;15;16;17;18;19;20;21;22;23;24;25;26;27;28;29;30},
     COUNTIFS($U$2:$U$200,$G222)&gt;0,
     COUNTIFS($V$2:$V$200,$G222)&gt;0,
     COUNTIFS($W$2:$W$200,$G222)&gt;0,
     COUNTIFS($X$2:$X$200,$G222)&gt;0,
     COUNTIFS($Y$2:$Y$200,$G222)&gt;0,
     COUNTIFS($Z$2:$Z$200,$G222)&gt;0,
     COUNTIFS($AA$2:$AA$200,$G222)&gt;0,
     COUNTIFS($AB$2:$AB$200,$G222)&gt;0,
     COUNTIFS($AC$2:$AC$200,$G222)&gt;0,
     COUNTIFS($AD$2:$AD$200,$G222)&gt;0,
     COUNTIFS($AE$2:$AE$200,$G222)&gt;0,
     COUNTIFS($AF$2:$AF$200,$G222)&gt;0,
     COUNTIFS($AG$2:$AG$200,$G222)&gt;0,
     COUNTIFS($AH$2:$AH$200,$G222)&gt;0,
     COUNTIFS($AI$2:$AI$200,$G222)&gt;0,
     COUNTIFS($AJ$2:$AJ$200,$G222)&gt;0,
     COUNTIFS($AK$2:$AK$200,$G222)&gt;0,
     COUNTIFS($AL$2:$AL$200,$G222)&gt;0,
     COUNTIFS($AM$2:$AM$200,$G222)&gt;0,
     COUNTIFS($AN$2:$AN$200,$G222)&gt;0,
     COUNTIFS($AO$2:$AO$200,$G222)&gt;0,
     COUNTIFS($AP$2:$AP$200,$G222)&gt;0,
     COUNTIFS($AQ$2:$AQ$200,$G222)&gt;0,
     COUNTIFS($AR$2:$AR$200,$G222)&gt;0,
     COUNTIFS($AS$2:$AS$200,$G222)&gt;0,
     COUNTIFS($AT$2:$AT$200,$G222)&gt;0,
     COUNTIFS($AU$2:$AU$200,$G222)&gt;0,
     COUNTIFS($AV$2:$AV$200,$G222)&gt;0,
     COUNTIFS($AW$2:$AW$200,$G222)&gt;0,
     COUNTIFS($AX$2:$AX$200,$G222)&gt;0
   )),
  ),
  3
 ),
"")</f>
        <v/>
      </c>
      <c r="F222" s="3" t="str" cm="1">
        <f t="array" aca="1" ref="F222" ca="1">IFERROR(
 INDEX(
  _xlfn._xlws.FILTER($U$1:$AX$1,
   TRANSPOSE(
    CHOOSE({1;2;3;4;5;6;7;8;9;10;11;12;13;14;15;16;17;18;19;20;21;22;23;24;25;26;27;28;29;30},
     COUNTIFS($U$2:$U$200,$G222)&gt;0,
     COUNTIFS($V$2:$V$200,$G222)&gt;0,
     COUNTIFS($W$2:$W$200,$G222)&gt;0,
     COUNTIFS($X$2:$X$200,$G222)&gt;0,
     COUNTIFS($Y$2:$Y$200,$G222)&gt;0,
     COUNTIFS($Z$2:$Z$200,$G222)&gt;0,
     COUNTIFS($AA$2:$AA$200,$G222)&gt;0,
     COUNTIFS($AB$2:$AB$200,$G222)&gt;0,
     COUNTIFS($AC$2:$AC$200,$G222)&gt;0,
     COUNTIFS($AD$2:$AD$200,$G222)&gt;0,
     COUNTIFS($AE$2:$AE$200,$G222)&gt;0,
     COUNTIFS($AF$2:$AF$200,$G222)&gt;0,
     COUNTIFS($AG$2:$AG$200,$G222)&gt;0,
     COUNTIFS($AH$2:$AH$200,$G222)&gt;0,
     COUNTIFS($AI$2:$AI$200,$G222)&gt;0,
     COUNTIFS($AJ$2:$AJ$200,$G222)&gt;0,
     COUNTIFS($AK$2:$AK$200,$G222)&gt;0,
     COUNTIFS($AL$2:$AL$200,$G222)&gt;0,
     COUNTIFS($AM$2:$AM$200,$G222)&gt;0,
     COUNTIFS($AN$2:$AN$200,$G222)&gt;0,
     COUNTIFS($AO$2:$AO$200,$G222)&gt;0,
     COUNTIFS($AP$2:$AP$200,$G222)&gt;0,
     COUNTIFS($AQ$2:$AQ$200,$G222)&gt;0,
     COUNTIFS($AR$2:$AR$200,$G222)&gt;0,
     COUNTIFS($AS$2:$AS$200,$G222)&gt;0,
     COUNTIFS($AT$2:$AT$200,$G222)&gt;0,
     COUNTIFS($AU$2:$AU$200,$G222)&gt;0,
     COUNTIFS($AV$2:$AV$200,$G222)&gt;0,
     COUNTIFS($AW$2:$AW$200,$G222)&gt;0,
     COUNTIFS($AX$2:$AX$200,$G222)&gt;0
   )),
  ),
  4
 ),
"")</f>
        <v/>
      </c>
      <c r="G222" t="str">
        <f ca="1"/>
        <v>Mother of runes</v>
      </c>
      <c r="BT222" t="str">
        <f ca="1"/>
        <v>Watery Grave</v>
      </c>
    </row>
    <row r="223" spans="1:72" x14ac:dyDescent="0.25">
      <c r="A223" s="3" t="str">
        <f t="shared" ca="1" si="8"/>
        <v>1</v>
      </c>
      <c r="B223" s="3">
        <f t="shared" ca="1" si="9"/>
        <v>3</v>
      </c>
      <c r="C223" s="3" t="str">
        <f ca="1">IFERROR(
 INDEX($U$1:$AX$1,
  MATCH(TRUE,
   CHOOSE({1;2;3;4;5;6;7;8;9;10;11;12;13;14;15;16;17;18;19;20;21;22;23;24;25;26;27;28;29;30;31;32},
    COUNTIFS($U$2:$U$200,$G223)&gt;0,
    COUNTIFS($V$2:$V$200,$G223)&gt;0,
    COUNTIFS($W$2:$W$200,$G223)&gt;0,
    COUNTIFS($X$2:$X$200,$G223)&gt;0,
    COUNTIFS($Y$2:$Y$200,$G223)&gt;0,
    COUNTIFS($Z$2:$Z$200,$G223)&gt;0,
    COUNTIFS($AA$2:$AA$200,$G223)&gt;0,
    COUNTIFS($AB$2:$AB$200,$G223)&gt;0,
    COUNTIFS($AC$2:$AC$200,$G223)&gt;0,
    COUNTIFS($AD$2:$AD$200,$G223)&gt;0,
    COUNTIFS($AE$2:$AE$200,$G223)&gt;0,
    COUNTIFS($AF$2:$AF$200,$G223)&gt;0,
    COUNTIFS($AG$2:$AG$200,$G223)&gt;0,
    COUNTIFS($AH$2:$AH$200,$G223)&gt;0,
    COUNTIFS($AI$2:$AI$200,$G223)&gt;0,
    COUNTIFS($AJ$2:$AJ$200,$G223)&gt;0,
    COUNTIFS($AK$2:$AK$200,$G223)&gt;0,
    COUNTIFS($AL$2:$AL$200,$G223)&gt;0,
    COUNTIFS($AM$2:$AM$200,$G223)&gt;0,
    COUNTIFS($AN$2:$AN$200,$G223)&gt;0,
    COUNTIFS($AO$2:$AO$200,$G223)&gt;0,
    COUNTIFS($AP$2:$AP$200,$G223)&gt;0,
    COUNTIFS($AQ$2:$AQ$200,$G223)&gt;0,
    COUNTIFS($AR$2:$AR$200,$G223)&gt;0,
    COUNTIFS($AS$2:$AS$200,$G223)&gt;0,
    COUNTIFS($AT$2:$AT$200,$G223)&gt;0,
    COUNTIFS($AU$2:$AU$200,$G223)&gt;0,
    COUNTIFS($AV$2:$AV$200,$G223)&gt;0,
    COUNTIFS($AW$2:$AW$200,$G223)&gt;0,
    COUNTIFS($AX$2:$AX$200,$G223)&gt;0
   ),
  0)
 ),
"")</f>
        <v>Modular</v>
      </c>
      <c r="D223" s="3" t="str" cm="1">
        <f t="array" aca="1" ref="D223" ca="1">IFERROR(
 INDEX(
  _xlfn._xlws.FILTER($U$1:$AX$1,
   TRANSPOSE(
    CHOOSE({1;2;3;4;5;6;7;8;9;10;11;12;13;14;15;16;17;18;19;20;21;22;23;24;25;26;27;28;29;30},
     COUNTIFS($U$2:$U$200,$G223)&gt;0,
     COUNTIFS($V$2:$V$200,$G223)&gt;0,
     COUNTIFS($W$2:$W$200,$G223)&gt;0,
     COUNTIFS($X$2:$X$200,$G223)&gt;0,
     COUNTIFS($Y$2:$Y$200,$G223)&gt;0,
     COUNTIFS($Z$2:$Z$200,$G223)&gt;0,
     COUNTIFS($AA$2:$AA$200,$G223)&gt;0,
     COUNTIFS($AB$2:$AB$200,$G223)&gt;0,
     COUNTIFS($AC$2:$AC$200,$G223)&gt;0,
     COUNTIFS($AD$2:$AD$200,$G223)&gt;0,
     COUNTIFS($AE$2:$AE$200,$G223)&gt;0,
     COUNTIFS($AF$2:$AF$200,$G223)&gt;0,
     COUNTIFS($AG$2:$AG$200,$G223)&gt;0,
     COUNTIFS($AH$2:$AH$200,$G223)&gt;0,
     COUNTIFS($AI$2:$AI$200,$G223)&gt;0,
     COUNTIFS($AJ$2:$AJ$200,$G223)&gt;0,
     COUNTIFS($AK$2:$AK$200,$G223)&gt;0,
     COUNTIFS($AL$2:$AL$200,$G223)&gt;0,
     COUNTIFS($AM$2:$AM$200,$G223)&gt;0,
     COUNTIFS($AN$2:$AN$200,$G223)&gt;0,
     COUNTIFS($AO$2:$AO$200,$G223)&gt;0,
     COUNTIFS($AP$2:$AP$200,$G223)&gt;0,
     COUNTIFS($AQ$2:$AQ$200,$G223)&gt;0,
     COUNTIFS($AR$2:$AR$200,$G223)&gt;0,
     COUNTIFS($AS$2:$AS$200,$G223)&gt;0,
     COUNTIFS($AT$2:$AT$200,$G223)&gt;0,
     COUNTIFS($AU$2:$AU$200,$G223)&gt;0,
     COUNTIFS($AV$2:$AV$200,$G223)&gt;0,
     COUNTIFS($AW$2:$AW$200,$G223)&gt;0,
     COUNTIFS($AX$2:$AX$200,$G223)&gt;0
   )),
  ),
  2
 ),
"")</f>
        <v/>
      </c>
      <c r="E223" s="3" t="str" cm="1">
        <f t="array" aca="1" ref="E223" ca="1">IFERROR(
 INDEX(
  _xlfn._xlws.FILTER($U$1:$AX$1,
   TRANSPOSE(
    CHOOSE({1;2;3;4;5;6;7;8;9;10;11;12;13;14;15;16;17;18;19;20;21;22;23;24;25;26;27;28;29;30},
     COUNTIFS($U$2:$U$200,$G223)&gt;0,
     COUNTIFS($V$2:$V$200,$G223)&gt;0,
     COUNTIFS($W$2:$W$200,$G223)&gt;0,
     COUNTIFS($X$2:$X$200,$G223)&gt;0,
     COUNTIFS($Y$2:$Y$200,$G223)&gt;0,
     COUNTIFS($Z$2:$Z$200,$G223)&gt;0,
     COUNTIFS($AA$2:$AA$200,$G223)&gt;0,
     COUNTIFS($AB$2:$AB$200,$G223)&gt;0,
     COUNTIFS($AC$2:$AC$200,$G223)&gt;0,
     COUNTIFS($AD$2:$AD$200,$G223)&gt;0,
     COUNTIFS($AE$2:$AE$200,$G223)&gt;0,
     COUNTIFS($AF$2:$AF$200,$G223)&gt;0,
     COUNTIFS($AG$2:$AG$200,$G223)&gt;0,
     COUNTIFS($AH$2:$AH$200,$G223)&gt;0,
     COUNTIFS($AI$2:$AI$200,$G223)&gt;0,
     COUNTIFS($AJ$2:$AJ$200,$G223)&gt;0,
     COUNTIFS($AK$2:$AK$200,$G223)&gt;0,
     COUNTIFS($AL$2:$AL$200,$G223)&gt;0,
     COUNTIFS($AM$2:$AM$200,$G223)&gt;0,
     COUNTIFS($AN$2:$AN$200,$G223)&gt;0,
     COUNTIFS($AO$2:$AO$200,$G223)&gt;0,
     COUNTIFS($AP$2:$AP$200,$G223)&gt;0,
     COUNTIFS($AQ$2:$AQ$200,$G223)&gt;0,
     COUNTIFS($AR$2:$AR$200,$G223)&gt;0,
     COUNTIFS($AS$2:$AS$200,$G223)&gt;0,
     COUNTIFS($AT$2:$AT$200,$G223)&gt;0,
     COUNTIFS($AU$2:$AU$200,$G223)&gt;0,
     COUNTIFS($AV$2:$AV$200,$G223)&gt;0,
     COUNTIFS($AW$2:$AW$200,$G223)&gt;0,
     COUNTIFS($AX$2:$AX$200,$G223)&gt;0
   )),
  ),
  3
 ),
"")</f>
        <v/>
      </c>
      <c r="F223" s="3" t="str" cm="1">
        <f t="array" aca="1" ref="F223" ca="1">IFERROR(
 INDEX(
  _xlfn._xlws.FILTER($U$1:$AX$1,
   TRANSPOSE(
    CHOOSE({1;2;3;4;5;6;7;8;9;10;11;12;13;14;15;16;17;18;19;20;21;22;23;24;25;26;27;28;29;30},
     COUNTIFS($U$2:$U$200,$G223)&gt;0,
     COUNTIFS($V$2:$V$200,$G223)&gt;0,
     COUNTIFS($W$2:$W$200,$G223)&gt;0,
     COUNTIFS($X$2:$X$200,$G223)&gt;0,
     COUNTIFS($Y$2:$Y$200,$G223)&gt;0,
     COUNTIFS($Z$2:$Z$200,$G223)&gt;0,
     COUNTIFS($AA$2:$AA$200,$G223)&gt;0,
     COUNTIFS($AB$2:$AB$200,$G223)&gt;0,
     COUNTIFS($AC$2:$AC$200,$G223)&gt;0,
     COUNTIFS($AD$2:$AD$200,$G223)&gt;0,
     COUNTIFS($AE$2:$AE$200,$G223)&gt;0,
     COUNTIFS($AF$2:$AF$200,$G223)&gt;0,
     COUNTIFS($AG$2:$AG$200,$G223)&gt;0,
     COUNTIFS($AH$2:$AH$200,$G223)&gt;0,
     COUNTIFS($AI$2:$AI$200,$G223)&gt;0,
     COUNTIFS($AJ$2:$AJ$200,$G223)&gt;0,
     COUNTIFS($AK$2:$AK$200,$G223)&gt;0,
     COUNTIFS($AL$2:$AL$200,$G223)&gt;0,
     COUNTIFS($AM$2:$AM$200,$G223)&gt;0,
     COUNTIFS($AN$2:$AN$200,$G223)&gt;0,
     COUNTIFS($AO$2:$AO$200,$G223)&gt;0,
     COUNTIFS($AP$2:$AP$200,$G223)&gt;0,
     COUNTIFS($AQ$2:$AQ$200,$G223)&gt;0,
     COUNTIFS($AR$2:$AR$200,$G223)&gt;0,
     COUNTIFS($AS$2:$AS$200,$G223)&gt;0,
     COUNTIFS($AT$2:$AT$200,$G223)&gt;0,
     COUNTIFS($AU$2:$AU$200,$G223)&gt;0,
     COUNTIFS($AV$2:$AV$200,$G223)&gt;0,
     COUNTIFS($AW$2:$AW$200,$G223)&gt;0,
     COUNTIFS($AX$2:$AX$200,$G223)&gt;0
   )),
  ),
  4
 ),
"")</f>
        <v/>
      </c>
      <c r="G223" t="str">
        <f ca="1"/>
        <v>Mountain</v>
      </c>
      <c r="BT223" t="str">
        <f ca="1"/>
        <v>Westvale Abbey</v>
      </c>
    </row>
    <row r="224" spans="1:72" x14ac:dyDescent="0.25">
      <c r="A224" s="3" t="str">
        <f t="shared" ca="1" si="8"/>
        <v>3</v>
      </c>
      <c r="B224" s="3">
        <f t="shared" ca="1" si="9"/>
        <v>1</v>
      </c>
      <c r="C224" s="3" t="str">
        <f ca="1">IFERROR(
 INDEX($U$1:$AX$1,
  MATCH(TRUE,
   CHOOSE({1;2;3;4;5;6;7;8;9;10;11;12;13;14;15;16;17;18;19;20;21;22;23;24;25;26;27;28;29;30;31;32},
    COUNTIFS($U$2:$U$200,$G224)&gt;0,
    COUNTIFS($V$2:$V$200,$G224)&gt;0,
    COUNTIFS($W$2:$W$200,$G224)&gt;0,
    COUNTIFS($X$2:$X$200,$G224)&gt;0,
    COUNTIFS($Y$2:$Y$200,$G224)&gt;0,
    COUNTIFS($Z$2:$Z$200,$G224)&gt;0,
    COUNTIFS($AA$2:$AA$200,$G224)&gt;0,
    COUNTIFS($AB$2:$AB$200,$G224)&gt;0,
    COUNTIFS($AC$2:$AC$200,$G224)&gt;0,
    COUNTIFS($AD$2:$AD$200,$G224)&gt;0,
    COUNTIFS($AE$2:$AE$200,$G224)&gt;0,
    COUNTIFS($AF$2:$AF$200,$G224)&gt;0,
    COUNTIFS($AG$2:$AG$200,$G224)&gt;0,
    COUNTIFS($AH$2:$AH$200,$G224)&gt;0,
    COUNTIFS($AI$2:$AI$200,$G224)&gt;0,
    COUNTIFS($AJ$2:$AJ$200,$G224)&gt;0,
    COUNTIFS($AK$2:$AK$200,$G224)&gt;0,
    COUNTIFS($AL$2:$AL$200,$G224)&gt;0,
    COUNTIFS($AM$2:$AM$200,$G224)&gt;0,
    COUNTIFS($AN$2:$AN$200,$G224)&gt;0,
    COUNTIFS($AO$2:$AO$200,$G224)&gt;0,
    COUNTIFS($AP$2:$AP$200,$G224)&gt;0,
    COUNTIFS($AQ$2:$AQ$200,$G224)&gt;0,
    COUNTIFS($AR$2:$AR$200,$G224)&gt;0,
    COUNTIFS($AS$2:$AS$200,$G224)&gt;0,
    COUNTIFS($AT$2:$AT$200,$G224)&gt;0,
    COUNTIFS($AU$2:$AU$200,$G224)&gt;0,
    COUNTIFS($AV$2:$AV$200,$G224)&gt;0,
    COUNTIFS($AW$2:$AW$200,$G224)&gt;0,
    COUNTIFS($AX$2:$AX$200,$G224)&gt;0
   ),
  0)
 ),
"")</f>
        <v>JhoiraB</v>
      </c>
      <c r="D224" s="3" t="str" cm="1">
        <f t="array" aca="1" ref="D224" ca="1">IFERROR(
 INDEX(
  _xlfn._xlws.FILTER($U$1:$AX$1,
   TRANSPOSE(
    CHOOSE({1;2;3;4;5;6;7;8;9;10;11;12;13;14;15;16;17;18;19;20;21;22;23;24;25;26;27;28;29;30},
     COUNTIFS($U$2:$U$200,$G224)&gt;0,
     COUNTIFS($V$2:$V$200,$G224)&gt;0,
     COUNTIFS($W$2:$W$200,$G224)&gt;0,
     COUNTIFS($X$2:$X$200,$G224)&gt;0,
     COUNTIFS($Y$2:$Y$200,$G224)&gt;0,
     COUNTIFS($Z$2:$Z$200,$G224)&gt;0,
     COUNTIFS($AA$2:$AA$200,$G224)&gt;0,
     COUNTIFS($AB$2:$AB$200,$G224)&gt;0,
     COUNTIFS($AC$2:$AC$200,$G224)&gt;0,
     COUNTIFS($AD$2:$AD$200,$G224)&gt;0,
     COUNTIFS($AE$2:$AE$200,$G224)&gt;0,
     COUNTIFS($AF$2:$AF$200,$G224)&gt;0,
     COUNTIFS($AG$2:$AG$200,$G224)&gt;0,
     COUNTIFS($AH$2:$AH$200,$G224)&gt;0,
     COUNTIFS($AI$2:$AI$200,$G224)&gt;0,
     COUNTIFS($AJ$2:$AJ$200,$G224)&gt;0,
     COUNTIFS($AK$2:$AK$200,$G224)&gt;0,
     COUNTIFS($AL$2:$AL$200,$G224)&gt;0,
     COUNTIFS($AM$2:$AM$200,$G224)&gt;0,
     COUNTIFS($AN$2:$AN$200,$G224)&gt;0,
     COUNTIFS($AO$2:$AO$200,$G224)&gt;0,
     COUNTIFS($AP$2:$AP$200,$G224)&gt;0,
     COUNTIFS($AQ$2:$AQ$200,$G224)&gt;0,
     COUNTIFS($AR$2:$AR$200,$G224)&gt;0,
     COUNTIFS($AS$2:$AS$200,$G224)&gt;0,
     COUNTIFS($AT$2:$AT$200,$G224)&gt;0,
     COUNTIFS($AU$2:$AU$200,$G224)&gt;0,
     COUNTIFS($AV$2:$AV$200,$G224)&gt;0,
     COUNTIFS($AW$2:$AW$200,$G224)&gt;0,
     COUNTIFS($AX$2:$AX$200,$G224)&gt;0
   )),
  ),
  2
 ),
"")</f>
        <v/>
      </c>
      <c r="E224" s="3" t="str" cm="1">
        <f t="array" aca="1" ref="E224" ca="1">IFERROR(
 INDEX(
  _xlfn._xlws.FILTER($U$1:$AX$1,
   TRANSPOSE(
    CHOOSE({1;2;3;4;5;6;7;8;9;10;11;12;13;14;15;16;17;18;19;20;21;22;23;24;25;26;27;28;29;30},
     COUNTIFS($U$2:$U$200,$G224)&gt;0,
     COUNTIFS($V$2:$V$200,$G224)&gt;0,
     COUNTIFS($W$2:$W$200,$G224)&gt;0,
     COUNTIFS($X$2:$X$200,$G224)&gt;0,
     COUNTIFS($Y$2:$Y$200,$G224)&gt;0,
     COUNTIFS($Z$2:$Z$200,$G224)&gt;0,
     COUNTIFS($AA$2:$AA$200,$G224)&gt;0,
     COUNTIFS($AB$2:$AB$200,$G224)&gt;0,
     COUNTIFS($AC$2:$AC$200,$G224)&gt;0,
     COUNTIFS($AD$2:$AD$200,$G224)&gt;0,
     COUNTIFS($AE$2:$AE$200,$G224)&gt;0,
     COUNTIFS($AF$2:$AF$200,$G224)&gt;0,
     COUNTIFS($AG$2:$AG$200,$G224)&gt;0,
     COUNTIFS($AH$2:$AH$200,$G224)&gt;0,
     COUNTIFS($AI$2:$AI$200,$G224)&gt;0,
     COUNTIFS($AJ$2:$AJ$200,$G224)&gt;0,
     COUNTIFS($AK$2:$AK$200,$G224)&gt;0,
     COUNTIFS($AL$2:$AL$200,$G224)&gt;0,
     COUNTIFS($AM$2:$AM$200,$G224)&gt;0,
     COUNTIFS($AN$2:$AN$200,$G224)&gt;0,
     COUNTIFS($AO$2:$AO$200,$G224)&gt;0,
     COUNTIFS($AP$2:$AP$200,$G224)&gt;0,
     COUNTIFS($AQ$2:$AQ$200,$G224)&gt;0,
     COUNTIFS($AR$2:$AR$200,$G224)&gt;0,
     COUNTIFS($AS$2:$AS$200,$G224)&gt;0,
     COUNTIFS($AT$2:$AT$200,$G224)&gt;0,
     COUNTIFS($AU$2:$AU$200,$G224)&gt;0,
     COUNTIFS($AV$2:$AV$200,$G224)&gt;0,
     COUNTIFS($AW$2:$AW$200,$G224)&gt;0,
     COUNTIFS($AX$2:$AX$200,$G224)&gt;0
   )),
  ),
  3
 ),
"")</f>
        <v/>
      </c>
      <c r="F224" s="3" t="str" cm="1">
        <f t="array" aca="1" ref="F224" ca="1">IFERROR(
 INDEX(
  _xlfn._xlws.FILTER($U$1:$AX$1,
   TRANSPOSE(
    CHOOSE({1;2;3;4;5;6;7;8;9;10;11;12;13;14;15;16;17;18;19;20;21;22;23;24;25;26;27;28;29;30},
     COUNTIFS($U$2:$U$200,$G224)&gt;0,
     COUNTIFS($V$2:$V$200,$G224)&gt;0,
     COUNTIFS($W$2:$W$200,$G224)&gt;0,
     COUNTIFS($X$2:$X$200,$G224)&gt;0,
     COUNTIFS($Y$2:$Y$200,$G224)&gt;0,
     COUNTIFS($Z$2:$Z$200,$G224)&gt;0,
     COUNTIFS($AA$2:$AA$200,$G224)&gt;0,
     COUNTIFS($AB$2:$AB$200,$G224)&gt;0,
     COUNTIFS($AC$2:$AC$200,$G224)&gt;0,
     COUNTIFS($AD$2:$AD$200,$G224)&gt;0,
     COUNTIFS($AE$2:$AE$200,$G224)&gt;0,
     COUNTIFS($AF$2:$AF$200,$G224)&gt;0,
     COUNTIFS($AG$2:$AG$200,$G224)&gt;0,
     COUNTIFS($AH$2:$AH$200,$G224)&gt;0,
     COUNTIFS($AI$2:$AI$200,$G224)&gt;0,
     COUNTIFS($AJ$2:$AJ$200,$G224)&gt;0,
     COUNTIFS($AK$2:$AK$200,$G224)&gt;0,
     COUNTIFS($AL$2:$AL$200,$G224)&gt;0,
     COUNTIFS($AM$2:$AM$200,$G224)&gt;0,
     COUNTIFS($AN$2:$AN$200,$G224)&gt;0,
     COUNTIFS($AO$2:$AO$200,$G224)&gt;0,
     COUNTIFS($AP$2:$AP$200,$G224)&gt;0,
     COUNTIFS($AQ$2:$AQ$200,$G224)&gt;0,
     COUNTIFS($AR$2:$AR$200,$G224)&gt;0,
     COUNTIFS($AS$2:$AS$200,$G224)&gt;0,
     COUNTIFS($AT$2:$AT$200,$G224)&gt;0,
     COUNTIFS($AU$2:$AU$200,$G224)&gt;0,
     COUNTIFS($AV$2:$AV$200,$G224)&gt;0,
     COUNTIFS($AW$2:$AW$200,$G224)&gt;0,
     COUNTIFS($AX$2:$AX$200,$G224)&gt;0
   )),
  ),
  4
 ),
"")</f>
        <v/>
      </c>
      <c r="G224" t="str">
        <f ca="1"/>
        <v>Mox Tantalite</v>
      </c>
      <c r="BT224" t="str">
        <f ca="1"/>
        <v>Windcrag Siege</v>
      </c>
    </row>
    <row r="225" spans="1:72" x14ac:dyDescent="0.25">
      <c r="A225" s="3" t="str">
        <f t="shared" ca="1" si="8"/>
        <v>1</v>
      </c>
      <c r="B225" s="3">
        <f t="shared" ca="1" si="9"/>
        <v>1</v>
      </c>
      <c r="C225" s="3" t="str">
        <f ca="1">IFERROR(
 INDEX($U$1:$AX$1,
  MATCH(TRUE,
   CHOOSE({1;2;3;4;5;6;7;8;9;10;11;12;13;14;15;16;17;18;19;20;21;22;23;24;25;26;27;28;29;30;31;32},
    COUNTIFS($U$2:$U$200,$G225)&gt;0,
    COUNTIFS($V$2:$V$200,$G225)&gt;0,
    COUNTIFS($W$2:$W$200,$G225)&gt;0,
    COUNTIFS($X$2:$X$200,$G225)&gt;0,
    COUNTIFS($Y$2:$Y$200,$G225)&gt;0,
    COUNTIFS($Z$2:$Z$200,$G225)&gt;0,
    COUNTIFS($AA$2:$AA$200,$G225)&gt;0,
    COUNTIFS($AB$2:$AB$200,$G225)&gt;0,
    COUNTIFS($AC$2:$AC$200,$G225)&gt;0,
    COUNTIFS($AD$2:$AD$200,$G225)&gt;0,
    COUNTIFS($AE$2:$AE$200,$G225)&gt;0,
    COUNTIFS($AF$2:$AF$200,$G225)&gt;0,
    COUNTIFS($AG$2:$AG$200,$G225)&gt;0,
    COUNTIFS($AH$2:$AH$200,$G225)&gt;0,
    COUNTIFS($AI$2:$AI$200,$G225)&gt;0,
    COUNTIFS($AJ$2:$AJ$200,$G225)&gt;0,
    COUNTIFS($AK$2:$AK$200,$G225)&gt;0,
    COUNTIFS($AL$2:$AL$200,$G225)&gt;0,
    COUNTIFS($AM$2:$AM$200,$G225)&gt;0,
    COUNTIFS($AN$2:$AN$200,$G225)&gt;0,
    COUNTIFS($AO$2:$AO$200,$G225)&gt;0,
    COUNTIFS($AP$2:$AP$200,$G225)&gt;0,
    COUNTIFS($AQ$2:$AQ$200,$G225)&gt;0,
    COUNTIFS($AR$2:$AR$200,$G225)&gt;0,
    COUNTIFS($AS$2:$AS$200,$G225)&gt;0,
    COUNTIFS($AT$2:$AT$200,$G225)&gt;0,
    COUNTIFS($AU$2:$AU$200,$G225)&gt;0,
    COUNTIFS($AV$2:$AV$200,$G225)&gt;0,
    COUNTIFS($AW$2:$AW$200,$G225)&gt;0,
    COUNTIFS($AX$2:$AX$200,$G225)&gt;0
   ),
  0)
 ),
"")</f>
        <v>Modular</v>
      </c>
      <c r="D225" s="3" t="str" cm="1">
        <f t="array" aca="1" ref="D225" ca="1">IFERROR(
 INDEX(
  _xlfn._xlws.FILTER($U$1:$AX$1,
   TRANSPOSE(
    CHOOSE({1;2;3;4;5;6;7;8;9;10;11;12;13;14;15;16;17;18;19;20;21;22;23;24;25;26;27;28;29;30},
     COUNTIFS($U$2:$U$200,$G225)&gt;0,
     COUNTIFS($V$2:$V$200,$G225)&gt;0,
     COUNTIFS($W$2:$W$200,$G225)&gt;0,
     COUNTIFS($X$2:$X$200,$G225)&gt;0,
     COUNTIFS($Y$2:$Y$200,$G225)&gt;0,
     COUNTIFS($Z$2:$Z$200,$G225)&gt;0,
     COUNTIFS($AA$2:$AA$200,$G225)&gt;0,
     COUNTIFS($AB$2:$AB$200,$G225)&gt;0,
     COUNTIFS($AC$2:$AC$200,$G225)&gt;0,
     COUNTIFS($AD$2:$AD$200,$G225)&gt;0,
     COUNTIFS($AE$2:$AE$200,$G225)&gt;0,
     COUNTIFS($AF$2:$AF$200,$G225)&gt;0,
     COUNTIFS($AG$2:$AG$200,$G225)&gt;0,
     COUNTIFS($AH$2:$AH$200,$G225)&gt;0,
     COUNTIFS($AI$2:$AI$200,$G225)&gt;0,
     COUNTIFS($AJ$2:$AJ$200,$G225)&gt;0,
     COUNTIFS($AK$2:$AK$200,$G225)&gt;0,
     COUNTIFS($AL$2:$AL$200,$G225)&gt;0,
     COUNTIFS($AM$2:$AM$200,$G225)&gt;0,
     COUNTIFS($AN$2:$AN$200,$G225)&gt;0,
     COUNTIFS($AO$2:$AO$200,$G225)&gt;0,
     COUNTIFS($AP$2:$AP$200,$G225)&gt;0,
     COUNTIFS($AQ$2:$AQ$200,$G225)&gt;0,
     COUNTIFS($AR$2:$AR$200,$G225)&gt;0,
     COUNTIFS($AS$2:$AS$200,$G225)&gt;0,
     COUNTIFS($AT$2:$AT$200,$G225)&gt;0,
     COUNTIFS($AU$2:$AU$200,$G225)&gt;0,
     COUNTIFS($AV$2:$AV$200,$G225)&gt;0,
     COUNTIFS($AW$2:$AW$200,$G225)&gt;0,
     COUNTIFS($AX$2:$AX$200,$G225)&gt;0
   )),
  ),
  2
 ),
"")</f>
        <v/>
      </c>
      <c r="E225" s="3" t="str" cm="1">
        <f t="array" aca="1" ref="E225" ca="1">IFERROR(
 INDEX(
  _xlfn._xlws.FILTER($U$1:$AX$1,
   TRANSPOSE(
    CHOOSE({1;2;3;4;5;6;7;8;9;10;11;12;13;14;15;16;17;18;19;20;21;22;23;24;25;26;27;28;29;30},
     COUNTIFS($U$2:$U$200,$G225)&gt;0,
     COUNTIFS($V$2:$V$200,$G225)&gt;0,
     COUNTIFS($W$2:$W$200,$G225)&gt;0,
     COUNTIFS($X$2:$X$200,$G225)&gt;0,
     COUNTIFS($Y$2:$Y$200,$G225)&gt;0,
     COUNTIFS($Z$2:$Z$200,$G225)&gt;0,
     COUNTIFS($AA$2:$AA$200,$G225)&gt;0,
     COUNTIFS($AB$2:$AB$200,$G225)&gt;0,
     COUNTIFS($AC$2:$AC$200,$G225)&gt;0,
     COUNTIFS($AD$2:$AD$200,$G225)&gt;0,
     COUNTIFS($AE$2:$AE$200,$G225)&gt;0,
     COUNTIFS($AF$2:$AF$200,$G225)&gt;0,
     COUNTIFS($AG$2:$AG$200,$G225)&gt;0,
     COUNTIFS($AH$2:$AH$200,$G225)&gt;0,
     COUNTIFS($AI$2:$AI$200,$G225)&gt;0,
     COUNTIFS($AJ$2:$AJ$200,$G225)&gt;0,
     COUNTIFS($AK$2:$AK$200,$G225)&gt;0,
     COUNTIFS($AL$2:$AL$200,$G225)&gt;0,
     COUNTIFS($AM$2:$AM$200,$G225)&gt;0,
     COUNTIFS($AN$2:$AN$200,$G225)&gt;0,
     COUNTIFS($AO$2:$AO$200,$G225)&gt;0,
     COUNTIFS($AP$2:$AP$200,$G225)&gt;0,
     COUNTIFS($AQ$2:$AQ$200,$G225)&gt;0,
     COUNTIFS($AR$2:$AR$200,$G225)&gt;0,
     COUNTIFS($AS$2:$AS$200,$G225)&gt;0,
     COUNTIFS($AT$2:$AT$200,$G225)&gt;0,
     COUNTIFS($AU$2:$AU$200,$G225)&gt;0,
     COUNTIFS($AV$2:$AV$200,$G225)&gt;0,
     COUNTIFS($AW$2:$AW$200,$G225)&gt;0,
     COUNTIFS($AX$2:$AX$200,$G225)&gt;0
   )),
  ),
  3
 ),
"")</f>
        <v/>
      </c>
      <c r="F225" s="3" t="str" cm="1">
        <f t="array" aca="1" ref="F225" ca="1">IFERROR(
 INDEX(
  _xlfn._xlws.FILTER($U$1:$AX$1,
   TRANSPOSE(
    CHOOSE({1;2;3;4;5;6;7;8;9;10;11;12;13;14;15;16;17;18;19;20;21;22;23;24;25;26;27;28;29;30},
     COUNTIFS($U$2:$U$200,$G225)&gt;0,
     COUNTIFS($V$2:$V$200,$G225)&gt;0,
     COUNTIFS($W$2:$W$200,$G225)&gt;0,
     COUNTIFS($X$2:$X$200,$G225)&gt;0,
     COUNTIFS($Y$2:$Y$200,$G225)&gt;0,
     COUNTIFS($Z$2:$Z$200,$G225)&gt;0,
     COUNTIFS($AA$2:$AA$200,$G225)&gt;0,
     COUNTIFS($AB$2:$AB$200,$G225)&gt;0,
     COUNTIFS($AC$2:$AC$200,$G225)&gt;0,
     COUNTIFS($AD$2:$AD$200,$G225)&gt;0,
     COUNTIFS($AE$2:$AE$200,$G225)&gt;0,
     COUNTIFS($AF$2:$AF$200,$G225)&gt;0,
     COUNTIFS($AG$2:$AG$200,$G225)&gt;0,
     COUNTIFS($AH$2:$AH$200,$G225)&gt;0,
     COUNTIFS($AI$2:$AI$200,$G225)&gt;0,
     COUNTIFS($AJ$2:$AJ$200,$G225)&gt;0,
     COUNTIFS($AK$2:$AK$200,$G225)&gt;0,
     COUNTIFS($AL$2:$AL$200,$G225)&gt;0,
     COUNTIFS($AM$2:$AM$200,$G225)&gt;0,
     COUNTIFS($AN$2:$AN$200,$G225)&gt;0,
     COUNTIFS($AO$2:$AO$200,$G225)&gt;0,
     COUNTIFS($AP$2:$AP$200,$G225)&gt;0,
     COUNTIFS($AQ$2:$AQ$200,$G225)&gt;0,
     COUNTIFS($AR$2:$AR$200,$G225)&gt;0,
     COUNTIFS($AS$2:$AS$200,$G225)&gt;0,
     COUNTIFS($AT$2:$AT$200,$G225)&gt;0,
     COUNTIFS($AU$2:$AU$200,$G225)&gt;0,
     COUNTIFS($AV$2:$AV$200,$G225)&gt;0,
     COUNTIFS($AW$2:$AW$200,$G225)&gt;0,
     COUNTIFS($AX$2:$AX$200,$G225)&gt;0
   )),
  ),
  4
 ),
"")</f>
        <v/>
      </c>
      <c r="G225" t="str">
        <f ca="1"/>
        <v>Mystic Forge</v>
      </c>
      <c r="BT225" t="str">
        <f ca="1"/>
        <v>World at War</v>
      </c>
    </row>
    <row r="226" spans="1:72" x14ac:dyDescent="0.25">
      <c r="A226" s="3" t="str">
        <f t="shared" ca="1" si="8"/>
        <v>1</v>
      </c>
      <c r="B226" s="3">
        <f t="shared" ca="1" si="9"/>
        <v>1</v>
      </c>
      <c r="C226" s="3" t="str">
        <f ca="1">IFERROR(
 INDEX($U$1:$AX$1,
  MATCH(TRUE,
   CHOOSE({1;2;3;4;5;6;7;8;9;10;11;12;13;14;15;16;17;18;19;20;21;22;23;24;25;26;27;28;29;30;31;32},
    COUNTIFS($U$2:$U$200,$G226)&gt;0,
    COUNTIFS($V$2:$V$200,$G226)&gt;0,
    COUNTIFS($W$2:$W$200,$G226)&gt;0,
    COUNTIFS($X$2:$X$200,$G226)&gt;0,
    COUNTIFS($Y$2:$Y$200,$G226)&gt;0,
    COUNTIFS($Z$2:$Z$200,$G226)&gt;0,
    COUNTIFS($AA$2:$AA$200,$G226)&gt;0,
    COUNTIFS($AB$2:$AB$200,$G226)&gt;0,
    COUNTIFS($AC$2:$AC$200,$G226)&gt;0,
    COUNTIFS($AD$2:$AD$200,$G226)&gt;0,
    COUNTIFS($AE$2:$AE$200,$G226)&gt;0,
    COUNTIFS($AF$2:$AF$200,$G226)&gt;0,
    COUNTIFS($AG$2:$AG$200,$G226)&gt;0,
    COUNTIFS($AH$2:$AH$200,$G226)&gt;0,
    COUNTIFS($AI$2:$AI$200,$G226)&gt;0,
    COUNTIFS($AJ$2:$AJ$200,$G226)&gt;0,
    COUNTIFS($AK$2:$AK$200,$G226)&gt;0,
    COUNTIFS($AL$2:$AL$200,$G226)&gt;0,
    COUNTIFS($AM$2:$AM$200,$G226)&gt;0,
    COUNTIFS($AN$2:$AN$200,$G226)&gt;0,
    COUNTIFS($AO$2:$AO$200,$G226)&gt;0,
    COUNTIFS($AP$2:$AP$200,$G226)&gt;0,
    COUNTIFS($AQ$2:$AQ$200,$G226)&gt;0,
    COUNTIFS($AR$2:$AR$200,$G226)&gt;0,
    COUNTIFS($AS$2:$AS$200,$G226)&gt;0,
    COUNTIFS($AT$2:$AT$200,$G226)&gt;0,
    COUNTIFS($AU$2:$AU$200,$G226)&gt;0,
    COUNTIFS($AV$2:$AV$200,$G226)&gt;0,
    COUNTIFS($AW$2:$AW$200,$G226)&gt;0,
    COUNTIFS($AX$2:$AX$200,$G226)&gt;0
   ),
  0)
 ),
"")</f>
        <v>Baylen</v>
      </c>
      <c r="D226" s="3" t="str" cm="1">
        <f t="array" aca="1" ref="D226" ca="1">IFERROR(
 INDEX(
  _xlfn._xlws.FILTER($U$1:$AX$1,
   TRANSPOSE(
    CHOOSE({1;2;3;4;5;6;7;8;9;10;11;12;13;14;15;16;17;18;19;20;21;22;23;24;25;26;27;28;29;30},
     COUNTIFS($U$2:$U$200,$G226)&gt;0,
     COUNTIFS($V$2:$V$200,$G226)&gt;0,
     COUNTIFS($W$2:$W$200,$G226)&gt;0,
     COUNTIFS($X$2:$X$200,$G226)&gt;0,
     COUNTIFS($Y$2:$Y$200,$G226)&gt;0,
     COUNTIFS($Z$2:$Z$200,$G226)&gt;0,
     COUNTIFS($AA$2:$AA$200,$G226)&gt;0,
     COUNTIFS($AB$2:$AB$200,$G226)&gt;0,
     COUNTIFS($AC$2:$AC$200,$G226)&gt;0,
     COUNTIFS($AD$2:$AD$200,$G226)&gt;0,
     COUNTIFS($AE$2:$AE$200,$G226)&gt;0,
     COUNTIFS($AF$2:$AF$200,$G226)&gt;0,
     COUNTIFS($AG$2:$AG$200,$G226)&gt;0,
     COUNTIFS($AH$2:$AH$200,$G226)&gt;0,
     COUNTIFS($AI$2:$AI$200,$G226)&gt;0,
     COUNTIFS($AJ$2:$AJ$200,$G226)&gt;0,
     COUNTIFS($AK$2:$AK$200,$G226)&gt;0,
     COUNTIFS($AL$2:$AL$200,$G226)&gt;0,
     COUNTIFS($AM$2:$AM$200,$G226)&gt;0,
     COUNTIFS($AN$2:$AN$200,$G226)&gt;0,
     COUNTIFS($AO$2:$AO$200,$G226)&gt;0,
     COUNTIFS($AP$2:$AP$200,$G226)&gt;0,
     COUNTIFS($AQ$2:$AQ$200,$G226)&gt;0,
     COUNTIFS($AR$2:$AR$200,$G226)&gt;0,
     COUNTIFS($AS$2:$AS$200,$G226)&gt;0,
     COUNTIFS($AT$2:$AT$200,$G226)&gt;0,
     COUNTIFS($AU$2:$AU$200,$G226)&gt;0,
     COUNTIFS($AV$2:$AV$200,$G226)&gt;0,
     COUNTIFS($AW$2:$AW$200,$G226)&gt;0,
     COUNTIFS($AX$2:$AX$200,$G226)&gt;0
   )),
  ),
  2
 ),
"")</f>
        <v/>
      </c>
      <c r="E226" s="3" t="str" cm="1">
        <f t="array" aca="1" ref="E226" ca="1">IFERROR(
 INDEX(
  _xlfn._xlws.FILTER($U$1:$AX$1,
   TRANSPOSE(
    CHOOSE({1;2;3;4;5;6;7;8;9;10;11;12;13;14;15;16;17;18;19;20;21;22;23;24;25;26;27;28;29;30},
     COUNTIFS($U$2:$U$200,$G226)&gt;0,
     COUNTIFS($V$2:$V$200,$G226)&gt;0,
     COUNTIFS($W$2:$W$200,$G226)&gt;0,
     COUNTIFS($X$2:$X$200,$G226)&gt;0,
     COUNTIFS($Y$2:$Y$200,$G226)&gt;0,
     COUNTIFS($Z$2:$Z$200,$G226)&gt;0,
     COUNTIFS($AA$2:$AA$200,$G226)&gt;0,
     COUNTIFS($AB$2:$AB$200,$G226)&gt;0,
     COUNTIFS($AC$2:$AC$200,$G226)&gt;0,
     COUNTIFS($AD$2:$AD$200,$G226)&gt;0,
     COUNTIFS($AE$2:$AE$200,$G226)&gt;0,
     COUNTIFS($AF$2:$AF$200,$G226)&gt;0,
     COUNTIFS($AG$2:$AG$200,$G226)&gt;0,
     COUNTIFS($AH$2:$AH$200,$G226)&gt;0,
     COUNTIFS($AI$2:$AI$200,$G226)&gt;0,
     COUNTIFS($AJ$2:$AJ$200,$G226)&gt;0,
     COUNTIFS($AK$2:$AK$200,$G226)&gt;0,
     COUNTIFS($AL$2:$AL$200,$G226)&gt;0,
     COUNTIFS($AM$2:$AM$200,$G226)&gt;0,
     COUNTIFS($AN$2:$AN$200,$G226)&gt;0,
     COUNTIFS($AO$2:$AO$200,$G226)&gt;0,
     COUNTIFS($AP$2:$AP$200,$G226)&gt;0,
     COUNTIFS($AQ$2:$AQ$200,$G226)&gt;0,
     COUNTIFS($AR$2:$AR$200,$G226)&gt;0,
     COUNTIFS($AS$2:$AS$200,$G226)&gt;0,
     COUNTIFS($AT$2:$AT$200,$G226)&gt;0,
     COUNTIFS($AU$2:$AU$200,$G226)&gt;0,
     COUNTIFS($AV$2:$AV$200,$G226)&gt;0,
     COUNTIFS($AW$2:$AW$200,$G226)&gt;0,
     COUNTIFS($AX$2:$AX$200,$G226)&gt;0
   )),
  ),
  3
 ),
"")</f>
        <v/>
      </c>
      <c r="F226" s="3" t="str" cm="1">
        <f t="array" aca="1" ref="F226" ca="1">IFERROR(
 INDEX(
  _xlfn._xlws.FILTER($U$1:$AX$1,
   TRANSPOSE(
    CHOOSE({1;2;3;4;5;6;7;8;9;10;11;12;13;14;15;16;17;18;19;20;21;22;23;24;25;26;27;28;29;30},
     COUNTIFS($U$2:$U$200,$G226)&gt;0,
     COUNTIFS($V$2:$V$200,$G226)&gt;0,
     COUNTIFS($W$2:$W$200,$G226)&gt;0,
     COUNTIFS($X$2:$X$200,$G226)&gt;0,
     COUNTIFS($Y$2:$Y$200,$G226)&gt;0,
     COUNTIFS($Z$2:$Z$200,$G226)&gt;0,
     COUNTIFS($AA$2:$AA$200,$G226)&gt;0,
     COUNTIFS($AB$2:$AB$200,$G226)&gt;0,
     COUNTIFS($AC$2:$AC$200,$G226)&gt;0,
     COUNTIFS($AD$2:$AD$200,$G226)&gt;0,
     COUNTIFS($AE$2:$AE$200,$G226)&gt;0,
     COUNTIFS($AF$2:$AF$200,$G226)&gt;0,
     COUNTIFS($AG$2:$AG$200,$G226)&gt;0,
     COUNTIFS($AH$2:$AH$200,$G226)&gt;0,
     COUNTIFS($AI$2:$AI$200,$G226)&gt;0,
     COUNTIFS($AJ$2:$AJ$200,$G226)&gt;0,
     COUNTIFS($AK$2:$AK$200,$G226)&gt;0,
     COUNTIFS($AL$2:$AL$200,$G226)&gt;0,
     COUNTIFS($AM$2:$AM$200,$G226)&gt;0,
     COUNTIFS($AN$2:$AN$200,$G226)&gt;0,
     COUNTIFS($AO$2:$AO$200,$G226)&gt;0,
     COUNTIFS($AP$2:$AP$200,$G226)&gt;0,
     COUNTIFS($AQ$2:$AQ$200,$G226)&gt;0,
     COUNTIFS($AR$2:$AR$200,$G226)&gt;0,
     COUNTIFS($AS$2:$AS$200,$G226)&gt;0,
     COUNTIFS($AT$2:$AT$200,$G226)&gt;0,
     COUNTIFS($AU$2:$AU$200,$G226)&gt;0,
     COUNTIFS($AV$2:$AV$200,$G226)&gt;0,
     COUNTIFS($AW$2:$AW$200,$G226)&gt;0,
     COUNTIFS($AX$2:$AX$200,$G226)&gt;0
   )),
  ),
  4
 ),
"")</f>
        <v/>
      </c>
      <c r="G226" t="str">
        <f ca="1"/>
        <v>Nature's Lore</v>
      </c>
      <c r="BT226" t="str">
        <f ca="1"/>
        <v>Xantcha, Agente Adormecida</v>
      </c>
    </row>
    <row r="227" spans="1:72" x14ac:dyDescent="0.25">
      <c r="A227" s="3" t="str">
        <f t="shared" ca="1" si="8"/>
        <v>4</v>
      </c>
      <c r="B227" s="3">
        <f t="shared" ca="1" si="9"/>
        <v>1</v>
      </c>
      <c r="C227" s="3" t="str">
        <f ca="1">IFERROR(
 INDEX($U$1:$AX$1,
  MATCH(TRUE,
   CHOOSE({1;2;3;4;5;6;7;8;9;10;11;12;13;14;15;16;17;18;19;20;21;22;23;24;25;26;27;28;29;30;31;32},
    COUNTIFS($U$2:$U$200,$G227)&gt;0,
    COUNTIFS($V$2:$V$200,$G227)&gt;0,
    COUNTIFS($W$2:$W$200,$G227)&gt;0,
    COUNTIFS($X$2:$X$200,$G227)&gt;0,
    COUNTIFS($Y$2:$Y$200,$G227)&gt;0,
    COUNTIFS($Z$2:$Z$200,$G227)&gt;0,
    COUNTIFS($AA$2:$AA$200,$G227)&gt;0,
    COUNTIFS($AB$2:$AB$200,$G227)&gt;0,
    COUNTIFS($AC$2:$AC$200,$G227)&gt;0,
    COUNTIFS($AD$2:$AD$200,$G227)&gt;0,
    COUNTIFS($AE$2:$AE$200,$G227)&gt;0,
    COUNTIFS($AF$2:$AF$200,$G227)&gt;0,
    COUNTIFS($AG$2:$AG$200,$G227)&gt;0,
    COUNTIFS($AH$2:$AH$200,$G227)&gt;0,
    COUNTIFS($AI$2:$AI$200,$G227)&gt;0,
    COUNTIFS($AJ$2:$AJ$200,$G227)&gt;0,
    COUNTIFS($AK$2:$AK$200,$G227)&gt;0,
    COUNTIFS($AL$2:$AL$200,$G227)&gt;0,
    COUNTIFS($AM$2:$AM$200,$G227)&gt;0,
    COUNTIFS($AN$2:$AN$200,$G227)&gt;0,
    COUNTIFS($AO$2:$AO$200,$G227)&gt;0,
    COUNTIFS($AP$2:$AP$200,$G227)&gt;0,
    COUNTIFS($AQ$2:$AQ$200,$G227)&gt;0,
    COUNTIFS($AR$2:$AR$200,$G227)&gt;0,
    COUNTIFS($AS$2:$AS$200,$G227)&gt;0,
    COUNTIFS($AT$2:$AT$200,$G227)&gt;0,
    COUNTIFS($AU$2:$AU$200,$G227)&gt;0,
    COUNTIFS($AV$2:$AV$200,$G227)&gt;0,
    COUNTIFS($AW$2:$AW$200,$G227)&gt;0,
    COUNTIFS($AX$2:$AX$200,$G227)&gt;0
   ),
  0)
 ),
"")</f>
        <v>Kresh</v>
      </c>
      <c r="D227" s="3" t="str" cm="1">
        <f t="array" aca="1" ref="D227" ca="1">IFERROR(
 INDEX(
  _xlfn._xlws.FILTER($U$1:$AX$1,
   TRANSPOSE(
    CHOOSE({1;2;3;4;5;6;7;8;9;10;11;12;13;14;15;16;17;18;19;20;21;22;23;24;25;26;27;28;29;30},
     COUNTIFS($U$2:$U$200,$G227)&gt;0,
     COUNTIFS($V$2:$V$200,$G227)&gt;0,
     COUNTIFS($W$2:$W$200,$G227)&gt;0,
     COUNTIFS($X$2:$X$200,$G227)&gt;0,
     COUNTIFS($Y$2:$Y$200,$G227)&gt;0,
     COUNTIFS($Z$2:$Z$200,$G227)&gt;0,
     COUNTIFS($AA$2:$AA$200,$G227)&gt;0,
     COUNTIFS($AB$2:$AB$200,$G227)&gt;0,
     COUNTIFS($AC$2:$AC$200,$G227)&gt;0,
     COUNTIFS($AD$2:$AD$200,$G227)&gt;0,
     COUNTIFS($AE$2:$AE$200,$G227)&gt;0,
     COUNTIFS($AF$2:$AF$200,$G227)&gt;0,
     COUNTIFS($AG$2:$AG$200,$G227)&gt;0,
     COUNTIFS($AH$2:$AH$200,$G227)&gt;0,
     COUNTIFS($AI$2:$AI$200,$G227)&gt;0,
     COUNTIFS($AJ$2:$AJ$200,$G227)&gt;0,
     COUNTIFS($AK$2:$AK$200,$G227)&gt;0,
     COUNTIFS($AL$2:$AL$200,$G227)&gt;0,
     COUNTIFS($AM$2:$AM$200,$G227)&gt;0,
     COUNTIFS($AN$2:$AN$200,$G227)&gt;0,
     COUNTIFS($AO$2:$AO$200,$G227)&gt;0,
     COUNTIFS($AP$2:$AP$200,$G227)&gt;0,
     COUNTIFS($AQ$2:$AQ$200,$G227)&gt;0,
     COUNTIFS($AR$2:$AR$200,$G227)&gt;0,
     COUNTIFS($AS$2:$AS$200,$G227)&gt;0,
     COUNTIFS($AT$2:$AT$200,$G227)&gt;0,
     COUNTIFS($AU$2:$AU$200,$G227)&gt;0,
     COUNTIFS($AV$2:$AV$200,$G227)&gt;0,
     COUNTIFS($AW$2:$AW$200,$G227)&gt;0,
     COUNTIFS($AX$2:$AX$200,$G227)&gt;0
   )),
  ),
  2
 ),
"")</f>
        <v/>
      </c>
      <c r="E227" s="3" t="str" cm="1">
        <f t="array" aca="1" ref="E227" ca="1">IFERROR(
 INDEX(
  _xlfn._xlws.FILTER($U$1:$AX$1,
   TRANSPOSE(
    CHOOSE({1;2;3;4;5;6;7;8;9;10;11;12;13;14;15;16;17;18;19;20;21;22;23;24;25;26;27;28;29;30},
     COUNTIFS($U$2:$U$200,$G227)&gt;0,
     COUNTIFS($V$2:$V$200,$G227)&gt;0,
     COUNTIFS($W$2:$W$200,$G227)&gt;0,
     COUNTIFS($X$2:$X$200,$G227)&gt;0,
     COUNTIFS($Y$2:$Y$200,$G227)&gt;0,
     COUNTIFS($Z$2:$Z$200,$G227)&gt;0,
     COUNTIFS($AA$2:$AA$200,$G227)&gt;0,
     COUNTIFS($AB$2:$AB$200,$G227)&gt;0,
     COUNTIFS($AC$2:$AC$200,$G227)&gt;0,
     COUNTIFS($AD$2:$AD$200,$G227)&gt;0,
     COUNTIFS($AE$2:$AE$200,$G227)&gt;0,
     COUNTIFS($AF$2:$AF$200,$G227)&gt;0,
     COUNTIFS($AG$2:$AG$200,$G227)&gt;0,
     COUNTIFS($AH$2:$AH$200,$G227)&gt;0,
     COUNTIFS($AI$2:$AI$200,$G227)&gt;0,
     COUNTIFS($AJ$2:$AJ$200,$G227)&gt;0,
     COUNTIFS($AK$2:$AK$200,$G227)&gt;0,
     COUNTIFS($AL$2:$AL$200,$G227)&gt;0,
     COUNTIFS($AM$2:$AM$200,$G227)&gt;0,
     COUNTIFS($AN$2:$AN$200,$G227)&gt;0,
     COUNTIFS($AO$2:$AO$200,$G227)&gt;0,
     COUNTIFS($AP$2:$AP$200,$G227)&gt;0,
     COUNTIFS($AQ$2:$AQ$200,$G227)&gt;0,
     COUNTIFS($AR$2:$AR$200,$G227)&gt;0,
     COUNTIFS($AS$2:$AS$200,$G227)&gt;0,
     COUNTIFS($AT$2:$AT$200,$G227)&gt;0,
     COUNTIFS($AU$2:$AU$200,$G227)&gt;0,
     COUNTIFS($AV$2:$AV$200,$G227)&gt;0,
     COUNTIFS($AW$2:$AW$200,$G227)&gt;0,
     COUNTIFS($AX$2:$AX$200,$G227)&gt;0
   )),
  ),
  3
 ),
"")</f>
        <v/>
      </c>
      <c r="F227" s="3" t="str" cm="1">
        <f t="array" aca="1" ref="F227" ca="1">IFERROR(
 INDEX(
  _xlfn._xlws.FILTER($U$1:$AX$1,
   TRANSPOSE(
    CHOOSE({1;2;3;4;5;6;7;8;9;10;11;12;13;14;15;16;17;18;19;20;21;22;23;24;25;26;27;28;29;30},
     COUNTIFS($U$2:$U$200,$G227)&gt;0,
     COUNTIFS($V$2:$V$200,$G227)&gt;0,
     COUNTIFS($W$2:$W$200,$G227)&gt;0,
     COUNTIFS($X$2:$X$200,$G227)&gt;0,
     COUNTIFS($Y$2:$Y$200,$G227)&gt;0,
     COUNTIFS($Z$2:$Z$200,$G227)&gt;0,
     COUNTIFS($AA$2:$AA$200,$G227)&gt;0,
     COUNTIFS($AB$2:$AB$200,$G227)&gt;0,
     COUNTIFS($AC$2:$AC$200,$G227)&gt;0,
     COUNTIFS($AD$2:$AD$200,$G227)&gt;0,
     COUNTIFS($AE$2:$AE$200,$G227)&gt;0,
     COUNTIFS($AF$2:$AF$200,$G227)&gt;0,
     COUNTIFS($AG$2:$AG$200,$G227)&gt;0,
     COUNTIFS($AH$2:$AH$200,$G227)&gt;0,
     COUNTIFS($AI$2:$AI$200,$G227)&gt;0,
     COUNTIFS($AJ$2:$AJ$200,$G227)&gt;0,
     COUNTIFS($AK$2:$AK$200,$G227)&gt;0,
     COUNTIFS($AL$2:$AL$200,$G227)&gt;0,
     COUNTIFS($AM$2:$AM$200,$G227)&gt;0,
     COUNTIFS($AN$2:$AN$200,$G227)&gt;0,
     COUNTIFS($AO$2:$AO$200,$G227)&gt;0,
     COUNTIFS($AP$2:$AP$200,$G227)&gt;0,
     COUNTIFS($AQ$2:$AQ$200,$G227)&gt;0,
     COUNTIFS($AR$2:$AR$200,$G227)&gt;0,
     COUNTIFS($AS$2:$AS$200,$G227)&gt;0,
     COUNTIFS($AT$2:$AT$200,$G227)&gt;0,
     COUNTIFS($AU$2:$AU$200,$G227)&gt;0,
     COUNTIFS($AV$2:$AV$200,$G227)&gt;0,
     COUNTIFS($AW$2:$AW$200,$G227)&gt;0,
     COUNTIFS($AX$2:$AX$200,$G227)&gt;0
   )),
  ),
  4
 ),
"")</f>
        <v/>
      </c>
      <c r="G227" t="str">
        <f ca="1"/>
        <v>Nibelheim Aflame</v>
      </c>
      <c r="BT227" t="str">
        <f ca="1"/>
        <v>Zagoth Triome</v>
      </c>
    </row>
    <row r="228" spans="1:72" x14ac:dyDescent="0.25">
      <c r="A228" s="3" t="str">
        <f t="shared" ca="1" si="8"/>
        <v>3</v>
      </c>
      <c r="B228" s="3">
        <f t="shared" ca="1" si="9"/>
        <v>1</v>
      </c>
      <c r="C228" s="3" t="str">
        <f ca="1">IFERROR(
 INDEX($U$1:$AX$1,
  MATCH(TRUE,
   CHOOSE({1;2;3;4;5;6;7;8;9;10;11;12;13;14;15;16;17;18;19;20;21;22;23;24;25;26;27;28;29;30;31;32},
    COUNTIFS($U$2:$U$200,$G228)&gt;0,
    COUNTIFS($V$2:$V$200,$G228)&gt;0,
    COUNTIFS($W$2:$W$200,$G228)&gt;0,
    COUNTIFS($X$2:$X$200,$G228)&gt;0,
    COUNTIFS($Y$2:$Y$200,$G228)&gt;0,
    COUNTIFS($Z$2:$Z$200,$G228)&gt;0,
    COUNTIFS($AA$2:$AA$200,$G228)&gt;0,
    COUNTIFS($AB$2:$AB$200,$G228)&gt;0,
    COUNTIFS($AC$2:$AC$200,$G228)&gt;0,
    COUNTIFS($AD$2:$AD$200,$G228)&gt;0,
    COUNTIFS($AE$2:$AE$200,$G228)&gt;0,
    COUNTIFS($AF$2:$AF$200,$G228)&gt;0,
    COUNTIFS($AG$2:$AG$200,$G228)&gt;0,
    COUNTIFS($AH$2:$AH$200,$G228)&gt;0,
    COUNTIFS($AI$2:$AI$200,$G228)&gt;0,
    COUNTIFS($AJ$2:$AJ$200,$G228)&gt;0,
    COUNTIFS($AK$2:$AK$200,$G228)&gt;0,
    COUNTIFS($AL$2:$AL$200,$G228)&gt;0,
    COUNTIFS($AM$2:$AM$200,$G228)&gt;0,
    COUNTIFS($AN$2:$AN$200,$G228)&gt;0,
    COUNTIFS($AO$2:$AO$200,$G228)&gt;0,
    COUNTIFS($AP$2:$AP$200,$G228)&gt;0,
    COUNTIFS($AQ$2:$AQ$200,$G228)&gt;0,
    COUNTIFS($AR$2:$AR$200,$G228)&gt;0,
    COUNTIFS($AS$2:$AS$200,$G228)&gt;0,
    COUNTIFS($AT$2:$AT$200,$G228)&gt;0,
    COUNTIFS($AU$2:$AU$200,$G228)&gt;0,
    COUNTIFS($AV$2:$AV$200,$G228)&gt;0,
    COUNTIFS($AW$2:$AW$200,$G228)&gt;0,
    COUNTIFS($AX$2:$AX$200,$G228)&gt;0
   ),
  0)
 ),
"")</f>
        <v>Sisay</v>
      </c>
      <c r="D228" s="3" t="str" cm="1">
        <f t="array" aca="1" ref="D228" ca="1">IFERROR(
 INDEX(
  _xlfn._xlws.FILTER($U$1:$AX$1,
   TRANSPOSE(
    CHOOSE({1;2;3;4;5;6;7;8;9;10;11;12;13;14;15;16;17;18;19;20;21;22;23;24;25;26;27;28;29;30},
     COUNTIFS($U$2:$U$200,$G228)&gt;0,
     COUNTIFS($V$2:$V$200,$G228)&gt;0,
     COUNTIFS($W$2:$W$200,$G228)&gt;0,
     COUNTIFS($X$2:$X$200,$G228)&gt;0,
     COUNTIFS($Y$2:$Y$200,$G228)&gt;0,
     COUNTIFS($Z$2:$Z$200,$G228)&gt;0,
     COUNTIFS($AA$2:$AA$200,$G228)&gt;0,
     COUNTIFS($AB$2:$AB$200,$G228)&gt;0,
     COUNTIFS($AC$2:$AC$200,$G228)&gt;0,
     COUNTIFS($AD$2:$AD$200,$G228)&gt;0,
     COUNTIFS($AE$2:$AE$200,$G228)&gt;0,
     COUNTIFS($AF$2:$AF$200,$G228)&gt;0,
     COUNTIFS($AG$2:$AG$200,$G228)&gt;0,
     COUNTIFS($AH$2:$AH$200,$G228)&gt;0,
     COUNTIFS($AI$2:$AI$200,$G228)&gt;0,
     COUNTIFS($AJ$2:$AJ$200,$G228)&gt;0,
     COUNTIFS($AK$2:$AK$200,$G228)&gt;0,
     COUNTIFS($AL$2:$AL$200,$G228)&gt;0,
     COUNTIFS($AM$2:$AM$200,$G228)&gt;0,
     COUNTIFS($AN$2:$AN$200,$G228)&gt;0,
     COUNTIFS($AO$2:$AO$200,$G228)&gt;0,
     COUNTIFS($AP$2:$AP$200,$G228)&gt;0,
     COUNTIFS($AQ$2:$AQ$200,$G228)&gt;0,
     COUNTIFS($AR$2:$AR$200,$G228)&gt;0,
     COUNTIFS($AS$2:$AS$200,$G228)&gt;0,
     COUNTIFS($AT$2:$AT$200,$G228)&gt;0,
     COUNTIFS($AU$2:$AU$200,$G228)&gt;0,
     COUNTIFS($AV$2:$AV$200,$G228)&gt;0,
     COUNTIFS($AW$2:$AW$200,$G228)&gt;0,
     COUNTIFS($AX$2:$AX$200,$G228)&gt;0
   )),
  ),
  2
 ),
"")</f>
        <v/>
      </c>
      <c r="E228" s="3" t="str" cm="1">
        <f t="array" aca="1" ref="E228" ca="1">IFERROR(
 INDEX(
  _xlfn._xlws.FILTER($U$1:$AX$1,
   TRANSPOSE(
    CHOOSE({1;2;3;4;5;6;7;8;9;10;11;12;13;14;15;16;17;18;19;20;21;22;23;24;25;26;27;28;29;30},
     COUNTIFS($U$2:$U$200,$G228)&gt;0,
     COUNTIFS($V$2:$V$200,$G228)&gt;0,
     COUNTIFS($W$2:$W$200,$G228)&gt;0,
     COUNTIFS($X$2:$X$200,$G228)&gt;0,
     COUNTIFS($Y$2:$Y$200,$G228)&gt;0,
     COUNTIFS($Z$2:$Z$200,$G228)&gt;0,
     COUNTIFS($AA$2:$AA$200,$G228)&gt;0,
     COUNTIFS($AB$2:$AB$200,$G228)&gt;0,
     COUNTIFS($AC$2:$AC$200,$G228)&gt;0,
     COUNTIFS($AD$2:$AD$200,$G228)&gt;0,
     COUNTIFS($AE$2:$AE$200,$G228)&gt;0,
     COUNTIFS($AF$2:$AF$200,$G228)&gt;0,
     COUNTIFS($AG$2:$AG$200,$G228)&gt;0,
     COUNTIFS($AH$2:$AH$200,$G228)&gt;0,
     COUNTIFS($AI$2:$AI$200,$G228)&gt;0,
     COUNTIFS($AJ$2:$AJ$200,$G228)&gt;0,
     COUNTIFS($AK$2:$AK$200,$G228)&gt;0,
     COUNTIFS($AL$2:$AL$200,$G228)&gt;0,
     COUNTIFS($AM$2:$AM$200,$G228)&gt;0,
     COUNTIFS($AN$2:$AN$200,$G228)&gt;0,
     COUNTIFS($AO$2:$AO$200,$G228)&gt;0,
     COUNTIFS($AP$2:$AP$200,$G228)&gt;0,
     COUNTIFS($AQ$2:$AQ$200,$G228)&gt;0,
     COUNTIFS($AR$2:$AR$200,$G228)&gt;0,
     COUNTIFS($AS$2:$AS$200,$G228)&gt;0,
     COUNTIFS($AT$2:$AT$200,$G228)&gt;0,
     COUNTIFS($AU$2:$AU$200,$G228)&gt;0,
     COUNTIFS($AV$2:$AV$200,$G228)&gt;0,
     COUNTIFS($AW$2:$AW$200,$G228)&gt;0,
     COUNTIFS($AX$2:$AX$200,$G228)&gt;0
   )),
  ),
  3
 ),
"")</f>
        <v/>
      </c>
      <c r="F228" s="3" t="str" cm="1">
        <f t="array" aca="1" ref="F228" ca="1">IFERROR(
 INDEX(
  _xlfn._xlws.FILTER($U$1:$AX$1,
   TRANSPOSE(
    CHOOSE({1;2;3;4;5;6;7;8;9;10;11;12;13;14;15;16;17;18;19;20;21;22;23;24;25;26;27;28;29;30},
     COUNTIFS($U$2:$U$200,$G228)&gt;0,
     COUNTIFS($V$2:$V$200,$G228)&gt;0,
     COUNTIFS($W$2:$W$200,$G228)&gt;0,
     COUNTIFS($X$2:$X$200,$G228)&gt;0,
     COUNTIFS($Y$2:$Y$200,$G228)&gt;0,
     COUNTIFS($Z$2:$Z$200,$G228)&gt;0,
     COUNTIFS($AA$2:$AA$200,$G228)&gt;0,
     COUNTIFS($AB$2:$AB$200,$G228)&gt;0,
     COUNTIFS($AC$2:$AC$200,$G228)&gt;0,
     COUNTIFS($AD$2:$AD$200,$G228)&gt;0,
     COUNTIFS($AE$2:$AE$200,$G228)&gt;0,
     COUNTIFS($AF$2:$AF$200,$G228)&gt;0,
     COUNTIFS($AG$2:$AG$200,$G228)&gt;0,
     COUNTIFS($AH$2:$AH$200,$G228)&gt;0,
     COUNTIFS($AI$2:$AI$200,$G228)&gt;0,
     COUNTIFS($AJ$2:$AJ$200,$G228)&gt;0,
     COUNTIFS($AK$2:$AK$200,$G228)&gt;0,
     COUNTIFS($AL$2:$AL$200,$G228)&gt;0,
     COUNTIFS($AM$2:$AM$200,$G228)&gt;0,
     COUNTIFS($AN$2:$AN$200,$G228)&gt;0,
     COUNTIFS($AO$2:$AO$200,$G228)&gt;0,
     COUNTIFS($AP$2:$AP$200,$G228)&gt;0,
     COUNTIFS($AQ$2:$AQ$200,$G228)&gt;0,
     COUNTIFS($AR$2:$AR$200,$G228)&gt;0,
     COUNTIFS($AS$2:$AS$200,$G228)&gt;0,
     COUNTIFS($AT$2:$AT$200,$G228)&gt;0,
     COUNTIFS($AU$2:$AU$200,$G228)&gt;0,
     COUNTIFS($AV$2:$AV$200,$G228)&gt;0,
     COUNTIFS($AW$2:$AW$200,$G228)&gt;0,
     COUNTIFS($AX$2:$AX$200,$G228)&gt;0
   )),
  ),
  4
 ),
"")</f>
        <v/>
      </c>
      <c r="G228" t="str">
        <f ca="1"/>
        <v>Nicol Bolas, God-Pharaoh</v>
      </c>
      <c r="BT228" t="str">
        <f ca="1"/>
        <v>Zellix, Sanity Flayer</v>
      </c>
    </row>
    <row r="229" spans="1:72" x14ac:dyDescent="0.25">
      <c r="A229" s="3" t="str">
        <f t="shared" ca="1" si="8"/>
        <v>4</v>
      </c>
      <c r="B229" s="3">
        <f t="shared" ca="1" si="9"/>
        <v>1</v>
      </c>
      <c r="C229" s="3" t="str">
        <f ca="1">IFERROR(
 INDEX($U$1:$AX$1,
  MATCH(TRUE,
   CHOOSE({1;2;3;4;5;6;7;8;9;10;11;12;13;14;15;16;17;18;19;20;21;22;23;24;25;26;27;28;29;30;31;32},
    COUNTIFS($U$2:$U$200,$G229)&gt;0,
    COUNTIFS($V$2:$V$200,$G229)&gt;0,
    COUNTIFS($W$2:$W$200,$G229)&gt;0,
    COUNTIFS($X$2:$X$200,$G229)&gt;0,
    COUNTIFS($Y$2:$Y$200,$G229)&gt;0,
    COUNTIFS($Z$2:$Z$200,$G229)&gt;0,
    COUNTIFS($AA$2:$AA$200,$G229)&gt;0,
    COUNTIFS($AB$2:$AB$200,$G229)&gt;0,
    COUNTIFS($AC$2:$AC$200,$G229)&gt;0,
    COUNTIFS($AD$2:$AD$200,$G229)&gt;0,
    COUNTIFS($AE$2:$AE$200,$G229)&gt;0,
    COUNTIFS($AF$2:$AF$200,$G229)&gt;0,
    COUNTIFS($AG$2:$AG$200,$G229)&gt;0,
    COUNTIFS($AH$2:$AH$200,$G229)&gt;0,
    COUNTIFS($AI$2:$AI$200,$G229)&gt;0,
    COUNTIFS($AJ$2:$AJ$200,$G229)&gt;0,
    COUNTIFS($AK$2:$AK$200,$G229)&gt;0,
    COUNTIFS($AL$2:$AL$200,$G229)&gt;0,
    COUNTIFS($AM$2:$AM$200,$G229)&gt;0,
    COUNTIFS($AN$2:$AN$200,$G229)&gt;0,
    COUNTIFS($AO$2:$AO$200,$G229)&gt;0,
    COUNTIFS($AP$2:$AP$200,$G229)&gt;0,
    COUNTIFS($AQ$2:$AQ$200,$G229)&gt;0,
    COUNTIFS($AR$2:$AR$200,$G229)&gt;0,
    COUNTIFS($AS$2:$AS$200,$G229)&gt;0,
    COUNTIFS($AT$2:$AT$200,$G229)&gt;0,
    COUNTIFS($AU$2:$AU$200,$G229)&gt;0,
    COUNTIFS($AV$2:$AV$200,$G229)&gt;0,
    COUNTIFS($AW$2:$AW$200,$G229)&gt;0,
    COUNTIFS($AX$2:$AX$200,$G229)&gt;0
   ),
  0)
 ),
"")</f>
        <v>Elfos</v>
      </c>
      <c r="D229" s="3" t="str" cm="1">
        <f t="array" aca="1" ref="D229" ca="1">IFERROR(
 INDEX(
  _xlfn._xlws.FILTER($U$1:$AX$1,
   TRANSPOSE(
    CHOOSE({1;2;3;4;5;6;7;8;9;10;11;12;13;14;15;16;17;18;19;20;21;22;23;24;25;26;27;28;29;30},
     COUNTIFS($U$2:$U$200,$G229)&gt;0,
     COUNTIFS($V$2:$V$200,$G229)&gt;0,
     COUNTIFS($W$2:$W$200,$G229)&gt;0,
     COUNTIFS($X$2:$X$200,$G229)&gt;0,
     COUNTIFS($Y$2:$Y$200,$G229)&gt;0,
     COUNTIFS($Z$2:$Z$200,$G229)&gt;0,
     COUNTIFS($AA$2:$AA$200,$G229)&gt;0,
     COUNTIFS($AB$2:$AB$200,$G229)&gt;0,
     COUNTIFS($AC$2:$AC$200,$G229)&gt;0,
     COUNTIFS($AD$2:$AD$200,$G229)&gt;0,
     COUNTIFS($AE$2:$AE$200,$G229)&gt;0,
     COUNTIFS($AF$2:$AF$200,$G229)&gt;0,
     COUNTIFS($AG$2:$AG$200,$G229)&gt;0,
     COUNTIFS($AH$2:$AH$200,$G229)&gt;0,
     COUNTIFS($AI$2:$AI$200,$G229)&gt;0,
     COUNTIFS($AJ$2:$AJ$200,$G229)&gt;0,
     COUNTIFS($AK$2:$AK$200,$G229)&gt;0,
     COUNTIFS($AL$2:$AL$200,$G229)&gt;0,
     COUNTIFS($AM$2:$AM$200,$G229)&gt;0,
     COUNTIFS($AN$2:$AN$200,$G229)&gt;0,
     COUNTIFS($AO$2:$AO$200,$G229)&gt;0,
     COUNTIFS($AP$2:$AP$200,$G229)&gt;0,
     COUNTIFS($AQ$2:$AQ$200,$G229)&gt;0,
     COUNTIFS($AR$2:$AR$200,$G229)&gt;0,
     COUNTIFS($AS$2:$AS$200,$G229)&gt;0,
     COUNTIFS($AT$2:$AT$200,$G229)&gt;0,
     COUNTIFS($AU$2:$AU$200,$G229)&gt;0,
     COUNTIFS($AV$2:$AV$200,$G229)&gt;0,
     COUNTIFS($AW$2:$AW$200,$G229)&gt;0,
     COUNTIFS($AX$2:$AX$200,$G229)&gt;0
   )),
  ),
  2
 ),
"")</f>
        <v/>
      </c>
      <c r="E229" s="3" t="str" cm="1">
        <f t="array" aca="1" ref="E229" ca="1">IFERROR(
 INDEX(
  _xlfn._xlws.FILTER($U$1:$AX$1,
   TRANSPOSE(
    CHOOSE({1;2;3;4;5;6;7;8;9;10;11;12;13;14;15;16;17;18;19;20;21;22;23;24;25;26;27;28;29;30},
     COUNTIFS($U$2:$U$200,$G229)&gt;0,
     COUNTIFS($V$2:$V$200,$G229)&gt;0,
     COUNTIFS($W$2:$W$200,$G229)&gt;0,
     COUNTIFS($X$2:$X$200,$G229)&gt;0,
     COUNTIFS($Y$2:$Y$200,$G229)&gt;0,
     COUNTIFS($Z$2:$Z$200,$G229)&gt;0,
     COUNTIFS($AA$2:$AA$200,$G229)&gt;0,
     COUNTIFS($AB$2:$AB$200,$G229)&gt;0,
     COUNTIFS($AC$2:$AC$200,$G229)&gt;0,
     COUNTIFS($AD$2:$AD$200,$G229)&gt;0,
     COUNTIFS($AE$2:$AE$200,$G229)&gt;0,
     COUNTIFS($AF$2:$AF$200,$G229)&gt;0,
     COUNTIFS($AG$2:$AG$200,$G229)&gt;0,
     COUNTIFS($AH$2:$AH$200,$G229)&gt;0,
     COUNTIFS($AI$2:$AI$200,$G229)&gt;0,
     COUNTIFS($AJ$2:$AJ$200,$G229)&gt;0,
     COUNTIFS($AK$2:$AK$200,$G229)&gt;0,
     COUNTIFS($AL$2:$AL$200,$G229)&gt;0,
     COUNTIFS($AM$2:$AM$200,$G229)&gt;0,
     COUNTIFS($AN$2:$AN$200,$G229)&gt;0,
     COUNTIFS($AO$2:$AO$200,$G229)&gt;0,
     COUNTIFS($AP$2:$AP$200,$G229)&gt;0,
     COUNTIFS($AQ$2:$AQ$200,$G229)&gt;0,
     COUNTIFS($AR$2:$AR$200,$G229)&gt;0,
     COUNTIFS($AS$2:$AS$200,$G229)&gt;0,
     COUNTIFS($AT$2:$AT$200,$G229)&gt;0,
     COUNTIFS($AU$2:$AU$200,$G229)&gt;0,
     COUNTIFS($AV$2:$AV$200,$G229)&gt;0,
     COUNTIFS($AW$2:$AW$200,$G229)&gt;0,
     COUNTIFS($AX$2:$AX$200,$G229)&gt;0
   )),
  ),
  3
 ),
"")</f>
        <v/>
      </c>
      <c r="F229" s="3" t="str" cm="1">
        <f t="array" aca="1" ref="F229" ca="1">IFERROR(
 INDEX(
  _xlfn._xlws.FILTER($U$1:$AX$1,
   TRANSPOSE(
    CHOOSE({1;2;3;4;5;6;7;8;9;10;11;12;13;14;15;16;17;18;19;20;21;22;23;24;25;26;27;28;29;30},
     COUNTIFS($U$2:$U$200,$G229)&gt;0,
     COUNTIFS($V$2:$V$200,$G229)&gt;0,
     COUNTIFS($W$2:$W$200,$G229)&gt;0,
     COUNTIFS($X$2:$X$200,$G229)&gt;0,
     COUNTIFS($Y$2:$Y$200,$G229)&gt;0,
     COUNTIFS($Z$2:$Z$200,$G229)&gt;0,
     COUNTIFS($AA$2:$AA$200,$G229)&gt;0,
     COUNTIFS($AB$2:$AB$200,$G229)&gt;0,
     COUNTIFS($AC$2:$AC$200,$G229)&gt;0,
     COUNTIFS($AD$2:$AD$200,$G229)&gt;0,
     COUNTIFS($AE$2:$AE$200,$G229)&gt;0,
     COUNTIFS($AF$2:$AF$200,$G229)&gt;0,
     COUNTIFS($AG$2:$AG$200,$G229)&gt;0,
     COUNTIFS($AH$2:$AH$200,$G229)&gt;0,
     COUNTIFS($AI$2:$AI$200,$G229)&gt;0,
     COUNTIFS($AJ$2:$AJ$200,$G229)&gt;0,
     COUNTIFS($AK$2:$AK$200,$G229)&gt;0,
     COUNTIFS($AL$2:$AL$200,$G229)&gt;0,
     COUNTIFS($AM$2:$AM$200,$G229)&gt;0,
     COUNTIFS($AN$2:$AN$200,$G229)&gt;0,
     COUNTIFS($AO$2:$AO$200,$G229)&gt;0,
     COUNTIFS($AP$2:$AP$200,$G229)&gt;0,
     COUNTIFS($AQ$2:$AQ$200,$G229)&gt;0,
     COUNTIFS($AR$2:$AR$200,$G229)&gt;0,
     COUNTIFS($AS$2:$AS$200,$G229)&gt;0,
     COUNTIFS($AT$2:$AT$200,$G229)&gt;0,
     COUNTIFS($AU$2:$AU$200,$G229)&gt;0,
     COUNTIFS($AV$2:$AV$200,$G229)&gt;0,
     COUNTIFS($AW$2:$AW$200,$G229)&gt;0,
     COUNTIFS($AX$2:$AX$200,$G229)&gt;0
   )),
  ),
  4
 ),
"")</f>
        <v/>
      </c>
      <c r="G229" t="str">
        <f ca="1"/>
        <v>Nissa, Resurgent Animist</v>
      </c>
    </row>
    <row r="230" spans="1:72" x14ac:dyDescent="0.25">
      <c r="A230" s="3" t="str">
        <f t="shared" ca="1" si="8"/>
        <v>3</v>
      </c>
      <c r="B230" s="3">
        <f t="shared" ca="1" si="9"/>
        <v>1</v>
      </c>
      <c r="C230" s="3" t="str">
        <f ca="1">IFERROR(
 INDEX($U$1:$AX$1,
  MATCH(TRUE,
   CHOOSE({1;2;3;4;5;6;7;8;9;10;11;12;13;14;15;16;17;18;19;20;21;22;23;24;25;26;27;28;29;30;31;32},
    COUNTIFS($U$2:$U$200,$G230)&gt;0,
    COUNTIFS($V$2:$V$200,$G230)&gt;0,
    COUNTIFS($W$2:$W$200,$G230)&gt;0,
    COUNTIFS($X$2:$X$200,$G230)&gt;0,
    COUNTIFS($Y$2:$Y$200,$G230)&gt;0,
    COUNTIFS($Z$2:$Z$200,$G230)&gt;0,
    COUNTIFS($AA$2:$AA$200,$G230)&gt;0,
    COUNTIFS($AB$2:$AB$200,$G230)&gt;0,
    COUNTIFS($AC$2:$AC$200,$G230)&gt;0,
    COUNTIFS($AD$2:$AD$200,$G230)&gt;0,
    COUNTIFS($AE$2:$AE$200,$G230)&gt;0,
    COUNTIFS($AF$2:$AF$200,$G230)&gt;0,
    COUNTIFS($AG$2:$AG$200,$G230)&gt;0,
    COUNTIFS($AH$2:$AH$200,$G230)&gt;0,
    COUNTIFS($AI$2:$AI$200,$G230)&gt;0,
    COUNTIFS($AJ$2:$AJ$200,$G230)&gt;0,
    COUNTIFS($AK$2:$AK$200,$G230)&gt;0,
    COUNTIFS($AL$2:$AL$200,$G230)&gt;0,
    COUNTIFS($AM$2:$AM$200,$G230)&gt;0,
    COUNTIFS($AN$2:$AN$200,$G230)&gt;0,
    COUNTIFS($AO$2:$AO$200,$G230)&gt;0,
    COUNTIFS($AP$2:$AP$200,$G230)&gt;0,
    COUNTIFS($AQ$2:$AQ$200,$G230)&gt;0,
    COUNTIFS($AR$2:$AR$200,$G230)&gt;0,
    COUNTIFS($AS$2:$AS$200,$G230)&gt;0,
    COUNTIFS($AT$2:$AT$200,$G230)&gt;0,
    COUNTIFS($AU$2:$AU$200,$G230)&gt;0,
    COUNTIFS($AV$2:$AV$200,$G230)&gt;0,
    COUNTIFS($AW$2:$AW$200,$G230)&gt;0,
    COUNTIFS($AX$2:$AX$200,$G230)&gt;0
   ),
  0)
 ),
"")</f>
        <v>Sisay</v>
      </c>
      <c r="D230" s="3" t="str" cm="1">
        <f t="array" aca="1" ref="D230" ca="1">IFERROR(
 INDEX(
  _xlfn._xlws.FILTER($U$1:$AX$1,
   TRANSPOSE(
    CHOOSE({1;2;3;4;5;6;7;8;9;10;11;12;13;14;15;16;17;18;19;20;21;22;23;24;25;26;27;28;29;30},
     COUNTIFS($U$2:$U$200,$G230)&gt;0,
     COUNTIFS($V$2:$V$200,$G230)&gt;0,
     COUNTIFS($W$2:$W$200,$G230)&gt;0,
     COUNTIFS($X$2:$X$200,$G230)&gt;0,
     COUNTIFS($Y$2:$Y$200,$G230)&gt;0,
     COUNTIFS($Z$2:$Z$200,$G230)&gt;0,
     COUNTIFS($AA$2:$AA$200,$G230)&gt;0,
     COUNTIFS($AB$2:$AB$200,$G230)&gt;0,
     COUNTIFS($AC$2:$AC$200,$G230)&gt;0,
     COUNTIFS($AD$2:$AD$200,$G230)&gt;0,
     COUNTIFS($AE$2:$AE$200,$G230)&gt;0,
     COUNTIFS($AF$2:$AF$200,$G230)&gt;0,
     COUNTIFS($AG$2:$AG$200,$G230)&gt;0,
     COUNTIFS($AH$2:$AH$200,$G230)&gt;0,
     COUNTIFS($AI$2:$AI$200,$G230)&gt;0,
     COUNTIFS($AJ$2:$AJ$200,$G230)&gt;0,
     COUNTIFS($AK$2:$AK$200,$G230)&gt;0,
     COUNTIFS($AL$2:$AL$200,$G230)&gt;0,
     COUNTIFS($AM$2:$AM$200,$G230)&gt;0,
     COUNTIFS($AN$2:$AN$200,$G230)&gt;0,
     COUNTIFS($AO$2:$AO$200,$G230)&gt;0,
     COUNTIFS($AP$2:$AP$200,$G230)&gt;0,
     COUNTIFS($AQ$2:$AQ$200,$G230)&gt;0,
     COUNTIFS($AR$2:$AR$200,$G230)&gt;0,
     COUNTIFS($AS$2:$AS$200,$G230)&gt;0,
     COUNTIFS($AT$2:$AT$200,$G230)&gt;0,
     COUNTIFS($AU$2:$AU$200,$G230)&gt;0,
     COUNTIFS($AV$2:$AV$200,$G230)&gt;0,
     COUNTIFS($AW$2:$AW$200,$G230)&gt;0,
     COUNTIFS($AX$2:$AX$200,$G230)&gt;0
   )),
  ),
  2
 ),
"")</f>
        <v/>
      </c>
      <c r="E230" s="3" t="str" cm="1">
        <f t="array" aca="1" ref="E230" ca="1">IFERROR(
 INDEX(
  _xlfn._xlws.FILTER($U$1:$AX$1,
   TRANSPOSE(
    CHOOSE({1;2;3;4;5;6;7;8;9;10;11;12;13;14;15;16;17;18;19;20;21;22;23;24;25;26;27;28;29;30},
     COUNTIFS($U$2:$U$200,$G230)&gt;0,
     COUNTIFS($V$2:$V$200,$G230)&gt;0,
     COUNTIFS($W$2:$W$200,$G230)&gt;0,
     COUNTIFS($X$2:$X$200,$G230)&gt;0,
     COUNTIFS($Y$2:$Y$200,$G230)&gt;0,
     COUNTIFS($Z$2:$Z$200,$G230)&gt;0,
     COUNTIFS($AA$2:$AA$200,$G230)&gt;0,
     COUNTIFS($AB$2:$AB$200,$G230)&gt;0,
     COUNTIFS($AC$2:$AC$200,$G230)&gt;0,
     COUNTIFS($AD$2:$AD$200,$G230)&gt;0,
     COUNTIFS($AE$2:$AE$200,$G230)&gt;0,
     COUNTIFS($AF$2:$AF$200,$G230)&gt;0,
     COUNTIFS($AG$2:$AG$200,$G230)&gt;0,
     COUNTIFS($AH$2:$AH$200,$G230)&gt;0,
     COUNTIFS($AI$2:$AI$200,$G230)&gt;0,
     COUNTIFS($AJ$2:$AJ$200,$G230)&gt;0,
     COUNTIFS($AK$2:$AK$200,$G230)&gt;0,
     COUNTIFS($AL$2:$AL$200,$G230)&gt;0,
     COUNTIFS($AM$2:$AM$200,$G230)&gt;0,
     COUNTIFS($AN$2:$AN$200,$G230)&gt;0,
     COUNTIFS($AO$2:$AO$200,$G230)&gt;0,
     COUNTIFS($AP$2:$AP$200,$G230)&gt;0,
     COUNTIFS($AQ$2:$AQ$200,$G230)&gt;0,
     COUNTIFS($AR$2:$AR$200,$G230)&gt;0,
     COUNTIFS($AS$2:$AS$200,$G230)&gt;0,
     COUNTIFS($AT$2:$AT$200,$G230)&gt;0,
     COUNTIFS($AU$2:$AU$200,$G230)&gt;0,
     COUNTIFS($AV$2:$AV$200,$G230)&gt;0,
     COUNTIFS($AW$2:$AW$200,$G230)&gt;0,
     COUNTIFS($AX$2:$AX$200,$G230)&gt;0
   )),
  ),
  3
 ),
"")</f>
        <v/>
      </c>
      <c r="F230" s="3" t="str" cm="1">
        <f t="array" aca="1" ref="F230" ca="1">IFERROR(
 INDEX(
  _xlfn._xlws.FILTER($U$1:$AX$1,
   TRANSPOSE(
    CHOOSE({1;2;3;4;5;6;7;8;9;10;11;12;13;14;15;16;17;18;19;20;21;22;23;24;25;26;27;28;29;30},
     COUNTIFS($U$2:$U$200,$G230)&gt;0,
     COUNTIFS($V$2:$V$200,$G230)&gt;0,
     COUNTIFS($W$2:$W$200,$G230)&gt;0,
     COUNTIFS($X$2:$X$200,$G230)&gt;0,
     COUNTIFS($Y$2:$Y$200,$G230)&gt;0,
     COUNTIFS($Z$2:$Z$200,$G230)&gt;0,
     COUNTIFS($AA$2:$AA$200,$G230)&gt;0,
     COUNTIFS($AB$2:$AB$200,$G230)&gt;0,
     COUNTIFS($AC$2:$AC$200,$G230)&gt;0,
     COUNTIFS($AD$2:$AD$200,$G230)&gt;0,
     COUNTIFS($AE$2:$AE$200,$G230)&gt;0,
     COUNTIFS($AF$2:$AF$200,$G230)&gt;0,
     COUNTIFS($AG$2:$AG$200,$G230)&gt;0,
     COUNTIFS($AH$2:$AH$200,$G230)&gt;0,
     COUNTIFS($AI$2:$AI$200,$G230)&gt;0,
     COUNTIFS($AJ$2:$AJ$200,$G230)&gt;0,
     COUNTIFS($AK$2:$AK$200,$G230)&gt;0,
     COUNTIFS($AL$2:$AL$200,$G230)&gt;0,
     COUNTIFS($AM$2:$AM$200,$G230)&gt;0,
     COUNTIFS($AN$2:$AN$200,$G230)&gt;0,
     COUNTIFS($AO$2:$AO$200,$G230)&gt;0,
     COUNTIFS($AP$2:$AP$200,$G230)&gt;0,
     COUNTIFS($AQ$2:$AQ$200,$G230)&gt;0,
     COUNTIFS($AR$2:$AR$200,$G230)&gt;0,
     COUNTIFS($AS$2:$AS$200,$G230)&gt;0,
     COUNTIFS($AT$2:$AT$200,$G230)&gt;0,
     COUNTIFS($AU$2:$AU$200,$G230)&gt;0,
     COUNTIFS($AV$2:$AV$200,$G230)&gt;0,
     COUNTIFS($AW$2:$AW$200,$G230)&gt;0,
     COUNTIFS($AX$2:$AX$200,$G230)&gt;0
   )),
  ),
  4
 ),
"")</f>
        <v/>
      </c>
      <c r="G230" t="str">
        <f ca="1"/>
        <v>O Dínamo Peregrino</v>
      </c>
    </row>
    <row r="231" spans="1:72" x14ac:dyDescent="0.25">
      <c r="A231" s="3" t="str">
        <f t="shared" ca="1" si="8"/>
        <v>5</v>
      </c>
      <c r="B231" s="3">
        <f t="shared" ca="1" si="9"/>
        <v>1</v>
      </c>
      <c r="C231" s="3" t="str">
        <f ca="1">IFERROR(
 INDEX($U$1:$AX$1,
  MATCH(TRUE,
   CHOOSE({1;2;3;4;5;6;7;8;9;10;11;12;13;14;15;16;17;18;19;20;21;22;23;24;25;26;27;28;29;30;31;32},
    COUNTIFS($U$2:$U$200,$G231)&gt;0,
    COUNTIFS($V$2:$V$200,$G231)&gt;0,
    COUNTIFS($W$2:$W$200,$G231)&gt;0,
    COUNTIFS($X$2:$X$200,$G231)&gt;0,
    COUNTIFS($Y$2:$Y$200,$G231)&gt;0,
    COUNTIFS($Z$2:$Z$200,$G231)&gt;0,
    COUNTIFS($AA$2:$AA$200,$G231)&gt;0,
    COUNTIFS($AB$2:$AB$200,$G231)&gt;0,
    COUNTIFS($AC$2:$AC$200,$G231)&gt;0,
    COUNTIFS($AD$2:$AD$200,$G231)&gt;0,
    COUNTIFS($AE$2:$AE$200,$G231)&gt;0,
    COUNTIFS($AF$2:$AF$200,$G231)&gt;0,
    COUNTIFS($AG$2:$AG$200,$G231)&gt;0,
    COUNTIFS($AH$2:$AH$200,$G231)&gt;0,
    COUNTIFS($AI$2:$AI$200,$G231)&gt;0,
    COUNTIFS($AJ$2:$AJ$200,$G231)&gt;0,
    COUNTIFS($AK$2:$AK$200,$G231)&gt;0,
    COUNTIFS($AL$2:$AL$200,$G231)&gt;0,
    COUNTIFS($AM$2:$AM$200,$G231)&gt;0,
    COUNTIFS($AN$2:$AN$200,$G231)&gt;0,
    COUNTIFS($AO$2:$AO$200,$G231)&gt;0,
    COUNTIFS($AP$2:$AP$200,$G231)&gt;0,
    COUNTIFS($AQ$2:$AQ$200,$G231)&gt;0,
    COUNTIFS($AR$2:$AR$200,$G231)&gt;0,
    COUNTIFS($AS$2:$AS$200,$G231)&gt;0,
    COUNTIFS($AT$2:$AT$200,$G231)&gt;0,
    COUNTIFS($AU$2:$AU$200,$G231)&gt;0,
    COUNTIFS($AV$2:$AV$200,$G231)&gt;0,
    COUNTIFS($AW$2:$AW$200,$G231)&gt;0,
    COUNTIFS($AX$2:$AX$200,$G231)&gt;0
   ),
  0)
 ),
"")</f>
        <v>Thrakiri</v>
      </c>
      <c r="D231" s="3" t="str" cm="1">
        <f t="array" aca="1" ref="D231" ca="1">IFERROR(
 INDEX(
  _xlfn._xlws.FILTER($U$1:$AX$1,
   TRANSPOSE(
    CHOOSE({1;2;3;4;5;6;7;8;9;10;11;12;13;14;15;16;17;18;19;20;21;22;23;24;25;26;27;28;29;30},
     COUNTIFS($U$2:$U$200,$G231)&gt;0,
     COUNTIFS($V$2:$V$200,$G231)&gt;0,
     COUNTIFS($W$2:$W$200,$G231)&gt;0,
     COUNTIFS($X$2:$X$200,$G231)&gt;0,
     COUNTIFS($Y$2:$Y$200,$G231)&gt;0,
     COUNTIFS($Z$2:$Z$200,$G231)&gt;0,
     COUNTIFS($AA$2:$AA$200,$G231)&gt;0,
     COUNTIFS($AB$2:$AB$200,$G231)&gt;0,
     COUNTIFS($AC$2:$AC$200,$G231)&gt;0,
     COUNTIFS($AD$2:$AD$200,$G231)&gt;0,
     COUNTIFS($AE$2:$AE$200,$G231)&gt;0,
     COUNTIFS($AF$2:$AF$200,$G231)&gt;0,
     COUNTIFS($AG$2:$AG$200,$G231)&gt;0,
     COUNTIFS($AH$2:$AH$200,$G231)&gt;0,
     COUNTIFS($AI$2:$AI$200,$G231)&gt;0,
     COUNTIFS($AJ$2:$AJ$200,$G231)&gt;0,
     COUNTIFS($AK$2:$AK$200,$G231)&gt;0,
     COUNTIFS($AL$2:$AL$200,$G231)&gt;0,
     COUNTIFS($AM$2:$AM$200,$G231)&gt;0,
     COUNTIFS($AN$2:$AN$200,$G231)&gt;0,
     COUNTIFS($AO$2:$AO$200,$G231)&gt;0,
     COUNTIFS($AP$2:$AP$200,$G231)&gt;0,
     COUNTIFS($AQ$2:$AQ$200,$G231)&gt;0,
     COUNTIFS($AR$2:$AR$200,$G231)&gt;0,
     COUNTIFS($AS$2:$AS$200,$G231)&gt;0,
     COUNTIFS($AT$2:$AT$200,$G231)&gt;0,
     COUNTIFS($AU$2:$AU$200,$G231)&gt;0,
     COUNTIFS($AV$2:$AV$200,$G231)&gt;0,
     COUNTIFS($AW$2:$AW$200,$G231)&gt;0,
     COUNTIFS($AX$2:$AX$200,$G231)&gt;0
   )),
  ),
  2
 ),
"")</f>
        <v/>
      </c>
      <c r="E231" s="3" t="str" cm="1">
        <f t="array" aca="1" ref="E231" ca="1">IFERROR(
 INDEX(
  _xlfn._xlws.FILTER($U$1:$AX$1,
   TRANSPOSE(
    CHOOSE({1;2;3;4;5;6;7;8;9;10;11;12;13;14;15;16;17;18;19;20;21;22;23;24;25;26;27;28;29;30},
     COUNTIFS($U$2:$U$200,$G231)&gt;0,
     COUNTIFS($V$2:$V$200,$G231)&gt;0,
     COUNTIFS($W$2:$W$200,$G231)&gt;0,
     COUNTIFS($X$2:$X$200,$G231)&gt;0,
     COUNTIFS($Y$2:$Y$200,$G231)&gt;0,
     COUNTIFS($Z$2:$Z$200,$G231)&gt;0,
     COUNTIFS($AA$2:$AA$200,$G231)&gt;0,
     COUNTIFS($AB$2:$AB$200,$G231)&gt;0,
     COUNTIFS($AC$2:$AC$200,$G231)&gt;0,
     COUNTIFS($AD$2:$AD$200,$G231)&gt;0,
     COUNTIFS($AE$2:$AE$200,$G231)&gt;0,
     COUNTIFS($AF$2:$AF$200,$G231)&gt;0,
     COUNTIFS($AG$2:$AG$200,$G231)&gt;0,
     COUNTIFS($AH$2:$AH$200,$G231)&gt;0,
     COUNTIFS($AI$2:$AI$200,$G231)&gt;0,
     COUNTIFS($AJ$2:$AJ$200,$G231)&gt;0,
     COUNTIFS($AK$2:$AK$200,$G231)&gt;0,
     COUNTIFS($AL$2:$AL$200,$G231)&gt;0,
     COUNTIFS($AM$2:$AM$200,$G231)&gt;0,
     COUNTIFS($AN$2:$AN$200,$G231)&gt;0,
     COUNTIFS($AO$2:$AO$200,$G231)&gt;0,
     COUNTIFS($AP$2:$AP$200,$G231)&gt;0,
     COUNTIFS($AQ$2:$AQ$200,$G231)&gt;0,
     COUNTIFS($AR$2:$AR$200,$G231)&gt;0,
     COUNTIFS($AS$2:$AS$200,$G231)&gt;0,
     COUNTIFS($AT$2:$AT$200,$G231)&gt;0,
     COUNTIFS($AU$2:$AU$200,$G231)&gt;0,
     COUNTIFS($AV$2:$AV$200,$G231)&gt;0,
     COUNTIFS($AW$2:$AW$200,$G231)&gt;0,
     COUNTIFS($AX$2:$AX$200,$G231)&gt;0
   )),
  ),
  3
 ),
"")</f>
        <v/>
      </c>
      <c r="F231" s="3" t="str" cm="1">
        <f t="array" aca="1" ref="F231" ca="1">IFERROR(
 INDEX(
  _xlfn._xlws.FILTER($U$1:$AX$1,
   TRANSPOSE(
    CHOOSE({1;2;3;4;5;6;7;8;9;10;11;12;13;14;15;16;17;18;19;20;21;22;23;24;25;26;27;28;29;30},
     COUNTIFS($U$2:$U$200,$G231)&gt;0,
     COUNTIFS($V$2:$V$200,$G231)&gt;0,
     COUNTIFS($W$2:$W$200,$G231)&gt;0,
     COUNTIFS($X$2:$X$200,$G231)&gt;0,
     COUNTIFS($Y$2:$Y$200,$G231)&gt;0,
     COUNTIFS($Z$2:$Z$200,$G231)&gt;0,
     COUNTIFS($AA$2:$AA$200,$G231)&gt;0,
     COUNTIFS($AB$2:$AB$200,$G231)&gt;0,
     COUNTIFS($AC$2:$AC$200,$G231)&gt;0,
     COUNTIFS($AD$2:$AD$200,$G231)&gt;0,
     COUNTIFS($AE$2:$AE$200,$G231)&gt;0,
     COUNTIFS($AF$2:$AF$200,$G231)&gt;0,
     COUNTIFS($AG$2:$AG$200,$G231)&gt;0,
     COUNTIFS($AH$2:$AH$200,$G231)&gt;0,
     COUNTIFS($AI$2:$AI$200,$G231)&gt;0,
     COUNTIFS($AJ$2:$AJ$200,$G231)&gt;0,
     COUNTIFS($AK$2:$AK$200,$G231)&gt;0,
     COUNTIFS($AL$2:$AL$200,$G231)&gt;0,
     COUNTIFS($AM$2:$AM$200,$G231)&gt;0,
     COUNTIFS($AN$2:$AN$200,$G231)&gt;0,
     COUNTIFS($AO$2:$AO$200,$G231)&gt;0,
     COUNTIFS($AP$2:$AP$200,$G231)&gt;0,
     COUNTIFS($AQ$2:$AQ$200,$G231)&gt;0,
     COUNTIFS($AR$2:$AR$200,$G231)&gt;0,
     COUNTIFS($AS$2:$AS$200,$G231)&gt;0,
     COUNTIFS($AT$2:$AT$200,$G231)&gt;0,
     COUNTIFS($AU$2:$AU$200,$G231)&gt;0,
     COUNTIFS($AV$2:$AV$200,$G231)&gt;0,
     COUNTIFS($AW$2:$AW$200,$G231)&gt;0,
     COUNTIFS($AX$2:$AX$200,$G231)&gt;0
   )),
  ),
  4
 ),
"")</f>
        <v/>
      </c>
      <c r="G231" t="str">
        <f ca="1"/>
        <v>Obelisco de Obsidiana</v>
      </c>
    </row>
    <row r="232" spans="1:72" x14ac:dyDescent="0.25">
      <c r="A232" s="3" t="str">
        <f t="shared" ca="1" si="8"/>
        <v>4</v>
      </c>
      <c r="B232" s="3">
        <f t="shared" ca="1" si="9"/>
        <v>1</v>
      </c>
      <c r="C232" s="3" t="str">
        <f ca="1">IFERROR(
 INDEX($U$1:$AX$1,
  MATCH(TRUE,
   CHOOSE({1;2;3;4;5;6;7;8;9;10;11;12;13;14;15;16;17;18;19;20;21;22;23;24;25;26;27;28;29;30;31;32},
    COUNTIFS($U$2:$U$200,$G232)&gt;0,
    COUNTIFS($V$2:$V$200,$G232)&gt;0,
    COUNTIFS($W$2:$W$200,$G232)&gt;0,
    COUNTIFS($X$2:$X$200,$G232)&gt;0,
    COUNTIFS($Y$2:$Y$200,$G232)&gt;0,
    COUNTIFS($Z$2:$Z$200,$G232)&gt;0,
    COUNTIFS($AA$2:$AA$200,$G232)&gt;0,
    COUNTIFS($AB$2:$AB$200,$G232)&gt;0,
    COUNTIFS($AC$2:$AC$200,$G232)&gt;0,
    COUNTIFS($AD$2:$AD$200,$G232)&gt;0,
    COUNTIFS($AE$2:$AE$200,$G232)&gt;0,
    COUNTIFS($AF$2:$AF$200,$G232)&gt;0,
    COUNTIFS($AG$2:$AG$200,$G232)&gt;0,
    COUNTIFS($AH$2:$AH$200,$G232)&gt;0,
    COUNTIFS($AI$2:$AI$200,$G232)&gt;0,
    COUNTIFS($AJ$2:$AJ$200,$G232)&gt;0,
    COUNTIFS($AK$2:$AK$200,$G232)&gt;0,
    COUNTIFS($AL$2:$AL$200,$G232)&gt;0,
    COUNTIFS($AM$2:$AM$200,$G232)&gt;0,
    COUNTIFS($AN$2:$AN$200,$G232)&gt;0,
    COUNTIFS($AO$2:$AO$200,$G232)&gt;0,
    COUNTIFS($AP$2:$AP$200,$G232)&gt;0,
    COUNTIFS($AQ$2:$AQ$200,$G232)&gt;0,
    COUNTIFS($AR$2:$AR$200,$G232)&gt;0,
    COUNTIFS($AS$2:$AS$200,$G232)&gt;0,
    COUNTIFS($AT$2:$AT$200,$G232)&gt;0,
    COUNTIFS($AU$2:$AU$200,$G232)&gt;0,
    COUNTIFS($AV$2:$AV$200,$G232)&gt;0,
    COUNTIFS($AW$2:$AW$200,$G232)&gt;0,
    COUNTIFS($AX$2:$AX$200,$G232)&gt;0
   ),
  0)
 ),
"")</f>
        <v>Rielle</v>
      </c>
      <c r="D232" s="3" t="str" cm="1">
        <f t="array" aca="1" ref="D232" ca="1">IFERROR(
 INDEX(
  _xlfn._xlws.FILTER($U$1:$AX$1,
   TRANSPOSE(
    CHOOSE({1;2;3;4;5;6;7;8;9;10;11;12;13;14;15;16;17;18;19;20;21;22;23;24;25;26;27;28;29;30},
     COUNTIFS($U$2:$U$200,$G232)&gt;0,
     COUNTIFS($V$2:$V$200,$G232)&gt;0,
     COUNTIFS($W$2:$W$200,$G232)&gt;0,
     COUNTIFS($X$2:$X$200,$G232)&gt;0,
     COUNTIFS($Y$2:$Y$200,$G232)&gt;0,
     COUNTIFS($Z$2:$Z$200,$G232)&gt;0,
     COUNTIFS($AA$2:$AA$200,$G232)&gt;0,
     COUNTIFS($AB$2:$AB$200,$G232)&gt;0,
     COUNTIFS($AC$2:$AC$200,$G232)&gt;0,
     COUNTIFS($AD$2:$AD$200,$G232)&gt;0,
     COUNTIFS($AE$2:$AE$200,$G232)&gt;0,
     COUNTIFS($AF$2:$AF$200,$G232)&gt;0,
     COUNTIFS($AG$2:$AG$200,$G232)&gt;0,
     COUNTIFS($AH$2:$AH$200,$G232)&gt;0,
     COUNTIFS($AI$2:$AI$200,$G232)&gt;0,
     COUNTIFS($AJ$2:$AJ$200,$G232)&gt;0,
     COUNTIFS($AK$2:$AK$200,$G232)&gt;0,
     COUNTIFS($AL$2:$AL$200,$G232)&gt;0,
     COUNTIFS($AM$2:$AM$200,$G232)&gt;0,
     COUNTIFS($AN$2:$AN$200,$G232)&gt;0,
     COUNTIFS($AO$2:$AO$200,$G232)&gt;0,
     COUNTIFS($AP$2:$AP$200,$G232)&gt;0,
     COUNTIFS($AQ$2:$AQ$200,$G232)&gt;0,
     COUNTIFS($AR$2:$AR$200,$G232)&gt;0,
     COUNTIFS($AS$2:$AS$200,$G232)&gt;0,
     COUNTIFS($AT$2:$AT$200,$G232)&gt;0,
     COUNTIFS($AU$2:$AU$200,$G232)&gt;0,
     COUNTIFS($AV$2:$AV$200,$G232)&gt;0,
     COUNTIFS($AW$2:$AW$200,$G232)&gt;0,
     COUNTIFS($AX$2:$AX$200,$G232)&gt;0
   )),
  ),
  2
 ),
"")</f>
        <v/>
      </c>
      <c r="E232" s="3" t="str" cm="1">
        <f t="array" aca="1" ref="E232" ca="1">IFERROR(
 INDEX(
  _xlfn._xlws.FILTER($U$1:$AX$1,
   TRANSPOSE(
    CHOOSE({1;2;3;4;5;6;7;8;9;10;11;12;13;14;15;16;17;18;19;20;21;22;23;24;25;26;27;28;29;30},
     COUNTIFS($U$2:$U$200,$G232)&gt;0,
     COUNTIFS($V$2:$V$200,$G232)&gt;0,
     COUNTIFS($W$2:$W$200,$G232)&gt;0,
     COUNTIFS($X$2:$X$200,$G232)&gt;0,
     COUNTIFS($Y$2:$Y$200,$G232)&gt;0,
     COUNTIFS($Z$2:$Z$200,$G232)&gt;0,
     COUNTIFS($AA$2:$AA$200,$G232)&gt;0,
     COUNTIFS($AB$2:$AB$200,$G232)&gt;0,
     COUNTIFS($AC$2:$AC$200,$G232)&gt;0,
     COUNTIFS($AD$2:$AD$200,$G232)&gt;0,
     COUNTIFS($AE$2:$AE$200,$G232)&gt;0,
     COUNTIFS($AF$2:$AF$200,$G232)&gt;0,
     COUNTIFS($AG$2:$AG$200,$G232)&gt;0,
     COUNTIFS($AH$2:$AH$200,$G232)&gt;0,
     COUNTIFS($AI$2:$AI$200,$G232)&gt;0,
     COUNTIFS($AJ$2:$AJ$200,$G232)&gt;0,
     COUNTIFS($AK$2:$AK$200,$G232)&gt;0,
     COUNTIFS($AL$2:$AL$200,$G232)&gt;0,
     COUNTIFS($AM$2:$AM$200,$G232)&gt;0,
     COUNTIFS($AN$2:$AN$200,$G232)&gt;0,
     COUNTIFS($AO$2:$AO$200,$G232)&gt;0,
     COUNTIFS($AP$2:$AP$200,$G232)&gt;0,
     COUNTIFS($AQ$2:$AQ$200,$G232)&gt;0,
     COUNTIFS($AR$2:$AR$200,$G232)&gt;0,
     COUNTIFS($AS$2:$AS$200,$G232)&gt;0,
     COUNTIFS($AT$2:$AT$200,$G232)&gt;0,
     COUNTIFS($AU$2:$AU$200,$G232)&gt;0,
     COUNTIFS($AV$2:$AV$200,$G232)&gt;0,
     COUNTIFS($AW$2:$AW$200,$G232)&gt;0,
     COUNTIFS($AX$2:$AX$200,$G232)&gt;0
   )),
  ),
  3
 ),
"")</f>
        <v/>
      </c>
      <c r="F232" s="3" t="str" cm="1">
        <f t="array" aca="1" ref="F232" ca="1">IFERROR(
 INDEX(
  _xlfn._xlws.FILTER($U$1:$AX$1,
   TRANSPOSE(
    CHOOSE({1;2;3;4;5;6;7;8;9;10;11;12;13;14;15;16;17;18;19;20;21;22;23;24;25;26;27;28;29;30},
     COUNTIFS($U$2:$U$200,$G232)&gt;0,
     COUNTIFS($V$2:$V$200,$G232)&gt;0,
     COUNTIFS($W$2:$W$200,$G232)&gt;0,
     COUNTIFS($X$2:$X$200,$G232)&gt;0,
     COUNTIFS($Y$2:$Y$200,$G232)&gt;0,
     COUNTIFS($Z$2:$Z$200,$G232)&gt;0,
     COUNTIFS($AA$2:$AA$200,$G232)&gt;0,
     COUNTIFS($AB$2:$AB$200,$G232)&gt;0,
     COUNTIFS($AC$2:$AC$200,$G232)&gt;0,
     COUNTIFS($AD$2:$AD$200,$G232)&gt;0,
     COUNTIFS($AE$2:$AE$200,$G232)&gt;0,
     COUNTIFS($AF$2:$AF$200,$G232)&gt;0,
     COUNTIFS($AG$2:$AG$200,$G232)&gt;0,
     COUNTIFS($AH$2:$AH$200,$G232)&gt;0,
     COUNTIFS($AI$2:$AI$200,$G232)&gt;0,
     COUNTIFS($AJ$2:$AJ$200,$G232)&gt;0,
     COUNTIFS($AK$2:$AK$200,$G232)&gt;0,
     COUNTIFS($AL$2:$AL$200,$G232)&gt;0,
     COUNTIFS($AM$2:$AM$200,$G232)&gt;0,
     COUNTIFS($AN$2:$AN$200,$G232)&gt;0,
     COUNTIFS($AO$2:$AO$200,$G232)&gt;0,
     COUNTIFS($AP$2:$AP$200,$G232)&gt;0,
     COUNTIFS($AQ$2:$AQ$200,$G232)&gt;0,
     COUNTIFS($AR$2:$AR$200,$G232)&gt;0,
     COUNTIFS($AS$2:$AS$200,$G232)&gt;0,
     COUNTIFS($AT$2:$AT$200,$G232)&gt;0,
     COUNTIFS($AU$2:$AU$200,$G232)&gt;0,
     COUNTIFS($AV$2:$AV$200,$G232)&gt;0,
     COUNTIFS($AW$2:$AW$200,$G232)&gt;0,
     COUNTIFS($AX$2:$AX$200,$G232)&gt;0
   )),
  ),
  4
 ),
"")</f>
        <v/>
      </c>
      <c r="G232" t="str">
        <f ca="1"/>
        <v>Ojer Pakpatiq, Era Profunda</v>
      </c>
    </row>
    <row r="233" spans="1:72" x14ac:dyDescent="0.25">
      <c r="A233" s="3" t="str">
        <f t="shared" ca="1" si="8"/>
        <v>3</v>
      </c>
      <c r="B233" s="3">
        <f t="shared" ca="1" si="9"/>
        <v>1</v>
      </c>
      <c r="C233" s="3" t="str">
        <f ca="1">IFERROR(
 INDEX($U$1:$AX$1,
  MATCH(TRUE,
   CHOOSE({1;2;3;4;5;6;7;8;9;10;11;12;13;14;15;16;17;18;19;20;21;22;23;24;25;26;27;28;29;30;31;32},
    COUNTIFS($U$2:$U$200,$G233)&gt;0,
    COUNTIFS($V$2:$V$200,$G233)&gt;0,
    COUNTIFS($W$2:$W$200,$G233)&gt;0,
    COUNTIFS($X$2:$X$200,$G233)&gt;0,
    COUNTIFS($Y$2:$Y$200,$G233)&gt;0,
    COUNTIFS($Z$2:$Z$200,$G233)&gt;0,
    COUNTIFS($AA$2:$AA$200,$G233)&gt;0,
    COUNTIFS($AB$2:$AB$200,$G233)&gt;0,
    COUNTIFS($AC$2:$AC$200,$G233)&gt;0,
    COUNTIFS($AD$2:$AD$200,$G233)&gt;0,
    COUNTIFS($AE$2:$AE$200,$G233)&gt;0,
    COUNTIFS($AF$2:$AF$200,$G233)&gt;0,
    COUNTIFS($AG$2:$AG$200,$G233)&gt;0,
    COUNTIFS($AH$2:$AH$200,$G233)&gt;0,
    COUNTIFS($AI$2:$AI$200,$G233)&gt;0,
    COUNTIFS($AJ$2:$AJ$200,$G233)&gt;0,
    COUNTIFS($AK$2:$AK$200,$G233)&gt;0,
    COUNTIFS($AL$2:$AL$200,$G233)&gt;0,
    COUNTIFS($AM$2:$AM$200,$G233)&gt;0,
    COUNTIFS($AN$2:$AN$200,$G233)&gt;0,
    COUNTIFS($AO$2:$AO$200,$G233)&gt;0,
    COUNTIFS($AP$2:$AP$200,$G233)&gt;0,
    COUNTIFS($AQ$2:$AQ$200,$G233)&gt;0,
    COUNTIFS($AR$2:$AR$200,$G233)&gt;0,
    COUNTIFS($AS$2:$AS$200,$G233)&gt;0,
    COUNTIFS($AT$2:$AT$200,$G233)&gt;0,
    COUNTIFS($AU$2:$AU$200,$G233)&gt;0,
    COUNTIFS($AV$2:$AV$200,$G233)&gt;0,
    COUNTIFS($AW$2:$AW$200,$G233)&gt;0,
    COUNTIFS($AX$2:$AX$200,$G233)&gt;0
   ),
  0)
 ),
"")</f>
        <v>Sisay</v>
      </c>
      <c r="D233" s="3" t="str" cm="1">
        <f t="array" aca="1" ref="D233" ca="1">IFERROR(
 INDEX(
  _xlfn._xlws.FILTER($U$1:$AX$1,
   TRANSPOSE(
    CHOOSE({1;2;3;4;5;6;7;8;9;10;11;12;13;14;15;16;17;18;19;20;21;22;23;24;25;26;27;28;29;30},
     COUNTIFS($U$2:$U$200,$G233)&gt;0,
     COUNTIFS($V$2:$V$200,$G233)&gt;0,
     COUNTIFS($W$2:$W$200,$G233)&gt;0,
     COUNTIFS($X$2:$X$200,$G233)&gt;0,
     COUNTIFS($Y$2:$Y$200,$G233)&gt;0,
     COUNTIFS($Z$2:$Z$200,$G233)&gt;0,
     COUNTIFS($AA$2:$AA$200,$G233)&gt;0,
     COUNTIFS($AB$2:$AB$200,$G233)&gt;0,
     COUNTIFS($AC$2:$AC$200,$G233)&gt;0,
     COUNTIFS($AD$2:$AD$200,$G233)&gt;0,
     COUNTIFS($AE$2:$AE$200,$G233)&gt;0,
     COUNTIFS($AF$2:$AF$200,$G233)&gt;0,
     COUNTIFS($AG$2:$AG$200,$G233)&gt;0,
     COUNTIFS($AH$2:$AH$200,$G233)&gt;0,
     COUNTIFS($AI$2:$AI$200,$G233)&gt;0,
     COUNTIFS($AJ$2:$AJ$200,$G233)&gt;0,
     COUNTIFS($AK$2:$AK$200,$G233)&gt;0,
     COUNTIFS($AL$2:$AL$200,$G233)&gt;0,
     COUNTIFS($AM$2:$AM$200,$G233)&gt;0,
     COUNTIFS($AN$2:$AN$200,$G233)&gt;0,
     COUNTIFS($AO$2:$AO$200,$G233)&gt;0,
     COUNTIFS($AP$2:$AP$200,$G233)&gt;0,
     COUNTIFS($AQ$2:$AQ$200,$G233)&gt;0,
     COUNTIFS($AR$2:$AR$200,$G233)&gt;0,
     COUNTIFS($AS$2:$AS$200,$G233)&gt;0,
     COUNTIFS($AT$2:$AT$200,$G233)&gt;0,
     COUNTIFS($AU$2:$AU$200,$G233)&gt;0,
     COUNTIFS($AV$2:$AV$200,$G233)&gt;0,
     COUNTIFS($AW$2:$AW$200,$G233)&gt;0,
     COUNTIFS($AX$2:$AX$200,$G233)&gt;0
   )),
  ),
  2
 ),
"")</f>
        <v/>
      </c>
      <c r="E233" s="3" t="str" cm="1">
        <f t="array" aca="1" ref="E233" ca="1">IFERROR(
 INDEX(
  _xlfn._xlws.FILTER($U$1:$AX$1,
   TRANSPOSE(
    CHOOSE({1;2;3;4;5;6;7;8;9;10;11;12;13;14;15;16;17;18;19;20;21;22;23;24;25;26;27;28;29;30},
     COUNTIFS($U$2:$U$200,$G233)&gt;0,
     COUNTIFS($V$2:$V$200,$G233)&gt;0,
     COUNTIFS($W$2:$W$200,$G233)&gt;0,
     COUNTIFS($X$2:$X$200,$G233)&gt;0,
     COUNTIFS($Y$2:$Y$200,$G233)&gt;0,
     COUNTIFS($Z$2:$Z$200,$G233)&gt;0,
     COUNTIFS($AA$2:$AA$200,$G233)&gt;0,
     COUNTIFS($AB$2:$AB$200,$G233)&gt;0,
     COUNTIFS($AC$2:$AC$200,$G233)&gt;0,
     COUNTIFS($AD$2:$AD$200,$G233)&gt;0,
     COUNTIFS($AE$2:$AE$200,$G233)&gt;0,
     COUNTIFS($AF$2:$AF$200,$G233)&gt;0,
     COUNTIFS($AG$2:$AG$200,$G233)&gt;0,
     COUNTIFS($AH$2:$AH$200,$G233)&gt;0,
     COUNTIFS($AI$2:$AI$200,$G233)&gt;0,
     COUNTIFS($AJ$2:$AJ$200,$G233)&gt;0,
     COUNTIFS($AK$2:$AK$200,$G233)&gt;0,
     COUNTIFS($AL$2:$AL$200,$G233)&gt;0,
     COUNTIFS($AM$2:$AM$200,$G233)&gt;0,
     COUNTIFS($AN$2:$AN$200,$G233)&gt;0,
     COUNTIFS($AO$2:$AO$200,$G233)&gt;0,
     COUNTIFS($AP$2:$AP$200,$G233)&gt;0,
     COUNTIFS($AQ$2:$AQ$200,$G233)&gt;0,
     COUNTIFS($AR$2:$AR$200,$G233)&gt;0,
     COUNTIFS($AS$2:$AS$200,$G233)&gt;0,
     COUNTIFS($AT$2:$AT$200,$G233)&gt;0,
     COUNTIFS($AU$2:$AU$200,$G233)&gt;0,
     COUNTIFS($AV$2:$AV$200,$G233)&gt;0,
     COUNTIFS($AW$2:$AW$200,$G233)&gt;0,
     COUNTIFS($AX$2:$AX$200,$G233)&gt;0
   )),
  ),
  3
 ),
"")</f>
        <v/>
      </c>
      <c r="F233" s="3" t="str" cm="1">
        <f t="array" aca="1" ref="F233" ca="1">IFERROR(
 INDEX(
  _xlfn._xlws.FILTER($U$1:$AX$1,
   TRANSPOSE(
    CHOOSE({1;2;3;4;5;6;7;8;9;10;11;12;13;14;15;16;17;18;19;20;21;22;23;24;25;26;27;28;29;30},
     COUNTIFS($U$2:$U$200,$G233)&gt;0,
     COUNTIFS($V$2:$V$200,$G233)&gt;0,
     COUNTIFS($W$2:$W$200,$G233)&gt;0,
     COUNTIFS($X$2:$X$200,$G233)&gt;0,
     COUNTIFS($Y$2:$Y$200,$G233)&gt;0,
     COUNTIFS($Z$2:$Z$200,$G233)&gt;0,
     COUNTIFS($AA$2:$AA$200,$G233)&gt;0,
     COUNTIFS($AB$2:$AB$200,$G233)&gt;0,
     COUNTIFS($AC$2:$AC$200,$G233)&gt;0,
     COUNTIFS($AD$2:$AD$200,$G233)&gt;0,
     COUNTIFS($AE$2:$AE$200,$G233)&gt;0,
     COUNTIFS($AF$2:$AF$200,$G233)&gt;0,
     COUNTIFS($AG$2:$AG$200,$G233)&gt;0,
     COUNTIFS($AH$2:$AH$200,$G233)&gt;0,
     COUNTIFS($AI$2:$AI$200,$G233)&gt;0,
     COUNTIFS($AJ$2:$AJ$200,$G233)&gt;0,
     COUNTIFS($AK$2:$AK$200,$G233)&gt;0,
     COUNTIFS($AL$2:$AL$200,$G233)&gt;0,
     COUNTIFS($AM$2:$AM$200,$G233)&gt;0,
     COUNTIFS($AN$2:$AN$200,$G233)&gt;0,
     COUNTIFS($AO$2:$AO$200,$G233)&gt;0,
     COUNTIFS($AP$2:$AP$200,$G233)&gt;0,
     COUNTIFS($AQ$2:$AQ$200,$G233)&gt;0,
     COUNTIFS($AR$2:$AR$200,$G233)&gt;0,
     COUNTIFS($AS$2:$AS$200,$G233)&gt;0,
     COUNTIFS($AT$2:$AT$200,$G233)&gt;0,
     COUNTIFS($AU$2:$AU$200,$G233)&gt;0,
     COUNTIFS($AV$2:$AV$200,$G233)&gt;0,
     COUNTIFS($AW$2:$AW$200,$G233)&gt;0,
     COUNTIFS($AX$2:$AX$200,$G233)&gt;0
   )),
  ),
  4
 ),
"")</f>
        <v/>
      </c>
      <c r="G233" t="str">
        <f ca="1"/>
        <v>Oko, Thief of Crowns</v>
      </c>
    </row>
    <row r="234" spans="1:72" x14ac:dyDescent="0.25">
      <c r="A234" s="3" t="str">
        <f t="shared" ca="1" si="8"/>
        <v>5</v>
      </c>
      <c r="B234" s="3">
        <f t="shared" ca="1" si="9"/>
        <v>1</v>
      </c>
      <c r="C234" s="3" t="str">
        <f ca="1">IFERROR(
 INDEX($U$1:$AX$1,
  MATCH(TRUE,
   CHOOSE({1;2;3;4;5;6;7;8;9;10;11;12;13;14;15;16;17;18;19;20;21;22;23;24;25;26;27;28;29;30;31;32},
    COUNTIFS($U$2:$U$200,$G234)&gt;0,
    COUNTIFS($V$2:$V$200,$G234)&gt;0,
    COUNTIFS($W$2:$W$200,$G234)&gt;0,
    COUNTIFS($X$2:$X$200,$G234)&gt;0,
    COUNTIFS($Y$2:$Y$200,$G234)&gt;0,
    COUNTIFS($Z$2:$Z$200,$G234)&gt;0,
    COUNTIFS($AA$2:$AA$200,$G234)&gt;0,
    COUNTIFS($AB$2:$AB$200,$G234)&gt;0,
    COUNTIFS($AC$2:$AC$200,$G234)&gt;0,
    COUNTIFS($AD$2:$AD$200,$G234)&gt;0,
    COUNTIFS($AE$2:$AE$200,$G234)&gt;0,
    COUNTIFS($AF$2:$AF$200,$G234)&gt;0,
    COUNTIFS($AG$2:$AG$200,$G234)&gt;0,
    COUNTIFS($AH$2:$AH$200,$G234)&gt;0,
    COUNTIFS($AI$2:$AI$200,$G234)&gt;0,
    COUNTIFS($AJ$2:$AJ$200,$G234)&gt;0,
    COUNTIFS($AK$2:$AK$200,$G234)&gt;0,
    COUNTIFS($AL$2:$AL$200,$G234)&gt;0,
    COUNTIFS($AM$2:$AM$200,$G234)&gt;0,
    COUNTIFS($AN$2:$AN$200,$G234)&gt;0,
    COUNTIFS($AO$2:$AO$200,$G234)&gt;0,
    COUNTIFS($AP$2:$AP$200,$G234)&gt;0,
    COUNTIFS($AQ$2:$AQ$200,$G234)&gt;0,
    COUNTIFS($AR$2:$AR$200,$G234)&gt;0,
    COUNTIFS($AS$2:$AS$200,$G234)&gt;0,
    COUNTIFS($AT$2:$AT$200,$G234)&gt;0,
    COUNTIFS($AU$2:$AU$200,$G234)&gt;0,
    COUNTIFS($AV$2:$AV$200,$G234)&gt;0,
    COUNTIFS($AW$2:$AW$200,$G234)&gt;0,
    COUNTIFS($AX$2:$AX$200,$G234)&gt;0
   ),
  0)
 ),
"")</f>
        <v>Alela</v>
      </c>
      <c r="D234" s="3" t="str" cm="1">
        <f t="array" aca="1" ref="D234" ca="1">IFERROR(
 INDEX(
  _xlfn._xlws.FILTER($U$1:$AX$1,
   TRANSPOSE(
    CHOOSE({1;2;3;4;5;6;7;8;9;10;11;12;13;14;15;16;17;18;19;20;21;22;23;24;25;26;27;28;29;30},
     COUNTIFS($U$2:$U$200,$G234)&gt;0,
     COUNTIFS($V$2:$V$200,$G234)&gt;0,
     COUNTIFS($W$2:$W$200,$G234)&gt;0,
     COUNTIFS($X$2:$X$200,$G234)&gt;0,
     COUNTIFS($Y$2:$Y$200,$G234)&gt;0,
     COUNTIFS($Z$2:$Z$200,$G234)&gt;0,
     COUNTIFS($AA$2:$AA$200,$G234)&gt;0,
     COUNTIFS($AB$2:$AB$200,$G234)&gt;0,
     COUNTIFS($AC$2:$AC$200,$G234)&gt;0,
     COUNTIFS($AD$2:$AD$200,$G234)&gt;0,
     COUNTIFS($AE$2:$AE$200,$G234)&gt;0,
     COUNTIFS($AF$2:$AF$200,$G234)&gt;0,
     COUNTIFS($AG$2:$AG$200,$G234)&gt;0,
     COUNTIFS($AH$2:$AH$200,$G234)&gt;0,
     COUNTIFS($AI$2:$AI$200,$G234)&gt;0,
     COUNTIFS($AJ$2:$AJ$200,$G234)&gt;0,
     COUNTIFS($AK$2:$AK$200,$G234)&gt;0,
     COUNTIFS($AL$2:$AL$200,$G234)&gt;0,
     COUNTIFS($AM$2:$AM$200,$G234)&gt;0,
     COUNTIFS($AN$2:$AN$200,$G234)&gt;0,
     COUNTIFS($AO$2:$AO$200,$G234)&gt;0,
     COUNTIFS($AP$2:$AP$200,$G234)&gt;0,
     COUNTIFS($AQ$2:$AQ$200,$G234)&gt;0,
     COUNTIFS($AR$2:$AR$200,$G234)&gt;0,
     COUNTIFS($AS$2:$AS$200,$G234)&gt;0,
     COUNTIFS($AT$2:$AT$200,$G234)&gt;0,
     COUNTIFS($AU$2:$AU$200,$G234)&gt;0,
     COUNTIFS($AV$2:$AV$200,$G234)&gt;0,
     COUNTIFS($AW$2:$AW$200,$G234)&gt;0,
     COUNTIFS($AX$2:$AX$200,$G234)&gt;0
   )),
  ),
  2
 ),
"")</f>
        <v/>
      </c>
      <c r="E234" s="3" t="str" cm="1">
        <f t="array" aca="1" ref="E234" ca="1">IFERROR(
 INDEX(
  _xlfn._xlws.FILTER($U$1:$AX$1,
   TRANSPOSE(
    CHOOSE({1;2;3;4;5;6;7;8;9;10;11;12;13;14;15;16;17;18;19;20;21;22;23;24;25;26;27;28;29;30},
     COUNTIFS($U$2:$U$200,$G234)&gt;0,
     COUNTIFS($V$2:$V$200,$G234)&gt;0,
     COUNTIFS($W$2:$W$200,$G234)&gt;0,
     COUNTIFS($X$2:$X$200,$G234)&gt;0,
     COUNTIFS($Y$2:$Y$200,$G234)&gt;0,
     COUNTIFS($Z$2:$Z$200,$G234)&gt;0,
     COUNTIFS($AA$2:$AA$200,$G234)&gt;0,
     COUNTIFS($AB$2:$AB$200,$G234)&gt;0,
     COUNTIFS($AC$2:$AC$200,$G234)&gt;0,
     COUNTIFS($AD$2:$AD$200,$G234)&gt;0,
     COUNTIFS($AE$2:$AE$200,$G234)&gt;0,
     COUNTIFS($AF$2:$AF$200,$G234)&gt;0,
     COUNTIFS($AG$2:$AG$200,$G234)&gt;0,
     COUNTIFS($AH$2:$AH$200,$G234)&gt;0,
     COUNTIFS($AI$2:$AI$200,$G234)&gt;0,
     COUNTIFS($AJ$2:$AJ$200,$G234)&gt;0,
     COUNTIFS($AK$2:$AK$200,$G234)&gt;0,
     COUNTIFS($AL$2:$AL$200,$G234)&gt;0,
     COUNTIFS($AM$2:$AM$200,$G234)&gt;0,
     COUNTIFS($AN$2:$AN$200,$G234)&gt;0,
     COUNTIFS($AO$2:$AO$200,$G234)&gt;0,
     COUNTIFS($AP$2:$AP$200,$G234)&gt;0,
     COUNTIFS($AQ$2:$AQ$200,$G234)&gt;0,
     COUNTIFS($AR$2:$AR$200,$G234)&gt;0,
     COUNTIFS($AS$2:$AS$200,$G234)&gt;0,
     COUNTIFS($AT$2:$AT$200,$G234)&gt;0,
     COUNTIFS($AU$2:$AU$200,$G234)&gt;0,
     COUNTIFS($AV$2:$AV$200,$G234)&gt;0,
     COUNTIFS($AW$2:$AW$200,$G234)&gt;0,
     COUNTIFS($AX$2:$AX$200,$G234)&gt;0
   )),
  ),
  3
 ),
"")</f>
        <v/>
      </c>
      <c r="F234" s="3" t="str" cm="1">
        <f t="array" aca="1" ref="F234" ca="1">IFERROR(
 INDEX(
  _xlfn._xlws.FILTER($U$1:$AX$1,
   TRANSPOSE(
    CHOOSE({1;2;3;4;5;6;7;8;9;10;11;12;13;14;15;16;17;18;19;20;21;22;23;24;25;26;27;28;29;30},
     COUNTIFS($U$2:$U$200,$G234)&gt;0,
     COUNTIFS($V$2:$V$200,$G234)&gt;0,
     COUNTIFS($W$2:$W$200,$G234)&gt;0,
     COUNTIFS($X$2:$X$200,$G234)&gt;0,
     COUNTIFS($Y$2:$Y$200,$G234)&gt;0,
     COUNTIFS($Z$2:$Z$200,$G234)&gt;0,
     COUNTIFS($AA$2:$AA$200,$G234)&gt;0,
     COUNTIFS($AB$2:$AB$200,$G234)&gt;0,
     COUNTIFS($AC$2:$AC$200,$G234)&gt;0,
     COUNTIFS($AD$2:$AD$200,$G234)&gt;0,
     COUNTIFS($AE$2:$AE$200,$G234)&gt;0,
     COUNTIFS($AF$2:$AF$200,$G234)&gt;0,
     COUNTIFS($AG$2:$AG$200,$G234)&gt;0,
     COUNTIFS($AH$2:$AH$200,$G234)&gt;0,
     COUNTIFS($AI$2:$AI$200,$G234)&gt;0,
     COUNTIFS($AJ$2:$AJ$200,$G234)&gt;0,
     COUNTIFS($AK$2:$AK$200,$G234)&gt;0,
     COUNTIFS($AL$2:$AL$200,$G234)&gt;0,
     COUNTIFS($AM$2:$AM$200,$G234)&gt;0,
     COUNTIFS($AN$2:$AN$200,$G234)&gt;0,
     COUNTIFS($AO$2:$AO$200,$G234)&gt;0,
     COUNTIFS($AP$2:$AP$200,$G234)&gt;0,
     COUNTIFS($AQ$2:$AQ$200,$G234)&gt;0,
     COUNTIFS($AR$2:$AR$200,$G234)&gt;0,
     COUNTIFS($AS$2:$AS$200,$G234)&gt;0,
     COUNTIFS($AT$2:$AT$200,$G234)&gt;0,
     COUNTIFS($AU$2:$AU$200,$G234)&gt;0,
     COUNTIFS($AV$2:$AV$200,$G234)&gt;0,
     COUNTIFS($AW$2:$AW$200,$G234)&gt;0,
     COUNTIFS($AX$2:$AX$200,$G234)&gt;0
   )),
  ),
  4
 ),
"")</f>
        <v/>
      </c>
      <c r="G234" t="str">
        <f ca="1"/>
        <v>Olho de Ojer Taq</v>
      </c>
    </row>
    <row r="235" spans="1:72" x14ac:dyDescent="0.25">
      <c r="A235" s="3" t="str">
        <f t="shared" ca="1" si="8"/>
        <v>1</v>
      </c>
      <c r="B235" s="3">
        <f t="shared" ca="1" si="9"/>
        <v>2</v>
      </c>
      <c r="C235" s="3" t="str">
        <f ca="1">IFERROR(
 INDEX($U$1:$AX$1,
  MATCH(TRUE,
   CHOOSE({1;2;3;4;5;6;7;8;9;10;11;12;13;14;15;16;17;18;19;20;21;22;23;24;25;26;27;28;29;30;31;32},
    COUNTIFS($U$2:$U$200,$G235)&gt;0,
    COUNTIFS($V$2:$V$200,$G235)&gt;0,
    COUNTIFS($W$2:$W$200,$G235)&gt;0,
    COUNTIFS($X$2:$X$200,$G235)&gt;0,
    COUNTIFS($Y$2:$Y$200,$G235)&gt;0,
    COUNTIFS($Z$2:$Z$200,$G235)&gt;0,
    COUNTIFS($AA$2:$AA$200,$G235)&gt;0,
    COUNTIFS($AB$2:$AB$200,$G235)&gt;0,
    COUNTIFS($AC$2:$AC$200,$G235)&gt;0,
    COUNTIFS($AD$2:$AD$200,$G235)&gt;0,
    COUNTIFS($AE$2:$AE$200,$G235)&gt;0,
    COUNTIFS($AF$2:$AF$200,$G235)&gt;0,
    COUNTIFS($AG$2:$AG$200,$G235)&gt;0,
    COUNTIFS($AH$2:$AH$200,$G235)&gt;0,
    COUNTIFS($AI$2:$AI$200,$G235)&gt;0,
    COUNTIFS($AJ$2:$AJ$200,$G235)&gt;0,
    COUNTIFS($AK$2:$AK$200,$G235)&gt;0,
    COUNTIFS($AL$2:$AL$200,$G235)&gt;0,
    COUNTIFS($AM$2:$AM$200,$G235)&gt;0,
    COUNTIFS($AN$2:$AN$200,$G235)&gt;0,
    COUNTIFS($AO$2:$AO$200,$G235)&gt;0,
    COUNTIFS($AP$2:$AP$200,$G235)&gt;0,
    COUNTIFS($AQ$2:$AQ$200,$G235)&gt;0,
    COUNTIFS($AR$2:$AR$200,$G235)&gt;0,
    COUNTIFS($AS$2:$AS$200,$G235)&gt;0,
    COUNTIFS($AT$2:$AT$200,$G235)&gt;0,
    COUNTIFS($AU$2:$AU$200,$G235)&gt;0,
    COUNTIFS($AV$2:$AV$200,$G235)&gt;0,
    COUNTIFS($AW$2:$AW$200,$G235)&gt;0,
    COUNTIFS($AX$2:$AX$200,$G235)&gt;0
   ),
  0)
 ),
"")</f>
        <v>Tayam</v>
      </c>
      <c r="D235" s="3" t="str" cm="1">
        <f t="array" aca="1" ref="D235" ca="1">IFERROR(
 INDEX(
  _xlfn._xlws.FILTER($U$1:$AX$1,
   TRANSPOSE(
    CHOOSE({1;2;3;4;5;6;7;8;9;10;11;12;13;14;15;16;17;18;19;20;21;22;23;24;25;26;27;28;29;30},
     COUNTIFS($U$2:$U$200,$G235)&gt;0,
     COUNTIFS($V$2:$V$200,$G235)&gt;0,
     COUNTIFS($W$2:$W$200,$G235)&gt;0,
     COUNTIFS($X$2:$X$200,$G235)&gt;0,
     COUNTIFS($Y$2:$Y$200,$G235)&gt;0,
     COUNTIFS($Z$2:$Z$200,$G235)&gt;0,
     COUNTIFS($AA$2:$AA$200,$G235)&gt;0,
     COUNTIFS($AB$2:$AB$200,$G235)&gt;0,
     COUNTIFS($AC$2:$AC$200,$G235)&gt;0,
     COUNTIFS($AD$2:$AD$200,$G235)&gt;0,
     COUNTIFS($AE$2:$AE$200,$G235)&gt;0,
     COUNTIFS($AF$2:$AF$200,$G235)&gt;0,
     COUNTIFS($AG$2:$AG$200,$G235)&gt;0,
     COUNTIFS($AH$2:$AH$200,$G235)&gt;0,
     COUNTIFS($AI$2:$AI$200,$G235)&gt;0,
     COUNTIFS($AJ$2:$AJ$200,$G235)&gt;0,
     COUNTIFS($AK$2:$AK$200,$G235)&gt;0,
     COUNTIFS($AL$2:$AL$200,$G235)&gt;0,
     COUNTIFS($AM$2:$AM$200,$G235)&gt;0,
     COUNTIFS($AN$2:$AN$200,$G235)&gt;0,
     COUNTIFS($AO$2:$AO$200,$G235)&gt;0,
     COUNTIFS($AP$2:$AP$200,$G235)&gt;0,
     COUNTIFS($AQ$2:$AQ$200,$G235)&gt;0,
     COUNTIFS($AR$2:$AR$200,$G235)&gt;0,
     COUNTIFS($AS$2:$AS$200,$G235)&gt;0,
     COUNTIFS($AT$2:$AT$200,$G235)&gt;0,
     COUNTIFS($AU$2:$AU$200,$G235)&gt;0,
     COUNTIFS($AV$2:$AV$200,$G235)&gt;0,
     COUNTIFS($AW$2:$AW$200,$G235)&gt;0,
     COUNTIFS($AX$2:$AX$200,$G235)&gt;0
   )),
  ),
  2
 ),
"")</f>
        <v>Modular</v>
      </c>
      <c r="E235" s="3" t="str" cm="1">
        <f t="array" aca="1" ref="E235" ca="1">IFERROR(
 INDEX(
  _xlfn._xlws.FILTER($U$1:$AX$1,
   TRANSPOSE(
    CHOOSE({1;2;3;4;5;6;7;8;9;10;11;12;13;14;15;16;17;18;19;20;21;22;23;24;25;26;27;28;29;30},
     COUNTIFS($U$2:$U$200,$G235)&gt;0,
     COUNTIFS($V$2:$V$200,$G235)&gt;0,
     COUNTIFS($W$2:$W$200,$G235)&gt;0,
     COUNTIFS($X$2:$X$200,$G235)&gt;0,
     COUNTIFS($Y$2:$Y$200,$G235)&gt;0,
     COUNTIFS($Z$2:$Z$200,$G235)&gt;0,
     COUNTIFS($AA$2:$AA$200,$G235)&gt;0,
     COUNTIFS($AB$2:$AB$200,$G235)&gt;0,
     COUNTIFS($AC$2:$AC$200,$G235)&gt;0,
     COUNTIFS($AD$2:$AD$200,$G235)&gt;0,
     COUNTIFS($AE$2:$AE$200,$G235)&gt;0,
     COUNTIFS($AF$2:$AF$200,$G235)&gt;0,
     COUNTIFS($AG$2:$AG$200,$G235)&gt;0,
     COUNTIFS($AH$2:$AH$200,$G235)&gt;0,
     COUNTIFS($AI$2:$AI$200,$G235)&gt;0,
     COUNTIFS($AJ$2:$AJ$200,$G235)&gt;0,
     COUNTIFS($AK$2:$AK$200,$G235)&gt;0,
     COUNTIFS($AL$2:$AL$200,$G235)&gt;0,
     COUNTIFS($AM$2:$AM$200,$G235)&gt;0,
     COUNTIFS($AN$2:$AN$200,$G235)&gt;0,
     COUNTIFS($AO$2:$AO$200,$G235)&gt;0,
     COUNTIFS($AP$2:$AP$200,$G235)&gt;0,
     COUNTIFS($AQ$2:$AQ$200,$G235)&gt;0,
     COUNTIFS($AR$2:$AR$200,$G235)&gt;0,
     COUNTIFS($AS$2:$AS$200,$G235)&gt;0,
     COUNTIFS($AT$2:$AT$200,$G235)&gt;0,
     COUNTIFS($AU$2:$AU$200,$G235)&gt;0,
     COUNTIFS($AV$2:$AV$200,$G235)&gt;0,
     COUNTIFS($AW$2:$AW$200,$G235)&gt;0,
     COUNTIFS($AX$2:$AX$200,$G235)&gt;0
   )),
  ),
  3
 ),
"")</f>
        <v/>
      </c>
      <c r="F235" s="3" t="str" cm="1">
        <f t="array" aca="1" ref="F235" ca="1">IFERROR(
 INDEX(
  _xlfn._xlws.FILTER($U$1:$AX$1,
   TRANSPOSE(
    CHOOSE({1;2;3;4;5;6;7;8;9;10;11;12;13;14;15;16;17;18;19;20;21;22;23;24;25;26;27;28;29;30},
     COUNTIFS($U$2:$U$200,$G235)&gt;0,
     COUNTIFS($V$2:$V$200,$G235)&gt;0,
     COUNTIFS($W$2:$W$200,$G235)&gt;0,
     COUNTIFS($X$2:$X$200,$G235)&gt;0,
     COUNTIFS($Y$2:$Y$200,$G235)&gt;0,
     COUNTIFS($Z$2:$Z$200,$G235)&gt;0,
     COUNTIFS($AA$2:$AA$200,$G235)&gt;0,
     COUNTIFS($AB$2:$AB$200,$G235)&gt;0,
     COUNTIFS($AC$2:$AC$200,$G235)&gt;0,
     COUNTIFS($AD$2:$AD$200,$G235)&gt;0,
     COUNTIFS($AE$2:$AE$200,$G235)&gt;0,
     COUNTIFS($AF$2:$AF$200,$G235)&gt;0,
     COUNTIFS($AG$2:$AG$200,$G235)&gt;0,
     COUNTIFS($AH$2:$AH$200,$G235)&gt;0,
     COUNTIFS($AI$2:$AI$200,$G235)&gt;0,
     COUNTIFS($AJ$2:$AJ$200,$G235)&gt;0,
     COUNTIFS($AK$2:$AK$200,$G235)&gt;0,
     COUNTIFS($AL$2:$AL$200,$G235)&gt;0,
     COUNTIFS($AM$2:$AM$200,$G235)&gt;0,
     COUNTIFS($AN$2:$AN$200,$G235)&gt;0,
     COUNTIFS($AO$2:$AO$200,$G235)&gt;0,
     COUNTIFS($AP$2:$AP$200,$G235)&gt;0,
     COUNTIFS($AQ$2:$AQ$200,$G235)&gt;0,
     COUNTIFS($AR$2:$AR$200,$G235)&gt;0,
     COUNTIFS($AS$2:$AS$200,$G235)&gt;0,
     COUNTIFS($AT$2:$AT$200,$G235)&gt;0,
     COUNTIFS($AU$2:$AU$200,$G235)&gt;0,
     COUNTIFS($AV$2:$AV$200,$G235)&gt;0,
     COUNTIFS($AW$2:$AW$200,$G235)&gt;0,
     COUNTIFS($AX$2:$AX$200,$G235)&gt;0
   )),
  ),
  4
 ),
"")</f>
        <v/>
      </c>
      <c r="G235" t="str">
        <f ca="1"/>
        <v>Ozolith, the Shattered Spire</v>
      </c>
    </row>
    <row r="236" spans="1:72" x14ac:dyDescent="0.25">
      <c r="A236" s="3" t="str">
        <f t="shared" ca="1" si="8"/>
        <v>4</v>
      </c>
      <c r="B236" s="3">
        <f t="shared" ca="1" si="9"/>
        <v>1</v>
      </c>
      <c r="C236" s="3" t="str">
        <f ca="1">IFERROR(
 INDEX($U$1:$AX$1,
  MATCH(TRUE,
   CHOOSE({1;2;3;4;5;6;7;8;9;10;11;12;13;14;15;16;17;18;19;20;21;22;23;24;25;26;27;28;29;30;31;32},
    COUNTIFS($U$2:$U$200,$G236)&gt;0,
    COUNTIFS($V$2:$V$200,$G236)&gt;0,
    COUNTIFS($W$2:$W$200,$G236)&gt;0,
    COUNTIFS($X$2:$X$200,$G236)&gt;0,
    COUNTIFS($Y$2:$Y$200,$G236)&gt;0,
    COUNTIFS($Z$2:$Z$200,$G236)&gt;0,
    COUNTIFS($AA$2:$AA$200,$G236)&gt;0,
    COUNTIFS($AB$2:$AB$200,$G236)&gt;0,
    COUNTIFS($AC$2:$AC$200,$G236)&gt;0,
    COUNTIFS($AD$2:$AD$200,$G236)&gt;0,
    COUNTIFS($AE$2:$AE$200,$G236)&gt;0,
    COUNTIFS($AF$2:$AF$200,$G236)&gt;0,
    COUNTIFS($AG$2:$AG$200,$G236)&gt;0,
    COUNTIFS($AH$2:$AH$200,$G236)&gt;0,
    COUNTIFS($AI$2:$AI$200,$G236)&gt;0,
    COUNTIFS($AJ$2:$AJ$200,$G236)&gt;0,
    COUNTIFS($AK$2:$AK$200,$G236)&gt;0,
    COUNTIFS($AL$2:$AL$200,$G236)&gt;0,
    COUNTIFS($AM$2:$AM$200,$G236)&gt;0,
    COUNTIFS($AN$2:$AN$200,$G236)&gt;0,
    COUNTIFS($AO$2:$AO$200,$G236)&gt;0,
    COUNTIFS($AP$2:$AP$200,$G236)&gt;0,
    COUNTIFS($AQ$2:$AQ$200,$G236)&gt;0,
    COUNTIFS($AR$2:$AR$200,$G236)&gt;0,
    COUNTIFS($AS$2:$AS$200,$G236)&gt;0,
    COUNTIFS($AT$2:$AT$200,$G236)&gt;0,
    COUNTIFS($AU$2:$AU$200,$G236)&gt;0,
    COUNTIFS($AV$2:$AV$200,$G236)&gt;0,
    COUNTIFS($AW$2:$AW$200,$G236)&gt;0,
    COUNTIFS($AX$2:$AX$200,$G236)&gt;0
   ),
  0)
 ),
"")</f>
        <v>Kresh</v>
      </c>
      <c r="D236" s="3" t="str" cm="1">
        <f t="array" aca="1" ref="D236" ca="1">IFERROR(
 INDEX(
  _xlfn._xlws.FILTER($U$1:$AX$1,
   TRANSPOSE(
    CHOOSE({1;2;3;4;5;6;7;8;9;10;11;12;13;14;15;16;17;18;19;20;21;22;23;24;25;26;27;28;29;30},
     COUNTIFS($U$2:$U$200,$G236)&gt;0,
     COUNTIFS($V$2:$V$200,$G236)&gt;0,
     COUNTIFS($W$2:$W$200,$G236)&gt;0,
     COUNTIFS($X$2:$X$200,$G236)&gt;0,
     COUNTIFS($Y$2:$Y$200,$G236)&gt;0,
     COUNTIFS($Z$2:$Z$200,$G236)&gt;0,
     COUNTIFS($AA$2:$AA$200,$G236)&gt;0,
     COUNTIFS($AB$2:$AB$200,$G236)&gt;0,
     COUNTIFS($AC$2:$AC$200,$G236)&gt;0,
     COUNTIFS($AD$2:$AD$200,$G236)&gt;0,
     COUNTIFS($AE$2:$AE$200,$G236)&gt;0,
     COUNTIFS($AF$2:$AF$200,$G236)&gt;0,
     COUNTIFS($AG$2:$AG$200,$G236)&gt;0,
     COUNTIFS($AH$2:$AH$200,$G236)&gt;0,
     COUNTIFS($AI$2:$AI$200,$G236)&gt;0,
     COUNTIFS($AJ$2:$AJ$200,$G236)&gt;0,
     COUNTIFS($AK$2:$AK$200,$G236)&gt;0,
     COUNTIFS($AL$2:$AL$200,$G236)&gt;0,
     COUNTIFS($AM$2:$AM$200,$G236)&gt;0,
     COUNTIFS($AN$2:$AN$200,$G236)&gt;0,
     COUNTIFS($AO$2:$AO$200,$G236)&gt;0,
     COUNTIFS($AP$2:$AP$200,$G236)&gt;0,
     COUNTIFS($AQ$2:$AQ$200,$G236)&gt;0,
     COUNTIFS($AR$2:$AR$200,$G236)&gt;0,
     COUNTIFS($AS$2:$AS$200,$G236)&gt;0,
     COUNTIFS($AT$2:$AT$200,$G236)&gt;0,
     COUNTIFS($AU$2:$AU$200,$G236)&gt;0,
     COUNTIFS($AV$2:$AV$200,$G236)&gt;0,
     COUNTIFS($AW$2:$AW$200,$G236)&gt;0,
     COUNTIFS($AX$2:$AX$200,$G236)&gt;0
   )),
  ),
  2
 ),
"")</f>
        <v/>
      </c>
      <c r="E236" s="3" t="str" cm="1">
        <f t="array" aca="1" ref="E236" ca="1">IFERROR(
 INDEX(
  _xlfn._xlws.FILTER($U$1:$AX$1,
   TRANSPOSE(
    CHOOSE({1;2;3;4;5;6;7;8;9;10;11;12;13;14;15;16;17;18;19;20;21;22;23;24;25;26;27;28;29;30},
     COUNTIFS($U$2:$U$200,$G236)&gt;0,
     COUNTIFS($V$2:$V$200,$G236)&gt;0,
     COUNTIFS($W$2:$W$200,$G236)&gt;0,
     COUNTIFS($X$2:$X$200,$G236)&gt;0,
     COUNTIFS($Y$2:$Y$200,$G236)&gt;0,
     COUNTIFS($Z$2:$Z$200,$G236)&gt;0,
     COUNTIFS($AA$2:$AA$200,$G236)&gt;0,
     COUNTIFS($AB$2:$AB$200,$G236)&gt;0,
     COUNTIFS($AC$2:$AC$200,$G236)&gt;0,
     COUNTIFS($AD$2:$AD$200,$G236)&gt;0,
     COUNTIFS($AE$2:$AE$200,$G236)&gt;0,
     COUNTIFS($AF$2:$AF$200,$G236)&gt;0,
     COUNTIFS($AG$2:$AG$200,$G236)&gt;0,
     COUNTIFS($AH$2:$AH$200,$G236)&gt;0,
     COUNTIFS($AI$2:$AI$200,$G236)&gt;0,
     COUNTIFS($AJ$2:$AJ$200,$G236)&gt;0,
     COUNTIFS($AK$2:$AK$200,$G236)&gt;0,
     COUNTIFS($AL$2:$AL$200,$G236)&gt;0,
     COUNTIFS($AM$2:$AM$200,$G236)&gt;0,
     COUNTIFS($AN$2:$AN$200,$G236)&gt;0,
     COUNTIFS($AO$2:$AO$200,$G236)&gt;0,
     COUNTIFS($AP$2:$AP$200,$G236)&gt;0,
     COUNTIFS($AQ$2:$AQ$200,$G236)&gt;0,
     COUNTIFS($AR$2:$AR$200,$G236)&gt;0,
     COUNTIFS($AS$2:$AS$200,$G236)&gt;0,
     COUNTIFS($AT$2:$AT$200,$G236)&gt;0,
     COUNTIFS($AU$2:$AU$200,$G236)&gt;0,
     COUNTIFS($AV$2:$AV$200,$G236)&gt;0,
     COUNTIFS($AW$2:$AW$200,$G236)&gt;0,
     COUNTIFS($AX$2:$AX$200,$G236)&gt;0
   )),
  ),
  3
 ),
"")</f>
        <v/>
      </c>
      <c r="F236" s="3" t="str" cm="1">
        <f t="array" aca="1" ref="F236" ca="1">IFERROR(
 INDEX(
  _xlfn._xlws.FILTER($U$1:$AX$1,
   TRANSPOSE(
    CHOOSE({1;2;3;4;5;6;7;8;9;10;11;12;13;14;15;16;17;18;19;20;21;22;23;24;25;26;27;28;29;30},
     COUNTIFS($U$2:$U$200,$G236)&gt;0,
     COUNTIFS($V$2:$V$200,$G236)&gt;0,
     COUNTIFS($W$2:$W$200,$G236)&gt;0,
     COUNTIFS($X$2:$X$200,$G236)&gt;0,
     COUNTIFS($Y$2:$Y$200,$G236)&gt;0,
     COUNTIFS($Z$2:$Z$200,$G236)&gt;0,
     COUNTIFS($AA$2:$AA$200,$G236)&gt;0,
     COUNTIFS($AB$2:$AB$200,$G236)&gt;0,
     COUNTIFS($AC$2:$AC$200,$G236)&gt;0,
     COUNTIFS($AD$2:$AD$200,$G236)&gt;0,
     COUNTIFS($AE$2:$AE$200,$G236)&gt;0,
     COUNTIFS($AF$2:$AF$200,$G236)&gt;0,
     COUNTIFS($AG$2:$AG$200,$G236)&gt;0,
     COUNTIFS($AH$2:$AH$200,$G236)&gt;0,
     COUNTIFS($AI$2:$AI$200,$G236)&gt;0,
     COUNTIFS($AJ$2:$AJ$200,$G236)&gt;0,
     COUNTIFS($AK$2:$AK$200,$G236)&gt;0,
     COUNTIFS($AL$2:$AL$200,$G236)&gt;0,
     COUNTIFS($AM$2:$AM$200,$G236)&gt;0,
     COUNTIFS($AN$2:$AN$200,$G236)&gt;0,
     COUNTIFS($AO$2:$AO$200,$G236)&gt;0,
     COUNTIFS($AP$2:$AP$200,$G236)&gt;0,
     COUNTIFS($AQ$2:$AQ$200,$G236)&gt;0,
     COUNTIFS($AR$2:$AR$200,$G236)&gt;0,
     COUNTIFS($AS$2:$AS$200,$G236)&gt;0,
     COUNTIFS($AT$2:$AT$200,$G236)&gt;0,
     COUNTIFS($AU$2:$AU$200,$G236)&gt;0,
     COUNTIFS($AV$2:$AV$200,$G236)&gt;0,
     COUNTIFS($AW$2:$AW$200,$G236)&gt;0,
     COUNTIFS($AX$2:$AX$200,$G236)&gt;0
   )),
  ),
  4
 ),
"")</f>
        <v/>
      </c>
      <c r="G236" t="str">
        <f ca="1"/>
        <v>Pain for All</v>
      </c>
    </row>
    <row r="237" spans="1:72" x14ac:dyDescent="0.25">
      <c r="A237" s="3" t="str">
        <f t="shared" ca="1" si="8"/>
        <v>1</v>
      </c>
      <c r="B237" s="3">
        <f t="shared" ca="1" si="9"/>
        <v>2</v>
      </c>
      <c r="C237" s="3" t="str">
        <f ca="1">IFERROR(
 INDEX($U$1:$AX$1,
  MATCH(TRUE,
   CHOOSE({1;2;3;4;5;6;7;8;9;10;11;12;13;14;15;16;17;18;19;20;21;22;23;24;25;26;27;28;29;30;31;32},
    COUNTIFS($U$2:$U$200,$G237)&gt;0,
    COUNTIFS($V$2:$V$200,$G237)&gt;0,
    COUNTIFS($W$2:$W$200,$G237)&gt;0,
    COUNTIFS($X$2:$X$200,$G237)&gt;0,
    COUNTIFS($Y$2:$Y$200,$G237)&gt;0,
    COUNTIFS($Z$2:$Z$200,$G237)&gt;0,
    COUNTIFS($AA$2:$AA$200,$G237)&gt;0,
    COUNTIFS($AB$2:$AB$200,$G237)&gt;0,
    COUNTIFS($AC$2:$AC$200,$G237)&gt;0,
    COUNTIFS($AD$2:$AD$200,$G237)&gt;0,
    COUNTIFS($AE$2:$AE$200,$G237)&gt;0,
    COUNTIFS($AF$2:$AF$200,$G237)&gt;0,
    COUNTIFS($AG$2:$AG$200,$G237)&gt;0,
    COUNTIFS($AH$2:$AH$200,$G237)&gt;0,
    COUNTIFS($AI$2:$AI$200,$G237)&gt;0,
    COUNTIFS($AJ$2:$AJ$200,$G237)&gt;0,
    COUNTIFS($AK$2:$AK$200,$G237)&gt;0,
    COUNTIFS($AL$2:$AL$200,$G237)&gt;0,
    COUNTIFS($AM$2:$AM$200,$G237)&gt;0,
    COUNTIFS($AN$2:$AN$200,$G237)&gt;0,
    COUNTIFS($AO$2:$AO$200,$G237)&gt;0,
    COUNTIFS($AP$2:$AP$200,$G237)&gt;0,
    COUNTIFS($AQ$2:$AQ$200,$G237)&gt;0,
    COUNTIFS($AR$2:$AR$200,$G237)&gt;0,
    COUNTIFS($AS$2:$AS$200,$G237)&gt;0,
    COUNTIFS($AT$2:$AT$200,$G237)&gt;0,
    COUNTIFS($AU$2:$AU$200,$G237)&gt;0,
    COUNTIFS($AV$2:$AV$200,$G237)&gt;0,
    COUNTIFS($AW$2:$AW$200,$G237)&gt;0,
    COUNTIFS($AX$2:$AX$200,$G237)&gt;0
   ),
  0)
 ),
"")</f>
        <v>Tayam</v>
      </c>
      <c r="D237" s="3" t="str" cm="1">
        <f t="array" aca="1" ref="D237" ca="1">IFERROR(
 INDEX(
  _xlfn._xlws.FILTER($U$1:$AX$1,
   TRANSPOSE(
    CHOOSE({1;2;3;4;5;6;7;8;9;10;11;12;13;14;15;16;17;18;19;20;21;22;23;24;25;26;27;28;29;30},
     COUNTIFS($U$2:$U$200,$G237)&gt;0,
     COUNTIFS($V$2:$V$200,$G237)&gt;0,
     COUNTIFS($W$2:$W$200,$G237)&gt;0,
     COUNTIFS($X$2:$X$200,$G237)&gt;0,
     COUNTIFS($Y$2:$Y$200,$G237)&gt;0,
     COUNTIFS($Z$2:$Z$200,$G237)&gt;0,
     COUNTIFS($AA$2:$AA$200,$G237)&gt;0,
     COUNTIFS($AB$2:$AB$200,$G237)&gt;0,
     COUNTIFS($AC$2:$AC$200,$G237)&gt;0,
     COUNTIFS($AD$2:$AD$200,$G237)&gt;0,
     COUNTIFS($AE$2:$AE$200,$G237)&gt;0,
     COUNTIFS($AF$2:$AF$200,$G237)&gt;0,
     COUNTIFS($AG$2:$AG$200,$G237)&gt;0,
     COUNTIFS($AH$2:$AH$200,$G237)&gt;0,
     COUNTIFS($AI$2:$AI$200,$G237)&gt;0,
     COUNTIFS($AJ$2:$AJ$200,$G237)&gt;0,
     COUNTIFS($AK$2:$AK$200,$G237)&gt;0,
     COUNTIFS($AL$2:$AL$200,$G237)&gt;0,
     COUNTIFS($AM$2:$AM$200,$G237)&gt;0,
     COUNTIFS($AN$2:$AN$200,$G237)&gt;0,
     COUNTIFS($AO$2:$AO$200,$G237)&gt;0,
     COUNTIFS($AP$2:$AP$200,$G237)&gt;0,
     COUNTIFS($AQ$2:$AQ$200,$G237)&gt;0,
     COUNTIFS($AR$2:$AR$200,$G237)&gt;0,
     COUNTIFS($AS$2:$AS$200,$G237)&gt;0,
     COUNTIFS($AT$2:$AT$200,$G237)&gt;0,
     COUNTIFS($AU$2:$AU$200,$G237)&gt;0,
     COUNTIFS($AV$2:$AV$200,$G237)&gt;0,
     COUNTIFS($AW$2:$AW$200,$G237)&gt;0,
     COUNTIFS($AX$2:$AX$200,$G237)&gt;0
   )),
  ),
  2
 ),
"")</f>
        <v>Modular</v>
      </c>
      <c r="E237" s="3" t="str" cm="1">
        <f t="array" aca="1" ref="E237" ca="1">IFERROR(
 INDEX(
  _xlfn._xlws.FILTER($U$1:$AX$1,
   TRANSPOSE(
    CHOOSE({1;2;3;4;5;6;7;8;9;10;11;12;13;14;15;16;17;18;19;20;21;22;23;24;25;26;27;28;29;30},
     COUNTIFS($U$2:$U$200,$G237)&gt;0,
     COUNTIFS($V$2:$V$200,$G237)&gt;0,
     COUNTIFS($W$2:$W$200,$G237)&gt;0,
     COUNTIFS($X$2:$X$200,$G237)&gt;0,
     COUNTIFS($Y$2:$Y$200,$G237)&gt;0,
     COUNTIFS($Z$2:$Z$200,$G237)&gt;0,
     COUNTIFS($AA$2:$AA$200,$G237)&gt;0,
     COUNTIFS($AB$2:$AB$200,$G237)&gt;0,
     COUNTIFS($AC$2:$AC$200,$G237)&gt;0,
     COUNTIFS($AD$2:$AD$200,$G237)&gt;0,
     COUNTIFS($AE$2:$AE$200,$G237)&gt;0,
     COUNTIFS($AF$2:$AF$200,$G237)&gt;0,
     COUNTIFS($AG$2:$AG$200,$G237)&gt;0,
     COUNTIFS($AH$2:$AH$200,$G237)&gt;0,
     COUNTIFS($AI$2:$AI$200,$G237)&gt;0,
     COUNTIFS($AJ$2:$AJ$200,$G237)&gt;0,
     COUNTIFS($AK$2:$AK$200,$G237)&gt;0,
     COUNTIFS($AL$2:$AL$200,$G237)&gt;0,
     COUNTIFS($AM$2:$AM$200,$G237)&gt;0,
     COUNTIFS($AN$2:$AN$200,$G237)&gt;0,
     COUNTIFS($AO$2:$AO$200,$G237)&gt;0,
     COUNTIFS($AP$2:$AP$200,$G237)&gt;0,
     COUNTIFS($AQ$2:$AQ$200,$G237)&gt;0,
     COUNTIFS($AR$2:$AR$200,$G237)&gt;0,
     COUNTIFS($AS$2:$AS$200,$G237)&gt;0,
     COUNTIFS($AT$2:$AT$200,$G237)&gt;0,
     COUNTIFS($AU$2:$AU$200,$G237)&gt;0,
     COUNTIFS($AV$2:$AV$200,$G237)&gt;0,
     COUNTIFS($AW$2:$AW$200,$G237)&gt;0,
     COUNTIFS($AX$2:$AX$200,$G237)&gt;0
   )),
  ),
  3
 ),
"")</f>
        <v/>
      </c>
      <c r="F237" s="3" t="str" cm="1">
        <f t="array" aca="1" ref="F237" ca="1">IFERROR(
 INDEX(
  _xlfn._xlws.FILTER($U$1:$AX$1,
   TRANSPOSE(
    CHOOSE({1;2;3;4;5;6;7;8;9;10;11;12;13;14;15;16;17;18;19;20;21;22;23;24;25;26;27;28;29;30},
     COUNTIFS($U$2:$U$200,$G237)&gt;0,
     COUNTIFS($V$2:$V$200,$G237)&gt;0,
     COUNTIFS($W$2:$W$200,$G237)&gt;0,
     COUNTIFS($X$2:$X$200,$G237)&gt;0,
     COUNTIFS($Y$2:$Y$200,$G237)&gt;0,
     COUNTIFS($Z$2:$Z$200,$G237)&gt;0,
     COUNTIFS($AA$2:$AA$200,$G237)&gt;0,
     COUNTIFS($AB$2:$AB$200,$G237)&gt;0,
     COUNTIFS($AC$2:$AC$200,$G237)&gt;0,
     COUNTIFS($AD$2:$AD$200,$G237)&gt;0,
     COUNTIFS($AE$2:$AE$200,$G237)&gt;0,
     COUNTIFS($AF$2:$AF$200,$G237)&gt;0,
     COUNTIFS($AG$2:$AG$200,$G237)&gt;0,
     COUNTIFS($AH$2:$AH$200,$G237)&gt;0,
     COUNTIFS($AI$2:$AI$200,$G237)&gt;0,
     COUNTIFS($AJ$2:$AJ$200,$G237)&gt;0,
     COUNTIFS($AK$2:$AK$200,$G237)&gt;0,
     COUNTIFS($AL$2:$AL$200,$G237)&gt;0,
     COUNTIFS($AM$2:$AM$200,$G237)&gt;0,
     COUNTIFS($AN$2:$AN$200,$G237)&gt;0,
     COUNTIFS($AO$2:$AO$200,$G237)&gt;0,
     COUNTIFS($AP$2:$AP$200,$G237)&gt;0,
     COUNTIFS($AQ$2:$AQ$200,$G237)&gt;0,
     COUNTIFS($AR$2:$AR$200,$G237)&gt;0,
     COUNTIFS($AS$2:$AS$200,$G237)&gt;0,
     COUNTIFS($AT$2:$AT$200,$G237)&gt;0,
     COUNTIFS($AU$2:$AU$200,$G237)&gt;0,
     COUNTIFS($AV$2:$AV$200,$G237)&gt;0,
     COUNTIFS($AW$2:$AW$200,$G237)&gt;0,
     COUNTIFS($AX$2:$AX$200,$G237)&gt;0
   )),
  ),
  4
 ),
"")</f>
        <v/>
      </c>
      <c r="G237" t="str">
        <f ca="1"/>
        <v>Patrolling Peacemaker</v>
      </c>
    </row>
    <row r="238" spans="1:72" x14ac:dyDescent="0.25">
      <c r="A238" s="3" t="str">
        <f t="shared" ca="1" si="8"/>
        <v>3</v>
      </c>
      <c r="B238" s="3">
        <f t="shared" ca="1" si="9"/>
        <v>1</v>
      </c>
      <c r="C238" s="3" t="str">
        <f ca="1">IFERROR(
 INDEX($U$1:$AX$1,
  MATCH(TRUE,
   CHOOSE({1;2;3;4;5;6;7;8;9;10;11;12;13;14;15;16;17;18;19;20;21;22;23;24;25;26;27;28;29;30;31;32},
    COUNTIFS($U$2:$U$200,$G238)&gt;0,
    COUNTIFS($V$2:$V$200,$G238)&gt;0,
    COUNTIFS($W$2:$W$200,$G238)&gt;0,
    COUNTIFS($X$2:$X$200,$G238)&gt;0,
    COUNTIFS($Y$2:$Y$200,$G238)&gt;0,
    COUNTIFS($Z$2:$Z$200,$G238)&gt;0,
    COUNTIFS($AA$2:$AA$200,$G238)&gt;0,
    COUNTIFS($AB$2:$AB$200,$G238)&gt;0,
    COUNTIFS($AC$2:$AC$200,$G238)&gt;0,
    COUNTIFS($AD$2:$AD$200,$G238)&gt;0,
    COUNTIFS($AE$2:$AE$200,$G238)&gt;0,
    COUNTIFS($AF$2:$AF$200,$G238)&gt;0,
    COUNTIFS($AG$2:$AG$200,$G238)&gt;0,
    COUNTIFS($AH$2:$AH$200,$G238)&gt;0,
    COUNTIFS($AI$2:$AI$200,$G238)&gt;0,
    COUNTIFS($AJ$2:$AJ$200,$G238)&gt;0,
    COUNTIFS($AK$2:$AK$200,$G238)&gt;0,
    COUNTIFS($AL$2:$AL$200,$G238)&gt;0,
    COUNTIFS($AM$2:$AM$200,$G238)&gt;0,
    COUNTIFS($AN$2:$AN$200,$G238)&gt;0,
    COUNTIFS($AO$2:$AO$200,$G238)&gt;0,
    COUNTIFS($AP$2:$AP$200,$G238)&gt;0,
    COUNTIFS($AQ$2:$AQ$200,$G238)&gt;0,
    COUNTIFS($AR$2:$AR$200,$G238)&gt;0,
    COUNTIFS($AS$2:$AS$200,$G238)&gt;0,
    COUNTIFS($AT$2:$AT$200,$G238)&gt;0,
    COUNTIFS($AU$2:$AU$200,$G238)&gt;0,
    COUNTIFS($AV$2:$AV$200,$G238)&gt;0,
    COUNTIFS($AW$2:$AW$200,$G238)&gt;0,
    COUNTIFS($AX$2:$AX$200,$G238)&gt;0
   ),
  0)
 ),
"")</f>
        <v>Gritrog</v>
      </c>
      <c r="D238" s="3" t="str" cm="1">
        <f t="array" aca="1" ref="D238" ca="1">IFERROR(
 INDEX(
  _xlfn._xlws.FILTER($U$1:$AX$1,
   TRANSPOSE(
    CHOOSE({1;2;3;4;5;6;7;8;9;10;11;12;13;14;15;16;17;18;19;20;21;22;23;24;25;26;27;28;29;30},
     COUNTIFS($U$2:$U$200,$G238)&gt;0,
     COUNTIFS($V$2:$V$200,$G238)&gt;0,
     COUNTIFS($W$2:$W$200,$G238)&gt;0,
     COUNTIFS($X$2:$X$200,$G238)&gt;0,
     COUNTIFS($Y$2:$Y$200,$G238)&gt;0,
     COUNTIFS($Z$2:$Z$200,$G238)&gt;0,
     COUNTIFS($AA$2:$AA$200,$G238)&gt;0,
     COUNTIFS($AB$2:$AB$200,$G238)&gt;0,
     COUNTIFS($AC$2:$AC$200,$G238)&gt;0,
     COUNTIFS($AD$2:$AD$200,$G238)&gt;0,
     COUNTIFS($AE$2:$AE$200,$G238)&gt;0,
     COUNTIFS($AF$2:$AF$200,$G238)&gt;0,
     COUNTIFS($AG$2:$AG$200,$G238)&gt;0,
     COUNTIFS($AH$2:$AH$200,$G238)&gt;0,
     COUNTIFS($AI$2:$AI$200,$G238)&gt;0,
     COUNTIFS($AJ$2:$AJ$200,$G238)&gt;0,
     COUNTIFS($AK$2:$AK$200,$G238)&gt;0,
     COUNTIFS($AL$2:$AL$200,$G238)&gt;0,
     COUNTIFS($AM$2:$AM$200,$G238)&gt;0,
     COUNTIFS($AN$2:$AN$200,$G238)&gt;0,
     COUNTIFS($AO$2:$AO$200,$G238)&gt;0,
     COUNTIFS($AP$2:$AP$200,$G238)&gt;0,
     COUNTIFS($AQ$2:$AQ$200,$G238)&gt;0,
     COUNTIFS($AR$2:$AR$200,$G238)&gt;0,
     COUNTIFS($AS$2:$AS$200,$G238)&gt;0,
     COUNTIFS($AT$2:$AT$200,$G238)&gt;0,
     COUNTIFS($AU$2:$AU$200,$G238)&gt;0,
     COUNTIFS($AV$2:$AV$200,$G238)&gt;0,
     COUNTIFS($AW$2:$AW$200,$G238)&gt;0,
     COUNTIFS($AX$2:$AX$200,$G238)&gt;0
   )),
  ),
  2
 ),
"")</f>
        <v/>
      </c>
      <c r="E238" s="3" t="str" cm="1">
        <f t="array" aca="1" ref="E238" ca="1">IFERROR(
 INDEX(
  _xlfn._xlws.FILTER($U$1:$AX$1,
   TRANSPOSE(
    CHOOSE({1;2;3;4;5;6;7;8;9;10;11;12;13;14;15;16;17;18;19;20;21;22;23;24;25;26;27;28;29;30},
     COUNTIFS($U$2:$U$200,$G238)&gt;0,
     COUNTIFS($V$2:$V$200,$G238)&gt;0,
     COUNTIFS($W$2:$W$200,$G238)&gt;0,
     COUNTIFS($X$2:$X$200,$G238)&gt;0,
     COUNTIFS($Y$2:$Y$200,$G238)&gt;0,
     COUNTIFS($Z$2:$Z$200,$G238)&gt;0,
     COUNTIFS($AA$2:$AA$200,$G238)&gt;0,
     COUNTIFS($AB$2:$AB$200,$G238)&gt;0,
     COUNTIFS($AC$2:$AC$200,$G238)&gt;0,
     COUNTIFS($AD$2:$AD$200,$G238)&gt;0,
     COUNTIFS($AE$2:$AE$200,$G238)&gt;0,
     COUNTIFS($AF$2:$AF$200,$G238)&gt;0,
     COUNTIFS($AG$2:$AG$200,$G238)&gt;0,
     COUNTIFS($AH$2:$AH$200,$G238)&gt;0,
     COUNTIFS($AI$2:$AI$200,$G238)&gt;0,
     COUNTIFS($AJ$2:$AJ$200,$G238)&gt;0,
     COUNTIFS($AK$2:$AK$200,$G238)&gt;0,
     COUNTIFS($AL$2:$AL$200,$G238)&gt;0,
     COUNTIFS($AM$2:$AM$200,$G238)&gt;0,
     COUNTIFS($AN$2:$AN$200,$G238)&gt;0,
     COUNTIFS($AO$2:$AO$200,$G238)&gt;0,
     COUNTIFS($AP$2:$AP$200,$G238)&gt;0,
     COUNTIFS($AQ$2:$AQ$200,$G238)&gt;0,
     COUNTIFS($AR$2:$AR$200,$G238)&gt;0,
     COUNTIFS($AS$2:$AS$200,$G238)&gt;0,
     COUNTIFS($AT$2:$AT$200,$G238)&gt;0,
     COUNTIFS($AU$2:$AU$200,$G238)&gt;0,
     COUNTIFS($AV$2:$AV$200,$G238)&gt;0,
     COUNTIFS($AW$2:$AW$200,$G238)&gt;0,
     COUNTIFS($AX$2:$AX$200,$G238)&gt;0
   )),
  ),
  3
 ),
"")</f>
        <v/>
      </c>
      <c r="F238" s="3" t="str" cm="1">
        <f t="array" aca="1" ref="F238" ca="1">IFERROR(
 INDEX(
  _xlfn._xlws.FILTER($U$1:$AX$1,
   TRANSPOSE(
    CHOOSE({1;2;3;4;5;6;7;8;9;10;11;12;13;14;15;16;17;18;19;20;21;22;23;24;25;26;27;28;29;30},
     COUNTIFS($U$2:$U$200,$G238)&gt;0,
     COUNTIFS($V$2:$V$200,$G238)&gt;0,
     COUNTIFS($W$2:$W$200,$G238)&gt;0,
     COUNTIFS($X$2:$X$200,$G238)&gt;0,
     COUNTIFS($Y$2:$Y$200,$G238)&gt;0,
     COUNTIFS($Z$2:$Z$200,$G238)&gt;0,
     COUNTIFS($AA$2:$AA$200,$G238)&gt;0,
     COUNTIFS($AB$2:$AB$200,$G238)&gt;0,
     COUNTIFS($AC$2:$AC$200,$G238)&gt;0,
     COUNTIFS($AD$2:$AD$200,$G238)&gt;0,
     COUNTIFS($AE$2:$AE$200,$G238)&gt;0,
     COUNTIFS($AF$2:$AF$200,$G238)&gt;0,
     COUNTIFS($AG$2:$AG$200,$G238)&gt;0,
     COUNTIFS($AH$2:$AH$200,$G238)&gt;0,
     COUNTIFS($AI$2:$AI$200,$G238)&gt;0,
     COUNTIFS($AJ$2:$AJ$200,$G238)&gt;0,
     COUNTIFS($AK$2:$AK$200,$G238)&gt;0,
     COUNTIFS($AL$2:$AL$200,$G238)&gt;0,
     COUNTIFS($AM$2:$AM$200,$G238)&gt;0,
     COUNTIFS($AN$2:$AN$200,$G238)&gt;0,
     COUNTIFS($AO$2:$AO$200,$G238)&gt;0,
     COUNTIFS($AP$2:$AP$200,$G238)&gt;0,
     COUNTIFS($AQ$2:$AQ$200,$G238)&gt;0,
     COUNTIFS($AR$2:$AR$200,$G238)&gt;0,
     COUNTIFS($AS$2:$AS$200,$G238)&gt;0,
     COUNTIFS($AT$2:$AT$200,$G238)&gt;0,
     COUNTIFS($AU$2:$AU$200,$G238)&gt;0,
     COUNTIFS($AV$2:$AV$200,$G238)&gt;0,
     COUNTIFS($AW$2:$AW$200,$G238)&gt;0,
     COUNTIFS($AX$2:$AX$200,$G238)&gt;0
   )),
  ),
  4
 ),
"")</f>
        <v/>
      </c>
      <c r="G238" t="str">
        <f ca="1"/>
        <v>Petrified Field</v>
      </c>
    </row>
    <row r="239" spans="1:72" x14ac:dyDescent="0.25">
      <c r="A239" s="3" t="str">
        <f t="shared" ca="1" si="8"/>
        <v>3</v>
      </c>
      <c r="B239" s="3">
        <f t="shared" ca="1" si="9"/>
        <v>1</v>
      </c>
      <c r="C239" s="3" t="str">
        <f ca="1">IFERROR(
 INDEX($U$1:$AX$1,
  MATCH(TRUE,
   CHOOSE({1;2;3;4;5;6;7;8;9;10;11;12;13;14;15;16;17;18;19;20;21;22;23;24;25;26;27;28;29;30;31;32},
    COUNTIFS($U$2:$U$200,$G239)&gt;0,
    COUNTIFS($V$2:$V$200,$G239)&gt;0,
    COUNTIFS($W$2:$W$200,$G239)&gt;0,
    COUNTIFS($X$2:$X$200,$G239)&gt;0,
    COUNTIFS($Y$2:$Y$200,$G239)&gt;0,
    COUNTIFS($Z$2:$Z$200,$G239)&gt;0,
    COUNTIFS($AA$2:$AA$200,$G239)&gt;0,
    COUNTIFS($AB$2:$AB$200,$G239)&gt;0,
    COUNTIFS($AC$2:$AC$200,$G239)&gt;0,
    COUNTIFS($AD$2:$AD$200,$G239)&gt;0,
    COUNTIFS($AE$2:$AE$200,$G239)&gt;0,
    COUNTIFS($AF$2:$AF$200,$G239)&gt;0,
    COUNTIFS($AG$2:$AG$200,$G239)&gt;0,
    COUNTIFS($AH$2:$AH$200,$G239)&gt;0,
    COUNTIFS($AI$2:$AI$200,$G239)&gt;0,
    COUNTIFS($AJ$2:$AJ$200,$G239)&gt;0,
    COUNTIFS($AK$2:$AK$200,$G239)&gt;0,
    COUNTIFS($AL$2:$AL$200,$G239)&gt;0,
    COUNTIFS($AM$2:$AM$200,$G239)&gt;0,
    COUNTIFS($AN$2:$AN$200,$G239)&gt;0,
    COUNTIFS($AO$2:$AO$200,$G239)&gt;0,
    COUNTIFS($AP$2:$AP$200,$G239)&gt;0,
    COUNTIFS($AQ$2:$AQ$200,$G239)&gt;0,
    COUNTIFS($AR$2:$AR$200,$G239)&gt;0,
    COUNTIFS($AS$2:$AS$200,$G239)&gt;0,
    COUNTIFS($AT$2:$AT$200,$G239)&gt;0,
    COUNTIFS($AU$2:$AU$200,$G239)&gt;0,
    COUNTIFS($AV$2:$AV$200,$G239)&gt;0,
    COUNTIFS($AW$2:$AW$200,$G239)&gt;0,
    COUNTIFS($AX$2:$AX$200,$G239)&gt;0
   ),
  0)
 ),
"")</f>
        <v>Gritrog</v>
      </c>
      <c r="D239" s="3" t="str" cm="1">
        <f t="array" aca="1" ref="D239" ca="1">IFERROR(
 INDEX(
  _xlfn._xlws.FILTER($U$1:$AX$1,
   TRANSPOSE(
    CHOOSE({1;2;3;4;5;6;7;8;9;10;11;12;13;14;15;16;17;18;19;20;21;22;23;24;25;26;27;28;29;30},
     COUNTIFS($U$2:$U$200,$G239)&gt;0,
     COUNTIFS($V$2:$V$200,$G239)&gt;0,
     COUNTIFS($W$2:$W$200,$G239)&gt;0,
     COUNTIFS($X$2:$X$200,$G239)&gt;0,
     COUNTIFS($Y$2:$Y$200,$G239)&gt;0,
     COUNTIFS($Z$2:$Z$200,$G239)&gt;0,
     COUNTIFS($AA$2:$AA$200,$G239)&gt;0,
     COUNTIFS($AB$2:$AB$200,$G239)&gt;0,
     COUNTIFS($AC$2:$AC$200,$G239)&gt;0,
     COUNTIFS($AD$2:$AD$200,$G239)&gt;0,
     COUNTIFS($AE$2:$AE$200,$G239)&gt;0,
     COUNTIFS($AF$2:$AF$200,$G239)&gt;0,
     COUNTIFS($AG$2:$AG$200,$G239)&gt;0,
     COUNTIFS($AH$2:$AH$200,$G239)&gt;0,
     COUNTIFS($AI$2:$AI$200,$G239)&gt;0,
     COUNTIFS($AJ$2:$AJ$200,$G239)&gt;0,
     COUNTIFS($AK$2:$AK$200,$G239)&gt;0,
     COUNTIFS($AL$2:$AL$200,$G239)&gt;0,
     COUNTIFS($AM$2:$AM$200,$G239)&gt;0,
     COUNTIFS($AN$2:$AN$200,$G239)&gt;0,
     COUNTIFS($AO$2:$AO$200,$G239)&gt;0,
     COUNTIFS($AP$2:$AP$200,$G239)&gt;0,
     COUNTIFS($AQ$2:$AQ$200,$G239)&gt;0,
     COUNTIFS($AR$2:$AR$200,$G239)&gt;0,
     COUNTIFS($AS$2:$AS$200,$G239)&gt;0,
     COUNTIFS($AT$2:$AT$200,$G239)&gt;0,
     COUNTIFS($AU$2:$AU$200,$G239)&gt;0,
     COUNTIFS($AV$2:$AV$200,$G239)&gt;0,
     COUNTIFS($AW$2:$AW$200,$G239)&gt;0,
     COUNTIFS($AX$2:$AX$200,$G239)&gt;0
   )),
  ),
  2
 ),
"")</f>
        <v/>
      </c>
      <c r="E239" s="3" t="str" cm="1">
        <f t="array" aca="1" ref="E239" ca="1">IFERROR(
 INDEX(
  _xlfn._xlws.FILTER($U$1:$AX$1,
   TRANSPOSE(
    CHOOSE({1;2;3;4;5;6;7;8;9;10;11;12;13;14;15;16;17;18;19;20;21;22;23;24;25;26;27;28;29;30},
     COUNTIFS($U$2:$U$200,$G239)&gt;0,
     COUNTIFS($V$2:$V$200,$G239)&gt;0,
     COUNTIFS($W$2:$W$200,$G239)&gt;0,
     COUNTIFS($X$2:$X$200,$G239)&gt;0,
     COUNTIFS($Y$2:$Y$200,$G239)&gt;0,
     COUNTIFS($Z$2:$Z$200,$G239)&gt;0,
     COUNTIFS($AA$2:$AA$200,$G239)&gt;0,
     COUNTIFS($AB$2:$AB$200,$G239)&gt;0,
     COUNTIFS($AC$2:$AC$200,$G239)&gt;0,
     COUNTIFS($AD$2:$AD$200,$G239)&gt;0,
     COUNTIFS($AE$2:$AE$200,$G239)&gt;0,
     COUNTIFS($AF$2:$AF$200,$G239)&gt;0,
     COUNTIFS($AG$2:$AG$200,$G239)&gt;0,
     COUNTIFS($AH$2:$AH$200,$G239)&gt;0,
     COUNTIFS($AI$2:$AI$200,$G239)&gt;0,
     COUNTIFS($AJ$2:$AJ$200,$G239)&gt;0,
     COUNTIFS($AK$2:$AK$200,$G239)&gt;0,
     COUNTIFS($AL$2:$AL$200,$G239)&gt;0,
     COUNTIFS($AM$2:$AM$200,$G239)&gt;0,
     COUNTIFS($AN$2:$AN$200,$G239)&gt;0,
     COUNTIFS($AO$2:$AO$200,$G239)&gt;0,
     COUNTIFS($AP$2:$AP$200,$G239)&gt;0,
     COUNTIFS($AQ$2:$AQ$200,$G239)&gt;0,
     COUNTIFS($AR$2:$AR$200,$G239)&gt;0,
     COUNTIFS($AS$2:$AS$200,$G239)&gt;0,
     COUNTIFS($AT$2:$AT$200,$G239)&gt;0,
     COUNTIFS($AU$2:$AU$200,$G239)&gt;0,
     COUNTIFS($AV$2:$AV$200,$G239)&gt;0,
     COUNTIFS($AW$2:$AW$200,$G239)&gt;0,
     COUNTIFS($AX$2:$AX$200,$G239)&gt;0
   )),
  ),
  3
 ),
"")</f>
        <v/>
      </c>
      <c r="F239" s="3" t="str" cm="1">
        <f t="array" aca="1" ref="F239" ca="1">IFERROR(
 INDEX(
  _xlfn._xlws.FILTER($U$1:$AX$1,
   TRANSPOSE(
    CHOOSE({1;2;3;4;5;6;7;8;9;10;11;12;13;14;15;16;17;18;19;20;21;22;23;24;25;26;27;28;29;30},
     COUNTIFS($U$2:$U$200,$G239)&gt;0,
     COUNTIFS($V$2:$V$200,$G239)&gt;0,
     COUNTIFS($W$2:$W$200,$G239)&gt;0,
     COUNTIFS($X$2:$X$200,$G239)&gt;0,
     COUNTIFS($Y$2:$Y$200,$G239)&gt;0,
     COUNTIFS($Z$2:$Z$200,$G239)&gt;0,
     COUNTIFS($AA$2:$AA$200,$G239)&gt;0,
     COUNTIFS($AB$2:$AB$200,$G239)&gt;0,
     COUNTIFS($AC$2:$AC$200,$G239)&gt;0,
     COUNTIFS($AD$2:$AD$200,$G239)&gt;0,
     COUNTIFS($AE$2:$AE$200,$G239)&gt;0,
     COUNTIFS($AF$2:$AF$200,$G239)&gt;0,
     COUNTIFS($AG$2:$AG$200,$G239)&gt;0,
     COUNTIFS($AH$2:$AH$200,$G239)&gt;0,
     COUNTIFS($AI$2:$AI$200,$G239)&gt;0,
     COUNTIFS($AJ$2:$AJ$200,$G239)&gt;0,
     COUNTIFS($AK$2:$AK$200,$G239)&gt;0,
     COUNTIFS($AL$2:$AL$200,$G239)&gt;0,
     COUNTIFS($AM$2:$AM$200,$G239)&gt;0,
     COUNTIFS($AN$2:$AN$200,$G239)&gt;0,
     COUNTIFS($AO$2:$AO$200,$G239)&gt;0,
     COUNTIFS($AP$2:$AP$200,$G239)&gt;0,
     COUNTIFS($AQ$2:$AQ$200,$G239)&gt;0,
     COUNTIFS($AR$2:$AR$200,$G239)&gt;0,
     COUNTIFS($AS$2:$AS$200,$G239)&gt;0,
     COUNTIFS($AT$2:$AT$200,$G239)&gt;0,
     COUNTIFS($AU$2:$AU$200,$G239)&gt;0,
     COUNTIFS($AV$2:$AV$200,$G239)&gt;0,
     COUNTIFS($AW$2:$AW$200,$G239)&gt;0,
     COUNTIFS($AX$2:$AX$200,$G239)&gt;0
   )),
  ),
  4
 ),
"")</f>
        <v/>
      </c>
      <c r="G239" t="str">
        <f ca="1"/>
        <v>Phyrexian Tower</v>
      </c>
    </row>
    <row r="240" spans="1:72" x14ac:dyDescent="0.25">
      <c r="A240" s="3" t="str">
        <f t="shared" ca="1" si="8"/>
        <v>1</v>
      </c>
      <c r="B240" s="3">
        <f t="shared" ca="1" si="9"/>
        <v>1</v>
      </c>
      <c r="C240" s="3" t="str">
        <f ca="1">IFERROR(
 INDEX($U$1:$AX$1,
  MATCH(TRUE,
   CHOOSE({1;2;3;4;5;6;7;8;9;10;11;12;13;14;15;16;17;18;19;20;21;22;23;24;25;26;27;28;29;30;31;32},
    COUNTIFS($U$2:$U$200,$G240)&gt;0,
    COUNTIFS($V$2:$V$200,$G240)&gt;0,
    COUNTIFS($W$2:$W$200,$G240)&gt;0,
    COUNTIFS($X$2:$X$200,$G240)&gt;0,
    COUNTIFS($Y$2:$Y$200,$G240)&gt;0,
    COUNTIFS($Z$2:$Z$200,$G240)&gt;0,
    COUNTIFS($AA$2:$AA$200,$G240)&gt;0,
    COUNTIFS($AB$2:$AB$200,$G240)&gt;0,
    COUNTIFS($AC$2:$AC$200,$G240)&gt;0,
    COUNTIFS($AD$2:$AD$200,$G240)&gt;0,
    COUNTIFS($AE$2:$AE$200,$G240)&gt;0,
    COUNTIFS($AF$2:$AF$200,$G240)&gt;0,
    COUNTIFS($AG$2:$AG$200,$G240)&gt;0,
    COUNTIFS($AH$2:$AH$200,$G240)&gt;0,
    COUNTIFS($AI$2:$AI$200,$G240)&gt;0,
    COUNTIFS($AJ$2:$AJ$200,$G240)&gt;0,
    COUNTIFS($AK$2:$AK$200,$G240)&gt;0,
    COUNTIFS($AL$2:$AL$200,$G240)&gt;0,
    COUNTIFS($AM$2:$AM$200,$G240)&gt;0,
    COUNTIFS($AN$2:$AN$200,$G240)&gt;0,
    COUNTIFS($AO$2:$AO$200,$G240)&gt;0,
    COUNTIFS($AP$2:$AP$200,$G240)&gt;0,
    COUNTIFS($AQ$2:$AQ$200,$G240)&gt;0,
    COUNTIFS($AR$2:$AR$200,$G240)&gt;0,
    COUNTIFS($AS$2:$AS$200,$G240)&gt;0,
    COUNTIFS($AT$2:$AT$200,$G240)&gt;0,
    COUNTIFS($AU$2:$AU$200,$G240)&gt;0,
    COUNTIFS($AV$2:$AV$200,$G240)&gt;0,
    COUNTIFS($AW$2:$AW$200,$G240)&gt;0,
    COUNTIFS($AX$2:$AX$200,$G240)&gt;0
   ),
  0)
 ),
"")</f>
        <v>Modular</v>
      </c>
      <c r="D240" s="3" t="str" cm="1">
        <f t="array" aca="1" ref="D240" ca="1">IFERROR(
 INDEX(
  _xlfn._xlws.FILTER($U$1:$AX$1,
   TRANSPOSE(
    CHOOSE({1;2;3;4;5;6;7;8;9;10;11;12;13;14;15;16;17;18;19;20;21;22;23;24;25;26;27;28;29;30},
     COUNTIFS($U$2:$U$200,$G240)&gt;0,
     COUNTIFS($V$2:$V$200,$G240)&gt;0,
     COUNTIFS($W$2:$W$200,$G240)&gt;0,
     COUNTIFS($X$2:$X$200,$G240)&gt;0,
     COUNTIFS($Y$2:$Y$200,$G240)&gt;0,
     COUNTIFS($Z$2:$Z$200,$G240)&gt;0,
     COUNTIFS($AA$2:$AA$200,$G240)&gt;0,
     COUNTIFS($AB$2:$AB$200,$G240)&gt;0,
     COUNTIFS($AC$2:$AC$200,$G240)&gt;0,
     COUNTIFS($AD$2:$AD$200,$G240)&gt;0,
     COUNTIFS($AE$2:$AE$200,$G240)&gt;0,
     COUNTIFS($AF$2:$AF$200,$G240)&gt;0,
     COUNTIFS($AG$2:$AG$200,$G240)&gt;0,
     COUNTIFS($AH$2:$AH$200,$G240)&gt;0,
     COUNTIFS($AI$2:$AI$200,$G240)&gt;0,
     COUNTIFS($AJ$2:$AJ$200,$G240)&gt;0,
     COUNTIFS($AK$2:$AK$200,$G240)&gt;0,
     COUNTIFS($AL$2:$AL$200,$G240)&gt;0,
     COUNTIFS($AM$2:$AM$200,$G240)&gt;0,
     COUNTIFS($AN$2:$AN$200,$G240)&gt;0,
     COUNTIFS($AO$2:$AO$200,$G240)&gt;0,
     COUNTIFS($AP$2:$AP$200,$G240)&gt;0,
     COUNTIFS($AQ$2:$AQ$200,$G240)&gt;0,
     COUNTIFS($AR$2:$AR$200,$G240)&gt;0,
     COUNTIFS($AS$2:$AS$200,$G240)&gt;0,
     COUNTIFS($AT$2:$AT$200,$G240)&gt;0,
     COUNTIFS($AU$2:$AU$200,$G240)&gt;0,
     COUNTIFS($AV$2:$AV$200,$G240)&gt;0,
     COUNTIFS($AW$2:$AW$200,$G240)&gt;0,
     COUNTIFS($AX$2:$AX$200,$G240)&gt;0
   )),
  ),
  2
 ),
"")</f>
        <v/>
      </c>
      <c r="E240" s="3" t="str" cm="1">
        <f t="array" aca="1" ref="E240" ca="1">IFERROR(
 INDEX(
  _xlfn._xlws.FILTER($U$1:$AX$1,
   TRANSPOSE(
    CHOOSE({1;2;3;4;5;6;7;8;9;10;11;12;13;14;15;16;17;18;19;20;21;22;23;24;25;26;27;28;29;30},
     COUNTIFS($U$2:$U$200,$G240)&gt;0,
     COUNTIFS($V$2:$V$200,$G240)&gt;0,
     COUNTIFS($W$2:$W$200,$G240)&gt;0,
     COUNTIFS($X$2:$X$200,$G240)&gt;0,
     COUNTIFS($Y$2:$Y$200,$G240)&gt;0,
     COUNTIFS($Z$2:$Z$200,$G240)&gt;0,
     COUNTIFS($AA$2:$AA$200,$G240)&gt;0,
     COUNTIFS($AB$2:$AB$200,$G240)&gt;0,
     COUNTIFS($AC$2:$AC$200,$G240)&gt;0,
     COUNTIFS($AD$2:$AD$200,$G240)&gt;0,
     COUNTIFS($AE$2:$AE$200,$G240)&gt;0,
     COUNTIFS($AF$2:$AF$200,$G240)&gt;0,
     COUNTIFS($AG$2:$AG$200,$G240)&gt;0,
     COUNTIFS($AH$2:$AH$200,$G240)&gt;0,
     COUNTIFS($AI$2:$AI$200,$G240)&gt;0,
     COUNTIFS($AJ$2:$AJ$200,$G240)&gt;0,
     COUNTIFS($AK$2:$AK$200,$G240)&gt;0,
     COUNTIFS($AL$2:$AL$200,$G240)&gt;0,
     COUNTIFS($AM$2:$AM$200,$G240)&gt;0,
     COUNTIFS($AN$2:$AN$200,$G240)&gt;0,
     COUNTIFS($AO$2:$AO$200,$G240)&gt;0,
     COUNTIFS($AP$2:$AP$200,$G240)&gt;0,
     COUNTIFS($AQ$2:$AQ$200,$G240)&gt;0,
     COUNTIFS($AR$2:$AR$200,$G240)&gt;0,
     COUNTIFS($AS$2:$AS$200,$G240)&gt;0,
     COUNTIFS($AT$2:$AT$200,$G240)&gt;0,
     COUNTIFS($AU$2:$AU$200,$G240)&gt;0,
     COUNTIFS($AV$2:$AV$200,$G240)&gt;0,
     COUNTIFS($AW$2:$AW$200,$G240)&gt;0,
     COUNTIFS($AX$2:$AX$200,$G240)&gt;0
   )),
  ),
  3
 ),
"")</f>
        <v/>
      </c>
      <c r="F240" s="3" t="str" cm="1">
        <f t="array" aca="1" ref="F240" ca="1">IFERROR(
 INDEX(
  _xlfn._xlws.FILTER($U$1:$AX$1,
   TRANSPOSE(
    CHOOSE({1;2;3;4;5;6;7;8;9;10;11;12;13;14;15;16;17;18;19;20;21;22;23;24;25;26;27;28;29;30},
     COUNTIFS($U$2:$U$200,$G240)&gt;0,
     COUNTIFS($V$2:$V$200,$G240)&gt;0,
     COUNTIFS($W$2:$W$200,$G240)&gt;0,
     COUNTIFS($X$2:$X$200,$G240)&gt;0,
     COUNTIFS($Y$2:$Y$200,$G240)&gt;0,
     COUNTIFS($Z$2:$Z$200,$G240)&gt;0,
     COUNTIFS($AA$2:$AA$200,$G240)&gt;0,
     COUNTIFS($AB$2:$AB$200,$G240)&gt;0,
     COUNTIFS($AC$2:$AC$200,$G240)&gt;0,
     COUNTIFS($AD$2:$AD$200,$G240)&gt;0,
     COUNTIFS($AE$2:$AE$200,$G240)&gt;0,
     COUNTIFS($AF$2:$AF$200,$G240)&gt;0,
     COUNTIFS($AG$2:$AG$200,$G240)&gt;0,
     COUNTIFS($AH$2:$AH$200,$G240)&gt;0,
     COUNTIFS($AI$2:$AI$200,$G240)&gt;0,
     COUNTIFS($AJ$2:$AJ$200,$G240)&gt;0,
     COUNTIFS($AK$2:$AK$200,$G240)&gt;0,
     COUNTIFS($AL$2:$AL$200,$G240)&gt;0,
     COUNTIFS($AM$2:$AM$200,$G240)&gt;0,
     COUNTIFS($AN$2:$AN$200,$G240)&gt;0,
     COUNTIFS($AO$2:$AO$200,$G240)&gt;0,
     COUNTIFS($AP$2:$AP$200,$G240)&gt;0,
     COUNTIFS($AQ$2:$AQ$200,$G240)&gt;0,
     COUNTIFS($AR$2:$AR$200,$G240)&gt;0,
     COUNTIFS($AS$2:$AS$200,$G240)&gt;0,
     COUNTIFS($AT$2:$AT$200,$G240)&gt;0,
     COUNTIFS($AU$2:$AU$200,$G240)&gt;0,
     COUNTIFS($AV$2:$AV$200,$G240)&gt;0,
     COUNTIFS($AW$2:$AW$200,$G240)&gt;0,
     COUNTIFS($AX$2:$AX$200,$G240)&gt;0
   )),
  ),
  4
 ),
"")</f>
        <v/>
      </c>
      <c r="G240" t="str">
        <f ca="1"/>
        <v>Phyrexia's Core</v>
      </c>
    </row>
    <row r="241" spans="1:7" x14ac:dyDescent="0.25">
      <c r="A241" s="3" t="str">
        <f t="shared" ca="1" si="8"/>
        <v>1</v>
      </c>
      <c r="B241" s="3">
        <f t="shared" ca="1" si="9"/>
        <v>3</v>
      </c>
      <c r="C241" s="3" t="str">
        <f ca="1">IFERROR(
 INDEX($U$1:$AX$1,
  MATCH(TRUE,
   CHOOSE({1;2;3;4;5;6;7;8;9;10;11;12;13;14;15;16;17;18;19;20;21;22;23;24;25;26;27;28;29;30;31;32},
    COUNTIFS($U$2:$U$200,$G241)&gt;0,
    COUNTIFS($V$2:$V$200,$G241)&gt;0,
    COUNTIFS($W$2:$W$200,$G241)&gt;0,
    COUNTIFS($X$2:$X$200,$G241)&gt;0,
    COUNTIFS($Y$2:$Y$200,$G241)&gt;0,
    COUNTIFS($Z$2:$Z$200,$G241)&gt;0,
    COUNTIFS($AA$2:$AA$200,$G241)&gt;0,
    COUNTIFS($AB$2:$AB$200,$G241)&gt;0,
    COUNTIFS($AC$2:$AC$200,$G241)&gt;0,
    COUNTIFS($AD$2:$AD$200,$G241)&gt;0,
    COUNTIFS($AE$2:$AE$200,$G241)&gt;0,
    COUNTIFS($AF$2:$AF$200,$G241)&gt;0,
    COUNTIFS($AG$2:$AG$200,$G241)&gt;0,
    COUNTIFS($AH$2:$AH$200,$G241)&gt;0,
    COUNTIFS($AI$2:$AI$200,$G241)&gt;0,
    COUNTIFS($AJ$2:$AJ$200,$G241)&gt;0,
    COUNTIFS($AK$2:$AK$200,$G241)&gt;0,
    COUNTIFS($AL$2:$AL$200,$G241)&gt;0,
    COUNTIFS($AM$2:$AM$200,$G241)&gt;0,
    COUNTIFS($AN$2:$AN$200,$G241)&gt;0,
    COUNTIFS($AO$2:$AO$200,$G241)&gt;0,
    COUNTIFS($AP$2:$AP$200,$G241)&gt;0,
    COUNTIFS($AQ$2:$AQ$200,$G241)&gt;0,
    COUNTIFS($AR$2:$AR$200,$G241)&gt;0,
    COUNTIFS($AS$2:$AS$200,$G241)&gt;0,
    COUNTIFS($AT$2:$AT$200,$G241)&gt;0,
    COUNTIFS($AU$2:$AU$200,$G241)&gt;0,
    COUNTIFS($AV$2:$AV$200,$G241)&gt;0,
    COUNTIFS($AW$2:$AW$200,$G241)&gt;0,
    COUNTIFS($AX$2:$AX$200,$G241)&gt;0
   ),
  0)
 ),
"")</f>
        <v>Modular</v>
      </c>
      <c r="D241" s="3" t="str" cm="1">
        <f t="array" aca="1" ref="D241" ca="1">IFERROR(
 INDEX(
  _xlfn._xlws.FILTER($U$1:$AX$1,
   TRANSPOSE(
    CHOOSE({1;2;3;4;5;6;7;8;9;10;11;12;13;14;15;16;17;18;19;20;21;22;23;24;25;26;27;28;29;30},
     COUNTIFS($U$2:$U$200,$G241)&gt;0,
     COUNTIFS($V$2:$V$200,$G241)&gt;0,
     COUNTIFS($W$2:$W$200,$G241)&gt;0,
     COUNTIFS($X$2:$X$200,$G241)&gt;0,
     COUNTIFS($Y$2:$Y$200,$G241)&gt;0,
     COUNTIFS($Z$2:$Z$200,$G241)&gt;0,
     COUNTIFS($AA$2:$AA$200,$G241)&gt;0,
     COUNTIFS($AB$2:$AB$200,$G241)&gt;0,
     COUNTIFS($AC$2:$AC$200,$G241)&gt;0,
     COUNTIFS($AD$2:$AD$200,$G241)&gt;0,
     COUNTIFS($AE$2:$AE$200,$G241)&gt;0,
     COUNTIFS($AF$2:$AF$200,$G241)&gt;0,
     COUNTIFS($AG$2:$AG$200,$G241)&gt;0,
     COUNTIFS($AH$2:$AH$200,$G241)&gt;0,
     COUNTIFS($AI$2:$AI$200,$G241)&gt;0,
     COUNTIFS($AJ$2:$AJ$200,$G241)&gt;0,
     COUNTIFS($AK$2:$AK$200,$G241)&gt;0,
     COUNTIFS($AL$2:$AL$200,$G241)&gt;0,
     COUNTIFS($AM$2:$AM$200,$G241)&gt;0,
     COUNTIFS($AN$2:$AN$200,$G241)&gt;0,
     COUNTIFS($AO$2:$AO$200,$G241)&gt;0,
     COUNTIFS($AP$2:$AP$200,$G241)&gt;0,
     COUNTIFS($AQ$2:$AQ$200,$G241)&gt;0,
     COUNTIFS($AR$2:$AR$200,$G241)&gt;0,
     COUNTIFS($AS$2:$AS$200,$G241)&gt;0,
     COUNTIFS($AT$2:$AT$200,$G241)&gt;0,
     COUNTIFS($AU$2:$AU$200,$G241)&gt;0,
     COUNTIFS($AV$2:$AV$200,$G241)&gt;0,
     COUNTIFS($AW$2:$AW$200,$G241)&gt;0,
     COUNTIFS($AX$2:$AX$200,$G241)&gt;0
   )),
  ),
  2
 ),
"")</f>
        <v/>
      </c>
      <c r="E241" s="3" t="str" cm="1">
        <f t="array" aca="1" ref="E241" ca="1">IFERROR(
 INDEX(
  _xlfn._xlws.FILTER($U$1:$AX$1,
   TRANSPOSE(
    CHOOSE({1;2;3;4;5;6;7;8;9;10;11;12;13;14;15;16;17;18;19;20;21;22;23;24;25;26;27;28;29;30},
     COUNTIFS($U$2:$U$200,$G241)&gt;0,
     COUNTIFS($V$2:$V$200,$G241)&gt;0,
     COUNTIFS($W$2:$W$200,$G241)&gt;0,
     COUNTIFS($X$2:$X$200,$G241)&gt;0,
     COUNTIFS($Y$2:$Y$200,$G241)&gt;0,
     COUNTIFS($Z$2:$Z$200,$G241)&gt;0,
     COUNTIFS($AA$2:$AA$200,$G241)&gt;0,
     COUNTIFS($AB$2:$AB$200,$G241)&gt;0,
     COUNTIFS($AC$2:$AC$200,$G241)&gt;0,
     COUNTIFS($AD$2:$AD$200,$G241)&gt;0,
     COUNTIFS($AE$2:$AE$200,$G241)&gt;0,
     COUNTIFS($AF$2:$AF$200,$G241)&gt;0,
     COUNTIFS($AG$2:$AG$200,$G241)&gt;0,
     COUNTIFS($AH$2:$AH$200,$G241)&gt;0,
     COUNTIFS($AI$2:$AI$200,$G241)&gt;0,
     COUNTIFS($AJ$2:$AJ$200,$G241)&gt;0,
     COUNTIFS($AK$2:$AK$200,$G241)&gt;0,
     COUNTIFS($AL$2:$AL$200,$G241)&gt;0,
     COUNTIFS($AM$2:$AM$200,$G241)&gt;0,
     COUNTIFS($AN$2:$AN$200,$G241)&gt;0,
     COUNTIFS($AO$2:$AO$200,$G241)&gt;0,
     COUNTIFS($AP$2:$AP$200,$G241)&gt;0,
     COUNTIFS($AQ$2:$AQ$200,$G241)&gt;0,
     COUNTIFS($AR$2:$AR$200,$G241)&gt;0,
     COUNTIFS($AS$2:$AS$200,$G241)&gt;0,
     COUNTIFS($AT$2:$AT$200,$G241)&gt;0,
     COUNTIFS($AU$2:$AU$200,$G241)&gt;0,
     COUNTIFS($AV$2:$AV$200,$G241)&gt;0,
     COUNTIFS($AW$2:$AW$200,$G241)&gt;0,
     COUNTIFS($AX$2:$AX$200,$G241)&gt;0
   )),
  ),
  3
 ),
"")</f>
        <v/>
      </c>
      <c r="F241" s="3" t="str" cm="1">
        <f t="array" aca="1" ref="F241" ca="1">IFERROR(
 INDEX(
  _xlfn._xlws.FILTER($U$1:$AX$1,
   TRANSPOSE(
    CHOOSE({1;2;3;4;5;6;7;8;9;10;11;12;13;14;15;16;17;18;19;20;21;22;23;24;25;26;27;28;29;30},
     COUNTIFS($U$2:$U$200,$G241)&gt;0,
     COUNTIFS($V$2:$V$200,$G241)&gt;0,
     COUNTIFS($W$2:$W$200,$G241)&gt;0,
     COUNTIFS($X$2:$X$200,$G241)&gt;0,
     COUNTIFS($Y$2:$Y$200,$G241)&gt;0,
     COUNTIFS($Z$2:$Z$200,$G241)&gt;0,
     COUNTIFS($AA$2:$AA$200,$G241)&gt;0,
     COUNTIFS($AB$2:$AB$200,$G241)&gt;0,
     COUNTIFS($AC$2:$AC$200,$G241)&gt;0,
     COUNTIFS($AD$2:$AD$200,$G241)&gt;0,
     COUNTIFS($AE$2:$AE$200,$G241)&gt;0,
     COUNTIFS($AF$2:$AF$200,$G241)&gt;0,
     COUNTIFS($AG$2:$AG$200,$G241)&gt;0,
     COUNTIFS($AH$2:$AH$200,$G241)&gt;0,
     COUNTIFS($AI$2:$AI$200,$G241)&gt;0,
     COUNTIFS($AJ$2:$AJ$200,$G241)&gt;0,
     COUNTIFS($AK$2:$AK$200,$G241)&gt;0,
     COUNTIFS($AL$2:$AL$200,$G241)&gt;0,
     COUNTIFS($AM$2:$AM$200,$G241)&gt;0,
     COUNTIFS($AN$2:$AN$200,$G241)&gt;0,
     COUNTIFS($AO$2:$AO$200,$G241)&gt;0,
     COUNTIFS($AP$2:$AP$200,$G241)&gt;0,
     COUNTIFS($AQ$2:$AQ$200,$G241)&gt;0,
     COUNTIFS($AR$2:$AR$200,$G241)&gt;0,
     COUNTIFS($AS$2:$AS$200,$G241)&gt;0,
     COUNTIFS($AT$2:$AT$200,$G241)&gt;0,
     COUNTIFS($AU$2:$AU$200,$G241)&gt;0,
     COUNTIFS($AV$2:$AV$200,$G241)&gt;0,
     COUNTIFS($AW$2:$AW$200,$G241)&gt;0,
     COUNTIFS($AX$2:$AX$200,$G241)&gt;0
   )),
  ),
  4
 ),
"")</f>
        <v/>
      </c>
      <c r="G241" t="str">
        <f ca="1"/>
        <v>Plains</v>
      </c>
    </row>
    <row r="242" spans="1:7" x14ac:dyDescent="0.25">
      <c r="A242" s="3" t="str">
        <f t="shared" ca="1" si="8"/>
        <v>5</v>
      </c>
      <c r="B242" s="3">
        <f t="shared" ca="1" si="9"/>
        <v>1</v>
      </c>
      <c r="C242" s="3" t="str">
        <f ca="1">IFERROR(
 INDEX($U$1:$AX$1,
  MATCH(TRUE,
   CHOOSE({1;2;3;4;5;6;7;8;9;10;11;12;13;14;15;16;17;18;19;20;21;22;23;24;25;26;27;28;29;30;31;32},
    COUNTIFS($U$2:$U$200,$G242)&gt;0,
    COUNTIFS($V$2:$V$200,$G242)&gt;0,
    COUNTIFS($W$2:$W$200,$G242)&gt;0,
    COUNTIFS($X$2:$X$200,$G242)&gt;0,
    COUNTIFS($Y$2:$Y$200,$G242)&gt;0,
    COUNTIFS($Z$2:$Z$200,$G242)&gt;0,
    COUNTIFS($AA$2:$AA$200,$G242)&gt;0,
    COUNTIFS($AB$2:$AB$200,$G242)&gt;0,
    COUNTIFS($AC$2:$AC$200,$G242)&gt;0,
    COUNTIFS($AD$2:$AD$200,$G242)&gt;0,
    COUNTIFS($AE$2:$AE$200,$G242)&gt;0,
    COUNTIFS($AF$2:$AF$200,$G242)&gt;0,
    COUNTIFS($AG$2:$AG$200,$G242)&gt;0,
    COUNTIFS($AH$2:$AH$200,$G242)&gt;0,
    COUNTIFS($AI$2:$AI$200,$G242)&gt;0,
    COUNTIFS($AJ$2:$AJ$200,$G242)&gt;0,
    COUNTIFS($AK$2:$AK$200,$G242)&gt;0,
    COUNTIFS($AL$2:$AL$200,$G242)&gt;0,
    COUNTIFS($AM$2:$AM$200,$G242)&gt;0,
    COUNTIFS($AN$2:$AN$200,$G242)&gt;0,
    COUNTIFS($AO$2:$AO$200,$G242)&gt;0,
    COUNTIFS($AP$2:$AP$200,$G242)&gt;0,
    COUNTIFS($AQ$2:$AQ$200,$G242)&gt;0,
    COUNTIFS($AR$2:$AR$200,$G242)&gt;0,
    COUNTIFS($AS$2:$AS$200,$G242)&gt;0,
    COUNTIFS($AT$2:$AT$200,$G242)&gt;0,
    COUNTIFS($AU$2:$AU$200,$G242)&gt;0,
    COUNTIFS($AV$2:$AV$200,$G242)&gt;0,
    COUNTIFS($AW$2:$AW$200,$G242)&gt;0,
    COUNTIFS($AX$2:$AX$200,$G242)&gt;0
   ),
  0)
 ),
"")</f>
        <v>Jhoira</v>
      </c>
      <c r="D242" s="3" t="str" cm="1">
        <f t="array" aca="1" ref="D242" ca="1">IFERROR(
 INDEX(
  _xlfn._xlws.FILTER($U$1:$AX$1,
   TRANSPOSE(
    CHOOSE({1;2;3;4;5;6;7;8;9;10;11;12;13;14;15;16;17;18;19;20;21;22;23;24;25;26;27;28;29;30},
     COUNTIFS($U$2:$U$200,$G242)&gt;0,
     COUNTIFS($V$2:$V$200,$G242)&gt;0,
     COUNTIFS($W$2:$W$200,$G242)&gt;0,
     COUNTIFS($X$2:$X$200,$G242)&gt;0,
     COUNTIFS($Y$2:$Y$200,$G242)&gt;0,
     COUNTIFS($Z$2:$Z$200,$G242)&gt;0,
     COUNTIFS($AA$2:$AA$200,$G242)&gt;0,
     COUNTIFS($AB$2:$AB$200,$G242)&gt;0,
     COUNTIFS($AC$2:$AC$200,$G242)&gt;0,
     COUNTIFS($AD$2:$AD$200,$G242)&gt;0,
     COUNTIFS($AE$2:$AE$200,$G242)&gt;0,
     COUNTIFS($AF$2:$AF$200,$G242)&gt;0,
     COUNTIFS($AG$2:$AG$200,$G242)&gt;0,
     COUNTIFS($AH$2:$AH$200,$G242)&gt;0,
     COUNTIFS($AI$2:$AI$200,$G242)&gt;0,
     COUNTIFS($AJ$2:$AJ$200,$G242)&gt;0,
     COUNTIFS($AK$2:$AK$200,$G242)&gt;0,
     COUNTIFS($AL$2:$AL$200,$G242)&gt;0,
     COUNTIFS($AM$2:$AM$200,$G242)&gt;0,
     COUNTIFS($AN$2:$AN$200,$G242)&gt;0,
     COUNTIFS($AO$2:$AO$200,$G242)&gt;0,
     COUNTIFS($AP$2:$AP$200,$G242)&gt;0,
     COUNTIFS($AQ$2:$AQ$200,$G242)&gt;0,
     COUNTIFS($AR$2:$AR$200,$G242)&gt;0,
     COUNTIFS($AS$2:$AS$200,$G242)&gt;0,
     COUNTIFS($AT$2:$AT$200,$G242)&gt;0,
     COUNTIFS($AU$2:$AU$200,$G242)&gt;0,
     COUNTIFS($AV$2:$AV$200,$G242)&gt;0,
     COUNTIFS($AW$2:$AW$200,$G242)&gt;0,
     COUNTIFS($AX$2:$AX$200,$G242)&gt;0
   )),
  ),
  2
 ),
"")</f>
        <v/>
      </c>
      <c r="E242" s="3" t="str" cm="1">
        <f t="array" aca="1" ref="E242" ca="1">IFERROR(
 INDEX(
  _xlfn._xlws.FILTER($U$1:$AX$1,
   TRANSPOSE(
    CHOOSE({1;2;3;4;5;6;7;8;9;10;11;12;13;14;15;16;17;18;19;20;21;22;23;24;25;26;27;28;29;30},
     COUNTIFS($U$2:$U$200,$G242)&gt;0,
     COUNTIFS($V$2:$V$200,$G242)&gt;0,
     COUNTIFS($W$2:$W$200,$G242)&gt;0,
     COUNTIFS($X$2:$X$200,$G242)&gt;0,
     COUNTIFS($Y$2:$Y$200,$G242)&gt;0,
     COUNTIFS($Z$2:$Z$200,$G242)&gt;0,
     COUNTIFS($AA$2:$AA$200,$G242)&gt;0,
     COUNTIFS($AB$2:$AB$200,$G242)&gt;0,
     COUNTIFS($AC$2:$AC$200,$G242)&gt;0,
     COUNTIFS($AD$2:$AD$200,$G242)&gt;0,
     COUNTIFS($AE$2:$AE$200,$G242)&gt;0,
     COUNTIFS($AF$2:$AF$200,$G242)&gt;0,
     COUNTIFS($AG$2:$AG$200,$G242)&gt;0,
     COUNTIFS($AH$2:$AH$200,$G242)&gt;0,
     COUNTIFS($AI$2:$AI$200,$G242)&gt;0,
     COUNTIFS($AJ$2:$AJ$200,$G242)&gt;0,
     COUNTIFS($AK$2:$AK$200,$G242)&gt;0,
     COUNTIFS($AL$2:$AL$200,$G242)&gt;0,
     COUNTIFS($AM$2:$AM$200,$G242)&gt;0,
     COUNTIFS($AN$2:$AN$200,$G242)&gt;0,
     COUNTIFS($AO$2:$AO$200,$G242)&gt;0,
     COUNTIFS($AP$2:$AP$200,$G242)&gt;0,
     COUNTIFS($AQ$2:$AQ$200,$G242)&gt;0,
     COUNTIFS($AR$2:$AR$200,$G242)&gt;0,
     COUNTIFS($AS$2:$AS$200,$G242)&gt;0,
     COUNTIFS($AT$2:$AT$200,$G242)&gt;0,
     COUNTIFS($AU$2:$AU$200,$G242)&gt;0,
     COUNTIFS($AV$2:$AV$200,$G242)&gt;0,
     COUNTIFS($AW$2:$AW$200,$G242)&gt;0,
     COUNTIFS($AX$2:$AX$200,$G242)&gt;0
   )),
  ),
  3
 ),
"")</f>
        <v/>
      </c>
      <c r="F242" s="3" t="str" cm="1">
        <f t="array" aca="1" ref="F242" ca="1">IFERROR(
 INDEX(
  _xlfn._xlws.FILTER($U$1:$AX$1,
   TRANSPOSE(
    CHOOSE({1;2;3;4;5;6;7;8;9;10;11;12;13;14;15;16;17;18;19;20;21;22;23;24;25;26;27;28;29;30},
     COUNTIFS($U$2:$U$200,$G242)&gt;0,
     COUNTIFS($V$2:$V$200,$G242)&gt;0,
     COUNTIFS($W$2:$W$200,$G242)&gt;0,
     COUNTIFS($X$2:$X$200,$G242)&gt;0,
     COUNTIFS($Y$2:$Y$200,$G242)&gt;0,
     COUNTIFS($Z$2:$Z$200,$G242)&gt;0,
     COUNTIFS($AA$2:$AA$200,$G242)&gt;0,
     COUNTIFS($AB$2:$AB$200,$G242)&gt;0,
     COUNTIFS($AC$2:$AC$200,$G242)&gt;0,
     COUNTIFS($AD$2:$AD$200,$G242)&gt;0,
     COUNTIFS($AE$2:$AE$200,$G242)&gt;0,
     COUNTIFS($AF$2:$AF$200,$G242)&gt;0,
     COUNTIFS($AG$2:$AG$200,$G242)&gt;0,
     COUNTIFS($AH$2:$AH$200,$G242)&gt;0,
     COUNTIFS($AI$2:$AI$200,$G242)&gt;0,
     COUNTIFS($AJ$2:$AJ$200,$G242)&gt;0,
     COUNTIFS($AK$2:$AK$200,$G242)&gt;0,
     COUNTIFS($AL$2:$AL$200,$G242)&gt;0,
     COUNTIFS($AM$2:$AM$200,$G242)&gt;0,
     COUNTIFS($AN$2:$AN$200,$G242)&gt;0,
     COUNTIFS($AO$2:$AO$200,$G242)&gt;0,
     COUNTIFS($AP$2:$AP$200,$G242)&gt;0,
     COUNTIFS($AQ$2:$AQ$200,$G242)&gt;0,
     COUNTIFS($AR$2:$AR$200,$G242)&gt;0,
     COUNTIFS($AS$2:$AS$200,$G242)&gt;0,
     COUNTIFS($AT$2:$AT$200,$G242)&gt;0,
     COUNTIFS($AU$2:$AU$200,$G242)&gt;0,
     COUNTIFS($AV$2:$AV$200,$G242)&gt;0,
     COUNTIFS($AW$2:$AW$200,$G242)&gt;0,
     COUNTIFS($AX$2:$AX$200,$G242)&gt;0
   )),
  ),
  4
 ),
"")</f>
        <v/>
      </c>
      <c r="G242" t="str">
        <f ca="1"/>
        <v>Planetary Annihilation</v>
      </c>
    </row>
    <row r="243" spans="1:7" x14ac:dyDescent="0.25">
      <c r="A243" s="3" t="str">
        <f t="shared" ca="1" si="8"/>
        <v>3</v>
      </c>
      <c r="B243" s="3">
        <f t="shared" ca="1" si="9"/>
        <v>1</v>
      </c>
      <c r="C243" s="3" t="str">
        <f ca="1">IFERROR(
 INDEX($U$1:$AX$1,
  MATCH(TRUE,
   CHOOSE({1;2;3;4;5;6;7;8;9;10;11;12;13;14;15;16;17;18;19;20;21;22;23;24;25;26;27;28;29;30;31;32},
    COUNTIFS($U$2:$U$200,$G243)&gt;0,
    COUNTIFS($V$2:$V$200,$G243)&gt;0,
    COUNTIFS($W$2:$W$200,$G243)&gt;0,
    COUNTIFS($X$2:$X$200,$G243)&gt;0,
    COUNTIFS($Y$2:$Y$200,$G243)&gt;0,
    COUNTIFS($Z$2:$Z$200,$G243)&gt;0,
    COUNTIFS($AA$2:$AA$200,$G243)&gt;0,
    COUNTIFS($AB$2:$AB$200,$G243)&gt;0,
    COUNTIFS($AC$2:$AC$200,$G243)&gt;0,
    COUNTIFS($AD$2:$AD$200,$G243)&gt;0,
    COUNTIFS($AE$2:$AE$200,$G243)&gt;0,
    COUNTIFS($AF$2:$AF$200,$G243)&gt;0,
    COUNTIFS($AG$2:$AG$200,$G243)&gt;0,
    COUNTIFS($AH$2:$AH$200,$G243)&gt;0,
    COUNTIFS($AI$2:$AI$200,$G243)&gt;0,
    COUNTIFS($AJ$2:$AJ$200,$G243)&gt;0,
    COUNTIFS($AK$2:$AK$200,$G243)&gt;0,
    COUNTIFS($AL$2:$AL$200,$G243)&gt;0,
    COUNTIFS($AM$2:$AM$200,$G243)&gt;0,
    COUNTIFS($AN$2:$AN$200,$G243)&gt;0,
    COUNTIFS($AO$2:$AO$200,$G243)&gt;0,
    COUNTIFS($AP$2:$AP$200,$G243)&gt;0,
    COUNTIFS($AQ$2:$AQ$200,$G243)&gt;0,
    COUNTIFS($AR$2:$AR$200,$G243)&gt;0,
    COUNTIFS($AS$2:$AS$200,$G243)&gt;0,
    COUNTIFS($AT$2:$AT$200,$G243)&gt;0,
    COUNTIFS($AU$2:$AU$200,$G243)&gt;0,
    COUNTIFS($AV$2:$AV$200,$G243)&gt;0,
    COUNTIFS($AW$2:$AW$200,$G243)&gt;0,
    COUNTIFS($AX$2:$AX$200,$G243)&gt;0
   ),
  0)
 ),
"")</f>
        <v>VialIshai</v>
      </c>
      <c r="D243" s="3" t="str" cm="1">
        <f t="array" aca="1" ref="D243" ca="1">IFERROR(
 INDEX(
  _xlfn._xlws.FILTER($U$1:$AX$1,
   TRANSPOSE(
    CHOOSE({1;2;3;4;5;6;7;8;9;10;11;12;13;14;15;16;17;18;19;20;21;22;23;24;25;26;27;28;29;30},
     COUNTIFS($U$2:$U$200,$G243)&gt;0,
     COUNTIFS($V$2:$V$200,$G243)&gt;0,
     COUNTIFS($W$2:$W$200,$G243)&gt;0,
     COUNTIFS($X$2:$X$200,$G243)&gt;0,
     COUNTIFS($Y$2:$Y$200,$G243)&gt;0,
     COUNTIFS($Z$2:$Z$200,$G243)&gt;0,
     COUNTIFS($AA$2:$AA$200,$G243)&gt;0,
     COUNTIFS($AB$2:$AB$200,$G243)&gt;0,
     COUNTIFS($AC$2:$AC$200,$G243)&gt;0,
     COUNTIFS($AD$2:$AD$200,$G243)&gt;0,
     COUNTIFS($AE$2:$AE$200,$G243)&gt;0,
     COUNTIFS($AF$2:$AF$200,$G243)&gt;0,
     COUNTIFS($AG$2:$AG$200,$G243)&gt;0,
     COUNTIFS($AH$2:$AH$200,$G243)&gt;0,
     COUNTIFS($AI$2:$AI$200,$G243)&gt;0,
     COUNTIFS($AJ$2:$AJ$200,$G243)&gt;0,
     COUNTIFS($AK$2:$AK$200,$G243)&gt;0,
     COUNTIFS($AL$2:$AL$200,$G243)&gt;0,
     COUNTIFS($AM$2:$AM$200,$G243)&gt;0,
     COUNTIFS($AN$2:$AN$200,$G243)&gt;0,
     COUNTIFS($AO$2:$AO$200,$G243)&gt;0,
     COUNTIFS($AP$2:$AP$200,$G243)&gt;0,
     COUNTIFS($AQ$2:$AQ$200,$G243)&gt;0,
     COUNTIFS($AR$2:$AR$200,$G243)&gt;0,
     COUNTIFS($AS$2:$AS$200,$G243)&gt;0,
     COUNTIFS($AT$2:$AT$200,$G243)&gt;0,
     COUNTIFS($AU$2:$AU$200,$G243)&gt;0,
     COUNTIFS($AV$2:$AV$200,$G243)&gt;0,
     COUNTIFS($AW$2:$AW$200,$G243)&gt;0,
     COUNTIFS($AX$2:$AX$200,$G243)&gt;0
   )),
  ),
  2
 ),
"")</f>
        <v/>
      </c>
      <c r="E243" s="3" t="str" cm="1">
        <f t="array" aca="1" ref="E243" ca="1">IFERROR(
 INDEX(
  _xlfn._xlws.FILTER($U$1:$AX$1,
   TRANSPOSE(
    CHOOSE({1;2;3;4;5;6;7;8;9;10;11;12;13;14;15;16;17;18;19;20;21;22;23;24;25;26;27;28;29;30},
     COUNTIFS($U$2:$U$200,$G243)&gt;0,
     COUNTIFS($V$2:$V$200,$G243)&gt;0,
     COUNTIFS($W$2:$W$200,$G243)&gt;0,
     COUNTIFS($X$2:$X$200,$G243)&gt;0,
     COUNTIFS($Y$2:$Y$200,$G243)&gt;0,
     COUNTIFS($Z$2:$Z$200,$G243)&gt;0,
     COUNTIFS($AA$2:$AA$200,$G243)&gt;0,
     COUNTIFS($AB$2:$AB$200,$G243)&gt;0,
     COUNTIFS($AC$2:$AC$200,$G243)&gt;0,
     COUNTIFS($AD$2:$AD$200,$G243)&gt;0,
     COUNTIFS($AE$2:$AE$200,$G243)&gt;0,
     COUNTIFS($AF$2:$AF$200,$G243)&gt;0,
     COUNTIFS($AG$2:$AG$200,$G243)&gt;0,
     COUNTIFS($AH$2:$AH$200,$G243)&gt;0,
     COUNTIFS($AI$2:$AI$200,$G243)&gt;0,
     COUNTIFS($AJ$2:$AJ$200,$G243)&gt;0,
     COUNTIFS($AK$2:$AK$200,$G243)&gt;0,
     COUNTIFS($AL$2:$AL$200,$G243)&gt;0,
     COUNTIFS($AM$2:$AM$200,$G243)&gt;0,
     COUNTIFS($AN$2:$AN$200,$G243)&gt;0,
     COUNTIFS($AO$2:$AO$200,$G243)&gt;0,
     COUNTIFS($AP$2:$AP$200,$G243)&gt;0,
     COUNTIFS($AQ$2:$AQ$200,$G243)&gt;0,
     COUNTIFS($AR$2:$AR$200,$G243)&gt;0,
     COUNTIFS($AS$2:$AS$200,$G243)&gt;0,
     COUNTIFS($AT$2:$AT$200,$G243)&gt;0,
     COUNTIFS($AU$2:$AU$200,$G243)&gt;0,
     COUNTIFS($AV$2:$AV$200,$G243)&gt;0,
     COUNTIFS($AW$2:$AW$200,$G243)&gt;0,
     COUNTIFS($AX$2:$AX$200,$G243)&gt;0
   )),
  ),
  3
 ),
"")</f>
        <v/>
      </c>
      <c r="F243" s="3" t="str" cm="1">
        <f t="array" aca="1" ref="F243" ca="1">IFERROR(
 INDEX(
  _xlfn._xlws.FILTER($U$1:$AX$1,
   TRANSPOSE(
    CHOOSE({1;2;3;4;5;6;7;8;9;10;11;12;13;14;15;16;17;18;19;20;21;22;23;24;25;26;27;28;29;30},
     COUNTIFS($U$2:$U$200,$G243)&gt;0,
     COUNTIFS($V$2:$V$200,$G243)&gt;0,
     COUNTIFS($W$2:$W$200,$G243)&gt;0,
     COUNTIFS($X$2:$X$200,$G243)&gt;0,
     COUNTIFS($Y$2:$Y$200,$G243)&gt;0,
     COUNTIFS($Z$2:$Z$200,$G243)&gt;0,
     COUNTIFS($AA$2:$AA$200,$G243)&gt;0,
     COUNTIFS($AB$2:$AB$200,$G243)&gt;0,
     COUNTIFS($AC$2:$AC$200,$G243)&gt;0,
     COUNTIFS($AD$2:$AD$200,$G243)&gt;0,
     COUNTIFS($AE$2:$AE$200,$G243)&gt;0,
     COUNTIFS($AF$2:$AF$200,$G243)&gt;0,
     COUNTIFS($AG$2:$AG$200,$G243)&gt;0,
     COUNTIFS($AH$2:$AH$200,$G243)&gt;0,
     COUNTIFS($AI$2:$AI$200,$G243)&gt;0,
     COUNTIFS($AJ$2:$AJ$200,$G243)&gt;0,
     COUNTIFS($AK$2:$AK$200,$G243)&gt;0,
     COUNTIFS($AL$2:$AL$200,$G243)&gt;0,
     COUNTIFS($AM$2:$AM$200,$G243)&gt;0,
     COUNTIFS($AN$2:$AN$200,$G243)&gt;0,
     COUNTIFS($AO$2:$AO$200,$G243)&gt;0,
     COUNTIFS($AP$2:$AP$200,$G243)&gt;0,
     COUNTIFS($AQ$2:$AQ$200,$G243)&gt;0,
     COUNTIFS($AR$2:$AR$200,$G243)&gt;0,
     COUNTIFS($AS$2:$AS$200,$G243)&gt;0,
     COUNTIFS($AT$2:$AT$200,$G243)&gt;0,
     COUNTIFS($AU$2:$AU$200,$G243)&gt;0,
     COUNTIFS($AV$2:$AV$200,$G243)&gt;0,
     COUNTIFS($AW$2:$AW$200,$G243)&gt;0,
     COUNTIFS($AX$2:$AX$200,$G243)&gt;0
   )),
  ),
  4
 ),
"")</f>
        <v/>
      </c>
      <c r="G243" t="str">
        <f ca="1"/>
        <v>Polluted Delta</v>
      </c>
    </row>
    <row r="244" spans="1:7" x14ac:dyDescent="0.25">
      <c r="A244" s="3" t="str">
        <f t="shared" ca="1" si="8"/>
        <v>3</v>
      </c>
      <c r="B244" s="3">
        <f t="shared" ca="1" si="9"/>
        <v>1</v>
      </c>
      <c r="C244" s="3" t="str">
        <f ca="1">IFERROR(
 INDEX($U$1:$AX$1,
  MATCH(TRUE,
   CHOOSE({1;2;3;4;5;6;7;8;9;10;11;12;13;14;15;16;17;18;19;20;21;22;23;24;25;26;27;28;29;30;31;32},
    COUNTIFS($U$2:$U$200,$G244)&gt;0,
    COUNTIFS($V$2:$V$200,$G244)&gt;0,
    COUNTIFS($W$2:$W$200,$G244)&gt;0,
    COUNTIFS($X$2:$X$200,$G244)&gt;0,
    COUNTIFS($Y$2:$Y$200,$G244)&gt;0,
    COUNTIFS($Z$2:$Z$200,$G244)&gt;0,
    COUNTIFS($AA$2:$AA$200,$G244)&gt;0,
    COUNTIFS($AB$2:$AB$200,$G244)&gt;0,
    COUNTIFS($AC$2:$AC$200,$G244)&gt;0,
    COUNTIFS($AD$2:$AD$200,$G244)&gt;0,
    COUNTIFS($AE$2:$AE$200,$G244)&gt;0,
    COUNTIFS($AF$2:$AF$200,$G244)&gt;0,
    COUNTIFS($AG$2:$AG$200,$G244)&gt;0,
    COUNTIFS($AH$2:$AH$200,$G244)&gt;0,
    COUNTIFS($AI$2:$AI$200,$G244)&gt;0,
    COUNTIFS($AJ$2:$AJ$200,$G244)&gt;0,
    COUNTIFS($AK$2:$AK$200,$G244)&gt;0,
    COUNTIFS($AL$2:$AL$200,$G244)&gt;0,
    COUNTIFS($AM$2:$AM$200,$G244)&gt;0,
    COUNTIFS($AN$2:$AN$200,$G244)&gt;0,
    COUNTIFS($AO$2:$AO$200,$G244)&gt;0,
    COUNTIFS($AP$2:$AP$200,$G244)&gt;0,
    COUNTIFS($AQ$2:$AQ$200,$G244)&gt;0,
    COUNTIFS($AR$2:$AR$200,$G244)&gt;0,
    COUNTIFS($AS$2:$AS$200,$G244)&gt;0,
    COUNTIFS($AT$2:$AT$200,$G244)&gt;0,
    COUNTIFS($AU$2:$AU$200,$G244)&gt;0,
    COUNTIFS($AV$2:$AV$200,$G244)&gt;0,
    COUNTIFS($AW$2:$AW$200,$G244)&gt;0,
    COUNTIFS($AX$2:$AX$200,$G244)&gt;0
   ),
  0)
 ),
"")</f>
        <v>Muzzio</v>
      </c>
      <c r="D244" s="3" t="str" cm="1">
        <f t="array" aca="1" ref="D244" ca="1">IFERROR(
 INDEX(
  _xlfn._xlws.FILTER($U$1:$AX$1,
   TRANSPOSE(
    CHOOSE({1;2;3;4;5;6;7;8;9;10;11;12;13;14;15;16;17;18;19;20;21;22;23;24;25;26;27;28;29;30},
     COUNTIFS($U$2:$U$200,$G244)&gt;0,
     COUNTIFS($V$2:$V$200,$G244)&gt;0,
     COUNTIFS($W$2:$W$200,$G244)&gt;0,
     COUNTIFS($X$2:$X$200,$G244)&gt;0,
     COUNTIFS($Y$2:$Y$200,$G244)&gt;0,
     COUNTIFS($Z$2:$Z$200,$G244)&gt;0,
     COUNTIFS($AA$2:$AA$200,$G244)&gt;0,
     COUNTIFS($AB$2:$AB$200,$G244)&gt;0,
     COUNTIFS($AC$2:$AC$200,$G244)&gt;0,
     COUNTIFS($AD$2:$AD$200,$G244)&gt;0,
     COUNTIFS($AE$2:$AE$200,$G244)&gt;0,
     COUNTIFS($AF$2:$AF$200,$G244)&gt;0,
     COUNTIFS($AG$2:$AG$200,$G244)&gt;0,
     COUNTIFS($AH$2:$AH$200,$G244)&gt;0,
     COUNTIFS($AI$2:$AI$200,$G244)&gt;0,
     COUNTIFS($AJ$2:$AJ$200,$G244)&gt;0,
     COUNTIFS($AK$2:$AK$200,$G244)&gt;0,
     COUNTIFS($AL$2:$AL$200,$G244)&gt;0,
     COUNTIFS($AM$2:$AM$200,$G244)&gt;0,
     COUNTIFS($AN$2:$AN$200,$G244)&gt;0,
     COUNTIFS($AO$2:$AO$200,$G244)&gt;0,
     COUNTIFS($AP$2:$AP$200,$G244)&gt;0,
     COUNTIFS($AQ$2:$AQ$200,$G244)&gt;0,
     COUNTIFS($AR$2:$AR$200,$G244)&gt;0,
     COUNTIFS($AS$2:$AS$200,$G244)&gt;0,
     COUNTIFS($AT$2:$AT$200,$G244)&gt;0,
     COUNTIFS($AU$2:$AU$200,$G244)&gt;0,
     COUNTIFS($AV$2:$AV$200,$G244)&gt;0,
     COUNTIFS($AW$2:$AW$200,$G244)&gt;0,
     COUNTIFS($AX$2:$AX$200,$G244)&gt;0
   )),
  ),
  2
 ),
"")</f>
        <v/>
      </c>
      <c r="E244" s="3" t="str" cm="1">
        <f t="array" aca="1" ref="E244" ca="1">IFERROR(
 INDEX(
  _xlfn._xlws.FILTER($U$1:$AX$1,
   TRANSPOSE(
    CHOOSE({1;2;3;4;5;6;7;8;9;10;11;12;13;14;15;16;17;18;19;20;21;22;23;24;25;26;27;28;29;30},
     COUNTIFS($U$2:$U$200,$G244)&gt;0,
     COUNTIFS($V$2:$V$200,$G244)&gt;0,
     COUNTIFS($W$2:$W$200,$G244)&gt;0,
     COUNTIFS($X$2:$X$200,$G244)&gt;0,
     COUNTIFS($Y$2:$Y$200,$G244)&gt;0,
     COUNTIFS($Z$2:$Z$200,$G244)&gt;0,
     COUNTIFS($AA$2:$AA$200,$G244)&gt;0,
     COUNTIFS($AB$2:$AB$200,$G244)&gt;0,
     COUNTIFS($AC$2:$AC$200,$G244)&gt;0,
     COUNTIFS($AD$2:$AD$200,$G244)&gt;0,
     COUNTIFS($AE$2:$AE$200,$G244)&gt;0,
     COUNTIFS($AF$2:$AF$200,$G244)&gt;0,
     COUNTIFS($AG$2:$AG$200,$G244)&gt;0,
     COUNTIFS($AH$2:$AH$200,$G244)&gt;0,
     COUNTIFS($AI$2:$AI$200,$G244)&gt;0,
     COUNTIFS($AJ$2:$AJ$200,$G244)&gt;0,
     COUNTIFS($AK$2:$AK$200,$G244)&gt;0,
     COUNTIFS($AL$2:$AL$200,$G244)&gt;0,
     COUNTIFS($AM$2:$AM$200,$G244)&gt;0,
     COUNTIFS($AN$2:$AN$200,$G244)&gt;0,
     COUNTIFS($AO$2:$AO$200,$G244)&gt;0,
     COUNTIFS($AP$2:$AP$200,$G244)&gt;0,
     COUNTIFS($AQ$2:$AQ$200,$G244)&gt;0,
     COUNTIFS($AR$2:$AR$200,$G244)&gt;0,
     COUNTIFS($AS$2:$AS$200,$G244)&gt;0,
     COUNTIFS($AT$2:$AT$200,$G244)&gt;0,
     COUNTIFS($AU$2:$AU$200,$G244)&gt;0,
     COUNTIFS($AV$2:$AV$200,$G244)&gt;0,
     COUNTIFS($AW$2:$AW$200,$G244)&gt;0,
     COUNTIFS($AX$2:$AX$200,$G244)&gt;0
   )),
  ),
  3
 ),
"")</f>
        <v/>
      </c>
      <c r="F244" s="3" t="str" cm="1">
        <f t="array" aca="1" ref="F244" ca="1">IFERROR(
 INDEX(
  _xlfn._xlws.FILTER($U$1:$AX$1,
   TRANSPOSE(
    CHOOSE({1;2;3;4;5;6;7;8;9;10;11;12;13;14;15;16;17;18;19;20;21;22;23;24;25;26;27;28;29;30},
     COUNTIFS($U$2:$U$200,$G244)&gt;0,
     COUNTIFS($V$2:$V$200,$G244)&gt;0,
     COUNTIFS($W$2:$W$200,$G244)&gt;0,
     COUNTIFS($X$2:$X$200,$G244)&gt;0,
     COUNTIFS($Y$2:$Y$200,$G244)&gt;0,
     COUNTIFS($Z$2:$Z$200,$G244)&gt;0,
     COUNTIFS($AA$2:$AA$200,$G244)&gt;0,
     COUNTIFS($AB$2:$AB$200,$G244)&gt;0,
     COUNTIFS($AC$2:$AC$200,$G244)&gt;0,
     COUNTIFS($AD$2:$AD$200,$G244)&gt;0,
     COUNTIFS($AE$2:$AE$200,$G244)&gt;0,
     COUNTIFS($AF$2:$AF$200,$G244)&gt;0,
     COUNTIFS($AG$2:$AG$200,$G244)&gt;0,
     COUNTIFS($AH$2:$AH$200,$G244)&gt;0,
     COUNTIFS($AI$2:$AI$200,$G244)&gt;0,
     COUNTIFS($AJ$2:$AJ$200,$G244)&gt;0,
     COUNTIFS($AK$2:$AK$200,$G244)&gt;0,
     COUNTIFS($AL$2:$AL$200,$G244)&gt;0,
     COUNTIFS($AM$2:$AM$200,$G244)&gt;0,
     COUNTIFS($AN$2:$AN$200,$G244)&gt;0,
     COUNTIFS($AO$2:$AO$200,$G244)&gt;0,
     COUNTIFS($AP$2:$AP$200,$G244)&gt;0,
     COUNTIFS($AQ$2:$AQ$200,$G244)&gt;0,
     COUNTIFS($AR$2:$AR$200,$G244)&gt;0,
     COUNTIFS($AS$2:$AS$200,$G244)&gt;0,
     COUNTIFS($AT$2:$AT$200,$G244)&gt;0,
     COUNTIFS($AU$2:$AU$200,$G244)&gt;0,
     COUNTIFS($AV$2:$AV$200,$G244)&gt;0,
     COUNTIFS($AW$2:$AW$200,$G244)&gt;0,
     COUNTIFS($AX$2:$AX$200,$G244)&gt;0
   )),
  ),
  4
 ),
"")</f>
        <v/>
      </c>
      <c r="G244" t="str">
        <f ca="1"/>
        <v>Portal to Phyrexia</v>
      </c>
    </row>
    <row r="245" spans="1:7" x14ac:dyDescent="0.25">
      <c r="A245" s="3" t="str">
        <f t="shared" ca="1" si="8"/>
        <v>3</v>
      </c>
      <c r="B245" s="3">
        <f t="shared" ca="1" si="9"/>
        <v>1</v>
      </c>
      <c r="C245" s="3" t="str">
        <f ca="1">IFERROR(
 INDEX($U$1:$AX$1,
  MATCH(TRUE,
   CHOOSE({1;2;3;4;5;6;7;8;9;10;11;12;13;14;15;16;17;18;19;20;21;22;23;24;25;26;27;28;29;30;31;32},
    COUNTIFS($U$2:$U$200,$G245)&gt;0,
    COUNTIFS($V$2:$V$200,$G245)&gt;0,
    COUNTIFS($W$2:$W$200,$G245)&gt;0,
    COUNTIFS($X$2:$X$200,$G245)&gt;0,
    COUNTIFS($Y$2:$Y$200,$G245)&gt;0,
    COUNTIFS($Z$2:$Z$200,$G245)&gt;0,
    COUNTIFS($AA$2:$AA$200,$G245)&gt;0,
    COUNTIFS($AB$2:$AB$200,$G245)&gt;0,
    COUNTIFS($AC$2:$AC$200,$G245)&gt;0,
    COUNTIFS($AD$2:$AD$200,$G245)&gt;0,
    COUNTIFS($AE$2:$AE$200,$G245)&gt;0,
    COUNTIFS($AF$2:$AF$200,$G245)&gt;0,
    COUNTIFS($AG$2:$AG$200,$G245)&gt;0,
    COUNTIFS($AH$2:$AH$200,$G245)&gt;0,
    COUNTIFS($AI$2:$AI$200,$G245)&gt;0,
    COUNTIFS($AJ$2:$AJ$200,$G245)&gt;0,
    COUNTIFS($AK$2:$AK$200,$G245)&gt;0,
    COUNTIFS($AL$2:$AL$200,$G245)&gt;0,
    COUNTIFS($AM$2:$AM$200,$G245)&gt;0,
    COUNTIFS($AN$2:$AN$200,$G245)&gt;0,
    COUNTIFS($AO$2:$AO$200,$G245)&gt;0,
    COUNTIFS($AP$2:$AP$200,$G245)&gt;0,
    COUNTIFS($AQ$2:$AQ$200,$G245)&gt;0,
    COUNTIFS($AR$2:$AR$200,$G245)&gt;0,
    COUNTIFS($AS$2:$AS$200,$G245)&gt;0,
    COUNTIFS($AT$2:$AT$200,$G245)&gt;0,
    COUNTIFS($AU$2:$AU$200,$G245)&gt;0,
    COUNTIFS($AV$2:$AV$200,$G245)&gt;0,
    COUNTIFS($AW$2:$AW$200,$G245)&gt;0,
    COUNTIFS($AX$2:$AX$200,$G245)&gt;0
   ),
  0)
 ),
"")</f>
        <v>VialIshai</v>
      </c>
      <c r="D245" s="3" t="str" cm="1">
        <f t="array" aca="1" ref="D245" ca="1">IFERROR(
 INDEX(
  _xlfn._xlws.FILTER($U$1:$AX$1,
   TRANSPOSE(
    CHOOSE({1;2;3;4;5;6;7;8;9;10;11;12;13;14;15;16;17;18;19;20;21;22;23;24;25;26;27;28;29;30},
     COUNTIFS($U$2:$U$200,$G245)&gt;0,
     COUNTIFS($V$2:$V$200,$G245)&gt;0,
     COUNTIFS($W$2:$W$200,$G245)&gt;0,
     COUNTIFS($X$2:$X$200,$G245)&gt;0,
     COUNTIFS($Y$2:$Y$200,$G245)&gt;0,
     COUNTIFS($Z$2:$Z$200,$G245)&gt;0,
     COUNTIFS($AA$2:$AA$200,$G245)&gt;0,
     COUNTIFS($AB$2:$AB$200,$G245)&gt;0,
     COUNTIFS($AC$2:$AC$200,$G245)&gt;0,
     COUNTIFS($AD$2:$AD$200,$G245)&gt;0,
     COUNTIFS($AE$2:$AE$200,$G245)&gt;0,
     COUNTIFS($AF$2:$AF$200,$G245)&gt;0,
     COUNTIFS($AG$2:$AG$200,$G245)&gt;0,
     COUNTIFS($AH$2:$AH$200,$G245)&gt;0,
     COUNTIFS($AI$2:$AI$200,$G245)&gt;0,
     COUNTIFS($AJ$2:$AJ$200,$G245)&gt;0,
     COUNTIFS($AK$2:$AK$200,$G245)&gt;0,
     COUNTIFS($AL$2:$AL$200,$G245)&gt;0,
     COUNTIFS($AM$2:$AM$200,$G245)&gt;0,
     COUNTIFS($AN$2:$AN$200,$G245)&gt;0,
     COUNTIFS($AO$2:$AO$200,$G245)&gt;0,
     COUNTIFS($AP$2:$AP$200,$G245)&gt;0,
     COUNTIFS($AQ$2:$AQ$200,$G245)&gt;0,
     COUNTIFS($AR$2:$AR$200,$G245)&gt;0,
     COUNTIFS($AS$2:$AS$200,$G245)&gt;0,
     COUNTIFS($AT$2:$AT$200,$G245)&gt;0,
     COUNTIFS($AU$2:$AU$200,$G245)&gt;0,
     COUNTIFS($AV$2:$AV$200,$G245)&gt;0,
     COUNTIFS($AW$2:$AW$200,$G245)&gt;0,
     COUNTIFS($AX$2:$AX$200,$G245)&gt;0
   )),
  ),
  2
 ),
"")</f>
        <v/>
      </c>
      <c r="E245" s="3" t="str" cm="1">
        <f t="array" aca="1" ref="E245" ca="1">IFERROR(
 INDEX(
  _xlfn._xlws.FILTER($U$1:$AX$1,
   TRANSPOSE(
    CHOOSE({1;2;3;4;5;6;7;8;9;10;11;12;13;14;15;16;17;18;19;20;21;22;23;24;25;26;27;28;29;30},
     COUNTIFS($U$2:$U$200,$G245)&gt;0,
     COUNTIFS($V$2:$V$200,$G245)&gt;0,
     COUNTIFS($W$2:$W$200,$G245)&gt;0,
     COUNTIFS($X$2:$X$200,$G245)&gt;0,
     COUNTIFS($Y$2:$Y$200,$G245)&gt;0,
     COUNTIFS($Z$2:$Z$200,$G245)&gt;0,
     COUNTIFS($AA$2:$AA$200,$G245)&gt;0,
     COUNTIFS($AB$2:$AB$200,$G245)&gt;0,
     COUNTIFS($AC$2:$AC$200,$G245)&gt;0,
     COUNTIFS($AD$2:$AD$200,$G245)&gt;0,
     COUNTIFS($AE$2:$AE$200,$G245)&gt;0,
     COUNTIFS($AF$2:$AF$200,$G245)&gt;0,
     COUNTIFS($AG$2:$AG$200,$G245)&gt;0,
     COUNTIFS($AH$2:$AH$200,$G245)&gt;0,
     COUNTIFS($AI$2:$AI$200,$G245)&gt;0,
     COUNTIFS($AJ$2:$AJ$200,$G245)&gt;0,
     COUNTIFS($AK$2:$AK$200,$G245)&gt;0,
     COUNTIFS($AL$2:$AL$200,$G245)&gt;0,
     COUNTIFS($AM$2:$AM$200,$G245)&gt;0,
     COUNTIFS($AN$2:$AN$200,$G245)&gt;0,
     COUNTIFS($AO$2:$AO$200,$G245)&gt;0,
     COUNTIFS($AP$2:$AP$200,$G245)&gt;0,
     COUNTIFS($AQ$2:$AQ$200,$G245)&gt;0,
     COUNTIFS($AR$2:$AR$200,$G245)&gt;0,
     COUNTIFS($AS$2:$AS$200,$G245)&gt;0,
     COUNTIFS($AT$2:$AT$200,$G245)&gt;0,
     COUNTIFS($AU$2:$AU$200,$G245)&gt;0,
     COUNTIFS($AV$2:$AV$200,$G245)&gt;0,
     COUNTIFS($AW$2:$AW$200,$G245)&gt;0,
     COUNTIFS($AX$2:$AX$200,$G245)&gt;0
   )),
  ),
  3
 ),
"")</f>
        <v/>
      </c>
      <c r="F245" s="3" t="str" cm="1">
        <f t="array" aca="1" ref="F245" ca="1">IFERROR(
 INDEX(
  _xlfn._xlws.FILTER($U$1:$AX$1,
   TRANSPOSE(
    CHOOSE({1;2;3;4;5;6;7;8;9;10;11;12;13;14;15;16;17;18;19;20;21;22;23;24;25;26;27;28;29;30},
     COUNTIFS($U$2:$U$200,$G245)&gt;0,
     COUNTIFS($V$2:$V$200,$G245)&gt;0,
     COUNTIFS($W$2:$W$200,$G245)&gt;0,
     COUNTIFS($X$2:$X$200,$G245)&gt;0,
     COUNTIFS($Y$2:$Y$200,$G245)&gt;0,
     COUNTIFS($Z$2:$Z$200,$G245)&gt;0,
     COUNTIFS($AA$2:$AA$200,$G245)&gt;0,
     COUNTIFS($AB$2:$AB$200,$G245)&gt;0,
     COUNTIFS($AC$2:$AC$200,$G245)&gt;0,
     COUNTIFS($AD$2:$AD$200,$G245)&gt;0,
     COUNTIFS($AE$2:$AE$200,$G245)&gt;0,
     COUNTIFS($AF$2:$AF$200,$G245)&gt;0,
     COUNTIFS($AG$2:$AG$200,$G245)&gt;0,
     COUNTIFS($AH$2:$AH$200,$G245)&gt;0,
     COUNTIFS($AI$2:$AI$200,$G245)&gt;0,
     COUNTIFS($AJ$2:$AJ$200,$G245)&gt;0,
     COUNTIFS($AK$2:$AK$200,$G245)&gt;0,
     COUNTIFS($AL$2:$AL$200,$G245)&gt;0,
     COUNTIFS($AM$2:$AM$200,$G245)&gt;0,
     COUNTIFS($AN$2:$AN$200,$G245)&gt;0,
     COUNTIFS($AO$2:$AO$200,$G245)&gt;0,
     COUNTIFS($AP$2:$AP$200,$G245)&gt;0,
     COUNTIFS($AQ$2:$AQ$200,$G245)&gt;0,
     COUNTIFS($AR$2:$AR$200,$G245)&gt;0,
     COUNTIFS($AS$2:$AS$200,$G245)&gt;0,
     COUNTIFS($AT$2:$AT$200,$G245)&gt;0,
     COUNTIFS($AU$2:$AU$200,$G245)&gt;0,
     COUNTIFS($AV$2:$AV$200,$G245)&gt;0,
     COUNTIFS($AW$2:$AW$200,$G245)&gt;0,
     COUNTIFS($AX$2:$AX$200,$G245)&gt;0
   )),
  ),
  4
 ),
"")</f>
        <v/>
      </c>
      <c r="G245" t="str">
        <f ca="1"/>
        <v>Prismatic Strands</v>
      </c>
    </row>
    <row r="246" spans="1:7" x14ac:dyDescent="0.25">
      <c r="A246" s="3" t="str">
        <f t="shared" ca="1" si="8"/>
        <v>1</v>
      </c>
      <c r="B246" s="3">
        <f t="shared" ca="1" si="9"/>
        <v>1</v>
      </c>
      <c r="C246" s="3" t="str">
        <f ca="1">IFERROR(
 INDEX($U$1:$AX$1,
  MATCH(TRUE,
   CHOOSE({1;2;3;4;5;6;7;8;9;10;11;12;13;14;15;16;17;18;19;20;21;22;23;24;25;26;27;28;29;30;31;32},
    COUNTIFS($U$2:$U$200,$G246)&gt;0,
    COUNTIFS($V$2:$V$200,$G246)&gt;0,
    COUNTIFS($W$2:$W$200,$G246)&gt;0,
    COUNTIFS($X$2:$X$200,$G246)&gt;0,
    COUNTIFS($Y$2:$Y$200,$G246)&gt;0,
    COUNTIFS($Z$2:$Z$200,$G246)&gt;0,
    COUNTIFS($AA$2:$AA$200,$G246)&gt;0,
    COUNTIFS($AB$2:$AB$200,$G246)&gt;0,
    COUNTIFS($AC$2:$AC$200,$G246)&gt;0,
    COUNTIFS($AD$2:$AD$200,$G246)&gt;0,
    COUNTIFS($AE$2:$AE$200,$G246)&gt;0,
    COUNTIFS($AF$2:$AF$200,$G246)&gt;0,
    COUNTIFS($AG$2:$AG$200,$G246)&gt;0,
    COUNTIFS($AH$2:$AH$200,$G246)&gt;0,
    COUNTIFS($AI$2:$AI$200,$G246)&gt;0,
    COUNTIFS($AJ$2:$AJ$200,$G246)&gt;0,
    COUNTIFS($AK$2:$AK$200,$G246)&gt;0,
    COUNTIFS($AL$2:$AL$200,$G246)&gt;0,
    COUNTIFS($AM$2:$AM$200,$G246)&gt;0,
    COUNTIFS($AN$2:$AN$200,$G246)&gt;0,
    COUNTIFS($AO$2:$AO$200,$G246)&gt;0,
    COUNTIFS($AP$2:$AP$200,$G246)&gt;0,
    COUNTIFS($AQ$2:$AQ$200,$G246)&gt;0,
    COUNTIFS($AR$2:$AR$200,$G246)&gt;0,
    COUNTIFS($AS$2:$AS$200,$G246)&gt;0,
    COUNTIFS($AT$2:$AT$200,$G246)&gt;0,
    COUNTIFS($AU$2:$AU$200,$G246)&gt;0,
    COUNTIFS($AV$2:$AV$200,$G246)&gt;0,
    COUNTIFS($AW$2:$AW$200,$G246)&gt;0,
    COUNTIFS($AX$2:$AX$200,$G246)&gt;0
   ),
  0)
 ),
"")</f>
        <v>Baylen</v>
      </c>
      <c r="D246" s="3" t="str" cm="1">
        <f t="array" aca="1" ref="D246" ca="1">IFERROR(
 INDEX(
  _xlfn._xlws.FILTER($U$1:$AX$1,
   TRANSPOSE(
    CHOOSE({1;2;3;4;5;6;7;8;9;10;11;12;13;14;15;16;17;18;19;20;21;22;23;24;25;26;27;28;29;30},
     COUNTIFS($U$2:$U$200,$G246)&gt;0,
     COUNTIFS($V$2:$V$200,$G246)&gt;0,
     COUNTIFS($W$2:$W$200,$G246)&gt;0,
     COUNTIFS($X$2:$X$200,$G246)&gt;0,
     COUNTIFS($Y$2:$Y$200,$G246)&gt;0,
     COUNTIFS($Z$2:$Z$200,$G246)&gt;0,
     COUNTIFS($AA$2:$AA$200,$G246)&gt;0,
     COUNTIFS($AB$2:$AB$200,$G246)&gt;0,
     COUNTIFS($AC$2:$AC$200,$G246)&gt;0,
     COUNTIFS($AD$2:$AD$200,$G246)&gt;0,
     COUNTIFS($AE$2:$AE$200,$G246)&gt;0,
     COUNTIFS($AF$2:$AF$200,$G246)&gt;0,
     COUNTIFS($AG$2:$AG$200,$G246)&gt;0,
     COUNTIFS($AH$2:$AH$200,$G246)&gt;0,
     COUNTIFS($AI$2:$AI$200,$G246)&gt;0,
     COUNTIFS($AJ$2:$AJ$200,$G246)&gt;0,
     COUNTIFS($AK$2:$AK$200,$G246)&gt;0,
     COUNTIFS($AL$2:$AL$200,$G246)&gt;0,
     COUNTIFS($AM$2:$AM$200,$G246)&gt;0,
     COUNTIFS($AN$2:$AN$200,$G246)&gt;0,
     COUNTIFS($AO$2:$AO$200,$G246)&gt;0,
     COUNTIFS($AP$2:$AP$200,$G246)&gt;0,
     COUNTIFS($AQ$2:$AQ$200,$G246)&gt;0,
     COUNTIFS($AR$2:$AR$200,$G246)&gt;0,
     COUNTIFS($AS$2:$AS$200,$G246)&gt;0,
     COUNTIFS($AT$2:$AT$200,$G246)&gt;0,
     COUNTIFS($AU$2:$AU$200,$G246)&gt;0,
     COUNTIFS($AV$2:$AV$200,$G246)&gt;0,
     COUNTIFS($AW$2:$AW$200,$G246)&gt;0,
     COUNTIFS($AX$2:$AX$200,$G246)&gt;0
   )),
  ),
  2
 ),
"")</f>
        <v/>
      </c>
      <c r="E246" s="3" t="str" cm="1">
        <f t="array" aca="1" ref="E246" ca="1">IFERROR(
 INDEX(
  _xlfn._xlws.FILTER($U$1:$AX$1,
   TRANSPOSE(
    CHOOSE({1;2;3;4;5;6;7;8;9;10;11;12;13;14;15;16;17;18;19;20;21;22;23;24;25;26;27;28;29;30},
     COUNTIFS($U$2:$U$200,$G246)&gt;0,
     COUNTIFS($V$2:$V$200,$G246)&gt;0,
     COUNTIFS($W$2:$W$200,$G246)&gt;0,
     COUNTIFS($X$2:$X$200,$G246)&gt;0,
     COUNTIFS($Y$2:$Y$200,$G246)&gt;0,
     COUNTIFS($Z$2:$Z$200,$G246)&gt;0,
     COUNTIFS($AA$2:$AA$200,$G246)&gt;0,
     COUNTIFS($AB$2:$AB$200,$G246)&gt;0,
     COUNTIFS($AC$2:$AC$200,$G246)&gt;0,
     COUNTIFS($AD$2:$AD$200,$G246)&gt;0,
     COUNTIFS($AE$2:$AE$200,$G246)&gt;0,
     COUNTIFS($AF$2:$AF$200,$G246)&gt;0,
     COUNTIFS($AG$2:$AG$200,$G246)&gt;0,
     COUNTIFS($AH$2:$AH$200,$G246)&gt;0,
     COUNTIFS($AI$2:$AI$200,$G246)&gt;0,
     COUNTIFS($AJ$2:$AJ$200,$G246)&gt;0,
     COUNTIFS($AK$2:$AK$200,$G246)&gt;0,
     COUNTIFS($AL$2:$AL$200,$G246)&gt;0,
     COUNTIFS($AM$2:$AM$200,$G246)&gt;0,
     COUNTIFS($AN$2:$AN$200,$G246)&gt;0,
     COUNTIFS($AO$2:$AO$200,$G246)&gt;0,
     COUNTIFS($AP$2:$AP$200,$G246)&gt;0,
     COUNTIFS($AQ$2:$AQ$200,$G246)&gt;0,
     COUNTIFS($AR$2:$AR$200,$G246)&gt;0,
     COUNTIFS($AS$2:$AS$200,$G246)&gt;0,
     COUNTIFS($AT$2:$AT$200,$G246)&gt;0,
     COUNTIFS($AU$2:$AU$200,$G246)&gt;0,
     COUNTIFS($AV$2:$AV$200,$G246)&gt;0,
     COUNTIFS($AW$2:$AW$200,$G246)&gt;0,
     COUNTIFS($AX$2:$AX$200,$G246)&gt;0
   )),
  ),
  3
 ),
"")</f>
        <v/>
      </c>
      <c r="F246" s="3" t="str" cm="1">
        <f t="array" aca="1" ref="F246" ca="1">IFERROR(
 INDEX(
  _xlfn._xlws.FILTER($U$1:$AX$1,
   TRANSPOSE(
    CHOOSE({1;2;3;4;5;6;7;8;9;10;11;12;13;14;15;16;17;18;19;20;21;22;23;24;25;26;27;28;29;30},
     COUNTIFS($U$2:$U$200,$G246)&gt;0,
     COUNTIFS($V$2:$V$200,$G246)&gt;0,
     COUNTIFS($W$2:$W$200,$G246)&gt;0,
     COUNTIFS($X$2:$X$200,$G246)&gt;0,
     COUNTIFS($Y$2:$Y$200,$G246)&gt;0,
     COUNTIFS($Z$2:$Z$200,$G246)&gt;0,
     COUNTIFS($AA$2:$AA$200,$G246)&gt;0,
     COUNTIFS($AB$2:$AB$200,$G246)&gt;0,
     COUNTIFS($AC$2:$AC$200,$G246)&gt;0,
     COUNTIFS($AD$2:$AD$200,$G246)&gt;0,
     COUNTIFS($AE$2:$AE$200,$G246)&gt;0,
     COUNTIFS($AF$2:$AF$200,$G246)&gt;0,
     COUNTIFS($AG$2:$AG$200,$G246)&gt;0,
     COUNTIFS($AH$2:$AH$200,$G246)&gt;0,
     COUNTIFS($AI$2:$AI$200,$G246)&gt;0,
     COUNTIFS($AJ$2:$AJ$200,$G246)&gt;0,
     COUNTIFS($AK$2:$AK$200,$G246)&gt;0,
     COUNTIFS($AL$2:$AL$200,$G246)&gt;0,
     COUNTIFS($AM$2:$AM$200,$G246)&gt;0,
     COUNTIFS($AN$2:$AN$200,$G246)&gt;0,
     COUNTIFS($AO$2:$AO$200,$G246)&gt;0,
     COUNTIFS($AP$2:$AP$200,$G246)&gt;0,
     COUNTIFS($AQ$2:$AQ$200,$G246)&gt;0,
     COUNTIFS($AR$2:$AR$200,$G246)&gt;0,
     COUNTIFS($AS$2:$AS$200,$G246)&gt;0,
     COUNTIFS($AT$2:$AT$200,$G246)&gt;0,
     COUNTIFS($AU$2:$AU$200,$G246)&gt;0,
     COUNTIFS($AV$2:$AV$200,$G246)&gt;0,
     COUNTIFS($AW$2:$AW$200,$G246)&gt;0,
     COUNTIFS($AX$2:$AX$200,$G246)&gt;0
   )),
  ),
  4
 ),
"")</f>
        <v/>
      </c>
      <c r="G246" t="str">
        <f ca="1"/>
        <v>Prosperous Partnership</v>
      </c>
    </row>
    <row r="247" spans="1:7" x14ac:dyDescent="0.25">
      <c r="A247" s="3" t="str">
        <f t="shared" ca="1" si="8"/>
        <v>1</v>
      </c>
      <c r="B247" s="3">
        <f t="shared" ca="1" si="9"/>
        <v>1</v>
      </c>
      <c r="C247" s="3" t="str">
        <f ca="1">IFERROR(
 INDEX($U$1:$AX$1,
  MATCH(TRUE,
   CHOOSE({1;2;3;4;5;6;7;8;9;10;11;12;13;14;15;16;17;18;19;20;21;22;23;24;25;26;27;28;29;30;31;32},
    COUNTIFS($U$2:$U$200,$G247)&gt;0,
    COUNTIFS($V$2:$V$200,$G247)&gt;0,
    COUNTIFS($W$2:$W$200,$G247)&gt;0,
    COUNTIFS($X$2:$X$200,$G247)&gt;0,
    COUNTIFS($Y$2:$Y$200,$G247)&gt;0,
    COUNTIFS($Z$2:$Z$200,$G247)&gt;0,
    COUNTIFS($AA$2:$AA$200,$G247)&gt;0,
    COUNTIFS($AB$2:$AB$200,$G247)&gt;0,
    COUNTIFS($AC$2:$AC$200,$G247)&gt;0,
    COUNTIFS($AD$2:$AD$200,$G247)&gt;0,
    COUNTIFS($AE$2:$AE$200,$G247)&gt;0,
    COUNTIFS($AF$2:$AF$200,$G247)&gt;0,
    COUNTIFS($AG$2:$AG$200,$G247)&gt;0,
    COUNTIFS($AH$2:$AH$200,$G247)&gt;0,
    COUNTIFS($AI$2:$AI$200,$G247)&gt;0,
    COUNTIFS($AJ$2:$AJ$200,$G247)&gt;0,
    COUNTIFS($AK$2:$AK$200,$G247)&gt;0,
    COUNTIFS($AL$2:$AL$200,$G247)&gt;0,
    COUNTIFS($AM$2:$AM$200,$G247)&gt;0,
    COUNTIFS($AN$2:$AN$200,$G247)&gt;0,
    COUNTIFS($AO$2:$AO$200,$G247)&gt;0,
    COUNTIFS($AP$2:$AP$200,$G247)&gt;0,
    COUNTIFS($AQ$2:$AQ$200,$G247)&gt;0,
    COUNTIFS($AR$2:$AR$200,$G247)&gt;0,
    COUNTIFS($AS$2:$AS$200,$G247)&gt;0,
    COUNTIFS($AT$2:$AT$200,$G247)&gt;0,
    COUNTIFS($AU$2:$AU$200,$G247)&gt;0,
    COUNTIFS($AV$2:$AV$200,$G247)&gt;0,
    COUNTIFS($AW$2:$AW$200,$G247)&gt;0,
    COUNTIFS($AX$2:$AX$200,$G247)&gt;0
   ),
  0)
 ),
"")</f>
        <v>Tayam</v>
      </c>
      <c r="D247" s="3" t="str" cm="1">
        <f t="array" aca="1" ref="D247" ca="1">IFERROR(
 INDEX(
  _xlfn._xlws.FILTER($U$1:$AX$1,
   TRANSPOSE(
    CHOOSE({1;2;3;4;5;6;7;8;9;10;11;12;13;14;15;16;17;18;19;20;21;22;23;24;25;26;27;28;29;30},
     COUNTIFS($U$2:$U$200,$G247)&gt;0,
     COUNTIFS($V$2:$V$200,$G247)&gt;0,
     COUNTIFS($W$2:$W$200,$G247)&gt;0,
     COUNTIFS($X$2:$X$200,$G247)&gt;0,
     COUNTIFS($Y$2:$Y$200,$G247)&gt;0,
     COUNTIFS($Z$2:$Z$200,$G247)&gt;0,
     COUNTIFS($AA$2:$AA$200,$G247)&gt;0,
     COUNTIFS($AB$2:$AB$200,$G247)&gt;0,
     COUNTIFS($AC$2:$AC$200,$G247)&gt;0,
     COUNTIFS($AD$2:$AD$200,$G247)&gt;0,
     COUNTIFS($AE$2:$AE$200,$G247)&gt;0,
     COUNTIFS($AF$2:$AF$200,$G247)&gt;0,
     COUNTIFS($AG$2:$AG$200,$G247)&gt;0,
     COUNTIFS($AH$2:$AH$200,$G247)&gt;0,
     COUNTIFS($AI$2:$AI$200,$G247)&gt;0,
     COUNTIFS($AJ$2:$AJ$200,$G247)&gt;0,
     COUNTIFS($AK$2:$AK$200,$G247)&gt;0,
     COUNTIFS($AL$2:$AL$200,$G247)&gt;0,
     COUNTIFS($AM$2:$AM$200,$G247)&gt;0,
     COUNTIFS($AN$2:$AN$200,$G247)&gt;0,
     COUNTIFS($AO$2:$AO$200,$G247)&gt;0,
     COUNTIFS($AP$2:$AP$200,$G247)&gt;0,
     COUNTIFS($AQ$2:$AQ$200,$G247)&gt;0,
     COUNTIFS($AR$2:$AR$200,$G247)&gt;0,
     COUNTIFS($AS$2:$AS$200,$G247)&gt;0,
     COUNTIFS($AT$2:$AT$200,$G247)&gt;0,
     COUNTIFS($AU$2:$AU$200,$G247)&gt;0,
     COUNTIFS($AV$2:$AV$200,$G247)&gt;0,
     COUNTIFS($AW$2:$AW$200,$G247)&gt;0,
     COUNTIFS($AX$2:$AX$200,$G247)&gt;0
   )),
  ),
  2
 ),
"")</f>
        <v/>
      </c>
      <c r="E247" s="3" t="str" cm="1">
        <f t="array" aca="1" ref="E247" ca="1">IFERROR(
 INDEX(
  _xlfn._xlws.FILTER($U$1:$AX$1,
   TRANSPOSE(
    CHOOSE({1;2;3;4;5;6;7;8;9;10;11;12;13;14;15;16;17;18;19;20;21;22;23;24;25;26;27;28;29;30},
     COUNTIFS($U$2:$U$200,$G247)&gt;0,
     COUNTIFS($V$2:$V$200,$G247)&gt;0,
     COUNTIFS($W$2:$W$200,$G247)&gt;0,
     COUNTIFS($X$2:$X$200,$G247)&gt;0,
     COUNTIFS($Y$2:$Y$200,$G247)&gt;0,
     COUNTIFS($Z$2:$Z$200,$G247)&gt;0,
     COUNTIFS($AA$2:$AA$200,$G247)&gt;0,
     COUNTIFS($AB$2:$AB$200,$G247)&gt;0,
     COUNTIFS($AC$2:$AC$200,$G247)&gt;0,
     COUNTIFS($AD$2:$AD$200,$G247)&gt;0,
     COUNTIFS($AE$2:$AE$200,$G247)&gt;0,
     COUNTIFS($AF$2:$AF$200,$G247)&gt;0,
     COUNTIFS($AG$2:$AG$200,$G247)&gt;0,
     COUNTIFS($AH$2:$AH$200,$G247)&gt;0,
     COUNTIFS($AI$2:$AI$200,$G247)&gt;0,
     COUNTIFS($AJ$2:$AJ$200,$G247)&gt;0,
     COUNTIFS($AK$2:$AK$200,$G247)&gt;0,
     COUNTIFS($AL$2:$AL$200,$G247)&gt;0,
     COUNTIFS($AM$2:$AM$200,$G247)&gt;0,
     COUNTIFS($AN$2:$AN$200,$G247)&gt;0,
     COUNTIFS($AO$2:$AO$200,$G247)&gt;0,
     COUNTIFS($AP$2:$AP$200,$G247)&gt;0,
     COUNTIFS($AQ$2:$AQ$200,$G247)&gt;0,
     COUNTIFS($AR$2:$AR$200,$G247)&gt;0,
     COUNTIFS($AS$2:$AS$200,$G247)&gt;0,
     COUNTIFS($AT$2:$AT$200,$G247)&gt;0,
     COUNTIFS($AU$2:$AU$200,$G247)&gt;0,
     COUNTIFS($AV$2:$AV$200,$G247)&gt;0,
     COUNTIFS($AW$2:$AW$200,$G247)&gt;0,
     COUNTIFS($AX$2:$AX$200,$G247)&gt;0
   )),
  ),
  3
 ),
"")</f>
        <v/>
      </c>
      <c r="F247" s="3" t="str" cm="1">
        <f t="array" aca="1" ref="F247" ca="1">IFERROR(
 INDEX(
  _xlfn._xlws.FILTER($U$1:$AX$1,
   TRANSPOSE(
    CHOOSE({1;2;3;4;5;6;7;8;9;10;11;12;13;14;15;16;17;18;19;20;21;22;23;24;25;26;27;28;29;30},
     COUNTIFS($U$2:$U$200,$G247)&gt;0,
     COUNTIFS($V$2:$V$200,$G247)&gt;0,
     COUNTIFS($W$2:$W$200,$G247)&gt;0,
     COUNTIFS($X$2:$X$200,$G247)&gt;0,
     COUNTIFS($Y$2:$Y$200,$G247)&gt;0,
     COUNTIFS($Z$2:$Z$200,$G247)&gt;0,
     COUNTIFS($AA$2:$AA$200,$G247)&gt;0,
     COUNTIFS($AB$2:$AB$200,$G247)&gt;0,
     COUNTIFS($AC$2:$AC$200,$G247)&gt;0,
     COUNTIFS($AD$2:$AD$200,$G247)&gt;0,
     COUNTIFS($AE$2:$AE$200,$G247)&gt;0,
     COUNTIFS($AF$2:$AF$200,$G247)&gt;0,
     COUNTIFS($AG$2:$AG$200,$G247)&gt;0,
     COUNTIFS($AH$2:$AH$200,$G247)&gt;0,
     COUNTIFS($AI$2:$AI$200,$G247)&gt;0,
     COUNTIFS($AJ$2:$AJ$200,$G247)&gt;0,
     COUNTIFS($AK$2:$AK$200,$G247)&gt;0,
     COUNTIFS($AL$2:$AL$200,$G247)&gt;0,
     COUNTIFS($AM$2:$AM$200,$G247)&gt;0,
     COUNTIFS($AN$2:$AN$200,$G247)&gt;0,
     COUNTIFS($AO$2:$AO$200,$G247)&gt;0,
     COUNTIFS($AP$2:$AP$200,$G247)&gt;0,
     COUNTIFS($AQ$2:$AQ$200,$G247)&gt;0,
     COUNTIFS($AR$2:$AR$200,$G247)&gt;0,
     COUNTIFS($AS$2:$AS$200,$G247)&gt;0,
     COUNTIFS($AT$2:$AT$200,$G247)&gt;0,
     COUNTIFS($AU$2:$AU$200,$G247)&gt;0,
     COUNTIFS($AV$2:$AV$200,$G247)&gt;0,
     COUNTIFS($AW$2:$AW$200,$G247)&gt;0,
     COUNTIFS($AX$2:$AX$200,$G247)&gt;0
   )),
  ),
  4
 ),
"")</f>
        <v/>
      </c>
      <c r="G247" t="str">
        <f ca="1"/>
        <v>Protection Magic</v>
      </c>
    </row>
    <row r="248" spans="1:7" x14ac:dyDescent="0.25">
      <c r="A248" s="3" t="str">
        <f t="shared" ca="1" si="8"/>
        <v>2</v>
      </c>
      <c r="B248" s="3">
        <f t="shared" ca="1" si="9"/>
        <v>1</v>
      </c>
      <c r="C248" s="3" t="str">
        <f ca="1">IFERROR(
 INDEX($U$1:$AX$1,
  MATCH(TRUE,
   CHOOSE({1;2;3;4;5;6;7;8;9;10;11;12;13;14;15;16;17;18;19;20;21;22;23;24;25;26;27;28;29;30;31;32},
    COUNTIFS($U$2:$U$200,$G248)&gt;0,
    COUNTIFS($V$2:$V$200,$G248)&gt;0,
    COUNTIFS($W$2:$W$200,$G248)&gt;0,
    COUNTIFS($X$2:$X$200,$G248)&gt;0,
    COUNTIFS($Y$2:$Y$200,$G248)&gt;0,
    COUNTIFS($Z$2:$Z$200,$G248)&gt;0,
    COUNTIFS($AA$2:$AA$200,$G248)&gt;0,
    COUNTIFS($AB$2:$AB$200,$G248)&gt;0,
    COUNTIFS($AC$2:$AC$200,$G248)&gt;0,
    COUNTIFS($AD$2:$AD$200,$G248)&gt;0,
    COUNTIFS($AE$2:$AE$200,$G248)&gt;0,
    COUNTIFS($AF$2:$AF$200,$G248)&gt;0,
    COUNTIFS($AG$2:$AG$200,$G248)&gt;0,
    COUNTIFS($AH$2:$AH$200,$G248)&gt;0,
    COUNTIFS($AI$2:$AI$200,$G248)&gt;0,
    COUNTIFS($AJ$2:$AJ$200,$G248)&gt;0,
    COUNTIFS($AK$2:$AK$200,$G248)&gt;0,
    COUNTIFS($AL$2:$AL$200,$G248)&gt;0,
    COUNTIFS($AM$2:$AM$200,$G248)&gt;0,
    COUNTIFS($AN$2:$AN$200,$G248)&gt;0,
    COUNTIFS($AO$2:$AO$200,$G248)&gt;0,
    COUNTIFS($AP$2:$AP$200,$G248)&gt;0,
    COUNTIFS($AQ$2:$AQ$200,$G248)&gt;0,
    COUNTIFS($AR$2:$AR$200,$G248)&gt;0,
    COUNTIFS($AS$2:$AS$200,$G248)&gt;0,
    COUNTIFS($AT$2:$AT$200,$G248)&gt;0,
    COUNTIFS($AU$2:$AU$200,$G248)&gt;0,
    COUNTIFS($AV$2:$AV$200,$G248)&gt;0,
    COUNTIFS($AW$2:$AW$200,$G248)&gt;0,
    COUNTIFS($AX$2:$AX$200,$G248)&gt;0
   ),
  0)
 ),
"")</f>
        <v>Narset</v>
      </c>
      <c r="D248" s="3" t="str" cm="1">
        <f t="array" aca="1" ref="D248" ca="1">IFERROR(
 INDEX(
  _xlfn._xlws.FILTER($U$1:$AX$1,
   TRANSPOSE(
    CHOOSE({1;2;3;4;5;6;7;8;9;10;11;12;13;14;15;16;17;18;19;20;21;22;23;24;25;26;27;28;29;30},
     COUNTIFS($U$2:$U$200,$G248)&gt;0,
     COUNTIFS($V$2:$V$200,$G248)&gt;0,
     COUNTIFS($W$2:$W$200,$G248)&gt;0,
     COUNTIFS($X$2:$X$200,$G248)&gt;0,
     COUNTIFS($Y$2:$Y$200,$G248)&gt;0,
     COUNTIFS($Z$2:$Z$200,$G248)&gt;0,
     COUNTIFS($AA$2:$AA$200,$G248)&gt;0,
     COUNTIFS($AB$2:$AB$200,$G248)&gt;0,
     COUNTIFS($AC$2:$AC$200,$G248)&gt;0,
     COUNTIFS($AD$2:$AD$200,$G248)&gt;0,
     COUNTIFS($AE$2:$AE$200,$G248)&gt;0,
     COUNTIFS($AF$2:$AF$200,$G248)&gt;0,
     COUNTIFS($AG$2:$AG$200,$G248)&gt;0,
     COUNTIFS($AH$2:$AH$200,$G248)&gt;0,
     COUNTIFS($AI$2:$AI$200,$G248)&gt;0,
     COUNTIFS($AJ$2:$AJ$200,$G248)&gt;0,
     COUNTIFS($AK$2:$AK$200,$G248)&gt;0,
     COUNTIFS($AL$2:$AL$200,$G248)&gt;0,
     COUNTIFS($AM$2:$AM$200,$G248)&gt;0,
     COUNTIFS($AN$2:$AN$200,$G248)&gt;0,
     COUNTIFS($AO$2:$AO$200,$G248)&gt;0,
     COUNTIFS($AP$2:$AP$200,$G248)&gt;0,
     COUNTIFS($AQ$2:$AQ$200,$G248)&gt;0,
     COUNTIFS($AR$2:$AR$200,$G248)&gt;0,
     COUNTIFS($AS$2:$AS$200,$G248)&gt;0,
     COUNTIFS($AT$2:$AT$200,$G248)&gt;0,
     COUNTIFS($AU$2:$AU$200,$G248)&gt;0,
     COUNTIFS($AV$2:$AV$200,$G248)&gt;0,
     COUNTIFS($AW$2:$AW$200,$G248)&gt;0,
     COUNTIFS($AX$2:$AX$200,$G248)&gt;0
   )),
  ),
  2
 ),
"")</f>
        <v/>
      </c>
      <c r="E248" s="3" t="str" cm="1">
        <f t="array" aca="1" ref="E248" ca="1">IFERROR(
 INDEX(
  _xlfn._xlws.FILTER($U$1:$AX$1,
   TRANSPOSE(
    CHOOSE({1;2;3;4;5;6;7;8;9;10;11;12;13;14;15;16;17;18;19;20;21;22;23;24;25;26;27;28;29;30},
     COUNTIFS($U$2:$U$200,$G248)&gt;0,
     COUNTIFS($V$2:$V$200,$G248)&gt;0,
     COUNTIFS($W$2:$W$200,$G248)&gt;0,
     COUNTIFS($X$2:$X$200,$G248)&gt;0,
     COUNTIFS($Y$2:$Y$200,$G248)&gt;0,
     COUNTIFS($Z$2:$Z$200,$G248)&gt;0,
     COUNTIFS($AA$2:$AA$200,$G248)&gt;0,
     COUNTIFS($AB$2:$AB$200,$G248)&gt;0,
     COUNTIFS($AC$2:$AC$200,$G248)&gt;0,
     COUNTIFS($AD$2:$AD$200,$G248)&gt;0,
     COUNTIFS($AE$2:$AE$200,$G248)&gt;0,
     COUNTIFS($AF$2:$AF$200,$G248)&gt;0,
     COUNTIFS($AG$2:$AG$200,$G248)&gt;0,
     COUNTIFS($AH$2:$AH$200,$G248)&gt;0,
     COUNTIFS($AI$2:$AI$200,$G248)&gt;0,
     COUNTIFS($AJ$2:$AJ$200,$G248)&gt;0,
     COUNTIFS($AK$2:$AK$200,$G248)&gt;0,
     COUNTIFS($AL$2:$AL$200,$G248)&gt;0,
     COUNTIFS($AM$2:$AM$200,$G248)&gt;0,
     COUNTIFS($AN$2:$AN$200,$G248)&gt;0,
     COUNTIFS($AO$2:$AO$200,$G248)&gt;0,
     COUNTIFS($AP$2:$AP$200,$G248)&gt;0,
     COUNTIFS($AQ$2:$AQ$200,$G248)&gt;0,
     COUNTIFS($AR$2:$AR$200,$G248)&gt;0,
     COUNTIFS($AS$2:$AS$200,$G248)&gt;0,
     COUNTIFS($AT$2:$AT$200,$G248)&gt;0,
     COUNTIFS($AU$2:$AU$200,$G248)&gt;0,
     COUNTIFS($AV$2:$AV$200,$G248)&gt;0,
     COUNTIFS($AW$2:$AW$200,$G248)&gt;0,
     COUNTIFS($AX$2:$AX$200,$G248)&gt;0
   )),
  ),
  3
 ),
"")</f>
        <v/>
      </c>
      <c r="F248" s="3" t="str" cm="1">
        <f t="array" aca="1" ref="F248" ca="1">IFERROR(
 INDEX(
  _xlfn._xlws.FILTER($U$1:$AX$1,
   TRANSPOSE(
    CHOOSE({1;2;3;4;5;6;7;8;9;10;11;12;13;14;15;16;17;18;19;20;21;22;23;24;25;26;27;28;29;30},
     COUNTIFS($U$2:$U$200,$G248)&gt;0,
     COUNTIFS($V$2:$V$200,$G248)&gt;0,
     COUNTIFS($W$2:$W$200,$G248)&gt;0,
     COUNTIFS($X$2:$X$200,$G248)&gt;0,
     COUNTIFS($Y$2:$Y$200,$G248)&gt;0,
     COUNTIFS($Z$2:$Z$200,$G248)&gt;0,
     COUNTIFS($AA$2:$AA$200,$G248)&gt;0,
     COUNTIFS($AB$2:$AB$200,$G248)&gt;0,
     COUNTIFS($AC$2:$AC$200,$G248)&gt;0,
     COUNTIFS($AD$2:$AD$200,$G248)&gt;0,
     COUNTIFS($AE$2:$AE$200,$G248)&gt;0,
     COUNTIFS($AF$2:$AF$200,$G248)&gt;0,
     COUNTIFS($AG$2:$AG$200,$G248)&gt;0,
     COUNTIFS($AH$2:$AH$200,$G248)&gt;0,
     COUNTIFS($AI$2:$AI$200,$G248)&gt;0,
     COUNTIFS($AJ$2:$AJ$200,$G248)&gt;0,
     COUNTIFS($AK$2:$AK$200,$G248)&gt;0,
     COUNTIFS($AL$2:$AL$200,$G248)&gt;0,
     COUNTIFS($AM$2:$AM$200,$G248)&gt;0,
     COUNTIFS($AN$2:$AN$200,$G248)&gt;0,
     COUNTIFS($AO$2:$AO$200,$G248)&gt;0,
     COUNTIFS($AP$2:$AP$200,$G248)&gt;0,
     COUNTIFS($AQ$2:$AQ$200,$G248)&gt;0,
     COUNTIFS($AR$2:$AR$200,$G248)&gt;0,
     COUNTIFS($AS$2:$AS$200,$G248)&gt;0,
     COUNTIFS($AT$2:$AT$200,$G248)&gt;0,
     COUNTIFS($AU$2:$AU$200,$G248)&gt;0,
     COUNTIFS($AV$2:$AV$200,$G248)&gt;0,
     COUNTIFS($AW$2:$AW$200,$G248)&gt;0,
     COUNTIFS($AX$2:$AX$200,$G248)&gt;0
   )),
  ),
  4
 ),
"")</f>
        <v/>
      </c>
      <c r="G248" t="str">
        <f ca="1"/>
        <v>Psychic Corrosion</v>
      </c>
    </row>
    <row r="249" spans="1:7" x14ac:dyDescent="0.25">
      <c r="A249" s="3" t="str">
        <f t="shared" ca="1" si="8"/>
        <v>1</v>
      </c>
      <c r="B249" s="3">
        <f t="shared" ca="1" si="9"/>
        <v>1</v>
      </c>
      <c r="C249" s="3" t="str">
        <f ca="1">IFERROR(
 INDEX($U$1:$AX$1,
  MATCH(TRUE,
   CHOOSE({1;2;3;4;5;6;7;8;9;10;11;12;13;14;15;16;17;18;19;20;21;22;23;24;25;26;27;28;29;30;31;32},
    COUNTIFS($U$2:$U$200,$G249)&gt;0,
    COUNTIFS($V$2:$V$200,$G249)&gt;0,
    COUNTIFS($W$2:$W$200,$G249)&gt;0,
    COUNTIFS($X$2:$X$200,$G249)&gt;0,
    COUNTIFS($Y$2:$Y$200,$G249)&gt;0,
    COUNTIFS($Z$2:$Z$200,$G249)&gt;0,
    COUNTIFS($AA$2:$AA$200,$G249)&gt;0,
    COUNTIFS($AB$2:$AB$200,$G249)&gt;0,
    COUNTIFS($AC$2:$AC$200,$G249)&gt;0,
    COUNTIFS($AD$2:$AD$200,$G249)&gt;0,
    COUNTIFS($AE$2:$AE$200,$G249)&gt;0,
    COUNTIFS($AF$2:$AF$200,$G249)&gt;0,
    COUNTIFS($AG$2:$AG$200,$G249)&gt;0,
    COUNTIFS($AH$2:$AH$200,$G249)&gt;0,
    COUNTIFS($AI$2:$AI$200,$G249)&gt;0,
    COUNTIFS($AJ$2:$AJ$200,$G249)&gt;0,
    COUNTIFS($AK$2:$AK$200,$G249)&gt;0,
    COUNTIFS($AL$2:$AL$200,$G249)&gt;0,
    COUNTIFS($AM$2:$AM$200,$G249)&gt;0,
    COUNTIFS($AN$2:$AN$200,$G249)&gt;0,
    COUNTIFS($AO$2:$AO$200,$G249)&gt;0,
    COUNTIFS($AP$2:$AP$200,$G249)&gt;0,
    COUNTIFS($AQ$2:$AQ$200,$G249)&gt;0,
    COUNTIFS($AR$2:$AR$200,$G249)&gt;0,
    COUNTIFS($AS$2:$AS$200,$G249)&gt;0,
    COUNTIFS($AT$2:$AT$200,$G249)&gt;0,
    COUNTIFS($AU$2:$AU$200,$G249)&gt;0,
    COUNTIFS($AV$2:$AV$200,$G249)&gt;0,
    COUNTIFS($AW$2:$AW$200,$G249)&gt;0,
    COUNTIFS($AX$2:$AX$200,$G249)&gt;0
   ),
  0)
 ),
"")</f>
        <v>Baylen</v>
      </c>
      <c r="D249" s="3" t="str" cm="1">
        <f t="array" aca="1" ref="D249" ca="1">IFERROR(
 INDEX(
  _xlfn._xlws.FILTER($U$1:$AX$1,
   TRANSPOSE(
    CHOOSE({1;2;3;4;5;6;7;8;9;10;11;12;13;14;15;16;17;18;19;20;21;22;23;24;25;26;27;28;29;30},
     COUNTIFS($U$2:$U$200,$G249)&gt;0,
     COUNTIFS($V$2:$V$200,$G249)&gt;0,
     COUNTIFS($W$2:$W$200,$G249)&gt;0,
     COUNTIFS($X$2:$X$200,$G249)&gt;0,
     COUNTIFS($Y$2:$Y$200,$G249)&gt;0,
     COUNTIFS($Z$2:$Z$200,$G249)&gt;0,
     COUNTIFS($AA$2:$AA$200,$G249)&gt;0,
     COUNTIFS($AB$2:$AB$200,$G249)&gt;0,
     COUNTIFS($AC$2:$AC$200,$G249)&gt;0,
     COUNTIFS($AD$2:$AD$200,$G249)&gt;0,
     COUNTIFS($AE$2:$AE$200,$G249)&gt;0,
     COUNTIFS($AF$2:$AF$200,$G249)&gt;0,
     COUNTIFS($AG$2:$AG$200,$G249)&gt;0,
     COUNTIFS($AH$2:$AH$200,$G249)&gt;0,
     COUNTIFS($AI$2:$AI$200,$G249)&gt;0,
     COUNTIFS($AJ$2:$AJ$200,$G249)&gt;0,
     COUNTIFS($AK$2:$AK$200,$G249)&gt;0,
     COUNTIFS($AL$2:$AL$200,$G249)&gt;0,
     COUNTIFS($AM$2:$AM$200,$G249)&gt;0,
     COUNTIFS($AN$2:$AN$200,$G249)&gt;0,
     COUNTIFS($AO$2:$AO$200,$G249)&gt;0,
     COUNTIFS($AP$2:$AP$200,$G249)&gt;0,
     COUNTIFS($AQ$2:$AQ$200,$G249)&gt;0,
     COUNTIFS($AR$2:$AR$200,$G249)&gt;0,
     COUNTIFS($AS$2:$AS$200,$G249)&gt;0,
     COUNTIFS($AT$2:$AT$200,$G249)&gt;0,
     COUNTIFS($AU$2:$AU$200,$G249)&gt;0,
     COUNTIFS($AV$2:$AV$200,$G249)&gt;0,
     COUNTIFS($AW$2:$AW$200,$G249)&gt;0,
     COUNTIFS($AX$2:$AX$200,$G249)&gt;0
   )),
  ),
  2
 ),
"")</f>
        <v/>
      </c>
      <c r="E249" s="3" t="str" cm="1">
        <f t="array" aca="1" ref="E249" ca="1">IFERROR(
 INDEX(
  _xlfn._xlws.FILTER($U$1:$AX$1,
   TRANSPOSE(
    CHOOSE({1;2;3;4;5;6;7;8;9;10;11;12;13;14;15;16;17;18;19;20;21;22;23;24;25;26;27;28;29;30},
     COUNTIFS($U$2:$U$200,$G249)&gt;0,
     COUNTIFS($V$2:$V$200,$G249)&gt;0,
     COUNTIFS($W$2:$W$200,$G249)&gt;0,
     COUNTIFS($X$2:$X$200,$G249)&gt;0,
     COUNTIFS($Y$2:$Y$200,$G249)&gt;0,
     COUNTIFS($Z$2:$Z$200,$G249)&gt;0,
     COUNTIFS($AA$2:$AA$200,$G249)&gt;0,
     COUNTIFS($AB$2:$AB$200,$G249)&gt;0,
     COUNTIFS($AC$2:$AC$200,$G249)&gt;0,
     COUNTIFS($AD$2:$AD$200,$G249)&gt;0,
     COUNTIFS($AE$2:$AE$200,$G249)&gt;0,
     COUNTIFS($AF$2:$AF$200,$G249)&gt;0,
     COUNTIFS($AG$2:$AG$200,$G249)&gt;0,
     COUNTIFS($AH$2:$AH$200,$G249)&gt;0,
     COUNTIFS($AI$2:$AI$200,$G249)&gt;0,
     COUNTIFS($AJ$2:$AJ$200,$G249)&gt;0,
     COUNTIFS($AK$2:$AK$200,$G249)&gt;0,
     COUNTIFS($AL$2:$AL$200,$G249)&gt;0,
     COUNTIFS($AM$2:$AM$200,$G249)&gt;0,
     COUNTIFS($AN$2:$AN$200,$G249)&gt;0,
     COUNTIFS($AO$2:$AO$200,$G249)&gt;0,
     COUNTIFS($AP$2:$AP$200,$G249)&gt;0,
     COUNTIFS($AQ$2:$AQ$200,$G249)&gt;0,
     COUNTIFS($AR$2:$AR$200,$G249)&gt;0,
     COUNTIFS($AS$2:$AS$200,$G249)&gt;0,
     COUNTIFS($AT$2:$AT$200,$G249)&gt;0,
     COUNTIFS($AU$2:$AU$200,$G249)&gt;0,
     COUNTIFS($AV$2:$AV$200,$G249)&gt;0,
     COUNTIFS($AW$2:$AW$200,$G249)&gt;0,
     COUNTIFS($AX$2:$AX$200,$G249)&gt;0
   )),
  ),
  3
 ),
"")</f>
        <v/>
      </c>
      <c r="F249" s="3" t="str" cm="1">
        <f t="array" aca="1" ref="F249" ca="1">IFERROR(
 INDEX(
  _xlfn._xlws.FILTER($U$1:$AX$1,
   TRANSPOSE(
    CHOOSE({1;2;3;4;5;6;7;8;9;10;11;12;13;14;15;16;17;18;19;20;21;22;23;24;25;26;27;28;29;30},
     COUNTIFS($U$2:$U$200,$G249)&gt;0,
     COUNTIFS($V$2:$V$200,$G249)&gt;0,
     COUNTIFS($W$2:$W$200,$G249)&gt;0,
     COUNTIFS($X$2:$X$200,$G249)&gt;0,
     COUNTIFS($Y$2:$Y$200,$G249)&gt;0,
     COUNTIFS($Z$2:$Z$200,$G249)&gt;0,
     COUNTIFS($AA$2:$AA$200,$G249)&gt;0,
     COUNTIFS($AB$2:$AB$200,$G249)&gt;0,
     COUNTIFS($AC$2:$AC$200,$G249)&gt;0,
     COUNTIFS($AD$2:$AD$200,$G249)&gt;0,
     COUNTIFS($AE$2:$AE$200,$G249)&gt;0,
     COUNTIFS($AF$2:$AF$200,$G249)&gt;0,
     COUNTIFS($AG$2:$AG$200,$G249)&gt;0,
     COUNTIFS($AH$2:$AH$200,$G249)&gt;0,
     COUNTIFS($AI$2:$AI$200,$G249)&gt;0,
     COUNTIFS($AJ$2:$AJ$200,$G249)&gt;0,
     COUNTIFS($AK$2:$AK$200,$G249)&gt;0,
     COUNTIFS($AL$2:$AL$200,$G249)&gt;0,
     COUNTIFS($AM$2:$AM$200,$G249)&gt;0,
     COUNTIFS($AN$2:$AN$200,$G249)&gt;0,
     COUNTIFS($AO$2:$AO$200,$G249)&gt;0,
     COUNTIFS($AP$2:$AP$200,$G249)&gt;0,
     COUNTIFS($AQ$2:$AQ$200,$G249)&gt;0,
     COUNTIFS($AR$2:$AR$200,$G249)&gt;0,
     COUNTIFS($AS$2:$AS$200,$G249)&gt;0,
     COUNTIFS($AT$2:$AT$200,$G249)&gt;0,
     COUNTIFS($AU$2:$AU$200,$G249)&gt;0,
     COUNTIFS($AV$2:$AV$200,$G249)&gt;0,
     COUNTIFS($AW$2:$AW$200,$G249)&gt;0,
     COUNTIFS($AX$2:$AX$200,$G249)&gt;0
   )),
  ),
  4
 ),
"")</f>
        <v/>
      </c>
      <c r="G249" t="str">
        <f ca="1"/>
        <v>Purphoros, God of the Forge</v>
      </c>
    </row>
    <row r="250" spans="1:7" x14ac:dyDescent="0.25">
      <c r="A250" s="3" t="str">
        <f t="shared" ca="1" si="8"/>
        <v>4</v>
      </c>
      <c r="B250" s="3">
        <f t="shared" ca="1" si="9"/>
        <v>1</v>
      </c>
      <c r="C250" s="3" t="str">
        <f ca="1">IFERROR(
 INDEX($U$1:$AX$1,
  MATCH(TRUE,
   CHOOSE({1;2;3;4;5;6;7;8;9;10;11;12;13;14;15;16;17;18;19;20;21;22;23;24;25;26;27;28;29;30;31;32},
    COUNTIFS($U$2:$U$200,$G250)&gt;0,
    COUNTIFS($V$2:$V$200,$G250)&gt;0,
    COUNTIFS($W$2:$W$200,$G250)&gt;0,
    COUNTIFS($X$2:$X$200,$G250)&gt;0,
    COUNTIFS($Y$2:$Y$200,$G250)&gt;0,
    COUNTIFS($Z$2:$Z$200,$G250)&gt;0,
    COUNTIFS($AA$2:$AA$200,$G250)&gt;0,
    COUNTIFS($AB$2:$AB$200,$G250)&gt;0,
    COUNTIFS($AC$2:$AC$200,$G250)&gt;0,
    COUNTIFS($AD$2:$AD$200,$G250)&gt;0,
    COUNTIFS($AE$2:$AE$200,$G250)&gt;0,
    COUNTIFS($AF$2:$AF$200,$G250)&gt;0,
    COUNTIFS($AG$2:$AG$200,$G250)&gt;0,
    COUNTIFS($AH$2:$AH$200,$G250)&gt;0,
    COUNTIFS($AI$2:$AI$200,$G250)&gt;0,
    COUNTIFS($AJ$2:$AJ$200,$G250)&gt;0,
    COUNTIFS($AK$2:$AK$200,$G250)&gt;0,
    COUNTIFS($AL$2:$AL$200,$G250)&gt;0,
    COUNTIFS($AM$2:$AM$200,$G250)&gt;0,
    COUNTIFS($AN$2:$AN$200,$G250)&gt;0,
    COUNTIFS($AO$2:$AO$200,$G250)&gt;0,
    COUNTIFS($AP$2:$AP$200,$G250)&gt;0,
    COUNTIFS($AQ$2:$AQ$200,$G250)&gt;0,
    COUNTIFS($AR$2:$AR$200,$G250)&gt;0,
    COUNTIFS($AS$2:$AS$200,$G250)&gt;0,
    COUNTIFS($AT$2:$AT$200,$G250)&gt;0,
    COUNTIFS($AU$2:$AU$200,$G250)&gt;0,
    COUNTIFS($AV$2:$AV$200,$G250)&gt;0,
    COUNTIFS($AW$2:$AW$200,$G250)&gt;0,
    COUNTIFS($AX$2:$AX$200,$G250)&gt;0
   ),
  0)
 ),
"")</f>
        <v>Fractius</v>
      </c>
      <c r="D250" s="3" t="str" cm="1">
        <f t="array" aca="1" ref="D250" ca="1">IFERROR(
 INDEX(
  _xlfn._xlws.FILTER($U$1:$AX$1,
   TRANSPOSE(
    CHOOSE({1;2;3;4;5;6;7;8;9;10;11;12;13;14;15;16;17;18;19;20;21;22;23;24;25;26;27;28;29;30},
     COUNTIFS($U$2:$U$200,$G250)&gt;0,
     COUNTIFS($V$2:$V$200,$G250)&gt;0,
     COUNTIFS($W$2:$W$200,$G250)&gt;0,
     COUNTIFS($X$2:$X$200,$G250)&gt;0,
     COUNTIFS($Y$2:$Y$200,$G250)&gt;0,
     COUNTIFS($Z$2:$Z$200,$G250)&gt;0,
     COUNTIFS($AA$2:$AA$200,$G250)&gt;0,
     COUNTIFS($AB$2:$AB$200,$G250)&gt;0,
     COUNTIFS($AC$2:$AC$200,$G250)&gt;0,
     COUNTIFS($AD$2:$AD$200,$G250)&gt;0,
     COUNTIFS($AE$2:$AE$200,$G250)&gt;0,
     COUNTIFS($AF$2:$AF$200,$G250)&gt;0,
     COUNTIFS($AG$2:$AG$200,$G250)&gt;0,
     COUNTIFS($AH$2:$AH$200,$G250)&gt;0,
     COUNTIFS($AI$2:$AI$200,$G250)&gt;0,
     COUNTIFS($AJ$2:$AJ$200,$G250)&gt;0,
     COUNTIFS($AK$2:$AK$200,$G250)&gt;0,
     COUNTIFS($AL$2:$AL$200,$G250)&gt;0,
     COUNTIFS($AM$2:$AM$200,$G250)&gt;0,
     COUNTIFS($AN$2:$AN$200,$G250)&gt;0,
     COUNTIFS($AO$2:$AO$200,$G250)&gt;0,
     COUNTIFS($AP$2:$AP$200,$G250)&gt;0,
     COUNTIFS($AQ$2:$AQ$200,$G250)&gt;0,
     COUNTIFS($AR$2:$AR$200,$G250)&gt;0,
     COUNTIFS($AS$2:$AS$200,$G250)&gt;0,
     COUNTIFS($AT$2:$AT$200,$G250)&gt;0,
     COUNTIFS($AU$2:$AU$200,$G250)&gt;0,
     COUNTIFS($AV$2:$AV$200,$G250)&gt;0,
     COUNTIFS($AW$2:$AW$200,$G250)&gt;0,
     COUNTIFS($AX$2:$AX$200,$G250)&gt;0
   )),
  ),
  2
 ),
"")</f>
        <v/>
      </c>
      <c r="E250" s="3" t="str" cm="1">
        <f t="array" aca="1" ref="E250" ca="1">IFERROR(
 INDEX(
  _xlfn._xlws.FILTER($U$1:$AX$1,
   TRANSPOSE(
    CHOOSE({1;2;3;4;5;6;7;8;9;10;11;12;13;14;15;16;17;18;19;20;21;22;23;24;25;26;27;28;29;30},
     COUNTIFS($U$2:$U$200,$G250)&gt;0,
     COUNTIFS($V$2:$V$200,$G250)&gt;0,
     COUNTIFS($W$2:$W$200,$G250)&gt;0,
     COUNTIFS($X$2:$X$200,$G250)&gt;0,
     COUNTIFS($Y$2:$Y$200,$G250)&gt;0,
     COUNTIFS($Z$2:$Z$200,$G250)&gt;0,
     COUNTIFS($AA$2:$AA$200,$G250)&gt;0,
     COUNTIFS($AB$2:$AB$200,$G250)&gt;0,
     COUNTIFS($AC$2:$AC$200,$G250)&gt;0,
     COUNTIFS($AD$2:$AD$200,$G250)&gt;0,
     COUNTIFS($AE$2:$AE$200,$G250)&gt;0,
     COUNTIFS($AF$2:$AF$200,$G250)&gt;0,
     COUNTIFS($AG$2:$AG$200,$G250)&gt;0,
     COUNTIFS($AH$2:$AH$200,$G250)&gt;0,
     COUNTIFS($AI$2:$AI$200,$G250)&gt;0,
     COUNTIFS($AJ$2:$AJ$200,$G250)&gt;0,
     COUNTIFS($AK$2:$AK$200,$G250)&gt;0,
     COUNTIFS($AL$2:$AL$200,$G250)&gt;0,
     COUNTIFS($AM$2:$AM$200,$G250)&gt;0,
     COUNTIFS($AN$2:$AN$200,$G250)&gt;0,
     COUNTIFS($AO$2:$AO$200,$G250)&gt;0,
     COUNTIFS($AP$2:$AP$200,$G250)&gt;0,
     COUNTIFS($AQ$2:$AQ$200,$G250)&gt;0,
     COUNTIFS($AR$2:$AR$200,$G250)&gt;0,
     COUNTIFS($AS$2:$AS$200,$G250)&gt;0,
     COUNTIFS($AT$2:$AT$200,$G250)&gt;0,
     COUNTIFS($AU$2:$AU$200,$G250)&gt;0,
     COUNTIFS($AV$2:$AV$200,$G250)&gt;0,
     COUNTIFS($AW$2:$AW$200,$G250)&gt;0,
     COUNTIFS($AX$2:$AX$200,$G250)&gt;0
   )),
  ),
  3
 ),
"")</f>
        <v/>
      </c>
      <c r="F250" s="3" t="str" cm="1">
        <f t="array" aca="1" ref="F250" ca="1">IFERROR(
 INDEX(
  _xlfn._xlws.FILTER($U$1:$AX$1,
   TRANSPOSE(
    CHOOSE({1;2;3;4;5;6;7;8;9;10;11;12;13;14;15;16;17;18;19;20;21;22;23;24;25;26;27;28;29;30},
     COUNTIFS($U$2:$U$200,$G250)&gt;0,
     COUNTIFS($V$2:$V$200,$G250)&gt;0,
     COUNTIFS($W$2:$W$200,$G250)&gt;0,
     COUNTIFS($X$2:$X$200,$G250)&gt;0,
     COUNTIFS($Y$2:$Y$200,$G250)&gt;0,
     COUNTIFS($Z$2:$Z$200,$G250)&gt;0,
     COUNTIFS($AA$2:$AA$200,$G250)&gt;0,
     COUNTIFS($AB$2:$AB$200,$G250)&gt;0,
     COUNTIFS($AC$2:$AC$200,$G250)&gt;0,
     COUNTIFS($AD$2:$AD$200,$G250)&gt;0,
     COUNTIFS($AE$2:$AE$200,$G250)&gt;0,
     COUNTIFS($AF$2:$AF$200,$G250)&gt;0,
     COUNTIFS($AG$2:$AG$200,$G250)&gt;0,
     COUNTIFS($AH$2:$AH$200,$G250)&gt;0,
     COUNTIFS($AI$2:$AI$200,$G250)&gt;0,
     COUNTIFS($AJ$2:$AJ$200,$G250)&gt;0,
     COUNTIFS($AK$2:$AK$200,$G250)&gt;0,
     COUNTIFS($AL$2:$AL$200,$G250)&gt;0,
     COUNTIFS($AM$2:$AM$200,$G250)&gt;0,
     COUNTIFS($AN$2:$AN$200,$G250)&gt;0,
     COUNTIFS($AO$2:$AO$200,$G250)&gt;0,
     COUNTIFS($AP$2:$AP$200,$G250)&gt;0,
     COUNTIFS($AQ$2:$AQ$200,$G250)&gt;0,
     COUNTIFS($AR$2:$AR$200,$G250)&gt;0,
     COUNTIFS($AS$2:$AS$200,$G250)&gt;0,
     COUNTIFS($AT$2:$AT$200,$G250)&gt;0,
     COUNTIFS($AU$2:$AU$200,$G250)&gt;0,
     COUNTIFS($AV$2:$AV$200,$G250)&gt;0,
     COUNTIFS($AW$2:$AW$200,$G250)&gt;0,
     COUNTIFS($AX$2:$AX$200,$G250)&gt;0
   )),
  ),
  4
 ),
"")</f>
        <v/>
      </c>
      <c r="G250" t="str">
        <f ca="1"/>
        <v>Raffine's Tower</v>
      </c>
    </row>
    <row r="251" spans="1:7" x14ac:dyDescent="0.25">
      <c r="A251" s="3" t="str">
        <f t="shared" ca="1" si="8"/>
        <v>2</v>
      </c>
      <c r="B251" s="3">
        <f t="shared" ca="1" si="9"/>
        <v>1</v>
      </c>
      <c r="C251" s="3" t="str">
        <f ca="1">IFERROR(
 INDEX($U$1:$AX$1,
  MATCH(TRUE,
   CHOOSE({1;2;3;4;5;6;7;8;9;10;11;12;13;14;15;16;17;18;19;20;21;22;23;24;25;26;27;28;29;30;31;32},
    COUNTIFS($U$2:$U$200,$G251)&gt;0,
    COUNTIFS($V$2:$V$200,$G251)&gt;0,
    COUNTIFS($W$2:$W$200,$G251)&gt;0,
    COUNTIFS($X$2:$X$200,$G251)&gt;0,
    COUNTIFS($Y$2:$Y$200,$G251)&gt;0,
    COUNTIFS($Z$2:$Z$200,$G251)&gt;0,
    COUNTIFS($AA$2:$AA$200,$G251)&gt;0,
    COUNTIFS($AB$2:$AB$200,$G251)&gt;0,
    COUNTIFS($AC$2:$AC$200,$G251)&gt;0,
    COUNTIFS($AD$2:$AD$200,$G251)&gt;0,
    COUNTIFS($AE$2:$AE$200,$G251)&gt;0,
    COUNTIFS($AF$2:$AF$200,$G251)&gt;0,
    COUNTIFS($AG$2:$AG$200,$G251)&gt;0,
    COUNTIFS($AH$2:$AH$200,$G251)&gt;0,
    COUNTIFS($AI$2:$AI$200,$G251)&gt;0,
    COUNTIFS($AJ$2:$AJ$200,$G251)&gt;0,
    COUNTIFS($AK$2:$AK$200,$G251)&gt;0,
    COUNTIFS($AL$2:$AL$200,$G251)&gt;0,
    COUNTIFS($AM$2:$AM$200,$G251)&gt;0,
    COUNTIFS($AN$2:$AN$200,$G251)&gt;0,
    COUNTIFS($AO$2:$AO$200,$G251)&gt;0,
    COUNTIFS($AP$2:$AP$200,$G251)&gt;0,
    COUNTIFS($AQ$2:$AQ$200,$G251)&gt;0,
    COUNTIFS($AR$2:$AR$200,$G251)&gt;0,
    COUNTIFS($AS$2:$AS$200,$G251)&gt;0,
    COUNTIFS($AT$2:$AT$200,$G251)&gt;0,
    COUNTIFS($AU$2:$AU$200,$G251)&gt;0,
    COUNTIFS($AV$2:$AV$200,$G251)&gt;0,
    COUNTIFS($AW$2:$AW$200,$G251)&gt;0,
    COUNTIFS($AX$2:$AX$200,$G251)&gt;0
   ),
  0)
 ),
"")</f>
        <v>Piratas</v>
      </c>
      <c r="D251" s="3" t="str" cm="1">
        <f t="array" aca="1" ref="D251" ca="1">IFERROR(
 INDEX(
  _xlfn._xlws.FILTER($U$1:$AX$1,
   TRANSPOSE(
    CHOOSE({1;2;3;4;5;6;7;8;9;10;11;12;13;14;15;16;17;18;19;20;21;22;23;24;25;26;27;28;29;30},
     COUNTIFS($U$2:$U$200,$G251)&gt;0,
     COUNTIFS($V$2:$V$200,$G251)&gt;0,
     COUNTIFS($W$2:$W$200,$G251)&gt;0,
     COUNTIFS($X$2:$X$200,$G251)&gt;0,
     COUNTIFS($Y$2:$Y$200,$G251)&gt;0,
     COUNTIFS($Z$2:$Z$200,$G251)&gt;0,
     COUNTIFS($AA$2:$AA$200,$G251)&gt;0,
     COUNTIFS($AB$2:$AB$200,$G251)&gt;0,
     COUNTIFS($AC$2:$AC$200,$G251)&gt;0,
     COUNTIFS($AD$2:$AD$200,$G251)&gt;0,
     COUNTIFS($AE$2:$AE$200,$G251)&gt;0,
     COUNTIFS($AF$2:$AF$200,$G251)&gt;0,
     COUNTIFS($AG$2:$AG$200,$G251)&gt;0,
     COUNTIFS($AH$2:$AH$200,$G251)&gt;0,
     COUNTIFS($AI$2:$AI$200,$G251)&gt;0,
     COUNTIFS($AJ$2:$AJ$200,$G251)&gt;0,
     COUNTIFS($AK$2:$AK$200,$G251)&gt;0,
     COUNTIFS($AL$2:$AL$200,$G251)&gt;0,
     COUNTIFS($AM$2:$AM$200,$G251)&gt;0,
     COUNTIFS($AN$2:$AN$200,$G251)&gt;0,
     COUNTIFS($AO$2:$AO$200,$G251)&gt;0,
     COUNTIFS($AP$2:$AP$200,$G251)&gt;0,
     COUNTIFS($AQ$2:$AQ$200,$G251)&gt;0,
     COUNTIFS($AR$2:$AR$200,$G251)&gt;0,
     COUNTIFS($AS$2:$AS$200,$G251)&gt;0,
     COUNTIFS($AT$2:$AT$200,$G251)&gt;0,
     COUNTIFS($AU$2:$AU$200,$G251)&gt;0,
     COUNTIFS($AV$2:$AV$200,$G251)&gt;0,
     COUNTIFS($AW$2:$AW$200,$G251)&gt;0,
     COUNTIFS($AX$2:$AX$200,$G251)&gt;0
   )),
  ),
  2
 ),
"")</f>
        <v/>
      </c>
      <c r="E251" s="3" t="str" cm="1">
        <f t="array" aca="1" ref="E251" ca="1">IFERROR(
 INDEX(
  _xlfn._xlws.FILTER($U$1:$AX$1,
   TRANSPOSE(
    CHOOSE({1;2;3;4;5;6;7;8;9;10;11;12;13;14;15;16;17;18;19;20;21;22;23;24;25;26;27;28;29;30},
     COUNTIFS($U$2:$U$200,$G251)&gt;0,
     COUNTIFS($V$2:$V$200,$G251)&gt;0,
     COUNTIFS($W$2:$W$200,$G251)&gt;0,
     COUNTIFS($X$2:$X$200,$G251)&gt;0,
     COUNTIFS($Y$2:$Y$200,$G251)&gt;0,
     COUNTIFS($Z$2:$Z$200,$G251)&gt;0,
     COUNTIFS($AA$2:$AA$200,$G251)&gt;0,
     COUNTIFS($AB$2:$AB$200,$G251)&gt;0,
     COUNTIFS($AC$2:$AC$200,$G251)&gt;0,
     COUNTIFS($AD$2:$AD$200,$G251)&gt;0,
     COUNTIFS($AE$2:$AE$200,$G251)&gt;0,
     COUNTIFS($AF$2:$AF$200,$G251)&gt;0,
     COUNTIFS($AG$2:$AG$200,$G251)&gt;0,
     COUNTIFS($AH$2:$AH$200,$G251)&gt;0,
     COUNTIFS($AI$2:$AI$200,$G251)&gt;0,
     COUNTIFS($AJ$2:$AJ$200,$G251)&gt;0,
     COUNTIFS($AK$2:$AK$200,$G251)&gt;0,
     COUNTIFS($AL$2:$AL$200,$G251)&gt;0,
     COUNTIFS($AM$2:$AM$200,$G251)&gt;0,
     COUNTIFS($AN$2:$AN$200,$G251)&gt;0,
     COUNTIFS($AO$2:$AO$200,$G251)&gt;0,
     COUNTIFS($AP$2:$AP$200,$G251)&gt;0,
     COUNTIFS($AQ$2:$AQ$200,$G251)&gt;0,
     COUNTIFS($AR$2:$AR$200,$G251)&gt;0,
     COUNTIFS($AS$2:$AS$200,$G251)&gt;0,
     COUNTIFS($AT$2:$AT$200,$G251)&gt;0,
     COUNTIFS($AU$2:$AU$200,$G251)&gt;0,
     COUNTIFS($AV$2:$AV$200,$G251)&gt;0,
     COUNTIFS($AW$2:$AW$200,$G251)&gt;0,
     COUNTIFS($AX$2:$AX$200,$G251)&gt;0
   )),
  ),
  3
 ),
"")</f>
        <v/>
      </c>
      <c r="F251" s="3" t="str" cm="1">
        <f t="array" aca="1" ref="F251" ca="1">IFERROR(
 INDEX(
  _xlfn._xlws.FILTER($U$1:$AX$1,
   TRANSPOSE(
    CHOOSE({1;2;3;4;5;6;7;8;9;10;11;12;13;14;15;16;17;18;19;20;21;22;23;24;25;26;27;28;29;30},
     COUNTIFS($U$2:$U$200,$G251)&gt;0,
     COUNTIFS($V$2:$V$200,$G251)&gt;0,
     COUNTIFS($W$2:$W$200,$G251)&gt;0,
     COUNTIFS($X$2:$X$200,$G251)&gt;0,
     COUNTIFS($Y$2:$Y$200,$G251)&gt;0,
     COUNTIFS($Z$2:$Z$200,$G251)&gt;0,
     COUNTIFS($AA$2:$AA$200,$G251)&gt;0,
     COUNTIFS($AB$2:$AB$200,$G251)&gt;0,
     COUNTIFS($AC$2:$AC$200,$G251)&gt;0,
     COUNTIFS($AD$2:$AD$200,$G251)&gt;0,
     COUNTIFS($AE$2:$AE$200,$G251)&gt;0,
     COUNTIFS($AF$2:$AF$200,$G251)&gt;0,
     COUNTIFS($AG$2:$AG$200,$G251)&gt;0,
     COUNTIFS($AH$2:$AH$200,$G251)&gt;0,
     COUNTIFS($AI$2:$AI$200,$G251)&gt;0,
     COUNTIFS($AJ$2:$AJ$200,$G251)&gt;0,
     COUNTIFS($AK$2:$AK$200,$G251)&gt;0,
     COUNTIFS($AL$2:$AL$200,$G251)&gt;0,
     COUNTIFS($AM$2:$AM$200,$G251)&gt;0,
     COUNTIFS($AN$2:$AN$200,$G251)&gt;0,
     COUNTIFS($AO$2:$AO$200,$G251)&gt;0,
     COUNTIFS($AP$2:$AP$200,$G251)&gt;0,
     COUNTIFS($AQ$2:$AQ$200,$G251)&gt;0,
     COUNTIFS($AR$2:$AR$200,$G251)&gt;0,
     COUNTIFS($AS$2:$AS$200,$G251)&gt;0,
     COUNTIFS($AT$2:$AT$200,$G251)&gt;0,
     COUNTIFS($AU$2:$AU$200,$G251)&gt;0,
     COUNTIFS($AV$2:$AV$200,$G251)&gt;0,
     COUNTIFS($AW$2:$AW$200,$G251)&gt;0,
     COUNTIFS($AX$2:$AX$200,$G251)&gt;0
   )),
  ),
  4
 ),
"")</f>
        <v/>
      </c>
      <c r="G251" t="str">
        <f ca="1"/>
        <v>Reckless Fireweaver</v>
      </c>
    </row>
    <row r="252" spans="1:7" x14ac:dyDescent="0.25">
      <c r="A252" s="3" t="str">
        <f t="shared" ca="1" si="8"/>
        <v>4</v>
      </c>
      <c r="B252" s="3">
        <f t="shared" ca="1" si="9"/>
        <v>1</v>
      </c>
      <c r="C252" s="3" t="str">
        <f ca="1">IFERROR(
 INDEX($U$1:$AX$1,
  MATCH(TRUE,
   CHOOSE({1;2;3;4;5;6;7;8;9;10;11;12;13;14;15;16;17;18;19;20;21;22;23;24;25;26;27;28;29;30;31;32},
    COUNTIFS($U$2:$U$200,$G252)&gt;0,
    COUNTIFS($V$2:$V$200,$G252)&gt;0,
    COUNTIFS($W$2:$W$200,$G252)&gt;0,
    COUNTIFS($X$2:$X$200,$G252)&gt;0,
    COUNTIFS($Y$2:$Y$200,$G252)&gt;0,
    COUNTIFS($Z$2:$Z$200,$G252)&gt;0,
    COUNTIFS($AA$2:$AA$200,$G252)&gt;0,
    COUNTIFS($AB$2:$AB$200,$G252)&gt;0,
    COUNTIFS($AC$2:$AC$200,$G252)&gt;0,
    COUNTIFS($AD$2:$AD$200,$G252)&gt;0,
    COUNTIFS($AE$2:$AE$200,$G252)&gt;0,
    COUNTIFS($AF$2:$AF$200,$G252)&gt;0,
    COUNTIFS($AG$2:$AG$200,$G252)&gt;0,
    COUNTIFS($AH$2:$AH$200,$G252)&gt;0,
    COUNTIFS($AI$2:$AI$200,$G252)&gt;0,
    COUNTIFS($AJ$2:$AJ$200,$G252)&gt;0,
    COUNTIFS($AK$2:$AK$200,$G252)&gt;0,
    COUNTIFS($AL$2:$AL$200,$G252)&gt;0,
    COUNTIFS($AM$2:$AM$200,$G252)&gt;0,
    COUNTIFS($AN$2:$AN$200,$G252)&gt;0,
    COUNTIFS($AO$2:$AO$200,$G252)&gt;0,
    COUNTIFS($AP$2:$AP$200,$G252)&gt;0,
    COUNTIFS($AQ$2:$AQ$200,$G252)&gt;0,
    COUNTIFS($AR$2:$AR$200,$G252)&gt;0,
    COUNTIFS($AS$2:$AS$200,$G252)&gt;0,
    COUNTIFS($AT$2:$AT$200,$G252)&gt;0,
    COUNTIFS($AU$2:$AU$200,$G252)&gt;0,
    COUNTIFS($AV$2:$AV$200,$G252)&gt;0,
    COUNTIFS($AW$2:$AW$200,$G252)&gt;0,
    COUNTIFS($AX$2:$AX$200,$G252)&gt;0
   ),
  0)
 ),
"")</f>
        <v>Kresh</v>
      </c>
      <c r="D252" s="3" t="str" cm="1">
        <f t="array" aca="1" ref="D252" ca="1">IFERROR(
 INDEX(
  _xlfn._xlws.FILTER($U$1:$AX$1,
   TRANSPOSE(
    CHOOSE({1;2;3;4;5;6;7;8;9;10;11;12;13;14;15;16;17;18;19;20;21;22;23;24;25;26;27;28;29;30},
     COUNTIFS($U$2:$U$200,$G252)&gt;0,
     COUNTIFS($V$2:$V$200,$G252)&gt;0,
     COUNTIFS($W$2:$W$200,$G252)&gt;0,
     COUNTIFS($X$2:$X$200,$G252)&gt;0,
     COUNTIFS($Y$2:$Y$200,$G252)&gt;0,
     COUNTIFS($Z$2:$Z$200,$G252)&gt;0,
     COUNTIFS($AA$2:$AA$200,$G252)&gt;0,
     COUNTIFS($AB$2:$AB$200,$G252)&gt;0,
     COUNTIFS($AC$2:$AC$200,$G252)&gt;0,
     COUNTIFS($AD$2:$AD$200,$G252)&gt;0,
     COUNTIFS($AE$2:$AE$200,$G252)&gt;0,
     COUNTIFS($AF$2:$AF$200,$G252)&gt;0,
     COUNTIFS($AG$2:$AG$200,$G252)&gt;0,
     COUNTIFS($AH$2:$AH$200,$G252)&gt;0,
     COUNTIFS($AI$2:$AI$200,$G252)&gt;0,
     COUNTIFS($AJ$2:$AJ$200,$G252)&gt;0,
     COUNTIFS($AK$2:$AK$200,$G252)&gt;0,
     COUNTIFS($AL$2:$AL$200,$G252)&gt;0,
     COUNTIFS($AM$2:$AM$200,$G252)&gt;0,
     COUNTIFS($AN$2:$AN$200,$G252)&gt;0,
     COUNTIFS($AO$2:$AO$200,$G252)&gt;0,
     COUNTIFS($AP$2:$AP$200,$G252)&gt;0,
     COUNTIFS($AQ$2:$AQ$200,$G252)&gt;0,
     COUNTIFS($AR$2:$AR$200,$G252)&gt;0,
     COUNTIFS($AS$2:$AS$200,$G252)&gt;0,
     COUNTIFS($AT$2:$AT$200,$G252)&gt;0,
     COUNTIFS($AU$2:$AU$200,$G252)&gt;0,
     COUNTIFS($AV$2:$AV$200,$G252)&gt;0,
     COUNTIFS($AW$2:$AW$200,$G252)&gt;0,
     COUNTIFS($AX$2:$AX$200,$G252)&gt;0
   )),
  ),
  2
 ),
"")</f>
        <v/>
      </c>
      <c r="E252" s="3" t="str" cm="1">
        <f t="array" aca="1" ref="E252" ca="1">IFERROR(
 INDEX(
  _xlfn._xlws.FILTER($U$1:$AX$1,
   TRANSPOSE(
    CHOOSE({1;2;3;4;5;6;7;8;9;10;11;12;13;14;15;16;17;18;19;20;21;22;23;24;25;26;27;28;29;30},
     COUNTIFS($U$2:$U$200,$G252)&gt;0,
     COUNTIFS($V$2:$V$200,$G252)&gt;0,
     COUNTIFS($W$2:$W$200,$G252)&gt;0,
     COUNTIFS($X$2:$X$200,$G252)&gt;0,
     COUNTIFS($Y$2:$Y$200,$G252)&gt;0,
     COUNTIFS($Z$2:$Z$200,$G252)&gt;0,
     COUNTIFS($AA$2:$AA$200,$G252)&gt;0,
     COUNTIFS($AB$2:$AB$200,$G252)&gt;0,
     COUNTIFS($AC$2:$AC$200,$G252)&gt;0,
     COUNTIFS($AD$2:$AD$200,$G252)&gt;0,
     COUNTIFS($AE$2:$AE$200,$G252)&gt;0,
     COUNTIFS($AF$2:$AF$200,$G252)&gt;0,
     COUNTIFS($AG$2:$AG$200,$G252)&gt;0,
     COUNTIFS($AH$2:$AH$200,$G252)&gt;0,
     COUNTIFS($AI$2:$AI$200,$G252)&gt;0,
     COUNTIFS($AJ$2:$AJ$200,$G252)&gt;0,
     COUNTIFS($AK$2:$AK$200,$G252)&gt;0,
     COUNTIFS($AL$2:$AL$200,$G252)&gt;0,
     COUNTIFS($AM$2:$AM$200,$G252)&gt;0,
     COUNTIFS($AN$2:$AN$200,$G252)&gt;0,
     COUNTIFS($AO$2:$AO$200,$G252)&gt;0,
     COUNTIFS($AP$2:$AP$200,$G252)&gt;0,
     COUNTIFS($AQ$2:$AQ$200,$G252)&gt;0,
     COUNTIFS($AR$2:$AR$200,$G252)&gt;0,
     COUNTIFS($AS$2:$AS$200,$G252)&gt;0,
     COUNTIFS($AT$2:$AT$200,$G252)&gt;0,
     COUNTIFS($AU$2:$AU$200,$G252)&gt;0,
     COUNTIFS($AV$2:$AV$200,$G252)&gt;0,
     COUNTIFS($AW$2:$AW$200,$G252)&gt;0,
     COUNTIFS($AX$2:$AX$200,$G252)&gt;0
   )),
  ),
  3
 ),
"")</f>
        <v/>
      </c>
      <c r="F252" s="3" t="str" cm="1">
        <f t="array" aca="1" ref="F252" ca="1">IFERROR(
 INDEX(
  _xlfn._xlws.FILTER($U$1:$AX$1,
   TRANSPOSE(
    CHOOSE({1;2;3;4;5;6;7;8;9;10;11;12;13;14;15;16;17;18;19;20;21;22;23;24;25;26;27;28;29;30},
     COUNTIFS($U$2:$U$200,$G252)&gt;0,
     COUNTIFS($V$2:$V$200,$G252)&gt;0,
     COUNTIFS($W$2:$W$200,$G252)&gt;0,
     COUNTIFS($X$2:$X$200,$G252)&gt;0,
     COUNTIFS($Y$2:$Y$200,$G252)&gt;0,
     COUNTIFS($Z$2:$Z$200,$G252)&gt;0,
     COUNTIFS($AA$2:$AA$200,$G252)&gt;0,
     COUNTIFS($AB$2:$AB$200,$G252)&gt;0,
     COUNTIFS($AC$2:$AC$200,$G252)&gt;0,
     COUNTIFS($AD$2:$AD$200,$G252)&gt;0,
     COUNTIFS($AE$2:$AE$200,$G252)&gt;0,
     COUNTIFS($AF$2:$AF$200,$G252)&gt;0,
     COUNTIFS($AG$2:$AG$200,$G252)&gt;0,
     COUNTIFS($AH$2:$AH$200,$G252)&gt;0,
     COUNTIFS($AI$2:$AI$200,$G252)&gt;0,
     COUNTIFS($AJ$2:$AJ$200,$G252)&gt;0,
     COUNTIFS($AK$2:$AK$200,$G252)&gt;0,
     COUNTIFS($AL$2:$AL$200,$G252)&gt;0,
     COUNTIFS($AM$2:$AM$200,$G252)&gt;0,
     COUNTIFS($AN$2:$AN$200,$G252)&gt;0,
     COUNTIFS($AO$2:$AO$200,$G252)&gt;0,
     COUNTIFS($AP$2:$AP$200,$G252)&gt;0,
     COUNTIFS($AQ$2:$AQ$200,$G252)&gt;0,
     COUNTIFS($AR$2:$AR$200,$G252)&gt;0,
     COUNTIFS($AS$2:$AS$200,$G252)&gt;0,
     COUNTIFS($AT$2:$AT$200,$G252)&gt;0,
     COUNTIFS($AU$2:$AU$200,$G252)&gt;0,
     COUNTIFS($AV$2:$AV$200,$G252)&gt;0,
     COUNTIFS($AW$2:$AW$200,$G252)&gt;0,
     COUNTIFS($AX$2:$AX$200,$G252)&gt;0
   )),
  ),
  4
 ),
"")</f>
        <v/>
      </c>
      <c r="G252" t="str">
        <f ca="1"/>
        <v>Red XIII, Proud Warrior</v>
      </c>
    </row>
    <row r="253" spans="1:7" x14ac:dyDescent="0.25">
      <c r="A253" s="3" t="str">
        <f t="shared" ca="1" si="8"/>
        <v>5</v>
      </c>
      <c r="B253" s="3">
        <f t="shared" ca="1" si="9"/>
        <v>1</v>
      </c>
      <c r="C253" s="3" t="str">
        <f ca="1">IFERROR(
 INDEX($U$1:$AX$1,
  MATCH(TRUE,
   CHOOSE({1;2;3;4;5;6;7;8;9;10;11;12;13;14;15;16;17;18;19;20;21;22;23;24;25;26;27;28;29;30;31;32},
    COUNTIFS($U$2:$U$200,$G253)&gt;0,
    COUNTIFS($V$2:$V$200,$G253)&gt;0,
    COUNTIFS($W$2:$W$200,$G253)&gt;0,
    COUNTIFS($X$2:$X$200,$G253)&gt;0,
    COUNTIFS($Y$2:$Y$200,$G253)&gt;0,
    COUNTIFS($Z$2:$Z$200,$G253)&gt;0,
    COUNTIFS($AA$2:$AA$200,$G253)&gt;0,
    COUNTIFS($AB$2:$AB$200,$G253)&gt;0,
    COUNTIFS($AC$2:$AC$200,$G253)&gt;0,
    COUNTIFS($AD$2:$AD$200,$G253)&gt;0,
    COUNTIFS($AE$2:$AE$200,$G253)&gt;0,
    COUNTIFS($AF$2:$AF$200,$G253)&gt;0,
    COUNTIFS($AG$2:$AG$200,$G253)&gt;0,
    COUNTIFS($AH$2:$AH$200,$G253)&gt;0,
    COUNTIFS($AI$2:$AI$200,$G253)&gt;0,
    COUNTIFS($AJ$2:$AJ$200,$G253)&gt;0,
    COUNTIFS($AK$2:$AK$200,$G253)&gt;0,
    COUNTIFS($AL$2:$AL$200,$G253)&gt;0,
    COUNTIFS($AM$2:$AM$200,$G253)&gt;0,
    COUNTIFS($AN$2:$AN$200,$G253)&gt;0,
    COUNTIFS($AO$2:$AO$200,$G253)&gt;0,
    COUNTIFS($AP$2:$AP$200,$G253)&gt;0,
    COUNTIFS($AQ$2:$AQ$200,$G253)&gt;0,
    COUNTIFS($AR$2:$AR$200,$G253)&gt;0,
    COUNTIFS($AS$2:$AS$200,$G253)&gt;0,
    COUNTIFS($AT$2:$AT$200,$G253)&gt;0,
    COUNTIFS($AU$2:$AU$200,$G253)&gt;0,
    COUNTIFS($AV$2:$AV$200,$G253)&gt;0,
    COUNTIFS($AW$2:$AW$200,$G253)&gt;0,
    COUNTIFS($AX$2:$AX$200,$G253)&gt;0
   ),
  0)
 ),
"")</f>
        <v>Breya</v>
      </c>
      <c r="D253" s="3" t="str" cm="1">
        <f t="array" aca="1" ref="D253" ca="1">IFERROR(
 INDEX(
  _xlfn._xlws.FILTER($U$1:$AX$1,
   TRANSPOSE(
    CHOOSE({1;2;3;4;5;6;7;8;9;10;11;12;13;14;15;16;17;18;19;20;21;22;23;24;25;26;27;28;29;30},
     COUNTIFS($U$2:$U$200,$G253)&gt;0,
     COUNTIFS($V$2:$V$200,$G253)&gt;0,
     COUNTIFS($W$2:$W$200,$G253)&gt;0,
     COUNTIFS($X$2:$X$200,$G253)&gt;0,
     COUNTIFS($Y$2:$Y$200,$G253)&gt;0,
     COUNTIFS($Z$2:$Z$200,$G253)&gt;0,
     COUNTIFS($AA$2:$AA$200,$G253)&gt;0,
     COUNTIFS($AB$2:$AB$200,$G253)&gt;0,
     COUNTIFS($AC$2:$AC$200,$G253)&gt;0,
     COUNTIFS($AD$2:$AD$200,$G253)&gt;0,
     COUNTIFS($AE$2:$AE$200,$G253)&gt;0,
     COUNTIFS($AF$2:$AF$200,$G253)&gt;0,
     COUNTIFS($AG$2:$AG$200,$G253)&gt;0,
     COUNTIFS($AH$2:$AH$200,$G253)&gt;0,
     COUNTIFS($AI$2:$AI$200,$G253)&gt;0,
     COUNTIFS($AJ$2:$AJ$200,$G253)&gt;0,
     COUNTIFS($AK$2:$AK$200,$G253)&gt;0,
     COUNTIFS($AL$2:$AL$200,$G253)&gt;0,
     COUNTIFS($AM$2:$AM$200,$G253)&gt;0,
     COUNTIFS($AN$2:$AN$200,$G253)&gt;0,
     COUNTIFS($AO$2:$AO$200,$G253)&gt;0,
     COUNTIFS($AP$2:$AP$200,$G253)&gt;0,
     COUNTIFS($AQ$2:$AQ$200,$G253)&gt;0,
     COUNTIFS($AR$2:$AR$200,$G253)&gt;0,
     COUNTIFS($AS$2:$AS$200,$G253)&gt;0,
     COUNTIFS($AT$2:$AT$200,$G253)&gt;0,
     COUNTIFS($AU$2:$AU$200,$G253)&gt;0,
     COUNTIFS($AV$2:$AV$200,$G253)&gt;0,
     COUNTIFS($AW$2:$AW$200,$G253)&gt;0,
     COUNTIFS($AX$2:$AX$200,$G253)&gt;0
   )),
  ),
  2
 ),
"")</f>
        <v/>
      </c>
      <c r="E253" s="3" t="str" cm="1">
        <f t="array" aca="1" ref="E253" ca="1">IFERROR(
 INDEX(
  _xlfn._xlws.FILTER($U$1:$AX$1,
   TRANSPOSE(
    CHOOSE({1;2;3;4;5;6;7;8;9;10;11;12;13;14;15;16;17;18;19;20;21;22;23;24;25;26;27;28;29;30},
     COUNTIFS($U$2:$U$200,$G253)&gt;0,
     COUNTIFS($V$2:$V$200,$G253)&gt;0,
     COUNTIFS($W$2:$W$200,$G253)&gt;0,
     COUNTIFS($X$2:$X$200,$G253)&gt;0,
     COUNTIFS($Y$2:$Y$200,$G253)&gt;0,
     COUNTIFS($Z$2:$Z$200,$G253)&gt;0,
     COUNTIFS($AA$2:$AA$200,$G253)&gt;0,
     COUNTIFS($AB$2:$AB$200,$G253)&gt;0,
     COUNTIFS($AC$2:$AC$200,$G253)&gt;0,
     COUNTIFS($AD$2:$AD$200,$G253)&gt;0,
     COUNTIFS($AE$2:$AE$200,$G253)&gt;0,
     COUNTIFS($AF$2:$AF$200,$G253)&gt;0,
     COUNTIFS($AG$2:$AG$200,$G253)&gt;0,
     COUNTIFS($AH$2:$AH$200,$G253)&gt;0,
     COUNTIFS($AI$2:$AI$200,$G253)&gt;0,
     COUNTIFS($AJ$2:$AJ$200,$G253)&gt;0,
     COUNTIFS($AK$2:$AK$200,$G253)&gt;0,
     COUNTIFS($AL$2:$AL$200,$G253)&gt;0,
     COUNTIFS($AM$2:$AM$200,$G253)&gt;0,
     COUNTIFS($AN$2:$AN$200,$G253)&gt;0,
     COUNTIFS($AO$2:$AO$200,$G253)&gt;0,
     COUNTIFS($AP$2:$AP$200,$G253)&gt;0,
     COUNTIFS($AQ$2:$AQ$200,$G253)&gt;0,
     COUNTIFS($AR$2:$AR$200,$G253)&gt;0,
     COUNTIFS($AS$2:$AS$200,$G253)&gt;0,
     COUNTIFS($AT$2:$AT$200,$G253)&gt;0,
     COUNTIFS($AU$2:$AU$200,$G253)&gt;0,
     COUNTIFS($AV$2:$AV$200,$G253)&gt;0,
     COUNTIFS($AW$2:$AW$200,$G253)&gt;0,
     COUNTIFS($AX$2:$AX$200,$G253)&gt;0
   )),
  ),
  3
 ),
"")</f>
        <v/>
      </c>
      <c r="F253" s="3" t="str" cm="1">
        <f t="array" aca="1" ref="F253" ca="1">IFERROR(
 INDEX(
  _xlfn._xlws.FILTER($U$1:$AX$1,
   TRANSPOSE(
    CHOOSE({1;2;3;4;5;6;7;8;9;10;11;12;13;14;15;16;17;18;19;20;21;22;23;24;25;26;27;28;29;30},
     COUNTIFS($U$2:$U$200,$G253)&gt;0,
     COUNTIFS($V$2:$V$200,$G253)&gt;0,
     COUNTIFS($W$2:$W$200,$G253)&gt;0,
     COUNTIFS($X$2:$X$200,$G253)&gt;0,
     COUNTIFS($Y$2:$Y$200,$G253)&gt;0,
     COUNTIFS($Z$2:$Z$200,$G253)&gt;0,
     COUNTIFS($AA$2:$AA$200,$G253)&gt;0,
     COUNTIFS($AB$2:$AB$200,$G253)&gt;0,
     COUNTIFS($AC$2:$AC$200,$G253)&gt;0,
     COUNTIFS($AD$2:$AD$200,$G253)&gt;0,
     COUNTIFS($AE$2:$AE$200,$G253)&gt;0,
     COUNTIFS($AF$2:$AF$200,$G253)&gt;0,
     COUNTIFS($AG$2:$AG$200,$G253)&gt;0,
     COUNTIFS($AH$2:$AH$200,$G253)&gt;0,
     COUNTIFS($AI$2:$AI$200,$G253)&gt;0,
     COUNTIFS($AJ$2:$AJ$200,$G253)&gt;0,
     COUNTIFS($AK$2:$AK$200,$G253)&gt;0,
     COUNTIFS($AL$2:$AL$200,$G253)&gt;0,
     COUNTIFS($AM$2:$AM$200,$G253)&gt;0,
     COUNTIFS($AN$2:$AN$200,$G253)&gt;0,
     COUNTIFS($AO$2:$AO$200,$G253)&gt;0,
     COUNTIFS($AP$2:$AP$200,$G253)&gt;0,
     COUNTIFS($AQ$2:$AQ$200,$G253)&gt;0,
     COUNTIFS($AR$2:$AR$200,$G253)&gt;0,
     COUNTIFS($AS$2:$AS$200,$G253)&gt;0,
     COUNTIFS($AT$2:$AT$200,$G253)&gt;0,
     COUNTIFS($AU$2:$AU$200,$G253)&gt;0,
     COUNTIFS($AV$2:$AV$200,$G253)&gt;0,
     COUNTIFS($AW$2:$AW$200,$G253)&gt;0,
     COUNTIFS($AX$2:$AX$200,$G253)&gt;0
   )),
  ),
  4
 ),
"")</f>
        <v/>
      </c>
      <c r="G253" t="str">
        <f ca="1"/>
        <v>Reflecting Pool</v>
      </c>
    </row>
    <row r="254" spans="1:7" x14ac:dyDescent="0.25">
      <c r="A254" s="3" t="str">
        <f t="shared" ca="1" si="8"/>
        <v>2</v>
      </c>
      <c r="B254" s="3">
        <f t="shared" ca="1" si="9"/>
        <v>1</v>
      </c>
      <c r="C254" s="3" t="str">
        <f ca="1">IFERROR(
 INDEX($U$1:$AX$1,
  MATCH(TRUE,
   CHOOSE({1;2;3;4;5;6;7;8;9;10;11;12;13;14;15;16;17;18;19;20;21;22;23;24;25;26;27;28;29;30;31;32},
    COUNTIFS($U$2:$U$200,$G254)&gt;0,
    COUNTIFS($V$2:$V$200,$G254)&gt;0,
    COUNTIFS($W$2:$W$200,$G254)&gt;0,
    COUNTIFS($X$2:$X$200,$G254)&gt;0,
    COUNTIFS($Y$2:$Y$200,$G254)&gt;0,
    COUNTIFS($Z$2:$Z$200,$G254)&gt;0,
    COUNTIFS($AA$2:$AA$200,$G254)&gt;0,
    COUNTIFS($AB$2:$AB$200,$G254)&gt;0,
    COUNTIFS($AC$2:$AC$200,$G254)&gt;0,
    COUNTIFS($AD$2:$AD$200,$G254)&gt;0,
    COUNTIFS($AE$2:$AE$200,$G254)&gt;0,
    COUNTIFS($AF$2:$AF$200,$G254)&gt;0,
    COUNTIFS($AG$2:$AG$200,$G254)&gt;0,
    COUNTIFS($AH$2:$AH$200,$G254)&gt;0,
    COUNTIFS($AI$2:$AI$200,$G254)&gt;0,
    COUNTIFS($AJ$2:$AJ$200,$G254)&gt;0,
    COUNTIFS($AK$2:$AK$200,$G254)&gt;0,
    COUNTIFS($AL$2:$AL$200,$G254)&gt;0,
    COUNTIFS($AM$2:$AM$200,$G254)&gt;0,
    COUNTIFS($AN$2:$AN$200,$G254)&gt;0,
    COUNTIFS($AO$2:$AO$200,$G254)&gt;0,
    COUNTIFS($AP$2:$AP$200,$G254)&gt;0,
    COUNTIFS($AQ$2:$AQ$200,$G254)&gt;0,
    COUNTIFS($AR$2:$AR$200,$G254)&gt;0,
    COUNTIFS($AS$2:$AS$200,$G254)&gt;0,
    COUNTIFS($AT$2:$AT$200,$G254)&gt;0,
    COUNTIFS($AU$2:$AU$200,$G254)&gt;0,
    COUNTIFS($AV$2:$AV$200,$G254)&gt;0,
    COUNTIFS($AW$2:$AW$200,$G254)&gt;0,
    COUNTIFS($AX$2:$AX$200,$G254)&gt;0
   ),
  0)
 ),
"")</f>
        <v>Narset</v>
      </c>
      <c r="D254" s="3" t="str" cm="1">
        <f t="array" aca="1" ref="D254" ca="1">IFERROR(
 INDEX(
  _xlfn._xlws.FILTER($U$1:$AX$1,
   TRANSPOSE(
    CHOOSE({1;2;3;4;5;6;7;8;9;10;11;12;13;14;15;16;17;18;19;20;21;22;23;24;25;26;27;28;29;30},
     COUNTIFS($U$2:$U$200,$G254)&gt;0,
     COUNTIFS($V$2:$V$200,$G254)&gt;0,
     COUNTIFS($W$2:$W$200,$G254)&gt;0,
     COUNTIFS($X$2:$X$200,$G254)&gt;0,
     COUNTIFS($Y$2:$Y$200,$G254)&gt;0,
     COUNTIFS($Z$2:$Z$200,$G254)&gt;0,
     COUNTIFS($AA$2:$AA$200,$G254)&gt;0,
     COUNTIFS($AB$2:$AB$200,$G254)&gt;0,
     COUNTIFS($AC$2:$AC$200,$G254)&gt;0,
     COUNTIFS($AD$2:$AD$200,$G254)&gt;0,
     COUNTIFS($AE$2:$AE$200,$G254)&gt;0,
     COUNTIFS($AF$2:$AF$200,$G254)&gt;0,
     COUNTIFS($AG$2:$AG$200,$G254)&gt;0,
     COUNTIFS($AH$2:$AH$200,$G254)&gt;0,
     COUNTIFS($AI$2:$AI$200,$G254)&gt;0,
     COUNTIFS($AJ$2:$AJ$200,$G254)&gt;0,
     COUNTIFS($AK$2:$AK$200,$G254)&gt;0,
     COUNTIFS($AL$2:$AL$200,$G254)&gt;0,
     COUNTIFS($AM$2:$AM$200,$G254)&gt;0,
     COUNTIFS($AN$2:$AN$200,$G254)&gt;0,
     COUNTIFS($AO$2:$AO$200,$G254)&gt;0,
     COUNTIFS($AP$2:$AP$200,$G254)&gt;0,
     COUNTIFS($AQ$2:$AQ$200,$G254)&gt;0,
     COUNTIFS($AR$2:$AR$200,$G254)&gt;0,
     COUNTIFS($AS$2:$AS$200,$G254)&gt;0,
     COUNTIFS($AT$2:$AT$200,$G254)&gt;0,
     COUNTIFS($AU$2:$AU$200,$G254)&gt;0,
     COUNTIFS($AV$2:$AV$200,$G254)&gt;0,
     COUNTIFS($AW$2:$AW$200,$G254)&gt;0,
     COUNTIFS($AX$2:$AX$200,$G254)&gt;0
   )),
  ),
  2
 ),
"")</f>
        <v/>
      </c>
      <c r="E254" s="3" t="str" cm="1">
        <f t="array" aca="1" ref="E254" ca="1">IFERROR(
 INDEX(
  _xlfn._xlws.FILTER($U$1:$AX$1,
   TRANSPOSE(
    CHOOSE({1;2;3;4;5;6;7;8;9;10;11;12;13;14;15;16;17;18;19;20;21;22;23;24;25;26;27;28;29;30},
     COUNTIFS($U$2:$U$200,$G254)&gt;0,
     COUNTIFS($V$2:$V$200,$G254)&gt;0,
     COUNTIFS($W$2:$W$200,$G254)&gt;0,
     COUNTIFS($X$2:$X$200,$G254)&gt;0,
     COUNTIFS($Y$2:$Y$200,$G254)&gt;0,
     COUNTIFS($Z$2:$Z$200,$G254)&gt;0,
     COUNTIFS($AA$2:$AA$200,$G254)&gt;0,
     COUNTIFS($AB$2:$AB$200,$G254)&gt;0,
     COUNTIFS($AC$2:$AC$200,$G254)&gt;0,
     COUNTIFS($AD$2:$AD$200,$G254)&gt;0,
     COUNTIFS($AE$2:$AE$200,$G254)&gt;0,
     COUNTIFS($AF$2:$AF$200,$G254)&gt;0,
     COUNTIFS($AG$2:$AG$200,$G254)&gt;0,
     COUNTIFS($AH$2:$AH$200,$G254)&gt;0,
     COUNTIFS($AI$2:$AI$200,$G254)&gt;0,
     COUNTIFS($AJ$2:$AJ$200,$G254)&gt;0,
     COUNTIFS($AK$2:$AK$200,$G254)&gt;0,
     COUNTIFS($AL$2:$AL$200,$G254)&gt;0,
     COUNTIFS($AM$2:$AM$200,$G254)&gt;0,
     COUNTIFS($AN$2:$AN$200,$G254)&gt;0,
     COUNTIFS($AO$2:$AO$200,$G254)&gt;0,
     COUNTIFS($AP$2:$AP$200,$G254)&gt;0,
     COUNTIFS($AQ$2:$AQ$200,$G254)&gt;0,
     COUNTIFS($AR$2:$AR$200,$G254)&gt;0,
     COUNTIFS($AS$2:$AS$200,$G254)&gt;0,
     COUNTIFS($AT$2:$AT$200,$G254)&gt;0,
     COUNTIFS($AU$2:$AU$200,$G254)&gt;0,
     COUNTIFS($AV$2:$AV$200,$G254)&gt;0,
     COUNTIFS($AW$2:$AW$200,$G254)&gt;0,
     COUNTIFS($AX$2:$AX$200,$G254)&gt;0
   )),
  ),
  3
 ),
"")</f>
        <v/>
      </c>
      <c r="F254" s="3" t="str" cm="1">
        <f t="array" aca="1" ref="F254" ca="1">IFERROR(
 INDEX(
  _xlfn._xlws.FILTER($U$1:$AX$1,
   TRANSPOSE(
    CHOOSE({1;2;3;4;5;6;7;8;9;10;11;12;13;14;15;16;17;18;19;20;21;22;23;24;25;26;27;28;29;30},
     COUNTIFS($U$2:$U$200,$G254)&gt;0,
     COUNTIFS($V$2:$V$200,$G254)&gt;0,
     COUNTIFS($W$2:$W$200,$G254)&gt;0,
     COUNTIFS($X$2:$X$200,$G254)&gt;0,
     COUNTIFS($Y$2:$Y$200,$G254)&gt;0,
     COUNTIFS($Z$2:$Z$200,$G254)&gt;0,
     COUNTIFS($AA$2:$AA$200,$G254)&gt;0,
     COUNTIFS($AB$2:$AB$200,$G254)&gt;0,
     COUNTIFS($AC$2:$AC$200,$G254)&gt;0,
     COUNTIFS($AD$2:$AD$200,$G254)&gt;0,
     COUNTIFS($AE$2:$AE$200,$G254)&gt;0,
     COUNTIFS($AF$2:$AF$200,$G254)&gt;0,
     COUNTIFS($AG$2:$AG$200,$G254)&gt;0,
     COUNTIFS($AH$2:$AH$200,$G254)&gt;0,
     COUNTIFS($AI$2:$AI$200,$G254)&gt;0,
     COUNTIFS($AJ$2:$AJ$200,$G254)&gt;0,
     COUNTIFS($AK$2:$AK$200,$G254)&gt;0,
     COUNTIFS($AL$2:$AL$200,$G254)&gt;0,
     COUNTIFS($AM$2:$AM$200,$G254)&gt;0,
     COUNTIFS($AN$2:$AN$200,$G254)&gt;0,
     COUNTIFS($AO$2:$AO$200,$G254)&gt;0,
     COUNTIFS($AP$2:$AP$200,$G254)&gt;0,
     COUNTIFS($AQ$2:$AQ$200,$G254)&gt;0,
     COUNTIFS($AR$2:$AR$200,$G254)&gt;0,
     COUNTIFS($AS$2:$AS$200,$G254)&gt;0,
     COUNTIFS($AT$2:$AT$200,$G254)&gt;0,
     COUNTIFS($AU$2:$AU$200,$G254)&gt;0,
     COUNTIFS($AV$2:$AV$200,$G254)&gt;0,
     COUNTIFS($AW$2:$AW$200,$G254)&gt;0,
     COUNTIFS($AX$2:$AX$200,$G254)&gt;0
   )),
  ),
  4
 ),
"")</f>
        <v/>
      </c>
      <c r="G254" t="str">
        <f ca="1"/>
        <v>Reforge the Soul</v>
      </c>
    </row>
    <row r="255" spans="1:7" x14ac:dyDescent="0.25">
      <c r="A255" s="3" t="str">
        <f t="shared" ca="1" si="8"/>
        <v>2</v>
      </c>
      <c r="B255" s="3">
        <f t="shared" ca="1" si="9"/>
        <v>1</v>
      </c>
      <c r="C255" s="3" t="str">
        <f ca="1">IFERROR(
 INDEX($U$1:$AX$1,
  MATCH(TRUE,
   CHOOSE({1;2;3;4;5;6;7;8;9;10;11;12;13;14;15;16;17;18;19;20;21;22;23;24;25;26;27;28;29;30;31;32},
    COUNTIFS($U$2:$U$200,$G255)&gt;0,
    COUNTIFS($V$2:$V$200,$G255)&gt;0,
    COUNTIFS($W$2:$W$200,$G255)&gt;0,
    COUNTIFS($X$2:$X$200,$G255)&gt;0,
    COUNTIFS($Y$2:$Y$200,$G255)&gt;0,
    COUNTIFS($Z$2:$Z$200,$G255)&gt;0,
    COUNTIFS($AA$2:$AA$200,$G255)&gt;0,
    COUNTIFS($AB$2:$AB$200,$G255)&gt;0,
    COUNTIFS($AC$2:$AC$200,$G255)&gt;0,
    COUNTIFS($AD$2:$AD$200,$G255)&gt;0,
    COUNTIFS($AE$2:$AE$200,$G255)&gt;0,
    COUNTIFS($AF$2:$AF$200,$G255)&gt;0,
    COUNTIFS($AG$2:$AG$200,$G255)&gt;0,
    COUNTIFS($AH$2:$AH$200,$G255)&gt;0,
    COUNTIFS($AI$2:$AI$200,$G255)&gt;0,
    COUNTIFS($AJ$2:$AJ$200,$G255)&gt;0,
    COUNTIFS($AK$2:$AK$200,$G255)&gt;0,
    COUNTIFS($AL$2:$AL$200,$G255)&gt;0,
    COUNTIFS($AM$2:$AM$200,$G255)&gt;0,
    COUNTIFS($AN$2:$AN$200,$G255)&gt;0,
    COUNTIFS($AO$2:$AO$200,$G255)&gt;0,
    COUNTIFS($AP$2:$AP$200,$G255)&gt;0,
    COUNTIFS($AQ$2:$AQ$200,$G255)&gt;0,
    COUNTIFS($AR$2:$AR$200,$G255)&gt;0,
    COUNTIFS($AS$2:$AS$200,$G255)&gt;0,
    COUNTIFS($AT$2:$AT$200,$G255)&gt;0,
    COUNTIFS($AU$2:$AU$200,$G255)&gt;0,
    COUNTIFS($AV$2:$AV$200,$G255)&gt;0,
    COUNTIFS($AW$2:$AW$200,$G255)&gt;0,
    COUNTIFS($AX$2:$AX$200,$G255)&gt;0
   ),
  0)
 ),
"")</f>
        <v>Narset</v>
      </c>
      <c r="D255" s="3" t="str" cm="1">
        <f t="array" aca="1" ref="D255" ca="1">IFERROR(
 INDEX(
  _xlfn._xlws.FILTER($U$1:$AX$1,
   TRANSPOSE(
    CHOOSE({1;2;3;4;5;6;7;8;9;10;11;12;13;14;15;16;17;18;19;20;21;22;23;24;25;26;27;28;29;30},
     COUNTIFS($U$2:$U$200,$G255)&gt;0,
     COUNTIFS($V$2:$V$200,$G255)&gt;0,
     COUNTIFS($W$2:$W$200,$G255)&gt;0,
     COUNTIFS($X$2:$X$200,$G255)&gt;0,
     COUNTIFS($Y$2:$Y$200,$G255)&gt;0,
     COUNTIFS($Z$2:$Z$200,$G255)&gt;0,
     COUNTIFS($AA$2:$AA$200,$G255)&gt;0,
     COUNTIFS($AB$2:$AB$200,$G255)&gt;0,
     COUNTIFS($AC$2:$AC$200,$G255)&gt;0,
     COUNTIFS($AD$2:$AD$200,$G255)&gt;0,
     COUNTIFS($AE$2:$AE$200,$G255)&gt;0,
     COUNTIFS($AF$2:$AF$200,$G255)&gt;0,
     COUNTIFS($AG$2:$AG$200,$G255)&gt;0,
     COUNTIFS($AH$2:$AH$200,$G255)&gt;0,
     COUNTIFS($AI$2:$AI$200,$G255)&gt;0,
     COUNTIFS($AJ$2:$AJ$200,$G255)&gt;0,
     COUNTIFS($AK$2:$AK$200,$G255)&gt;0,
     COUNTIFS($AL$2:$AL$200,$G255)&gt;0,
     COUNTIFS($AM$2:$AM$200,$G255)&gt;0,
     COUNTIFS($AN$2:$AN$200,$G255)&gt;0,
     COUNTIFS($AO$2:$AO$200,$G255)&gt;0,
     COUNTIFS($AP$2:$AP$200,$G255)&gt;0,
     COUNTIFS($AQ$2:$AQ$200,$G255)&gt;0,
     COUNTIFS($AR$2:$AR$200,$G255)&gt;0,
     COUNTIFS($AS$2:$AS$200,$G255)&gt;0,
     COUNTIFS($AT$2:$AT$200,$G255)&gt;0,
     COUNTIFS($AU$2:$AU$200,$G255)&gt;0,
     COUNTIFS($AV$2:$AV$200,$G255)&gt;0,
     COUNTIFS($AW$2:$AW$200,$G255)&gt;0,
     COUNTIFS($AX$2:$AX$200,$G255)&gt;0
   )),
  ),
  2
 ),
"")</f>
        <v/>
      </c>
      <c r="E255" s="3" t="str" cm="1">
        <f t="array" aca="1" ref="E255" ca="1">IFERROR(
 INDEX(
  _xlfn._xlws.FILTER($U$1:$AX$1,
   TRANSPOSE(
    CHOOSE({1;2;3;4;5;6;7;8;9;10;11;12;13;14;15;16;17;18;19;20;21;22;23;24;25;26;27;28;29;30},
     COUNTIFS($U$2:$U$200,$G255)&gt;0,
     COUNTIFS($V$2:$V$200,$G255)&gt;0,
     COUNTIFS($W$2:$W$200,$G255)&gt;0,
     COUNTIFS($X$2:$X$200,$G255)&gt;0,
     COUNTIFS($Y$2:$Y$200,$G255)&gt;0,
     COUNTIFS($Z$2:$Z$200,$G255)&gt;0,
     COUNTIFS($AA$2:$AA$200,$G255)&gt;0,
     COUNTIFS($AB$2:$AB$200,$G255)&gt;0,
     COUNTIFS($AC$2:$AC$200,$G255)&gt;0,
     COUNTIFS($AD$2:$AD$200,$G255)&gt;0,
     COUNTIFS($AE$2:$AE$200,$G255)&gt;0,
     COUNTIFS($AF$2:$AF$200,$G255)&gt;0,
     COUNTIFS($AG$2:$AG$200,$G255)&gt;0,
     COUNTIFS($AH$2:$AH$200,$G255)&gt;0,
     COUNTIFS($AI$2:$AI$200,$G255)&gt;0,
     COUNTIFS($AJ$2:$AJ$200,$G255)&gt;0,
     COUNTIFS($AK$2:$AK$200,$G255)&gt;0,
     COUNTIFS($AL$2:$AL$200,$G255)&gt;0,
     COUNTIFS($AM$2:$AM$200,$G255)&gt;0,
     COUNTIFS($AN$2:$AN$200,$G255)&gt;0,
     COUNTIFS($AO$2:$AO$200,$G255)&gt;0,
     COUNTIFS($AP$2:$AP$200,$G255)&gt;0,
     COUNTIFS($AQ$2:$AQ$200,$G255)&gt;0,
     COUNTIFS($AR$2:$AR$200,$G255)&gt;0,
     COUNTIFS($AS$2:$AS$200,$G255)&gt;0,
     COUNTIFS($AT$2:$AT$200,$G255)&gt;0,
     COUNTIFS($AU$2:$AU$200,$G255)&gt;0,
     COUNTIFS($AV$2:$AV$200,$G255)&gt;0,
     COUNTIFS($AW$2:$AW$200,$G255)&gt;0,
     COUNTIFS($AX$2:$AX$200,$G255)&gt;0
   )),
  ),
  3
 ),
"")</f>
        <v/>
      </c>
      <c r="F255" s="3" t="str" cm="1">
        <f t="array" aca="1" ref="F255" ca="1">IFERROR(
 INDEX(
  _xlfn._xlws.FILTER($U$1:$AX$1,
   TRANSPOSE(
    CHOOSE({1;2;3;4;5;6;7;8;9;10;11;12;13;14;15;16;17;18;19;20;21;22;23;24;25;26;27;28;29;30},
     COUNTIFS($U$2:$U$200,$G255)&gt;0,
     COUNTIFS($V$2:$V$200,$G255)&gt;0,
     COUNTIFS($W$2:$W$200,$G255)&gt;0,
     COUNTIFS($X$2:$X$200,$G255)&gt;0,
     COUNTIFS($Y$2:$Y$200,$G255)&gt;0,
     COUNTIFS($Z$2:$Z$200,$G255)&gt;0,
     COUNTIFS($AA$2:$AA$200,$G255)&gt;0,
     COUNTIFS($AB$2:$AB$200,$G255)&gt;0,
     COUNTIFS($AC$2:$AC$200,$G255)&gt;0,
     COUNTIFS($AD$2:$AD$200,$G255)&gt;0,
     COUNTIFS($AE$2:$AE$200,$G255)&gt;0,
     COUNTIFS($AF$2:$AF$200,$G255)&gt;0,
     COUNTIFS($AG$2:$AG$200,$G255)&gt;0,
     COUNTIFS($AH$2:$AH$200,$G255)&gt;0,
     COUNTIFS($AI$2:$AI$200,$G255)&gt;0,
     COUNTIFS($AJ$2:$AJ$200,$G255)&gt;0,
     COUNTIFS($AK$2:$AK$200,$G255)&gt;0,
     COUNTIFS($AL$2:$AL$200,$G255)&gt;0,
     COUNTIFS($AM$2:$AM$200,$G255)&gt;0,
     COUNTIFS($AN$2:$AN$200,$G255)&gt;0,
     COUNTIFS($AO$2:$AO$200,$G255)&gt;0,
     COUNTIFS($AP$2:$AP$200,$G255)&gt;0,
     COUNTIFS($AQ$2:$AQ$200,$G255)&gt;0,
     COUNTIFS($AR$2:$AR$200,$G255)&gt;0,
     COUNTIFS($AS$2:$AS$200,$G255)&gt;0,
     COUNTIFS($AT$2:$AT$200,$G255)&gt;0,
     COUNTIFS($AU$2:$AU$200,$G255)&gt;0,
     COUNTIFS($AV$2:$AV$200,$G255)&gt;0,
     COUNTIFS($AW$2:$AW$200,$G255)&gt;0,
     COUNTIFS($AX$2:$AX$200,$G255)&gt;0
   )),
  ),
  4
 ),
"")</f>
        <v/>
      </c>
      <c r="G255" t="str">
        <f ca="1"/>
        <v>Relentless Assault</v>
      </c>
    </row>
    <row r="256" spans="1:7" x14ac:dyDescent="0.25">
      <c r="A256" s="3" t="str">
        <f t="shared" ca="1" si="8"/>
        <v>2</v>
      </c>
      <c r="B256" s="3">
        <f t="shared" ca="1" si="9"/>
        <v>4</v>
      </c>
      <c r="C256" s="3" t="str">
        <f ca="1">IFERROR(
 INDEX($U$1:$AX$1,
  MATCH(TRUE,
   CHOOSE({1;2;3;4;5;6;7;8;9;10;11;12;13;14;15;16;17;18;19;20;21;22;23;24;25;26;27;28;29;30;31;32},
    COUNTIFS($U$2:$U$200,$G256)&gt;0,
    COUNTIFS($V$2:$V$200,$G256)&gt;0,
    COUNTIFS($W$2:$W$200,$G256)&gt;0,
    COUNTIFS($X$2:$X$200,$G256)&gt;0,
    COUNTIFS($Y$2:$Y$200,$G256)&gt;0,
    COUNTIFS($Z$2:$Z$200,$G256)&gt;0,
    COUNTIFS($AA$2:$AA$200,$G256)&gt;0,
    COUNTIFS($AB$2:$AB$200,$G256)&gt;0,
    COUNTIFS($AC$2:$AC$200,$G256)&gt;0,
    COUNTIFS($AD$2:$AD$200,$G256)&gt;0,
    COUNTIFS($AE$2:$AE$200,$G256)&gt;0,
    COUNTIFS($AF$2:$AF$200,$G256)&gt;0,
    COUNTIFS($AG$2:$AG$200,$G256)&gt;0,
    COUNTIFS($AH$2:$AH$200,$G256)&gt;0,
    COUNTIFS($AI$2:$AI$200,$G256)&gt;0,
    COUNTIFS($AJ$2:$AJ$200,$G256)&gt;0,
    COUNTIFS($AK$2:$AK$200,$G256)&gt;0,
    COUNTIFS($AL$2:$AL$200,$G256)&gt;0,
    COUNTIFS($AM$2:$AM$200,$G256)&gt;0,
    COUNTIFS($AN$2:$AN$200,$G256)&gt;0,
    COUNTIFS($AO$2:$AO$200,$G256)&gt;0,
    COUNTIFS($AP$2:$AP$200,$G256)&gt;0,
    COUNTIFS($AQ$2:$AQ$200,$G256)&gt;0,
    COUNTIFS($AR$2:$AR$200,$G256)&gt;0,
    COUNTIFS($AS$2:$AS$200,$G256)&gt;0,
    COUNTIFS($AT$2:$AT$200,$G256)&gt;0,
    COUNTIFS($AU$2:$AU$200,$G256)&gt;0,
    COUNTIFS($AV$2:$AV$200,$G256)&gt;0,
    COUNTIFS($AW$2:$AW$200,$G256)&gt;0,
    COUNTIFS($AX$2:$AX$200,$G256)&gt;0
   ),
  0)
 ),
"")</f>
        <v>Piratas</v>
      </c>
      <c r="D256" s="3" t="str" cm="1">
        <f t="array" aca="1" ref="D256" ca="1">IFERROR(
 INDEX(
  _xlfn._xlws.FILTER($U$1:$AX$1,
   TRANSPOSE(
    CHOOSE({1;2;3;4;5;6;7;8;9;10;11;12;13;14;15;16;17;18;19;20;21;22;23;24;25;26;27;28;29;30},
     COUNTIFS($U$2:$U$200,$G256)&gt;0,
     COUNTIFS($V$2:$V$200,$G256)&gt;0,
     COUNTIFS($W$2:$W$200,$G256)&gt;0,
     COUNTIFS($X$2:$X$200,$G256)&gt;0,
     COUNTIFS($Y$2:$Y$200,$G256)&gt;0,
     COUNTIFS($Z$2:$Z$200,$G256)&gt;0,
     COUNTIFS($AA$2:$AA$200,$G256)&gt;0,
     COUNTIFS($AB$2:$AB$200,$G256)&gt;0,
     COUNTIFS($AC$2:$AC$200,$G256)&gt;0,
     COUNTIFS($AD$2:$AD$200,$G256)&gt;0,
     COUNTIFS($AE$2:$AE$200,$G256)&gt;0,
     COUNTIFS($AF$2:$AF$200,$G256)&gt;0,
     COUNTIFS($AG$2:$AG$200,$G256)&gt;0,
     COUNTIFS($AH$2:$AH$200,$G256)&gt;0,
     COUNTIFS($AI$2:$AI$200,$G256)&gt;0,
     COUNTIFS($AJ$2:$AJ$200,$G256)&gt;0,
     COUNTIFS($AK$2:$AK$200,$G256)&gt;0,
     COUNTIFS($AL$2:$AL$200,$G256)&gt;0,
     COUNTIFS($AM$2:$AM$200,$G256)&gt;0,
     COUNTIFS($AN$2:$AN$200,$G256)&gt;0,
     COUNTIFS($AO$2:$AO$200,$G256)&gt;0,
     COUNTIFS($AP$2:$AP$200,$G256)&gt;0,
     COUNTIFS($AQ$2:$AQ$200,$G256)&gt;0,
     COUNTIFS($AR$2:$AR$200,$G256)&gt;0,
     COUNTIFS($AS$2:$AS$200,$G256)&gt;0,
     COUNTIFS($AT$2:$AT$200,$G256)&gt;0,
     COUNTIFS($AU$2:$AU$200,$G256)&gt;0,
     COUNTIFS($AV$2:$AV$200,$G256)&gt;0,
     COUNTIFS($AW$2:$AW$200,$G256)&gt;0,
     COUNTIFS($AX$2:$AX$200,$G256)&gt;0
   )),
  ),
  2
 ),
"")</f>
        <v>Rani</v>
      </c>
      <c r="E256" s="3" t="str" cm="1">
        <f t="array" aca="1" ref="E256" ca="1">IFERROR(
 INDEX(
  _xlfn._xlws.FILTER($U$1:$AX$1,
   TRANSPOSE(
    CHOOSE({1;2;3;4;5;6;7;8;9;10;11;12;13;14;15;16;17;18;19;20;21;22;23;24;25;26;27;28;29;30},
     COUNTIFS($U$2:$U$200,$G256)&gt;0,
     COUNTIFS($V$2:$V$200,$G256)&gt;0,
     COUNTIFS($W$2:$W$200,$G256)&gt;0,
     COUNTIFS($X$2:$X$200,$G256)&gt;0,
     COUNTIFS($Y$2:$Y$200,$G256)&gt;0,
     COUNTIFS($Z$2:$Z$200,$G256)&gt;0,
     COUNTIFS($AA$2:$AA$200,$G256)&gt;0,
     COUNTIFS($AB$2:$AB$200,$G256)&gt;0,
     COUNTIFS($AC$2:$AC$200,$G256)&gt;0,
     COUNTIFS($AD$2:$AD$200,$G256)&gt;0,
     COUNTIFS($AE$2:$AE$200,$G256)&gt;0,
     COUNTIFS($AF$2:$AF$200,$G256)&gt;0,
     COUNTIFS($AG$2:$AG$200,$G256)&gt;0,
     COUNTIFS($AH$2:$AH$200,$G256)&gt;0,
     COUNTIFS($AI$2:$AI$200,$G256)&gt;0,
     COUNTIFS($AJ$2:$AJ$200,$G256)&gt;0,
     COUNTIFS($AK$2:$AK$200,$G256)&gt;0,
     COUNTIFS($AL$2:$AL$200,$G256)&gt;0,
     COUNTIFS($AM$2:$AM$200,$G256)&gt;0,
     COUNTIFS($AN$2:$AN$200,$G256)&gt;0,
     COUNTIFS($AO$2:$AO$200,$G256)&gt;0,
     COUNTIFS($AP$2:$AP$200,$G256)&gt;0,
     COUNTIFS($AQ$2:$AQ$200,$G256)&gt;0,
     COUNTIFS($AR$2:$AR$200,$G256)&gt;0,
     COUNTIFS($AS$2:$AS$200,$G256)&gt;0,
     COUNTIFS($AT$2:$AT$200,$G256)&gt;0,
     COUNTIFS($AU$2:$AU$200,$G256)&gt;0,
     COUNTIFS($AV$2:$AV$200,$G256)&gt;0,
     COUNTIFS($AW$2:$AW$200,$G256)&gt;0,
     COUNTIFS($AX$2:$AX$200,$G256)&gt;0
   )),
  ),
  3
 ),
"")</f>
        <v>Kumena</v>
      </c>
      <c r="F256" s="3" t="str" cm="1">
        <f t="array" aca="1" ref="F256" ca="1">IFERROR(
 INDEX(
  _xlfn._xlws.FILTER($U$1:$AX$1,
   TRANSPOSE(
    CHOOSE({1;2;3;4;5;6;7;8;9;10;11;12;13;14;15;16;17;18;19;20;21;22;23;24;25;26;27;28;29;30},
     COUNTIFS($U$2:$U$200,$G256)&gt;0,
     COUNTIFS($V$2:$V$200,$G256)&gt;0,
     COUNTIFS($W$2:$W$200,$G256)&gt;0,
     COUNTIFS($X$2:$X$200,$G256)&gt;0,
     COUNTIFS($Y$2:$Y$200,$G256)&gt;0,
     COUNTIFS($Z$2:$Z$200,$G256)&gt;0,
     COUNTIFS($AA$2:$AA$200,$G256)&gt;0,
     COUNTIFS($AB$2:$AB$200,$G256)&gt;0,
     COUNTIFS($AC$2:$AC$200,$G256)&gt;0,
     COUNTIFS($AD$2:$AD$200,$G256)&gt;0,
     COUNTIFS($AE$2:$AE$200,$G256)&gt;0,
     COUNTIFS($AF$2:$AF$200,$G256)&gt;0,
     COUNTIFS($AG$2:$AG$200,$G256)&gt;0,
     COUNTIFS($AH$2:$AH$200,$G256)&gt;0,
     COUNTIFS($AI$2:$AI$200,$G256)&gt;0,
     COUNTIFS($AJ$2:$AJ$200,$G256)&gt;0,
     COUNTIFS($AK$2:$AK$200,$G256)&gt;0,
     COUNTIFS($AL$2:$AL$200,$G256)&gt;0,
     COUNTIFS($AM$2:$AM$200,$G256)&gt;0,
     COUNTIFS($AN$2:$AN$200,$G256)&gt;0,
     COUNTIFS($AO$2:$AO$200,$G256)&gt;0,
     COUNTIFS($AP$2:$AP$200,$G256)&gt;0,
     COUNTIFS($AQ$2:$AQ$200,$G256)&gt;0,
     COUNTIFS($AR$2:$AR$200,$G256)&gt;0,
     COUNTIFS($AS$2:$AS$200,$G256)&gt;0,
     COUNTIFS($AT$2:$AT$200,$G256)&gt;0,
     COUNTIFS($AU$2:$AU$200,$G256)&gt;0,
     COUNTIFS($AV$2:$AV$200,$G256)&gt;0,
     COUNTIFS($AW$2:$AW$200,$G256)&gt;0,
     COUNTIFS($AX$2:$AX$200,$G256)&gt;0
   )),
  ),
  4
 ),
"")</f>
        <v>Inalla</v>
      </c>
      <c r="G256" t="str">
        <f ca="1"/>
        <v>Reliquary Tower</v>
      </c>
    </row>
    <row r="257" spans="1:7" x14ac:dyDescent="0.25">
      <c r="A257" s="3" t="str">
        <f t="shared" ca="1" si="8"/>
        <v>5</v>
      </c>
      <c r="B257" s="3">
        <f t="shared" ca="1" si="9"/>
        <v>1</v>
      </c>
      <c r="C257" s="3" t="str">
        <f ca="1">IFERROR(
 INDEX($U$1:$AX$1,
  MATCH(TRUE,
   CHOOSE({1;2;3;4;5;6;7;8;9;10;11;12;13;14;15;16;17;18;19;20;21;22;23;24;25;26;27;28;29;30;31;32},
    COUNTIFS($U$2:$U$200,$G257)&gt;0,
    COUNTIFS($V$2:$V$200,$G257)&gt;0,
    COUNTIFS($W$2:$W$200,$G257)&gt;0,
    COUNTIFS($X$2:$X$200,$G257)&gt;0,
    COUNTIFS($Y$2:$Y$200,$G257)&gt;0,
    COUNTIFS($Z$2:$Z$200,$G257)&gt;0,
    COUNTIFS($AA$2:$AA$200,$G257)&gt;0,
    COUNTIFS($AB$2:$AB$200,$G257)&gt;0,
    COUNTIFS($AC$2:$AC$200,$G257)&gt;0,
    COUNTIFS($AD$2:$AD$200,$G257)&gt;0,
    COUNTIFS($AE$2:$AE$200,$G257)&gt;0,
    COUNTIFS($AF$2:$AF$200,$G257)&gt;0,
    COUNTIFS($AG$2:$AG$200,$G257)&gt;0,
    COUNTIFS($AH$2:$AH$200,$G257)&gt;0,
    COUNTIFS($AI$2:$AI$200,$G257)&gt;0,
    COUNTIFS($AJ$2:$AJ$200,$G257)&gt;0,
    COUNTIFS($AK$2:$AK$200,$G257)&gt;0,
    COUNTIFS($AL$2:$AL$200,$G257)&gt;0,
    COUNTIFS($AM$2:$AM$200,$G257)&gt;0,
    COUNTIFS($AN$2:$AN$200,$G257)&gt;0,
    COUNTIFS($AO$2:$AO$200,$G257)&gt;0,
    COUNTIFS($AP$2:$AP$200,$G257)&gt;0,
    COUNTIFS($AQ$2:$AQ$200,$G257)&gt;0,
    COUNTIFS($AR$2:$AR$200,$G257)&gt;0,
    COUNTIFS($AS$2:$AS$200,$G257)&gt;0,
    COUNTIFS($AT$2:$AT$200,$G257)&gt;0,
    COUNTIFS($AU$2:$AU$200,$G257)&gt;0,
    COUNTIFS($AV$2:$AV$200,$G257)&gt;0,
    COUNTIFS($AW$2:$AW$200,$G257)&gt;0,
    COUNTIFS($AX$2:$AX$200,$G257)&gt;0
   ),
  0)
 ),
"")</f>
        <v>Alela</v>
      </c>
      <c r="D257" s="3" t="str" cm="1">
        <f t="array" aca="1" ref="D257" ca="1">IFERROR(
 INDEX(
  _xlfn._xlws.FILTER($U$1:$AX$1,
   TRANSPOSE(
    CHOOSE({1;2;3;4;5;6;7;8;9;10;11;12;13;14;15;16;17;18;19;20;21;22;23;24;25;26;27;28;29;30},
     COUNTIFS($U$2:$U$200,$G257)&gt;0,
     COUNTIFS($V$2:$V$200,$G257)&gt;0,
     COUNTIFS($W$2:$W$200,$G257)&gt;0,
     COUNTIFS($X$2:$X$200,$G257)&gt;0,
     COUNTIFS($Y$2:$Y$200,$G257)&gt;0,
     COUNTIFS($Z$2:$Z$200,$G257)&gt;0,
     COUNTIFS($AA$2:$AA$200,$G257)&gt;0,
     COUNTIFS($AB$2:$AB$200,$G257)&gt;0,
     COUNTIFS($AC$2:$AC$200,$G257)&gt;0,
     COUNTIFS($AD$2:$AD$200,$G257)&gt;0,
     COUNTIFS($AE$2:$AE$200,$G257)&gt;0,
     COUNTIFS($AF$2:$AF$200,$G257)&gt;0,
     COUNTIFS($AG$2:$AG$200,$G257)&gt;0,
     COUNTIFS($AH$2:$AH$200,$G257)&gt;0,
     COUNTIFS($AI$2:$AI$200,$G257)&gt;0,
     COUNTIFS($AJ$2:$AJ$200,$G257)&gt;0,
     COUNTIFS($AK$2:$AK$200,$G257)&gt;0,
     COUNTIFS($AL$2:$AL$200,$G257)&gt;0,
     COUNTIFS($AM$2:$AM$200,$G257)&gt;0,
     COUNTIFS($AN$2:$AN$200,$G257)&gt;0,
     COUNTIFS($AO$2:$AO$200,$G257)&gt;0,
     COUNTIFS($AP$2:$AP$200,$G257)&gt;0,
     COUNTIFS($AQ$2:$AQ$200,$G257)&gt;0,
     COUNTIFS($AR$2:$AR$200,$G257)&gt;0,
     COUNTIFS($AS$2:$AS$200,$G257)&gt;0,
     COUNTIFS($AT$2:$AT$200,$G257)&gt;0,
     COUNTIFS($AU$2:$AU$200,$G257)&gt;0,
     COUNTIFS($AV$2:$AV$200,$G257)&gt;0,
     COUNTIFS($AW$2:$AW$200,$G257)&gt;0,
     COUNTIFS($AX$2:$AX$200,$G257)&gt;0
   )),
  ),
  2
 ),
"")</f>
        <v/>
      </c>
      <c r="E257" s="3" t="str" cm="1">
        <f t="array" aca="1" ref="E257" ca="1">IFERROR(
 INDEX(
  _xlfn._xlws.FILTER($U$1:$AX$1,
   TRANSPOSE(
    CHOOSE({1;2;3;4;5;6;7;8;9;10;11;12;13;14;15;16;17;18;19;20;21;22;23;24;25;26;27;28;29;30},
     COUNTIFS($U$2:$U$200,$G257)&gt;0,
     COUNTIFS($V$2:$V$200,$G257)&gt;0,
     COUNTIFS($W$2:$W$200,$G257)&gt;0,
     COUNTIFS($X$2:$X$200,$G257)&gt;0,
     COUNTIFS($Y$2:$Y$200,$G257)&gt;0,
     COUNTIFS($Z$2:$Z$200,$G257)&gt;0,
     COUNTIFS($AA$2:$AA$200,$G257)&gt;0,
     COUNTIFS($AB$2:$AB$200,$G257)&gt;0,
     COUNTIFS($AC$2:$AC$200,$G257)&gt;0,
     COUNTIFS($AD$2:$AD$200,$G257)&gt;0,
     COUNTIFS($AE$2:$AE$200,$G257)&gt;0,
     COUNTIFS($AF$2:$AF$200,$G257)&gt;0,
     COUNTIFS($AG$2:$AG$200,$G257)&gt;0,
     COUNTIFS($AH$2:$AH$200,$G257)&gt;0,
     COUNTIFS($AI$2:$AI$200,$G257)&gt;0,
     COUNTIFS($AJ$2:$AJ$200,$G257)&gt;0,
     COUNTIFS($AK$2:$AK$200,$G257)&gt;0,
     COUNTIFS($AL$2:$AL$200,$G257)&gt;0,
     COUNTIFS($AM$2:$AM$200,$G257)&gt;0,
     COUNTIFS($AN$2:$AN$200,$G257)&gt;0,
     COUNTIFS($AO$2:$AO$200,$G257)&gt;0,
     COUNTIFS($AP$2:$AP$200,$G257)&gt;0,
     COUNTIFS($AQ$2:$AQ$200,$G257)&gt;0,
     COUNTIFS($AR$2:$AR$200,$G257)&gt;0,
     COUNTIFS($AS$2:$AS$200,$G257)&gt;0,
     COUNTIFS($AT$2:$AT$200,$G257)&gt;0,
     COUNTIFS($AU$2:$AU$200,$G257)&gt;0,
     COUNTIFS($AV$2:$AV$200,$G257)&gt;0,
     COUNTIFS($AW$2:$AW$200,$G257)&gt;0,
     COUNTIFS($AX$2:$AX$200,$G257)&gt;0
   )),
  ),
  3
 ),
"")</f>
        <v/>
      </c>
      <c r="F257" s="3" t="str" cm="1">
        <f t="array" aca="1" ref="F257" ca="1">IFERROR(
 INDEX(
  _xlfn._xlws.FILTER($U$1:$AX$1,
   TRANSPOSE(
    CHOOSE({1;2;3;4;5;6;7;8;9;10;11;12;13;14;15;16;17;18;19;20;21;22;23;24;25;26;27;28;29;30},
     COUNTIFS($U$2:$U$200,$G257)&gt;0,
     COUNTIFS($V$2:$V$200,$G257)&gt;0,
     COUNTIFS($W$2:$W$200,$G257)&gt;0,
     COUNTIFS($X$2:$X$200,$G257)&gt;0,
     COUNTIFS($Y$2:$Y$200,$G257)&gt;0,
     COUNTIFS($Z$2:$Z$200,$G257)&gt;0,
     COUNTIFS($AA$2:$AA$200,$G257)&gt;0,
     COUNTIFS($AB$2:$AB$200,$G257)&gt;0,
     COUNTIFS($AC$2:$AC$200,$G257)&gt;0,
     COUNTIFS($AD$2:$AD$200,$G257)&gt;0,
     COUNTIFS($AE$2:$AE$200,$G257)&gt;0,
     COUNTIFS($AF$2:$AF$200,$G257)&gt;0,
     COUNTIFS($AG$2:$AG$200,$G257)&gt;0,
     COUNTIFS($AH$2:$AH$200,$G257)&gt;0,
     COUNTIFS($AI$2:$AI$200,$G257)&gt;0,
     COUNTIFS($AJ$2:$AJ$200,$G257)&gt;0,
     COUNTIFS($AK$2:$AK$200,$G257)&gt;0,
     COUNTIFS($AL$2:$AL$200,$G257)&gt;0,
     COUNTIFS($AM$2:$AM$200,$G257)&gt;0,
     COUNTIFS($AN$2:$AN$200,$G257)&gt;0,
     COUNTIFS($AO$2:$AO$200,$G257)&gt;0,
     COUNTIFS($AP$2:$AP$200,$G257)&gt;0,
     COUNTIFS($AQ$2:$AQ$200,$G257)&gt;0,
     COUNTIFS($AR$2:$AR$200,$G257)&gt;0,
     COUNTIFS($AS$2:$AS$200,$G257)&gt;0,
     COUNTIFS($AT$2:$AT$200,$G257)&gt;0,
     COUNTIFS($AU$2:$AU$200,$G257)&gt;0,
     COUNTIFS($AV$2:$AV$200,$G257)&gt;0,
     COUNTIFS($AW$2:$AW$200,$G257)&gt;0,
     COUNTIFS($AX$2:$AX$200,$G257)&gt;0
   )),
  ),
  4
 ),
"")</f>
        <v/>
      </c>
      <c r="G257" t="str">
        <f ca="1"/>
        <v>Renewed Solidarity</v>
      </c>
    </row>
    <row r="258" spans="1:7" x14ac:dyDescent="0.25">
      <c r="A258" s="3" t="str">
        <f t="shared" ca="1" si="8"/>
        <v>1</v>
      </c>
      <c r="B258" s="3">
        <f t="shared" ca="1" si="9"/>
        <v>1</v>
      </c>
      <c r="C258" s="3" t="str">
        <f ca="1">IFERROR(
 INDEX($U$1:$AX$1,
  MATCH(TRUE,
   CHOOSE({1;2;3;4;5;6;7;8;9;10;11;12;13;14;15;16;17;18;19;20;21;22;23;24;25;26;27;28;29;30;31;32},
    COUNTIFS($U$2:$U$200,$G258)&gt;0,
    COUNTIFS($V$2:$V$200,$G258)&gt;0,
    COUNTIFS($W$2:$W$200,$G258)&gt;0,
    COUNTIFS($X$2:$X$200,$G258)&gt;0,
    COUNTIFS($Y$2:$Y$200,$G258)&gt;0,
    COUNTIFS($Z$2:$Z$200,$G258)&gt;0,
    COUNTIFS($AA$2:$AA$200,$G258)&gt;0,
    COUNTIFS($AB$2:$AB$200,$G258)&gt;0,
    COUNTIFS($AC$2:$AC$200,$G258)&gt;0,
    COUNTIFS($AD$2:$AD$200,$G258)&gt;0,
    COUNTIFS($AE$2:$AE$200,$G258)&gt;0,
    COUNTIFS($AF$2:$AF$200,$G258)&gt;0,
    COUNTIFS($AG$2:$AG$200,$G258)&gt;0,
    COUNTIFS($AH$2:$AH$200,$G258)&gt;0,
    COUNTIFS($AI$2:$AI$200,$G258)&gt;0,
    COUNTIFS($AJ$2:$AJ$200,$G258)&gt;0,
    COUNTIFS($AK$2:$AK$200,$G258)&gt;0,
    COUNTIFS($AL$2:$AL$200,$G258)&gt;0,
    COUNTIFS($AM$2:$AM$200,$G258)&gt;0,
    COUNTIFS($AN$2:$AN$200,$G258)&gt;0,
    COUNTIFS($AO$2:$AO$200,$G258)&gt;0,
    COUNTIFS($AP$2:$AP$200,$G258)&gt;0,
    COUNTIFS($AQ$2:$AQ$200,$G258)&gt;0,
    COUNTIFS($AR$2:$AR$200,$G258)&gt;0,
    COUNTIFS($AS$2:$AS$200,$G258)&gt;0,
    COUNTIFS($AT$2:$AT$200,$G258)&gt;0,
    COUNTIFS($AU$2:$AU$200,$G258)&gt;0,
    COUNTIFS($AV$2:$AV$200,$G258)&gt;0,
    COUNTIFS($AW$2:$AW$200,$G258)&gt;0,
    COUNTIFS($AX$2:$AX$200,$G258)&gt;0
   ),
  0)
 ),
"")</f>
        <v>Tayam</v>
      </c>
      <c r="D258" s="3" t="str" cm="1">
        <f t="array" aca="1" ref="D258" ca="1">IFERROR(
 INDEX(
  _xlfn._xlws.FILTER($U$1:$AX$1,
   TRANSPOSE(
    CHOOSE({1;2;3;4;5;6;7;8;9;10;11;12;13;14;15;16;17;18;19;20;21;22;23;24;25;26;27;28;29;30},
     COUNTIFS($U$2:$U$200,$G258)&gt;0,
     COUNTIFS($V$2:$V$200,$G258)&gt;0,
     COUNTIFS($W$2:$W$200,$G258)&gt;0,
     COUNTIFS($X$2:$X$200,$G258)&gt;0,
     COUNTIFS($Y$2:$Y$200,$G258)&gt;0,
     COUNTIFS($Z$2:$Z$200,$G258)&gt;0,
     COUNTIFS($AA$2:$AA$200,$G258)&gt;0,
     COUNTIFS($AB$2:$AB$200,$G258)&gt;0,
     COUNTIFS($AC$2:$AC$200,$G258)&gt;0,
     COUNTIFS($AD$2:$AD$200,$G258)&gt;0,
     COUNTIFS($AE$2:$AE$200,$G258)&gt;0,
     COUNTIFS($AF$2:$AF$200,$G258)&gt;0,
     COUNTIFS($AG$2:$AG$200,$G258)&gt;0,
     COUNTIFS($AH$2:$AH$200,$G258)&gt;0,
     COUNTIFS($AI$2:$AI$200,$G258)&gt;0,
     COUNTIFS($AJ$2:$AJ$200,$G258)&gt;0,
     COUNTIFS($AK$2:$AK$200,$G258)&gt;0,
     COUNTIFS($AL$2:$AL$200,$G258)&gt;0,
     COUNTIFS($AM$2:$AM$200,$G258)&gt;0,
     COUNTIFS($AN$2:$AN$200,$G258)&gt;0,
     COUNTIFS($AO$2:$AO$200,$G258)&gt;0,
     COUNTIFS($AP$2:$AP$200,$G258)&gt;0,
     COUNTIFS($AQ$2:$AQ$200,$G258)&gt;0,
     COUNTIFS($AR$2:$AR$200,$G258)&gt;0,
     COUNTIFS($AS$2:$AS$200,$G258)&gt;0,
     COUNTIFS($AT$2:$AT$200,$G258)&gt;0,
     COUNTIFS($AU$2:$AU$200,$G258)&gt;0,
     COUNTIFS($AV$2:$AV$200,$G258)&gt;0,
     COUNTIFS($AW$2:$AW$200,$G258)&gt;0,
     COUNTIFS($AX$2:$AX$200,$G258)&gt;0
   )),
  ),
  2
 ),
"")</f>
        <v/>
      </c>
      <c r="E258" s="3" t="str" cm="1">
        <f t="array" aca="1" ref="E258" ca="1">IFERROR(
 INDEX(
  _xlfn._xlws.FILTER($U$1:$AX$1,
   TRANSPOSE(
    CHOOSE({1;2;3;4;5;6;7;8;9;10;11;12;13;14;15;16;17;18;19;20;21;22;23;24;25;26;27;28;29;30},
     COUNTIFS($U$2:$U$200,$G258)&gt;0,
     COUNTIFS($V$2:$V$200,$G258)&gt;0,
     COUNTIFS($W$2:$W$200,$G258)&gt;0,
     COUNTIFS($X$2:$X$200,$G258)&gt;0,
     COUNTIFS($Y$2:$Y$200,$G258)&gt;0,
     COUNTIFS($Z$2:$Z$200,$G258)&gt;0,
     COUNTIFS($AA$2:$AA$200,$G258)&gt;0,
     COUNTIFS($AB$2:$AB$200,$G258)&gt;0,
     COUNTIFS($AC$2:$AC$200,$G258)&gt;0,
     COUNTIFS($AD$2:$AD$200,$G258)&gt;0,
     COUNTIFS($AE$2:$AE$200,$G258)&gt;0,
     COUNTIFS($AF$2:$AF$200,$G258)&gt;0,
     COUNTIFS($AG$2:$AG$200,$G258)&gt;0,
     COUNTIFS($AH$2:$AH$200,$G258)&gt;0,
     COUNTIFS($AI$2:$AI$200,$G258)&gt;0,
     COUNTIFS($AJ$2:$AJ$200,$G258)&gt;0,
     COUNTIFS($AK$2:$AK$200,$G258)&gt;0,
     COUNTIFS($AL$2:$AL$200,$G258)&gt;0,
     COUNTIFS($AM$2:$AM$200,$G258)&gt;0,
     COUNTIFS($AN$2:$AN$200,$G258)&gt;0,
     COUNTIFS($AO$2:$AO$200,$G258)&gt;0,
     COUNTIFS($AP$2:$AP$200,$G258)&gt;0,
     COUNTIFS($AQ$2:$AQ$200,$G258)&gt;0,
     COUNTIFS($AR$2:$AR$200,$G258)&gt;0,
     COUNTIFS($AS$2:$AS$200,$G258)&gt;0,
     COUNTIFS($AT$2:$AT$200,$G258)&gt;0,
     COUNTIFS($AU$2:$AU$200,$G258)&gt;0,
     COUNTIFS($AV$2:$AV$200,$G258)&gt;0,
     COUNTIFS($AW$2:$AW$200,$G258)&gt;0,
     COUNTIFS($AX$2:$AX$200,$G258)&gt;0
   )),
  ),
  3
 ),
"")</f>
        <v/>
      </c>
      <c r="F258" s="3" t="str" cm="1">
        <f t="array" aca="1" ref="F258" ca="1">IFERROR(
 INDEX(
  _xlfn._xlws.FILTER($U$1:$AX$1,
   TRANSPOSE(
    CHOOSE({1;2;3;4;5;6;7;8;9;10;11;12;13;14;15;16;17;18;19;20;21;22;23;24;25;26;27;28;29;30},
     COUNTIFS($U$2:$U$200,$G258)&gt;0,
     COUNTIFS($V$2:$V$200,$G258)&gt;0,
     COUNTIFS($W$2:$W$200,$G258)&gt;0,
     COUNTIFS($X$2:$X$200,$G258)&gt;0,
     COUNTIFS($Y$2:$Y$200,$G258)&gt;0,
     COUNTIFS($Z$2:$Z$200,$G258)&gt;0,
     COUNTIFS($AA$2:$AA$200,$G258)&gt;0,
     COUNTIFS($AB$2:$AB$200,$G258)&gt;0,
     COUNTIFS($AC$2:$AC$200,$G258)&gt;0,
     COUNTIFS($AD$2:$AD$200,$G258)&gt;0,
     COUNTIFS($AE$2:$AE$200,$G258)&gt;0,
     COUNTIFS($AF$2:$AF$200,$G258)&gt;0,
     COUNTIFS($AG$2:$AG$200,$G258)&gt;0,
     COUNTIFS($AH$2:$AH$200,$G258)&gt;0,
     COUNTIFS($AI$2:$AI$200,$G258)&gt;0,
     COUNTIFS($AJ$2:$AJ$200,$G258)&gt;0,
     COUNTIFS($AK$2:$AK$200,$G258)&gt;0,
     COUNTIFS($AL$2:$AL$200,$G258)&gt;0,
     COUNTIFS($AM$2:$AM$200,$G258)&gt;0,
     COUNTIFS($AN$2:$AN$200,$G258)&gt;0,
     COUNTIFS($AO$2:$AO$200,$G258)&gt;0,
     COUNTIFS($AP$2:$AP$200,$G258)&gt;0,
     COUNTIFS($AQ$2:$AQ$200,$G258)&gt;0,
     COUNTIFS($AR$2:$AR$200,$G258)&gt;0,
     COUNTIFS($AS$2:$AS$200,$G258)&gt;0,
     COUNTIFS($AT$2:$AT$200,$G258)&gt;0,
     COUNTIFS($AU$2:$AU$200,$G258)&gt;0,
     COUNTIFS($AV$2:$AV$200,$G258)&gt;0,
     COUNTIFS($AW$2:$AW$200,$G258)&gt;0,
     COUNTIFS($AX$2:$AX$200,$G258)&gt;0
   )),
  ),
  4
 ),
"")</f>
        <v/>
      </c>
      <c r="G258" t="str">
        <f ca="1"/>
        <v>Resourceful Defense</v>
      </c>
    </row>
    <row r="259" spans="1:7" x14ac:dyDescent="0.25">
      <c r="A259" s="3" t="str">
        <f t="shared" ref="A259:A322" ca="1" si="10">IFERROR(INDEX($S$3:$S$200, MATCH($C259, $I$3:$I$200, 0)), "")</f>
        <v>1</v>
      </c>
      <c r="B259" s="3">
        <f t="shared" ref="B259:B322" ca="1" si="11">COUNTIF(U:AX,G259)</f>
        <v>1</v>
      </c>
      <c r="C259" s="3" t="str">
        <f ca="1">IFERROR(
 INDEX($U$1:$AX$1,
  MATCH(TRUE,
   CHOOSE({1;2;3;4;5;6;7;8;9;10;11;12;13;14;15;16;17;18;19;20;21;22;23;24;25;26;27;28;29;30;31;32},
    COUNTIFS($U$2:$U$200,$G259)&gt;0,
    COUNTIFS($V$2:$V$200,$G259)&gt;0,
    COUNTIFS($W$2:$W$200,$G259)&gt;0,
    COUNTIFS($X$2:$X$200,$G259)&gt;0,
    COUNTIFS($Y$2:$Y$200,$G259)&gt;0,
    COUNTIFS($Z$2:$Z$200,$G259)&gt;0,
    COUNTIFS($AA$2:$AA$200,$G259)&gt;0,
    COUNTIFS($AB$2:$AB$200,$G259)&gt;0,
    COUNTIFS($AC$2:$AC$200,$G259)&gt;0,
    COUNTIFS($AD$2:$AD$200,$G259)&gt;0,
    COUNTIFS($AE$2:$AE$200,$G259)&gt;0,
    COUNTIFS($AF$2:$AF$200,$G259)&gt;0,
    COUNTIFS($AG$2:$AG$200,$G259)&gt;0,
    COUNTIFS($AH$2:$AH$200,$G259)&gt;0,
    COUNTIFS($AI$2:$AI$200,$G259)&gt;0,
    COUNTIFS($AJ$2:$AJ$200,$G259)&gt;0,
    COUNTIFS($AK$2:$AK$200,$G259)&gt;0,
    COUNTIFS($AL$2:$AL$200,$G259)&gt;0,
    COUNTIFS($AM$2:$AM$200,$G259)&gt;0,
    COUNTIFS($AN$2:$AN$200,$G259)&gt;0,
    COUNTIFS($AO$2:$AO$200,$G259)&gt;0,
    COUNTIFS($AP$2:$AP$200,$G259)&gt;0,
    COUNTIFS($AQ$2:$AQ$200,$G259)&gt;0,
    COUNTIFS($AR$2:$AR$200,$G259)&gt;0,
    COUNTIFS($AS$2:$AS$200,$G259)&gt;0,
    COUNTIFS($AT$2:$AT$200,$G259)&gt;0,
    COUNTIFS($AU$2:$AU$200,$G259)&gt;0,
    COUNTIFS($AV$2:$AV$200,$G259)&gt;0,
    COUNTIFS($AW$2:$AW$200,$G259)&gt;0,
    COUNTIFS($AX$2:$AX$200,$G259)&gt;0
   ),
  0)
 ),
"")</f>
        <v>Tayam</v>
      </c>
      <c r="D259" s="3" t="str" cm="1">
        <f t="array" aca="1" ref="D259" ca="1">IFERROR(
 INDEX(
  _xlfn._xlws.FILTER($U$1:$AX$1,
   TRANSPOSE(
    CHOOSE({1;2;3;4;5;6;7;8;9;10;11;12;13;14;15;16;17;18;19;20;21;22;23;24;25;26;27;28;29;30},
     COUNTIFS($U$2:$U$200,$G259)&gt;0,
     COUNTIFS($V$2:$V$200,$G259)&gt;0,
     COUNTIFS($W$2:$W$200,$G259)&gt;0,
     COUNTIFS($X$2:$X$200,$G259)&gt;0,
     COUNTIFS($Y$2:$Y$200,$G259)&gt;0,
     COUNTIFS($Z$2:$Z$200,$G259)&gt;0,
     COUNTIFS($AA$2:$AA$200,$G259)&gt;0,
     COUNTIFS($AB$2:$AB$200,$G259)&gt;0,
     COUNTIFS($AC$2:$AC$200,$G259)&gt;0,
     COUNTIFS($AD$2:$AD$200,$G259)&gt;0,
     COUNTIFS($AE$2:$AE$200,$G259)&gt;0,
     COUNTIFS($AF$2:$AF$200,$G259)&gt;0,
     COUNTIFS($AG$2:$AG$200,$G259)&gt;0,
     COUNTIFS($AH$2:$AH$200,$G259)&gt;0,
     COUNTIFS($AI$2:$AI$200,$G259)&gt;0,
     COUNTIFS($AJ$2:$AJ$200,$G259)&gt;0,
     COUNTIFS($AK$2:$AK$200,$G259)&gt;0,
     COUNTIFS($AL$2:$AL$200,$G259)&gt;0,
     COUNTIFS($AM$2:$AM$200,$G259)&gt;0,
     COUNTIFS($AN$2:$AN$200,$G259)&gt;0,
     COUNTIFS($AO$2:$AO$200,$G259)&gt;0,
     COUNTIFS($AP$2:$AP$200,$G259)&gt;0,
     COUNTIFS($AQ$2:$AQ$200,$G259)&gt;0,
     COUNTIFS($AR$2:$AR$200,$G259)&gt;0,
     COUNTIFS($AS$2:$AS$200,$G259)&gt;0,
     COUNTIFS($AT$2:$AT$200,$G259)&gt;0,
     COUNTIFS($AU$2:$AU$200,$G259)&gt;0,
     COUNTIFS($AV$2:$AV$200,$G259)&gt;0,
     COUNTIFS($AW$2:$AW$200,$G259)&gt;0,
     COUNTIFS($AX$2:$AX$200,$G259)&gt;0
   )),
  ),
  2
 ),
"")</f>
        <v/>
      </c>
      <c r="E259" s="3" t="str" cm="1">
        <f t="array" aca="1" ref="E259" ca="1">IFERROR(
 INDEX(
  _xlfn._xlws.FILTER($U$1:$AX$1,
   TRANSPOSE(
    CHOOSE({1;2;3;4;5;6;7;8;9;10;11;12;13;14;15;16;17;18;19;20;21;22;23;24;25;26;27;28;29;30},
     COUNTIFS($U$2:$U$200,$G259)&gt;0,
     COUNTIFS($V$2:$V$200,$G259)&gt;0,
     COUNTIFS($W$2:$W$200,$G259)&gt;0,
     COUNTIFS($X$2:$X$200,$G259)&gt;0,
     COUNTIFS($Y$2:$Y$200,$G259)&gt;0,
     COUNTIFS($Z$2:$Z$200,$G259)&gt;0,
     COUNTIFS($AA$2:$AA$200,$G259)&gt;0,
     COUNTIFS($AB$2:$AB$200,$G259)&gt;0,
     COUNTIFS($AC$2:$AC$200,$G259)&gt;0,
     COUNTIFS($AD$2:$AD$200,$G259)&gt;0,
     COUNTIFS($AE$2:$AE$200,$G259)&gt;0,
     COUNTIFS($AF$2:$AF$200,$G259)&gt;0,
     COUNTIFS($AG$2:$AG$200,$G259)&gt;0,
     COUNTIFS($AH$2:$AH$200,$G259)&gt;0,
     COUNTIFS($AI$2:$AI$200,$G259)&gt;0,
     COUNTIFS($AJ$2:$AJ$200,$G259)&gt;0,
     COUNTIFS($AK$2:$AK$200,$G259)&gt;0,
     COUNTIFS($AL$2:$AL$200,$G259)&gt;0,
     COUNTIFS($AM$2:$AM$200,$G259)&gt;0,
     COUNTIFS($AN$2:$AN$200,$G259)&gt;0,
     COUNTIFS($AO$2:$AO$200,$G259)&gt;0,
     COUNTIFS($AP$2:$AP$200,$G259)&gt;0,
     COUNTIFS($AQ$2:$AQ$200,$G259)&gt;0,
     COUNTIFS($AR$2:$AR$200,$G259)&gt;0,
     COUNTIFS($AS$2:$AS$200,$G259)&gt;0,
     COUNTIFS($AT$2:$AT$200,$G259)&gt;0,
     COUNTIFS($AU$2:$AU$200,$G259)&gt;0,
     COUNTIFS($AV$2:$AV$200,$G259)&gt;0,
     COUNTIFS($AW$2:$AW$200,$G259)&gt;0,
     COUNTIFS($AX$2:$AX$200,$G259)&gt;0
   )),
  ),
  3
 ),
"")</f>
        <v/>
      </c>
      <c r="F259" s="3" t="str" cm="1">
        <f t="array" aca="1" ref="F259" ca="1">IFERROR(
 INDEX(
  _xlfn._xlws.FILTER($U$1:$AX$1,
   TRANSPOSE(
    CHOOSE({1;2;3;4;5;6;7;8;9;10;11;12;13;14;15;16;17;18;19;20;21;22;23;24;25;26;27;28;29;30},
     COUNTIFS($U$2:$U$200,$G259)&gt;0,
     COUNTIFS($V$2:$V$200,$G259)&gt;0,
     COUNTIFS($W$2:$W$200,$G259)&gt;0,
     COUNTIFS($X$2:$X$200,$G259)&gt;0,
     COUNTIFS($Y$2:$Y$200,$G259)&gt;0,
     COUNTIFS($Z$2:$Z$200,$G259)&gt;0,
     COUNTIFS($AA$2:$AA$200,$G259)&gt;0,
     COUNTIFS($AB$2:$AB$200,$G259)&gt;0,
     COUNTIFS($AC$2:$AC$200,$G259)&gt;0,
     COUNTIFS($AD$2:$AD$200,$G259)&gt;0,
     COUNTIFS($AE$2:$AE$200,$G259)&gt;0,
     COUNTIFS($AF$2:$AF$200,$G259)&gt;0,
     COUNTIFS($AG$2:$AG$200,$G259)&gt;0,
     COUNTIFS($AH$2:$AH$200,$G259)&gt;0,
     COUNTIFS($AI$2:$AI$200,$G259)&gt;0,
     COUNTIFS($AJ$2:$AJ$200,$G259)&gt;0,
     COUNTIFS($AK$2:$AK$200,$G259)&gt;0,
     COUNTIFS($AL$2:$AL$200,$G259)&gt;0,
     COUNTIFS($AM$2:$AM$200,$G259)&gt;0,
     COUNTIFS($AN$2:$AN$200,$G259)&gt;0,
     COUNTIFS($AO$2:$AO$200,$G259)&gt;0,
     COUNTIFS($AP$2:$AP$200,$G259)&gt;0,
     COUNTIFS($AQ$2:$AQ$200,$G259)&gt;0,
     COUNTIFS($AR$2:$AR$200,$G259)&gt;0,
     COUNTIFS($AS$2:$AS$200,$G259)&gt;0,
     COUNTIFS($AT$2:$AT$200,$G259)&gt;0,
     COUNTIFS($AU$2:$AU$200,$G259)&gt;0,
     COUNTIFS($AV$2:$AV$200,$G259)&gt;0,
     COUNTIFS($AW$2:$AW$200,$G259)&gt;0,
     COUNTIFS($AX$2:$AX$200,$G259)&gt;0
   )),
  ),
  4
 ),
"")</f>
        <v/>
      </c>
      <c r="G259" t="str">
        <f ca="1"/>
        <v>Retribution of the Ancients</v>
      </c>
    </row>
    <row r="260" spans="1:7" x14ac:dyDescent="0.25">
      <c r="A260" s="3" t="str">
        <f t="shared" ca="1" si="10"/>
        <v>1</v>
      </c>
      <c r="B260" s="3">
        <f t="shared" ca="1" si="11"/>
        <v>1</v>
      </c>
      <c r="C260" s="3" t="str">
        <f ca="1">IFERROR(
 INDEX($U$1:$AX$1,
  MATCH(TRUE,
   CHOOSE({1;2;3;4;5;6;7;8;9;10;11;12;13;14;15;16;17;18;19;20;21;22;23;24;25;26;27;28;29;30;31;32},
    COUNTIFS($U$2:$U$200,$G260)&gt;0,
    COUNTIFS($V$2:$V$200,$G260)&gt;0,
    COUNTIFS($W$2:$W$200,$G260)&gt;0,
    COUNTIFS($X$2:$X$200,$G260)&gt;0,
    COUNTIFS($Y$2:$Y$200,$G260)&gt;0,
    COUNTIFS($Z$2:$Z$200,$G260)&gt;0,
    COUNTIFS($AA$2:$AA$200,$G260)&gt;0,
    COUNTIFS($AB$2:$AB$200,$G260)&gt;0,
    COUNTIFS($AC$2:$AC$200,$G260)&gt;0,
    COUNTIFS($AD$2:$AD$200,$G260)&gt;0,
    COUNTIFS($AE$2:$AE$200,$G260)&gt;0,
    COUNTIFS($AF$2:$AF$200,$G260)&gt;0,
    COUNTIFS($AG$2:$AG$200,$G260)&gt;0,
    COUNTIFS($AH$2:$AH$200,$G260)&gt;0,
    COUNTIFS($AI$2:$AI$200,$G260)&gt;0,
    COUNTIFS($AJ$2:$AJ$200,$G260)&gt;0,
    COUNTIFS($AK$2:$AK$200,$G260)&gt;0,
    COUNTIFS($AL$2:$AL$200,$G260)&gt;0,
    COUNTIFS($AM$2:$AM$200,$G260)&gt;0,
    COUNTIFS($AN$2:$AN$200,$G260)&gt;0,
    COUNTIFS($AO$2:$AO$200,$G260)&gt;0,
    COUNTIFS($AP$2:$AP$200,$G260)&gt;0,
    COUNTIFS($AQ$2:$AQ$200,$G260)&gt;0,
    COUNTIFS($AR$2:$AR$200,$G260)&gt;0,
    COUNTIFS($AS$2:$AS$200,$G260)&gt;0,
    COUNTIFS($AT$2:$AT$200,$G260)&gt;0,
    COUNTIFS($AU$2:$AU$200,$G260)&gt;0,
    COUNTIFS($AV$2:$AV$200,$G260)&gt;0,
    COUNTIFS($AW$2:$AW$200,$G260)&gt;0,
    COUNTIFS($AX$2:$AX$200,$G260)&gt;0
   ),
  0)
 ),
"")</f>
        <v>Tayam</v>
      </c>
      <c r="D260" s="3" t="str" cm="1">
        <f t="array" aca="1" ref="D260" ca="1">IFERROR(
 INDEX(
  _xlfn._xlws.FILTER($U$1:$AX$1,
   TRANSPOSE(
    CHOOSE({1;2;3;4;5;6;7;8;9;10;11;12;13;14;15;16;17;18;19;20;21;22;23;24;25;26;27;28;29;30},
     COUNTIFS($U$2:$U$200,$G260)&gt;0,
     COUNTIFS($V$2:$V$200,$G260)&gt;0,
     COUNTIFS($W$2:$W$200,$G260)&gt;0,
     COUNTIFS($X$2:$X$200,$G260)&gt;0,
     COUNTIFS($Y$2:$Y$200,$G260)&gt;0,
     COUNTIFS($Z$2:$Z$200,$G260)&gt;0,
     COUNTIFS($AA$2:$AA$200,$G260)&gt;0,
     COUNTIFS($AB$2:$AB$200,$G260)&gt;0,
     COUNTIFS($AC$2:$AC$200,$G260)&gt;0,
     COUNTIFS($AD$2:$AD$200,$G260)&gt;0,
     COUNTIFS($AE$2:$AE$200,$G260)&gt;0,
     COUNTIFS($AF$2:$AF$200,$G260)&gt;0,
     COUNTIFS($AG$2:$AG$200,$G260)&gt;0,
     COUNTIFS($AH$2:$AH$200,$G260)&gt;0,
     COUNTIFS($AI$2:$AI$200,$G260)&gt;0,
     COUNTIFS($AJ$2:$AJ$200,$G260)&gt;0,
     COUNTIFS($AK$2:$AK$200,$G260)&gt;0,
     COUNTIFS($AL$2:$AL$200,$G260)&gt;0,
     COUNTIFS($AM$2:$AM$200,$G260)&gt;0,
     COUNTIFS($AN$2:$AN$200,$G260)&gt;0,
     COUNTIFS($AO$2:$AO$200,$G260)&gt;0,
     COUNTIFS($AP$2:$AP$200,$G260)&gt;0,
     COUNTIFS($AQ$2:$AQ$200,$G260)&gt;0,
     COUNTIFS($AR$2:$AR$200,$G260)&gt;0,
     COUNTIFS($AS$2:$AS$200,$G260)&gt;0,
     COUNTIFS($AT$2:$AT$200,$G260)&gt;0,
     COUNTIFS($AU$2:$AU$200,$G260)&gt;0,
     COUNTIFS($AV$2:$AV$200,$G260)&gt;0,
     COUNTIFS($AW$2:$AW$200,$G260)&gt;0,
     COUNTIFS($AX$2:$AX$200,$G260)&gt;0
   )),
  ),
  2
 ),
"")</f>
        <v/>
      </c>
      <c r="E260" s="3" t="str" cm="1">
        <f t="array" aca="1" ref="E260" ca="1">IFERROR(
 INDEX(
  _xlfn._xlws.FILTER($U$1:$AX$1,
   TRANSPOSE(
    CHOOSE({1;2;3;4;5;6;7;8;9;10;11;12;13;14;15;16;17;18;19;20;21;22;23;24;25;26;27;28;29;30},
     COUNTIFS($U$2:$U$200,$G260)&gt;0,
     COUNTIFS($V$2:$V$200,$G260)&gt;0,
     COUNTIFS($W$2:$W$200,$G260)&gt;0,
     COUNTIFS($X$2:$X$200,$G260)&gt;0,
     COUNTIFS($Y$2:$Y$200,$G260)&gt;0,
     COUNTIFS($Z$2:$Z$200,$G260)&gt;0,
     COUNTIFS($AA$2:$AA$200,$G260)&gt;0,
     COUNTIFS($AB$2:$AB$200,$G260)&gt;0,
     COUNTIFS($AC$2:$AC$200,$G260)&gt;0,
     COUNTIFS($AD$2:$AD$200,$G260)&gt;0,
     COUNTIFS($AE$2:$AE$200,$G260)&gt;0,
     COUNTIFS($AF$2:$AF$200,$G260)&gt;0,
     COUNTIFS($AG$2:$AG$200,$G260)&gt;0,
     COUNTIFS($AH$2:$AH$200,$G260)&gt;0,
     COUNTIFS($AI$2:$AI$200,$G260)&gt;0,
     COUNTIFS($AJ$2:$AJ$200,$G260)&gt;0,
     COUNTIFS($AK$2:$AK$200,$G260)&gt;0,
     COUNTIFS($AL$2:$AL$200,$G260)&gt;0,
     COUNTIFS($AM$2:$AM$200,$G260)&gt;0,
     COUNTIFS($AN$2:$AN$200,$G260)&gt;0,
     COUNTIFS($AO$2:$AO$200,$G260)&gt;0,
     COUNTIFS($AP$2:$AP$200,$G260)&gt;0,
     COUNTIFS($AQ$2:$AQ$200,$G260)&gt;0,
     COUNTIFS($AR$2:$AR$200,$G260)&gt;0,
     COUNTIFS($AS$2:$AS$200,$G260)&gt;0,
     COUNTIFS($AT$2:$AT$200,$G260)&gt;0,
     COUNTIFS($AU$2:$AU$200,$G260)&gt;0,
     COUNTIFS($AV$2:$AV$200,$G260)&gt;0,
     COUNTIFS($AW$2:$AW$200,$G260)&gt;0,
     COUNTIFS($AX$2:$AX$200,$G260)&gt;0
   )),
  ),
  3
 ),
"")</f>
        <v/>
      </c>
      <c r="F260" s="3" t="str" cm="1">
        <f t="array" aca="1" ref="F260" ca="1">IFERROR(
 INDEX(
  _xlfn._xlws.FILTER($U$1:$AX$1,
   TRANSPOSE(
    CHOOSE({1;2;3;4;5;6;7;8;9;10;11;12;13;14;15;16;17;18;19;20;21;22;23;24;25;26;27;28;29;30},
     COUNTIFS($U$2:$U$200,$G260)&gt;0,
     COUNTIFS($V$2:$V$200,$G260)&gt;0,
     COUNTIFS($W$2:$W$200,$G260)&gt;0,
     COUNTIFS($X$2:$X$200,$G260)&gt;0,
     COUNTIFS($Y$2:$Y$200,$G260)&gt;0,
     COUNTIFS($Z$2:$Z$200,$G260)&gt;0,
     COUNTIFS($AA$2:$AA$200,$G260)&gt;0,
     COUNTIFS($AB$2:$AB$200,$G260)&gt;0,
     COUNTIFS($AC$2:$AC$200,$G260)&gt;0,
     COUNTIFS($AD$2:$AD$200,$G260)&gt;0,
     COUNTIFS($AE$2:$AE$200,$G260)&gt;0,
     COUNTIFS($AF$2:$AF$200,$G260)&gt;0,
     COUNTIFS($AG$2:$AG$200,$G260)&gt;0,
     COUNTIFS($AH$2:$AH$200,$G260)&gt;0,
     COUNTIFS($AI$2:$AI$200,$G260)&gt;0,
     COUNTIFS($AJ$2:$AJ$200,$G260)&gt;0,
     COUNTIFS($AK$2:$AK$200,$G260)&gt;0,
     COUNTIFS($AL$2:$AL$200,$G260)&gt;0,
     COUNTIFS($AM$2:$AM$200,$G260)&gt;0,
     COUNTIFS($AN$2:$AN$200,$G260)&gt;0,
     COUNTIFS($AO$2:$AO$200,$G260)&gt;0,
     COUNTIFS($AP$2:$AP$200,$G260)&gt;0,
     COUNTIFS($AQ$2:$AQ$200,$G260)&gt;0,
     COUNTIFS($AR$2:$AR$200,$G260)&gt;0,
     COUNTIFS($AS$2:$AS$200,$G260)&gt;0,
     COUNTIFS($AT$2:$AT$200,$G260)&gt;0,
     COUNTIFS($AU$2:$AU$200,$G260)&gt;0,
     COUNTIFS($AV$2:$AV$200,$G260)&gt;0,
     COUNTIFS($AW$2:$AW$200,$G260)&gt;0,
     COUNTIFS($AX$2:$AX$200,$G260)&gt;0
   )),
  ),
  4
 ),
"")</f>
        <v/>
      </c>
      <c r="G260" t="str">
        <f ca="1"/>
        <v>Reyhan, Last of the Abzan</v>
      </c>
    </row>
    <row r="261" spans="1:7" x14ac:dyDescent="0.25">
      <c r="A261" s="3" t="str">
        <f t="shared" ca="1" si="10"/>
        <v>3</v>
      </c>
      <c r="B261" s="3">
        <f t="shared" ca="1" si="11"/>
        <v>1</v>
      </c>
      <c r="C261" s="3" t="str">
        <f ca="1">IFERROR(
 INDEX($U$1:$AX$1,
  MATCH(TRUE,
   CHOOSE({1;2;3;4;5;6;7;8;9;10;11;12;13;14;15;16;17;18;19;20;21;22;23;24;25;26;27;28;29;30;31;32},
    COUNTIFS($U$2:$U$200,$G261)&gt;0,
    COUNTIFS($V$2:$V$200,$G261)&gt;0,
    COUNTIFS($W$2:$W$200,$G261)&gt;0,
    COUNTIFS($X$2:$X$200,$G261)&gt;0,
    COUNTIFS($Y$2:$Y$200,$G261)&gt;0,
    COUNTIFS($Z$2:$Z$200,$G261)&gt;0,
    COUNTIFS($AA$2:$AA$200,$G261)&gt;0,
    COUNTIFS($AB$2:$AB$200,$G261)&gt;0,
    COUNTIFS($AC$2:$AC$200,$G261)&gt;0,
    COUNTIFS($AD$2:$AD$200,$G261)&gt;0,
    COUNTIFS($AE$2:$AE$200,$G261)&gt;0,
    COUNTIFS($AF$2:$AF$200,$G261)&gt;0,
    COUNTIFS($AG$2:$AG$200,$G261)&gt;0,
    COUNTIFS($AH$2:$AH$200,$G261)&gt;0,
    COUNTIFS($AI$2:$AI$200,$G261)&gt;0,
    COUNTIFS($AJ$2:$AJ$200,$G261)&gt;0,
    COUNTIFS($AK$2:$AK$200,$G261)&gt;0,
    COUNTIFS($AL$2:$AL$200,$G261)&gt;0,
    COUNTIFS($AM$2:$AM$200,$G261)&gt;0,
    COUNTIFS($AN$2:$AN$200,$G261)&gt;0,
    COUNTIFS($AO$2:$AO$200,$G261)&gt;0,
    COUNTIFS($AP$2:$AP$200,$G261)&gt;0,
    COUNTIFS($AQ$2:$AQ$200,$G261)&gt;0,
    COUNTIFS($AR$2:$AR$200,$G261)&gt;0,
    COUNTIFS($AS$2:$AS$200,$G261)&gt;0,
    COUNTIFS($AT$2:$AT$200,$G261)&gt;0,
    COUNTIFS($AU$2:$AU$200,$G261)&gt;0,
    COUNTIFS($AV$2:$AV$200,$G261)&gt;0,
    COUNTIFS($AW$2:$AW$200,$G261)&gt;0,
    COUNTIFS($AX$2:$AX$200,$G261)&gt;0
   ),
  0)
 ),
"")</f>
        <v>Muzzio</v>
      </c>
      <c r="D261" s="3" t="str" cm="1">
        <f t="array" aca="1" ref="D261" ca="1">IFERROR(
 INDEX(
  _xlfn._xlws.FILTER($U$1:$AX$1,
   TRANSPOSE(
    CHOOSE({1;2;3;4;5;6;7;8;9;10;11;12;13;14;15;16;17;18;19;20;21;22;23;24;25;26;27;28;29;30},
     COUNTIFS($U$2:$U$200,$G261)&gt;0,
     COUNTIFS($V$2:$V$200,$G261)&gt;0,
     COUNTIFS($W$2:$W$200,$G261)&gt;0,
     COUNTIFS($X$2:$X$200,$G261)&gt;0,
     COUNTIFS($Y$2:$Y$200,$G261)&gt;0,
     COUNTIFS($Z$2:$Z$200,$G261)&gt;0,
     COUNTIFS($AA$2:$AA$200,$G261)&gt;0,
     COUNTIFS($AB$2:$AB$200,$G261)&gt;0,
     COUNTIFS($AC$2:$AC$200,$G261)&gt;0,
     COUNTIFS($AD$2:$AD$200,$G261)&gt;0,
     COUNTIFS($AE$2:$AE$200,$G261)&gt;0,
     COUNTIFS($AF$2:$AF$200,$G261)&gt;0,
     COUNTIFS($AG$2:$AG$200,$G261)&gt;0,
     COUNTIFS($AH$2:$AH$200,$G261)&gt;0,
     COUNTIFS($AI$2:$AI$200,$G261)&gt;0,
     COUNTIFS($AJ$2:$AJ$200,$G261)&gt;0,
     COUNTIFS($AK$2:$AK$200,$G261)&gt;0,
     COUNTIFS($AL$2:$AL$200,$G261)&gt;0,
     COUNTIFS($AM$2:$AM$200,$G261)&gt;0,
     COUNTIFS($AN$2:$AN$200,$G261)&gt;0,
     COUNTIFS($AO$2:$AO$200,$G261)&gt;0,
     COUNTIFS($AP$2:$AP$200,$G261)&gt;0,
     COUNTIFS($AQ$2:$AQ$200,$G261)&gt;0,
     COUNTIFS($AR$2:$AR$200,$G261)&gt;0,
     COUNTIFS($AS$2:$AS$200,$G261)&gt;0,
     COUNTIFS($AT$2:$AT$200,$G261)&gt;0,
     COUNTIFS($AU$2:$AU$200,$G261)&gt;0,
     COUNTIFS($AV$2:$AV$200,$G261)&gt;0,
     COUNTIFS($AW$2:$AW$200,$G261)&gt;0,
     COUNTIFS($AX$2:$AX$200,$G261)&gt;0
   )),
  ),
  2
 ),
"")</f>
        <v/>
      </c>
      <c r="E261" s="3" t="str" cm="1">
        <f t="array" aca="1" ref="E261" ca="1">IFERROR(
 INDEX(
  _xlfn._xlws.FILTER($U$1:$AX$1,
   TRANSPOSE(
    CHOOSE({1;2;3;4;5;6;7;8;9;10;11;12;13;14;15;16;17;18;19;20;21;22;23;24;25;26;27;28;29;30},
     COUNTIFS($U$2:$U$200,$G261)&gt;0,
     COUNTIFS($V$2:$V$200,$G261)&gt;0,
     COUNTIFS($W$2:$W$200,$G261)&gt;0,
     COUNTIFS($X$2:$X$200,$G261)&gt;0,
     COUNTIFS($Y$2:$Y$200,$G261)&gt;0,
     COUNTIFS($Z$2:$Z$200,$G261)&gt;0,
     COUNTIFS($AA$2:$AA$200,$G261)&gt;0,
     COUNTIFS($AB$2:$AB$200,$G261)&gt;0,
     COUNTIFS($AC$2:$AC$200,$G261)&gt;0,
     COUNTIFS($AD$2:$AD$200,$G261)&gt;0,
     COUNTIFS($AE$2:$AE$200,$G261)&gt;0,
     COUNTIFS($AF$2:$AF$200,$G261)&gt;0,
     COUNTIFS($AG$2:$AG$200,$G261)&gt;0,
     COUNTIFS($AH$2:$AH$200,$G261)&gt;0,
     COUNTIFS($AI$2:$AI$200,$G261)&gt;0,
     COUNTIFS($AJ$2:$AJ$200,$G261)&gt;0,
     COUNTIFS($AK$2:$AK$200,$G261)&gt;0,
     COUNTIFS($AL$2:$AL$200,$G261)&gt;0,
     COUNTIFS($AM$2:$AM$200,$G261)&gt;0,
     COUNTIFS($AN$2:$AN$200,$G261)&gt;0,
     COUNTIFS($AO$2:$AO$200,$G261)&gt;0,
     COUNTIFS($AP$2:$AP$200,$G261)&gt;0,
     COUNTIFS($AQ$2:$AQ$200,$G261)&gt;0,
     COUNTIFS($AR$2:$AR$200,$G261)&gt;0,
     COUNTIFS($AS$2:$AS$200,$G261)&gt;0,
     COUNTIFS($AT$2:$AT$200,$G261)&gt;0,
     COUNTIFS($AU$2:$AU$200,$G261)&gt;0,
     COUNTIFS($AV$2:$AV$200,$G261)&gt;0,
     COUNTIFS($AW$2:$AW$200,$G261)&gt;0,
     COUNTIFS($AX$2:$AX$200,$G261)&gt;0
   )),
  ),
  3
 ),
"")</f>
        <v/>
      </c>
      <c r="F261" s="3" t="str" cm="1">
        <f t="array" aca="1" ref="F261" ca="1">IFERROR(
 INDEX(
  _xlfn._xlws.FILTER($U$1:$AX$1,
   TRANSPOSE(
    CHOOSE({1;2;3;4;5;6;7;8;9;10;11;12;13;14;15;16;17;18;19;20;21;22;23;24;25;26;27;28;29;30},
     COUNTIFS($U$2:$U$200,$G261)&gt;0,
     COUNTIFS($V$2:$V$200,$G261)&gt;0,
     COUNTIFS($W$2:$W$200,$G261)&gt;0,
     COUNTIFS($X$2:$X$200,$G261)&gt;0,
     COUNTIFS($Y$2:$Y$200,$G261)&gt;0,
     COUNTIFS($Z$2:$Z$200,$G261)&gt;0,
     COUNTIFS($AA$2:$AA$200,$G261)&gt;0,
     COUNTIFS($AB$2:$AB$200,$G261)&gt;0,
     COUNTIFS($AC$2:$AC$200,$G261)&gt;0,
     COUNTIFS($AD$2:$AD$200,$G261)&gt;0,
     COUNTIFS($AE$2:$AE$200,$G261)&gt;0,
     COUNTIFS($AF$2:$AF$200,$G261)&gt;0,
     COUNTIFS($AG$2:$AG$200,$G261)&gt;0,
     COUNTIFS($AH$2:$AH$200,$G261)&gt;0,
     COUNTIFS($AI$2:$AI$200,$G261)&gt;0,
     COUNTIFS($AJ$2:$AJ$200,$G261)&gt;0,
     COUNTIFS($AK$2:$AK$200,$G261)&gt;0,
     COUNTIFS($AL$2:$AL$200,$G261)&gt;0,
     COUNTIFS($AM$2:$AM$200,$G261)&gt;0,
     COUNTIFS($AN$2:$AN$200,$G261)&gt;0,
     COUNTIFS($AO$2:$AO$200,$G261)&gt;0,
     COUNTIFS($AP$2:$AP$200,$G261)&gt;0,
     COUNTIFS($AQ$2:$AQ$200,$G261)&gt;0,
     COUNTIFS($AR$2:$AR$200,$G261)&gt;0,
     COUNTIFS($AS$2:$AS$200,$G261)&gt;0,
     COUNTIFS($AT$2:$AT$200,$G261)&gt;0,
     COUNTIFS($AU$2:$AU$200,$G261)&gt;0,
     COUNTIFS($AV$2:$AV$200,$G261)&gt;0,
     COUNTIFS($AW$2:$AW$200,$G261)&gt;0,
     COUNTIFS($AX$2:$AX$200,$G261)&gt;0
   )),
  ),
  4
 ),
"")</f>
        <v/>
      </c>
      <c r="G261" t="str">
        <f ca="1"/>
        <v>Rings of Brighthearth</v>
      </c>
    </row>
    <row r="262" spans="1:7" x14ac:dyDescent="0.25">
      <c r="A262" s="3" t="str">
        <f t="shared" ca="1" si="10"/>
        <v>3</v>
      </c>
      <c r="B262" s="3">
        <f t="shared" ca="1" si="11"/>
        <v>1</v>
      </c>
      <c r="C262" s="3" t="str">
        <f ca="1">IFERROR(
 INDEX($U$1:$AX$1,
  MATCH(TRUE,
   CHOOSE({1;2;3;4;5;6;7;8;9;10;11;12;13;14;15;16;17;18;19;20;21;22;23;24;25;26;27;28;29;30;31;32},
    COUNTIFS($U$2:$U$200,$G262)&gt;0,
    COUNTIFS($V$2:$V$200,$G262)&gt;0,
    COUNTIFS($W$2:$W$200,$G262)&gt;0,
    COUNTIFS($X$2:$X$200,$G262)&gt;0,
    COUNTIFS($Y$2:$Y$200,$G262)&gt;0,
    COUNTIFS($Z$2:$Z$200,$G262)&gt;0,
    COUNTIFS($AA$2:$AA$200,$G262)&gt;0,
    COUNTIFS($AB$2:$AB$200,$G262)&gt;0,
    COUNTIFS($AC$2:$AC$200,$G262)&gt;0,
    COUNTIFS($AD$2:$AD$200,$G262)&gt;0,
    COUNTIFS($AE$2:$AE$200,$G262)&gt;0,
    COUNTIFS($AF$2:$AF$200,$G262)&gt;0,
    COUNTIFS($AG$2:$AG$200,$G262)&gt;0,
    COUNTIFS($AH$2:$AH$200,$G262)&gt;0,
    COUNTIFS($AI$2:$AI$200,$G262)&gt;0,
    COUNTIFS($AJ$2:$AJ$200,$G262)&gt;0,
    COUNTIFS($AK$2:$AK$200,$G262)&gt;0,
    COUNTIFS($AL$2:$AL$200,$G262)&gt;0,
    COUNTIFS($AM$2:$AM$200,$G262)&gt;0,
    COUNTIFS($AN$2:$AN$200,$G262)&gt;0,
    COUNTIFS($AO$2:$AO$200,$G262)&gt;0,
    COUNTIFS($AP$2:$AP$200,$G262)&gt;0,
    COUNTIFS($AQ$2:$AQ$200,$G262)&gt;0,
    COUNTIFS($AR$2:$AR$200,$G262)&gt;0,
    COUNTIFS($AS$2:$AS$200,$G262)&gt;0,
    COUNTIFS($AT$2:$AT$200,$G262)&gt;0,
    COUNTIFS($AU$2:$AU$200,$G262)&gt;0,
    COUNTIFS($AV$2:$AV$200,$G262)&gt;0,
    COUNTIFS($AW$2:$AW$200,$G262)&gt;0,
    COUNTIFS($AX$2:$AX$200,$G262)&gt;0
   ),
  0)
 ),
"")</f>
        <v>Sisay</v>
      </c>
      <c r="D262" s="3" t="str" cm="1">
        <f t="array" aca="1" ref="D262" ca="1">IFERROR(
 INDEX(
  _xlfn._xlws.FILTER($U$1:$AX$1,
   TRANSPOSE(
    CHOOSE({1;2;3;4;5;6;7;8;9;10;11;12;13;14;15;16;17;18;19;20;21;22;23;24;25;26;27;28;29;30},
     COUNTIFS($U$2:$U$200,$G262)&gt;0,
     COUNTIFS($V$2:$V$200,$G262)&gt;0,
     COUNTIFS($W$2:$W$200,$G262)&gt;0,
     COUNTIFS($X$2:$X$200,$G262)&gt;0,
     COUNTIFS($Y$2:$Y$200,$G262)&gt;0,
     COUNTIFS($Z$2:$Z$200,$G262)&gt;0,
     COUNTIFS($AA$2:$AA$200,$G262)&gt;0,
     COUNTIFS($AB$2:$AB$200,$G262)&gt;0,
     COUNTIFS($AC$2:$AC$200,$G262)&gt;0,
     COUNTIFS($AD$2:$AD$200,$G262)&gt;0,
     COUNTIFS($AE$2:$AE$200,$G262)&gt;0,
     COUNTIFS($AF$2:$AF$200,$G262)&gt;0,
     COUNTIFS($AG$2:$AG$200,$G262)&gt;0,
     COUNTIFS($AH$2:$AH$200,$G262)&gt;0,
     COUNTIFS($AI$2:$AI$200,$G262)&gt;0,
     COUNTIFS($AJ$2:$AJ$200,$G262)&gt;0,
     COUNTIFS($AK$2:$AK$200,$G262)&gt;0,
     COUNTIFS($AL$2:$AL$200,$G262)&gt;0,
     COUNTIFS($AM$2:$AM$200,$G262)&gt;0,
     COUNTIFS($AN$2:$AN$200,$G262)&gt;0,
     COUNTIFS($AO$2:$AO$200,$G262)&gt;0,
     COUNTIFS($AP$2:$AP$200,$G262)&gt;0,
     COUNTIFS($AQ$2:$AQ$200,$G262)&gt;0,
     COUNTIFS($AR$2:$AR$200,$G262)&gt;0,
     COUNTIFS($AS$2:$AS$200,$G262)&gt;0,
     COUNTIFS($AT$2:$AT$200,$G262)&gt;0,
     COUNTIFS($AU$2:$AU$200,$G262)&gt;0,
     COUNTIFS($AV$2:$AV$200,$G262)&gt;0,
     COUNTIFS($AW$2:$AW$200,$G262)&gt;0,
     COUNTIFS($AX$2:$AX$200,$G262)&gt;0
   )),
  ),
  2
 ),
"")</f>
        <v/>
      </c>
      <c r="E262" s="3" t="str" cm="1">
        <f t="array" aca="1" ref="E262" ca="1">IFERROR(
 INDEX(
  _xlfn._xlws.FILTER($U$1:$AX$1,
   TRANSPOSE(
    CHOOSE({1;2;3;4;5;6;7;8;9;10;11;12;13;14;15;16;17;18;19;20;21;22;23;24;25;26;27;28;29;30},
     COUNTIFS($U$2:$U$200,$G262)&gt;0,
     COUNTIFS($V$2:$V$200,$G262)&gt;0,
     COUNTIFS($W$2:$W$200,$G262)&gt;0,
     COUNTIFS($X$2:$X$200,$G262)&gt;0,
     COUNTIFS($Y$2:$Y$200,$G262)&gt;0,
     COUNTIFS($Z$2:$Z$200,$G262)&gt;0,
     COUNTIFS($AA$2:$AA$200,$G262)&gt;0,
     COUNTIFS($AB$2:$AB$200,$G262)&gt;0,
     COUNTIFS($AC$2:$AC$200,$G262)&gt;0,
     COUNTIFS($AD$2:$AD$200,$G262)&gt;0,
     COUNTIFS($AE$2:$AE$200,$G262)&gt;0,
     COUNTIFS($AF$2:$AF$200,$G262)&gt;0,
     COUNTIFS($AG$2:$AG$200,$G262)&gt;0,
     COUNTIFS($AH$2:$AH$200,$G262)&gt;0,
     COUNTIFS($AI$2:$AI$200,$G262)&gt;0,
     COUNTIFS($AJ$2:$AJ$200,$G262)&gt;0,
     COUNTIFS($AK$2:$AK$200,$G262)&gt;0,
     COUNTIFS($AL$2:$AL$200,$G262)&gt;0,
     COUNTIFS($AM$2:$AM$200,$G262)&gt;0,
     COUNTIFS($AN$2:$AN$200,$G262)&gt;0,
     COUNTIFS($AO$2:$AO$200,$G262)&gt;0,
     COUNTIFS($AP$2:$AP$200,$G262)&gt;0,
     COUNTIFS($AQ$2:$AQ$200,$G262)&gt;0,
     COUNTIFS($AR$2:$AR$200,$G262)&gt;0,
     COUNTIFS($AS$2:$AS$200,$G262)&gt;0,
     COUNTIFS($AT$2:$AT$200,$G262)&gt;0,
     COUNTIFS($AU$2:$AU$200,$G262)&gt;0,
     COUNTIFS($AV$2:$AV$200,$G262)&gt;0,
     COUNTIFS($AW$2:$AW$200,$G262)&gt;0,
     COUNTIFS($AX$2:$AX$200,$G262)&gt;0
   )),
  ),
  3
 ),
"")</f>
        <v/>
      </c>
      <c r="F262" s="3" t="str" cm="1">
        <f t="array" aca="1" ref="F262" ca="1">IFERROR(
 INDEX(
  _xlfn._xlws.FILTER($U$1:$AX$1,
   TRANSPOSE(
    CHOOSE({1;2;3;4;5;6;7;8;9;10;11;12;13;14;15;16;17;18;19;20;21;22;23;24;25;26;27;28;29;30},
     COUNTIFS($U$2:$U$200,$G262)&gt;0,
     COUNTIFS($V$2:$V$200,$G262)&gt;0,
     COUNTIFS($W$2:$W$200,$G262)&gt;0,
     COUNTIFS($X$2:$X$200,$G262)&gt;0,
     COUNTIFS($Y$2:$Y$200,$G262)&gt;0,
     COUNTIFS($Z$2:$Z$200,$G262)&gt;0,
     COUNTIFS($AA$2:$AA$200,$G262)&gt;0,
     COUNTIFS($AB$2:$AB$200,$G262)&gt;0,
     COUNTIFS($AC$2:$AC$200,$G262)&gt;0,
     COUNTIFS($AD$2:$AD$200,$G262)&gt;0,
     COUNTIFS($AE$2:$AE$200,$G262)&gt;0,
     COUNTIFS($AF$2:$AF$200,$G262)&gt;0,
     COUNTIFS($AG$2:$AG$200,$G262)&gt;0,
     COUNTIFS($AH$2:$AH$200,$G262)&gt;0,
     COUNTIFS($AI$2:$AI$200,$G262)&gt;0,
     COUNTIFS($AJ$2:$AJ$200,$G262)&gt;0,
     COUNTIFS($AK$2:$AK$200,$G262)&gt;0,
     COUNTIFS($AL$2:$AL$200,$G262)&gt;0,
     COUNTIFS($AM$2:$AM$200,$G262)&gt;0,
     COUNTIFS($AN$2:$AN$200,$G262)&gt;0,
     COUNTIFS($AO$2:$AO$200,$G262)&gt;0,
     COUNTIFS($AP$2:$AP$200,$G262)&gt;0,
     COUNTIFS($AQ$2:$AQ$200,$G262)&gt;0,
     COUNTIFS($AR$2:$AR$200,$G262)&gt;0,
     COUNTIFS($AS$2:$AS$200,$G262)&gt;0,
     COUNTIFS($AT$2:$AT$200,$G262)&gt;0,
     COUNTIFS($AU$2:$AU$200,$G262)&gt;0,
     COUNTIFS($AV$2:$AV$200,$G262)&gt;0,
     COUNTIFS($AW$2:$AW$200,$G262)&gt;0,
     COUNTIFS($AX$2:$AX$200,$G262)&gt;0
   )),
  ),
  4
 ),
"")</f>
        <v/>
      </c>
      <c r="G262" t="str">
        <f ca="1"/>
        <v>Ripples of Potential</v>
      </c>
    </row>
    <row r="263" spans="1:7" x14ac:dyDescent="0.25">
      <c r="A263" s="3" t="str">
        <f t="shared" ca="1" si="10"/>
        <v>3</v>
      </c>
      <c r="B263" s="3">
        <f t="shared" ca="1" si="11"/>
        <v>1</v>
      </c>
      <c r="C263" s="3" t="str">
        <f ca="1">IFERROR(
 INDEX($U$1:$AX$1,
  MATCH(TRUE,
   CHOOSE({1;2;3;4;5;6;7;8;9;10;11;12;13;14;15;16;17;18;19;20;21;22;23;24;25;26;27;28;29;30;31;32},
    COUNTIFS($U$2:$U$200,$G263)&gt;0,
    COUNTIFS($V$2:$V$200,$G263)&gt;0,
    COUNTIFS($W$2:$W$200,$G263)&gt;0,
    COUNTIFS($X$2:$X$200,$G263)&gt;0,
    COUNTIFS($Y$2:$Y$200,$G263)&gt;0,
    COUNTIFS($Z$2:$Z$200,$G263)&gt;0,
    COUNTIFS($AA$2:$AA$200,$G263)&gt;0,
    COUNTIFS($AB$2:$AB$200,$G263)&gt;0,
    COUNTIFS($AC$2:$AC$200,$G263)&gt;0,
    COUNTIFS($AD$2:$AD$200,$G263)&gt;0,
    COUNTIFS($AE$2:$AE$200,$G263)&gt;0,
    COUNTIFS($AF$2:$AF$200,$G263)&gt;0,
    COUNTIFS($AG$2:$AG$200,$G263)&gt;0,
    COUNTIFS($AH$2:$AH$200,$G263)&gt;0,
    COUNTIFS($AI$2:$AI$200,$G263)&gt;0,
    COUNTIFS($AJ$2:$AJ$200,$G263)&gt;0,
    COUNTIFS($AK$2:$AK$200,$G263)&gt;0,
    COUNTIFS($AL$2:$AL$200,$G263)&gt;0,
    COUNTIFS($AM$2:$AM$200,$G263)&gt;0,
    COUNTIFS($AN$2:$AN$200,$G263)&gt;0,
    COUNTIFS($AO$2:$AO$200,$G263)&gt;0,
    COUNTIFS($AP$2:$AP$200,$G263)&gt;0,
    COUNTIFS($AQ$2:$AQ$200,$G263)&gt;0,
    COUNTIFS($AR$2:$AR$200,$G263)&gt;0,
    COUNTIFS($AS$2:$AS$200,$G263)&gt;0,
    COUNTIFS($AT$2:$AT$200,$G263)&gt;0,
    COUNTIFS($AU$2:$AU$200,$G263)&gt;0,
    COUNTIFS($AV$2:$AV$200,$G263)&gt;0,
    COUNTIFS($AW$2:$AW$200,$G263)&gt;0,
    COUNTIFS($AX$2:$AX$200,$G263)&gt;0
   ),
  0)
 ),
"")</f>
        <v>Gritrog</v>
      </c>
      <c r="D263" s="3" t="str" cm="1">
        <f t="array" aca="1" ref="D263" ca="1">IFERROR(
 INDEX(
  _xlfn._xlws.FILTER($U$1:$AX$1,
   TRANSPOSE(
    CHOOSE({1;2;3;4;5;6;7;8;9;10;11;12;13;14;15;16;17;18;19;20;21;22;23;24;25;26;27;28;29;30},
     COUNTIFS($U$2:$U$200,$G263)&gt;0,
     COUNTIFS($V$2:$V$200,$G263)&gt;0,
     COUNTIFS($W$2:$W$200,$G263)&gt;0,
     COUNTIFS($X$2:$X$200,$G263)&gt;0,
     COUNTIFS($Y$2:$Y$200,$G263)&gt;0,
     COUNTIFS($Z$2:$Z$200,$G263)&gt;0,
     COUNTIFS($AA$2:$AA$200,$G263)&gt;0,
     COUNTIFS($AB$2:$AB$200,$G263)&gt;0,
     COUNTIFS($AC$2:$AC$200,$G263)&gt;0,
     COUNTIFS($AD$2:$AD$200,$G263)&gt;0,
     COUNTIFS($AE$2:$AE$200,$G263)&gt;0,
     COUNTIFS($AF$2:$AF$200,$G263)&gt;0,
     COUNTIFS($AG$2:$AG$200,$G263)&gt;0,
     COUNTIFS($AH$2:$AH$200,$G263)&gt;0,
     COUNTIFS($AI$2:$AI$200,$G263)&gt;0,
     COUNTIFS($AJ$2:$AJ$200,$G263)&gt;0,
     COUNTIFS($AK$2:$AK$200,$G263)&gt;0,
     COUNTIFS($AL$2:$AL$200,$G263)&gt;0,
     COUNTIFS($AM$2:$AM$200,$G263)&gt;0,
     COUNTIFS($AN$2:$AN$200,$G263)&gt;0,
     COUNTIFS($AO$2:$AO$200,$G263)&gt;0,
     COUNTIFS($AP$2:$AP$200,$G263)&gt;0,
     COUNTIFS($AQ$2:$AQ$200,$G263)&gt;0,
     COUNTIFS($AR$2:$AR$200,$G263)&gt;0,
     COUNTIFS($AS$2:$AS$200,$G263)&gt;0,
     COUNTIFS($AT$2:$AT$200,$G263)&gt;0,
     COUNTIFS($AU$2:$AU$200,$G263)&gt;0,
     COUNTIFS($AV$2:$AV$200,$G263)&gt;0,
     COUNTIFS($AW$2:$AW$200,$G263)&gt;0,
     COUNTIFS($AX$2:$AX$200,$G263)&gt;0
   )),
  ),
  2
 ),
"")</f>
        <v/>
      </c>
      <c r="E263" s="3" t="str" cm="1">
        <f t="array" aca="1" ref="E263" ca="1">IFERROR(
 INDEX(
  _xlfn._xlws.FILTER($U$1:$AX$1,
   TRANSPOSE(
    CHOOSE({1;2;3;4;5;6;7;8;9;10;11;12;13;14;15;16;17;18;19;20;21;22;23;24;25;26;27;28;29;30},
     COUNTIFS($U$2:$U$200,$G263)&gt;0,
     COUNTIFS($V$2:$V$200,$G263)&gt;0,
     COUNTIFS($W$2:$W$200,$G263)&gt;0,
     COUNTIFS($X$2:$X$200,$G263)&gt;0,
     COUNTIFS($Y$2:$Y$200,$G263)&gt;0,
     COUNTIFS($Z$2:$Z$200,$G263)&gt;0,
     COUNTIFS($AA$2:$AA$200,$G263)&gt;0,
     COUNTIFS($AB$2:$AB$200,$G263)&gt;0,
     COUNTIFS($AC$2:$AC$200,$G263)&gt;0,
     COUNTIFS($AD$2:$AD$200,$G263)&gt;0,
     COUNTIFS($AE$2:$AE$200,$G263)&gt;0,
     COUNTIFS($AF$2:$AF$200,$G263)&gt;0,
     COUNTIFS($AG$2:$AG$200,$G263)&gt;0,
     COUNTIFS($AH$2:$AH$200,$G263)&gt;0,
     COUNTIFS($AI$2:$AI$200,$G263)&gt;0,
     COUNTIFS($AJ$2:$AJ$200,$G263)&gt;0,
     COUNTIFS($AK$2:$AK$200,$G263)&gt;0,
     COUNTIFS($AL$2:$AL$200,$G263)&gt;0,
     COUNTIFS($AM$2:$AM$200,$G263)&gt;0,
     COUNTIFS($AN$2:$AN$200,$G263)&gt;0,
     COUNTIFS($AO$2:$AO$200,$G263)&gt;0,
     COUNTIFS($AP$2:$AP$200,$G263)&gt;0,
     COUNTIFS($AQ$2:$AQ$200,$G263)&gt;0,
     COUNTIFS($AR$2:$AR$200,$G263)&gt;0,
     COUNTIFS($AS$2:$AS$200,$G263)&gt;0,
     COUNTIFS($AT$2:$AT$200,$G263)&gt;0,
     COUNTIFS($AU$2:$AU$200,$G263)&gt;0,
     COUNTIFS($AV$2:$AV$200,$G263)&gt;0,
     COUNTIFS($AW$2:$AW$200,$G263)&gt;0,
     COUNTIFS($AX$2:$AX$200,$G263)&gt;0
   )),
  ),
  3
 ),
"")</f>
        <v/>
      </c>
      <c r="F263" s="3" t="str" cm="1">
        <f t="array" aca="1" ref="F263" ca="1">IFERROR(
 INDEX(
  _xlfn._xlws.FILTER($U$1:$AX$1,
   TRANSPOSE(
    CHOOSE({1;2;3;4;5;6;7;8;9;10;11;12;13;14;15;16;17;18;19;20;21;22;23;24;25;26;27;28;29;30},
     COUNTIFS($U$2:$U$200,$G263)&gt;0,
     COUNTIFS($V$2:$V$200,$G263)&gt;0,
     COUNTIFS($W$2:$W$200,$G263)&gt;0,
     COUNTIFS($X$2:$X$200,$G263)&gt;0,
     COUNTIFS($Y$2:$Y$200,$G263)&gt;0,
     COUNTIFS($Z$2:$Z$200,$G263)&gt;0,
     COUNTIFS($AA$2:$AA$200,$G263)&gt;0,
     COUNTIFS($AB$2:$AB$200,$G263)&gt;0,
     COUNTIFS($AC$2:$AC$200,$G263)&gt;0,
     COUNTIFS($AD$2:$AD$200,$G263)&gt;0,
     COUNTIFS($AE$2:$AE$200,$G263)&gt;0,
     COUNTIFS($AF$2:$AF$200,$G263)&gt;0,
     COUNTIFS($AG$2:$AG$200,$G263)&gt;0,
     COUNTIFS($AH$2:$AH$200,$G263)&gt;0,
     COUNTIFS($AI$2:$AI$200,$G263)&gt;0,
     COUNTIFS($AJ$2:$AJ$200,$G263)&gt;0,
     COUNTIFS($AK$2:$AK$200,$G263)&gt;0,
     COUNTIFS($AL$2:$AL$200,$G263)&gt;0,
     COUNTIFS($AM$2:$AM$200,$G263)&gt;0,
     COUNTIFS($AN$2:$AN$200,$G263)&gt;0,
     COUNTIFS($AO$2:$AO$200,$G263)&gt;0,
     COUNTIFS($AP$2:$AP$200,$G263)&gt;0,
     COUNTIFS($AQ$2:$AQ$200,$G263)&gt;0,
     COUNTIFS($AR$2:$AR$200,$G263)&gt;0,
     COUNTIFS($AS$2:$AS$200,$G263)&gt;0,
     COUNTIFS($AT$2:$AT$200,$G263)&gt;0,
     COUNTIFS($AU$2:$AU$200,$G263)&gt;0,
     COUNTIFS($AV$2:$AV$200,$G263)&gt;0,
     COUNTIFS($AW$2:$AW$200,$G263)&gt;0,
     COUNTIFS($AX$2:$AX$200,$G263)&gt;0
   )),
  ),
  4
 ),
"")</f>
        <v/>
      </c>
      <c r="G263" t="str">
        <f ca="1"/>
        <v>Ripples of Undeath</v>
      </c>
    </row>
    <row r="264" spans="1:7" x14ac:dyDescent="0.25">
      <c r="A264" s="3" t="str">
        <f t="shared" ca="1" si="10"/>
        <v>3</v>
      </c>
      <c r="B264" s="3">
        <f t="shared" ca="1" si="11"/>
        <v>1</v>
      </c>
      <c r="C264" s="3" t="str">
        <f ca="1">IFERROR(
 INDEX($U$1:$AX$1,
  MATCH(TRUE,
   CHOOSE({1;2;3;4;5;6;7;8;9;10;11;12;13;14;15;16;17;18;19;20;21;22;23;24;25;26;27;28;29;30;31;32},
    COUNTIFS($U$2:$U$200,$G264)&gt;0,
    COUNTIFS($V$2:$V$200,$G264)&gt;0,
    COUNTIFS($W$2:$W$200,$G264)&gt;0,
    COUNTIFS($X$2:$X$200,$G264)&gt;0,
    COUNTIFS($Y$2:$Y$200,$G264)&gt;0,
    COUNTIFS($Z$2:$Z$200,$G264)&gt;0,
    COUNTIFS($AA$2:$AA$200,$G264)&gt;0,
    COUNTIFS($AB$2:$AB$200,$G264)&gt;0,
    COUNTIFS($AC$2:$AC$200,$G264)&gt;0,
    COUNTIFS($AD$2:$AD$200,$G264)&gt;0,
    COUNTIFS($AE$2:$AE$200,$G264)&gt;0,
    COUNTIFS($AF$2:$AF$200,$G264)&gt;0,
    COUNTIFS($AG$2:$AG$200,$G264)&gt;0,
    COUNTIFS($AH$2:$AH$200,$G264)&gt;0,
    COUNTIFS($AI$2:$AI$200,$G264)&gt;0,
    COUNTIFS($AJ$2:$AJ$200,$G264)&gt;0,
    COUNTIFS($AK$2:$AK$200,$G264)&gt;0,
    COUNTIFS($AL$2:$AL$200,$G264)&gt;0,
    COUNTIFS($AM$2:$AM$200,$G264)&gt;0,
    COUNTIFS($AN$2:$AN$200,$G264)&gt;0,
    COUNTIFS($AO$2:$AO$200,$G264)&gt;0,
    COUNTIFS($AP$2:$AP$200,$G264)&gt;0,
    COUNTIFS($AQ$2:$AQ$200,$G264)&gt;0,
    COUNTIFS($AR$2:$AR$200,$G264)&gt;0,
    COUNTIFS($AS$2:$AS$200,$G264)&gt;0,
    COUNTIFS($AT$2:$AT$200,$G264)&gt;0,
    COUNTIFS($AU$2:$AU$200,$G264)&gt;0,
    COUNTIFS($AV$2:$AV$200,$G264)&gt;0,
    COUNTIFS($AW$2:$AW$200,$G264)&gt;0,
    COUNTIFS($AX$2:$AX$200,$G264)&gt;0
   ),
  0)
 ),
"")</f>
        <v>JhoiraB</v>
      </c>
      <c r="D264" s="3" t="str" cm="1">
        <f t="array" aca="1" ref="D264" ca="1">IFERROR(
 INDEX(
  _xlfn._xlws.FILTER($U$1:$AX$1,
   TRANSPOSE(
    CHOOSE({1;2;3;4;5;6;7;8;9;10;11;12;13;14;15;16;17;18;19;20;21;22;23;24;25;26;27;28;29;30},
     COUNTIFS($U$2:$U$200,$G264)&gt;0,
     COUNTIFS($V$2:$V$200,$G264)&gt;0,
     COUNTIFS($W$2:$W$200,$G264)&gt;0,
     COUNTIFS($X$2:$X$200,$G264)&gt;0,
     COUNTIFS($Y$2:$Y$200,$G264)&gt;0,
     COUNTIFS($Z$2:$Z$200,$G264)&gt;0,
     COUNTIFS($AA$2:$AA$200,$G264)&gt;0,
     COUNTIFS($AB$2:$AB$200,$G264)&gt;0,
     COUNTIFS($AC$2:$AC$200,$G264)&gt;0,
     COUNTIFS($AD$2:$AD$200,$G264)&gt;0,
     COUNTIFS($AE$2:$AE$200,$G264)&gt;0,
     COUNTIFS($AF$2:$AF$200,$G264)&gt;0,
     COUNTIFS($AG$2:$AG$200,$G264)&gt;0,
     COUNTIFS($AH$2:$AH$200,$G264)&gt;0,
     COUNTIFS($AI$2:$AI$200,$G264)&gt;0,
     COUNTIFS($AJ$2:$AJ$200,$G264)&gt;0,
     COUNTIFS($AK$2:$AK$200,$G264)&gt;0,
     COUNTIFS($AL$2:$AL$200,$G264)&gt;0,
     COUNTIFS($AM$2:$AM$200,$G264)&gt;0,
     COUNTIFS($AN$2:$AN$200,$G264)&gt;0,
     COUNTIFS($AO$2:$AO$200,$G264)&gt;0,
     COUNTIFS($AP$2:$AP$200,$G264)&gt;0,
     COUNTIFS($AQ$2:$AQ$200,$G264)&gt;0,
     COUNTIFS($AR$2:$AR$200,$G264)&gt;0,
     COUNTIFS($AS$2:$AS$200,$G264)&gt;0,
     COUNTIFS($AT$2:$AT$200,$G264)&gt;0,
     COUNTIFS($AU$2:$AU$200,$G264)&gt;0,
     COUNTIFS($AV$2:$AV$200,$G264)&gt;0,
     COUNTIFS($AW$2:$AW$200,$G264)&gt;0,
     COUNTIFS($AX$2:$AX$200,$G264)&gt;0
   )),
  ),
  2
 ),
"")</f>
        <v/>
      </c>
      <c r="E264" s="3" t="str" cm="1">
        <f t="array" aca="1" ref="E264" ca="1">IFERROR(
 INDEX(
  _xlfn._xlws.FILTER($U$1:$AX$1,
   TRANSPOSE(
    CHOOSE({1;2;3;4;5;6;7;8;9;10;11;12;13;14;15;16;17;18;19;20;21;22;23;24;25;26;27;28;29;30},
     COUNTIFS($U$2:$U$200,$G264)&gt;0,
     COUNTIFS($V$2:$V$200,$G264)&gt;0,
     COUNTIFS($W$2:$W$200,$G264)&gt;0,
     COUNTIFS($X$2:$X$200,$G264)&gt;0,
     COUNTIFS($Y$2:$Y$200,$G264)&gt;0,
     COUNTIFS($Z$2:$Z$200,$G264)&gt;0,
     COUNTIFS($AA$2:$AA$200,$G264)&gt;0,
     COUNTIFS($AB$2:$AB$200,$G264)&gt;0,
     COUNTIFS($AC$2:$AC$200,$G264)&gt;0,
     COUNTIFS($AD$2:$AD$200,$G264)&gt;0,
     COUNTIFS($AE$2:$AE$200,$G264)&gt;0,
     COUNTIFS($AF$2:$AF$200,$G264)&gt;0,
     COUNTIFS($AG$2:$AG$200,$G264)&gt;0,
     COUNTIFS($AH$2:$AH$200,$G264)&gt;0,
     COUNTIFS($AI$2:$AI$200,$G264)&gt;0,
     COUNTIFS($AJ$2:$AJ$200,$G264)&gt;0,
     COUNTIFS($AK$2:$AK$200,$G264)&gt;0,
     COUNTIFS($AL$2:$AL$200,$G264)&gt;0,
     COUNTIFS($AM$2:$AM$200,$G264)&gt;0,
     COUNTIFS($AN$2:$AN$200,$G264)&gt;0,
     COUNTIFS($AO$2:$AO$200,$G264)&gt;0,
     COUNTIFS($AP$2:$AP$200,$G264)&gt;0,
     COUNTIFS($AQ$2:$AQ$200,$G264)&gt;0,
     COUNTIFS($AR$2:$AR$200,$G264)&gt;0,
     COUNTIFS($AS$2:$AS$200,$G264)&gt;0,
     COUNTIFS($AT$2:$AT$200,$G264)&gt;0,
     COUNTIFS($AU$2:$AU$200,$G264)&gt;0,
     COUNTIFS($AV$2:$AV$200,$G264)&gt;0,
     COUNTIFS($AW$2:$AW$200,$G264)&gt;0,
     COUNTIFS($AX$2:$AX$200,$G264)&gt;0
   )),
  ),
  3
 ),
"")</f>
        <v/>
      </c>
      <c r="F264" s="3" t="str" cm="1">
        <f t="array" aca="1" ref="F264" ca="1">IFERROR(
 INDEX(
  _xlfn._xlws.FILTER($U$1:$AX$1,
   TRANSPOSE(
    CHOOSE({1;2;3;4;5;6;7;8;9;10;11;12;13;14;15;16;17;18;19;20;21;22;23;24;25;26;27;28;29;30},
     COUNTIFS($U$2:$U$200,$G264)&gt;0,
     COUNTIFS($V$2:$V$200,$G264)&gt;0,
     COUNTIFS($W$2:$W$200,$G264)&gt;0,
     COUNTIFS($X$2:$X$200,$G264)&gt;0,
     COUNTIFS($Y$2:$Y$200,$G264)&gt;0,
     COUNTIFS($Z$2:$Z$200,$G264)&gt;0,
     COUNTIFS($AA$2:$AA$200,$G264)&gt;0,
     COUNTIFS($AB$2:$AB$200,$G264)&gt;0,
     COUNTIFS($AC$2:$AC$200,$G264)&gt;0,
     COUNTIFS($AD$2:$AD$200,$G264)&gt;0,
     COUNTIFS($AE$2:$AE$200,$G264)&gt;0,
     COUNTIFS($AF$2:$AF$200,$G264)&gt;0,
     COUNTIFS($AG$2:$AG$200,$G264)&gt;0,
     COUNTIFS($AH$2:$AH$200,$G264)&gt;0,
     COUNTIFS($AI$2:$AI$200,$G264)&gt;0,
     COUNTIFS($AJ$2:$AJ$200,$G264)&gt;0,
     COUNTIFS($AK$2:$AK$200,$G264)&gt;0,
     COUNTIFS($AL$2:$AL$200,$G264)&gt;0,
     COUNTIFS($AM$2:$AM$200,$G264)&gt;0,
     COUNTIFS($AN$2:$AN$200,$G264)&gt;0,
     COUNTIFS($AO$2:$AO$200,$G264)&gt;0,
     COUNTIFS($AP$2:$AP$200,$G264)&gt;0,
     COUNTIFS($AQ$2:$AQ$200,$G264)&gt;0,
     COUNTIFS($AR$2:$AR$200,$G264)&gt;0,
     COUNTIFS($AS$2:$AS$200,$G264)&gt;0,
     COUNTIFS($AT$2:$AT$200,$G264)&gt;0,
     COUNTIFS($AU$2:$AU$200,$G264)&gt;0,
     COUNTIFS($AV$2:$AV$200,$G264)&gt;0,
     COUNTIFS($AW$2:$AW$200,$G264)&gt;0,
     COUNTIFS($AX$2:$AX$200,$G264)&gt;0
   )),
  ),
  4
 ),
"")</f>
        <v/>
      </c>
      <c r="G264" t="str">
        <f ca="1"/>
        <v>Rise of the Eldrazi</v>
      </c>
    </row>
    <row r="265" spans="1:7" x14ac:dyDescent="0.25">
      <c r="A265" s="3" t="str">
        <f t="shared" ca="1" si="10"/>
        <v>1</v>
      </c>
      <c r="B265" s="3">
        <f t="shared" ca="1" si="11"/>
        <v>1</v>
      </c>
      <c r="C265" s="3" t="str">
        <f ca="1">IFERROR(
 INDEX($U$1:$AX$1,
  MATCH(TRUE,
   CHOOSE({1;2;3;4;5;6;7;8;9;10;11;12;13;14;15;16;17;18;19;20;21;22;23;24;25;26;27;28;29;30;31;32},
    COUNTIFS($U$2:$U$200,$G265)&gt;0,
    COUNTIFS($V$2:$V$200,$G265)&gt;0,
    COUNTIFS($W$2:$W$200,$G265)&gt;0,
    COUNTIFS($X$2:$X$200,$G265)&gt;0,
    COUNTIFS($Y$2:$Y$200,$G265)&gt;0,
    COUNTIFS($Z$2:$Z$200,$G265)&gt;0,
    COUNTIFS($AA$2:$AA$200,$G265)&gt;0,
    COUNTIFS($AB$2:$AB$200,$G265)&gt;0,
    COUNTIFS($AC$2:$AC$200,$G265)&gt;0,
    COUNTIFS($AD$2:$AD$200,$G265)&gt;0,
    COUNTIFS($AE$2:$AE$200,$G265)&gt;0,
    COUNTIFS($AF$2:$AF$200,$G265)&gt;0,
    COUNTIFS($AG$2:$AG$200,$G265)&gt;0,
    COUNTIFS($AH$2:$AH$200,$G265)&gt;0,
    COUNTIFS($AI$2:$AI$200,$G265)&gt;0,
    COUNTIFS($AJ$2:$AJ$200,$G265)&gt;0,
    COUNTIFS($AK$2:$AK$200,$G265)&gt;0,
    COUNTIFS($AL$2:$AL$200,$G265)&gt;0,
    COUNTIFS($AM$2:$AM$200,$G265)&gt;0,
    COUNTIFS($AN$2:$AN$200,$G265)&gt;0,
    COUNTIFS($AO$2:$AO$200,$G265)&gt;0,
    COUNTIFS($AP$2:$AP$200,$G265)&gt;0,
    COUNTIFS($AQ$2:$AQ$200,$G265)&gt;0,
    COUNTIFS($AR$2:$AR$200,$G265)&gt;0,
    COUNTIFS($AS$2:$AS$200,$G265)&gt;0,
    COUNTIFS($AT$2:$AT$200,$G265)&gt;0,
    COUNTIFS($AU$2:$AU$200,$G265)&gt;0,
    COUNTIFS($AV$2:$AV$200,$G265)&gt;0,
    COUNTIFS($AW$2:$AW$200,$G265)&gt;0,
    COUNTIFS($AX$2:$AX$200,$G265)&gt;0
   ),
  0)
 ),
"")</f>
        <v>Tayam</v>
      </c>
      <c r="D265" s="3" t="str" cm="1">
        <f t="array" aca="1" ref="D265" ca="1">IFERROR(
 INDEX(
  _xlfn._xlws.FILTER($U$1:$AX$1,
   TRANSPOSE(
    CHOOSE({1;2;3;4;5;6;7;8;9;10;11;12;13;14;15;16;17;18;19;20;21;22;23;24;25;26;27;28;29;30},
     COUNTIFS($U$2:$U$200,$G265)&gt;0,
     COUNTIFS($V$2:$V$200,$G265)&gt;0,
     COUNTIFS($W$2:$W$200,$G265)&gt;0,
     COUNTIFS($X$2:$X$200,$G265)&gt;0,
     COUNTIFS($Y$2:$Y$200,$G265)&gt;0,
     COUNTIFS($Z$2:$Z$200,$G265)&gt;0,
     COUNTIFS($AA$2:$AA$200,$G265)&gt;0,
     COUNTIFS($AB$2:$AB$200,$G265)&gt;0,
     COUNTIFS($AC$2:$AC$200,$G265)&gt;0,
     COUNTIFS($AD$2:$AD$200,$G265)&gt;0,
     COUNTIFS($AE$2:$AE$200,$G265)&gt;0,
     COUNTIFS($AF$2:$AF$200,$G265)&gt;0,
     COUNTIFS($AG$2:$AG$200,$G265)&gt;0,
     COUNTIFS($AH$2:$AH$200,$G265)&gt;0,
     COUNTIFS($AI$2:$AI$200,$G265)&gt;0,
     COUNTIFS($AJ$2:$AJ$200,$G265)&gt;0,
     COUNTIFS($AK$2:$AK$200,$G265)&gt;0,
     COUNTIFS($AL$2:$AL$200,$G265)&gt;0,
     COUNTIFS($AM$2:$AM$200,$G265)&gt;0,
     COUNTIFS($AN$2:$AN$200,$G265)&gt;0,
     COUNTIFS($AO$2:$AO$200,$G265)&gt;0,
     COUNTIFS($AP$2:$AP$200,$G265)&gt;0,
     COUNTIFS($AQ$2:$AQ$200,$G265)&gt;0,
     COUNTIFS($AR$2:$AR$200,$G265)&gt;0,
     COUNTIFS($AS$2:$AS$200,$G265)&gt;0,
     COUNTIFS($AT$2:$AT$200,$G265)&gt;0,
     COUNTIFS($AU$2:$AU$200,$G265)&gt;0,
     COUNTIFS($AV$2:$AV$200,$G265)&gt;0,
     COUNTIFS($AW$2:$AW$200,$G265)&gt;0,
     COUNTIFS($AX$2:$AX$200,$G265)&gt;0
   )),
  ),
  2
 ),
"")</f>
        <v/>
      </c>
      <c r="E265" s="3" t="str" cm="1">
        <f t="array" aca="1" ref="E265" ca="1">IFERROR(
 INDEX(
  _xlfn._xlws.FILTER($U$1:$AX$1,
   TRANSPOSE(
    CHOOSE({1;2;3;4;5;6;7;8;9;10;11;12;13;14;15;16;17;18;19;20;21;22;23;24;25;26;27;28;29;30},
     COUNTIFS($U$2:$U$200,$G265)&gt;0,
     COUNTIFS($V$2:$V$200,$G265)&gt;0,
     COUNTIFS($W$2:$W$200,$G265)&gt;0,
     COUNTIFS($X$2:$X$200,$G265)&gt;0,
     COUNTIFS($Y$2:$Y$200,$G265)&gt;0,
     COUNTIFS($Z$2:$Z$200,$G265)&gt;0,
     COUNTIFS($AA$2:$AA$200,$G265)&gt;0,
     COUNTIFS($AB$2:$AB$200,$G265)&gt;0,
     COUNTIFS($AC$2:$AC$200,$G265)&gt;0,
     COUNTIFS($AD$2:$AD$200,$G265)&gt;0,
     COUNTIFS($AE$2:$AE$200,$G265)&gt;0,
     COUNTIFS($AF$2:$AF$200,$G265)&gt;0,
     COUNTIFS($AG$2:$AG$200,$G265)&gt;0,
     COUNTIFS($AH$2:$AH$200,$G265)&gt;0,
     COUNTIFS($AI$2:$AI$200,$G265)&gt;0,
     COUNTIFS($AJ$2:$AJ$200,$G265)&gt;0,
     COUNTIFS($AK$2:$AK$200,$G265)&gt;0,
     COUNTIFS($AL$2:$AL$200,$G265)&gt;0,
     COUNTIFS($AM$2:$AM$200,$G265)&gt;0,
     COUNTIFS($AN$2:$AN$200,$G265)&gt;0,
     COUNTIFS($AO$2:$AO$200,$G265)&gt;0,
     COUNTIFS($AP$2:$AP$200,$G265)&gt;0,
     COUNTIFS($AQ$2:$AQ$200,$G265)&gt;0,
     COUNTIFS($AR$2:$AR$200,$G265)&gt;0,
     COUNTIFS($AS$2:$AS$200,$G265)&gt;0,
     COUNTIFS($AT$2:$AT$200,$G265)&gt;0,
     COUNTIFS($AU$2:$AU$200,$G265)&gt;0,
     COUNTIFS($AV$2:$AV$200,$G265)&gt;0,
     COUNTIFS($AW$2:$AW$200,$G265)&gt;0,
     COUNTIFS($AX$2:$AX$200,$G265)&gt;0
   )),
  ),
  3
 ),
"")</f>
        <v/>
      </c>
      <c r="F265" s="3" t="str" cm="1">
        <f t="array" aca="1" ref="F265" ca="1">IFERROR(
 INDEX(
  _xlfn._xlws.FILTER($U$1:$AX$1,
   TRANSPOSE(
    CHOOSE({1;2;3;4;5;6;7;8;9;10;11;12;13;14;15;16;17;18;19;20;21;22;23;24;25;26;27;28;29;30},
     COUNTIFS($U$2:$U$200,$G265)&gt;0,
     COUNTIFS($V$2:$V$200,$G265)&gt;0,
     COUNTIFS($W$2:$W$200,$G265)&gt;0,
     COUNTIFS($X$2:$X$200,$G265)&gt;0,
     COUNTIFS($Y$2:$Y$200,$G265)&gt;0,
     COUNTIFS($Z$2:$Z$200,$G265)&gt;0,
     COUNTIFS($AA$2:$AA$200,$G265)&gt;0,
     COUNTIFS($AB$2:$AB$200,$G265)&gt;0,
     COUNTIFS($AC$2:$AC$200,$G265)&gt;0,
     COUNTIFS($AD$2:$AD$200,$G265)&gt;0,
     COUNTIFS($AE$2:$AE$200,$G265)&gt;0,
     COUNTIFS($AF$2:$AF$200,$G265)&gt;0,
     COUNTIFS($AG$2:$AG$200,$G265)&gt;0,
     COUNTIFS($AH$2:$AH$200,$G265)&gt;0,
     COUNTIFS($AI$2:$AI$200,$G265)&gt;0,
     COUNTIFS($AJ$2:$AJ$200,$G265)&gt;0,
     COUNTIFS($AK$2:$AK$200,$G265)&gt;0,
     COUNTIFS($AL$2:$AL$200,$G265)&gt;0,
     COUNTIFS($AM$2:$AM$200,$G265)&gt;0,
     COUNTIFS($AN$2:$AN$200,$G265)&gt;0,
     COUNTIFS($AO$2:$AO$200,$G265)&gt;0,
     COUNTIFS($AP$2:$AP$200,$G265)&gt;0,
     COUNTIFS($AQ$2:$AQ$200,$G265)&gt;0,
     COUNTIFS($AR$2:$AR$200,$G265)&gt;0,
     COUNTIFS($AS$2:$AS$200,$G265)&gt;0,
     COUNTIFS($AT$2:$AT$200,$G265)&gt;0,
     COUNTIFS($AU$2:$AU$200,$G265)&gt;0,
     COUNTIFS($AV$2:$AV$200,$G265)&gt;0,
     COUNTIFS($AW$2:$AW$200,$G265)&gt;0,
     COUNTIFS($AX$2:$AX$200,$G265)&gt;0
   )),
  ),
  4
 ),
"")</f>
        <v/>
      </c>
      <c r="G265" t="str">
        <f ca="1"/>
        <v>Rishkar, Peema Renegade</v>
      </c>
    </row>
    <row r="266" spans="1:7" x14ac:dyDescent="0.25">
      <c r="A266" s="3" t="str">
        <f t="shared" ca="1" si="10"/>
        <v>1</v>
      </c>
      <c r="B266" s="3">
        <f t="shared" ca="1" si="11"/>
        <v>3</v>
      </c>
      <c r="C266" s="3" t="str">
        <f ca="1">IFERROR(
 INDEX($U$1:$AX$1,
  MATCH(TRUE,
   CHOOSE({1;2;3;4;5;6;7;8;9;10;11;12;13;14;15;16;17;18;19;20;21;22;23;24;25;26;27;28;29;30;31;32},
    COUNTIFS($U$2:$U$200,$G266)&gt;0,
    COUNTIFS($V$2:$V$200,$G266)&gt;0,
    COUNTIFS($W$2:$W$200,$G266)&gt;0,
    COUNTIFS($X$2:$X$200,$G266)&gt;0,
    COUNTIFS($Y$2:$Y$200,$G266)&gt;0,
    COUNTIFS($Z$2:$Z$200,$G266)&gt;0,
    COUNTIFS($AA$2:$AA$200,$G266)&gt;0,
    COUNTIFS($AB$2:$AB$200,$G266)&gt;0,
    COUNTIFS($AC$2:$AC$200,$G266)&gt;0,
    COUNTIFS($AD$2:$AD$200,$G266)&gt;0,
    COUNTIFS($AE$2:$AE$200,$G266)&gt;0,
    COUNTIFS($AF$2:$AF$200,$G266)&gt;0,
    COUNTIFS($AG$2:$AG$200,$G266)&gt;0,
    COUNTIFS($AH$2:$AH$200,$G266)&gt;0,
    COUNTIFS($AI$2:$AI$200,$G266)&gt;0,
    COUNTIFS($AJ$2:$AJ$200,$G266)&gt;0,
    COUNTIFS($AK$2:$AK$200,$G266)&gt;0,
    COUNTIFS($AL$2:$AL$200,$G266)&gt;0,
    COUNTIFS($AM$2:$AM$200,$G266)&gt;0,
    COUNTIFS($AN$2:$AN$200,$G266)&gt;0,
    COUNTIFS($AO$2:$AO$200,$G266)&gt;0,
    COUNTIFS($AP$2:$AP$200,$G266)&gt;0,
    COUNTIFS($AQ$2:$AQ$200,$G266)&gt;0,
    COUNTIFS($AR$2:$AR$200,$G266)&gt;0,
    COUNTIFS($AS$2:$AS$200,$G266)&gt;0,
    COUNTIFS($AT$2:$AT$200,$G266)&gt;0,
    COUNTIFS($AU$2:$AU$200,$G266)&gt;0,
    COUNTIFS($AV$2:$AV$200,$G266)&gt;0,
    COUNTIFS($AW$2:$AW$200,$G266)&gt;0,
    COUNTIFS($AX$2:$AX$200,$G266)&gt;0
   ),
  0)
 ),
"")</f>
        <v>Baylen</v>
      </c>
      <c r="D266" s="3" t="str" cm="1">
        <f t="array" aca="1" ref="D266" ca="1">IFERROR(
 INDEX(
  _xlfn._xlws.FILTER($U$1:$AX$1,
   TRANSPOSE(
    CHOOSE({1;2;3;4;5;6;7;8;9;10;11;12;13;14;15;16;17;18;19;20;21;22;23;24;25;26;27;28;29;30},
     COUNTIFS($U$2:$U$200,$G266)&gt;0,
     COUNTIFS($V$2:$V$200,$G266)&gt;0,
     COUNTIFS($W$2:$W$200,$G266)&gt;0,
     COUNTIFS($X$2:$X$200,$G266)&gt;0,
     COUNTIFS($Y$2:$Y$200,$G266)&gt;0,
     COUNTIFS($Z$2:$Z$200,$G266)&gt;0,
     COUNTIFS($AA$2:$AA$200,$G266)&gt;0,
     COUNTIFS($AB$2:$AB$200,$G266)&gt;0,
     COUNTIFS($AC$2:$AC$200,$G266)&gt;0,
     COUNTIFS($AD$2:$AD$200,$G266)&gt;0,
     COUNTIFS($AE$2:$AE$200,$G266)&gt;0,
     COUNTIFS($AF$2:$AF$200,$G266)&gt;0,
     COUNTIFS($AG$2:$AG$200,$G266)&gt;0,
     COUNTIFS($AH$2:$AH$200,$G266)&gt;0,
     COUNTIFS($AI$2:$AI$200,$G266)&gt;0,
     COUNTIFS($AJ$2:$AJ$200,$G266)&gt;0,
     COUNTIFS($AK$2:$AK$200,$G266)&gt;0,
     COUNTIFS($AL$2:$AL$200,$G266)&gt;0,
     COUNTIFS($AM$2:$AM$200,$G266)&gt;0,
     COUNTIFS($AN$2:$AN$200,$G266)&gt;0,
     COUNTIFS($AO$2:$AO$200,$G266)&gt;0,
     COUNTIFS($AP$2:$AP$200,$G266)&gt;0,
     COUNTIFS($AQ$2:$AQ$200,$G266)&gt;0,
     COUNTIFS($AR$2:$AR$200,$G266)&gt;0,
     COUNTIFS($AS$2:$AS$200,$G266)&gt;0,
     COUNTIFS($AT$2:$AT$200,$G266)&gt;0,
     COUNTIFS($AU$2:$AU$200,$G266)&gt;0,
     COUNTIFS($AV$2:$AV$200,$G266)&gt;0,
     COUNTIFS($AW$2:$AW$200,$G266)&gt;0,
     COUNTIFS($AX$2:$AX$200,$G266)&gt;0
   )),
  ),
  2
 ),
"")</f>
        <v>Rani</v>
      </c>
      <c r="E266" s="3" t="str" cm="1">
        <f t="array" aca="1" ref="E266" ca="1">IFERROR(
 INDEX(
  _xlfn._xlws.FILTER($U$1:$AX$1,
   TRANSPOSE(
    CHOOSE({1;2;3;4;5;6;7;8;9;10;11;12;13;14;15;16;17;18;19;20;21;22;23;24;25;26;27;28;29;30},
     COUNTIFS($U$2:$U$200,$G266)&gt;0,
     COUNTIFS($V$2:$V$200,$G266)&gt;0,
     COUNTIFS($W$2:$W$200,$G266)&gt;0,
     COUNTIFS($X$2:$X$200,$G266)&gt;0,
     COUNTIFS($Y$2:$Y$200,$G266)&gt;0,
     COUNTIFS($Z$2:$Z$200,$G266)&gt;0,
     COUNTIFS($AA$2:$AA$200,$G266)&gt;0,
     COUNTIFS($AB$2:$AB$200,$G266)&gt;0,
     COUNTIFS($AC$2:$AC$200,$G266)&gt;0,
     COUNTIFS($AD$2:$AD$200,$G266)&gt;0,
     COUNTIFS($AE$2:$AE$200,$G266)&gt;0,
     COUNTIFS($AF$2:$AF$200,$G266)&gt;0,
     COUNTIFS($AG$2:$AG$200,$G266)&gt;0,
     COUNTIFS($AH$2:$AH$200,$G266)&gt;0,
     COUNTIFS($AI$2:$AI$200,$G266)&gt;0,
     COUNTIFS($AJ$2:$AJ$200,$G266)&gt;0,
     COUNTIFS($AK$2:$AK$200,$G266)&gt;0,
     COUNTIFS($AL$2:$AL$200,$G266)&gt;0,
     COUNTIFS($AM$2:$AM$200,$G266)&gt;0,
     COUNTIFS($AN$2:$AN$200,$G266)&gt;0,
     COUNTIFS($AO$2:$AO$200,$G266)&gt;0,
     COUNTIFS($AP$2:$AP$200,$G266)&gt;0,
     COUNTIFS($AQ$2:$AQ$200,$G266)&gt;0,
     COUNTIFS($AR$2:$AR$200,$G266)&gt;0,
     COUNTIFS($AS$2:$AS$200,$G266)&gt;0,
     COUNTIFS($AT$2:$AT$200,$G266)&gt;0,
     COUNTIFS($AU$2:$AU$200,$G266)&gt;0,
     COUNTIFS($AV$2:$AV$200,$G266)&gt;0,
     COUNTIFS($AW$2:$AW$200,$G266)&gt;0,
     COUNTIFS($AX$2:$AX$200,$G266)&gt;0
   )),
  ),
  3
 ),
"")</f>
        <v>Modular</v>
      </c>
      <c r="F266" s="3" t="str" cm="1">
        <f t="array" aca="1" ref="F266" ca="1">IFERROR(
 INDEX(
  _xlfn._xlws.FILTER($U$1:$AX$1,
   TRANSPOSE(
    CHOOSE({1;2;3;4;5;6;7;8;9;10;11;12;13;14;15;16;17;18;19;20;21;22;23;24;25;26;27;28;29;30},
     COUNTIFS($U$2:$U$200,$G266)&gt;0,
     COUNTIFS($V$2:$V$200,$G266)&gt;0,
     COUNTIFS($W$2:$W$200,$G266)&gt;0,
     COUNTIFS($X$2:$X$200,$G266)&gt;0,
     COUNTIFS($Y$2:$Y$200,$G266)&gt;0,
     COUNTIFS($Z$2:$Z$200,$G266)&gt;0,
     COUNTIFS($AA$2:$AA$200,$G266)&gt;0,
     COUNTIFS($AB$2:$AB$200,$G266)&gt;0,
     COUNTIFS($AC$2:$AC$200,$G266)&gt;0,
     COUNTIFS($AD$2:$AD$200,$G266)&gt;0,
     COUNTIFS($AE$2:$AE$200,$G266)&gt;0,
     COUNTIFS($AF$2:$AF$200,$G266)&gt;0,
     COUNTIFS($AG$2:$AG$200,$G266)&gt;0,
     COUNTIFS($AH$2:$AH$200,$G266)&gt;0,
     COUNTIFS($AI$2:$AI$200,$G266)&gt;0,
     COUNTIFS($AJ$2:$AJ$200,$G266)&gt;0,
     COUNTIFS($AK$2:$AK$200,$G266)&gt;0,
     COUNTIFS($AL$2:$AL$200,$G266)&gt;0,
     COUNTIFS($AM$2:$AM$200,$G266)&gt;0,
     COUNTIFS($AN$2:$AN$200,$G266)&gt;0,
     COUNTIFS($AO$2:$AO$200,$G266)&gt;0,
     COUNTIFS($AP$2:$AP$200,$G266)&gt;0,
     COUNTIFS($AQ$2:$AQ$200,$G266)&gt;0,
     COUNTIFS($AR$2:$AR$200,$G266)&gt;0,
     COUNTIFS($AS$2:$AS$200,$G266)&gt;0,
     COUNTIFS($AT$2:$AT$200,$G266)&gt;0,
     COUNTIFS($AU$2:$AU$200,$G266)&gt;0,
     COUNTIFS($AV$2:$AV$200,$G266)&gt;0,
     COUNTIFS($AW$2:$AW$200,$G266)&gt;0,
     COUNTIFS($AX$2:$AX$200,$G266)&gt;0
   )),
  ),
  4
 ),
"")</f>
        <v/>
      </c>
      <c r="G266" t="str">
        <f ca="1"/>
        <v>Rogue's Passage</v>
      </c>
    </row>
    <row r="267" spans="1:7" x14ac:dyDescent="0.25">
      <c r="A267" s="3" t="str">
        <f t="shared" ca="1" si="10"/>
        <v>3</v>
      </c>
      <c r="B267" s="3">
        <f t="shared" ca="1" si="11"/>
        <v>1</v>
      </c>
      <c r="C267" s="3" t="str">
        <f ca="1">IFERROR(
 INDEX($U$1:$AX$1,
  MATCH(TRUE,
   CHOOSE({1;2;3;4;5;6;7;8;9;10;11;12;13;14;15;16;17;18;19;20;21;22;23;24;25;26;27;28;29;30;31;32},
    COUNTIFS($U$2:$U$200,$G267)&gt;0,
    COUNTIFS($V$2:$V$200,$G267)&gt;0,
    COUNTIFS($W$2:$W$200,$G267)&gt;0,
    COUNTIFS($X$2:$X$200,$G267)&gt;0,
    COUNTIFS($Y$2:$Y$200,$G267)&gt;0,
    COUNTIFS($Z$2:$Z$200,$G267)&gt;0,
    COUNTIFS($AA$2:$AA$200,$G267)&gt;0,
    COUNTIFS($AB$2:$AB$200,$G267)&gt;0,
    COUNTIFS($AC$2:$AC$200,$G267)&gt;0,
    COUNTIFS($AD$2:$AD$200,$G267)&gt;0,
    COUNTIFS($AE$2:$AE$200,$G267)&gt;0,
    COUNTIFS($AF$2:$AF$200,$G267)&gt;0,
    COUNTIFS($AG$2:$AG$200,$G267)&gt;0,
    COUNTIFS($AH$2:$AH$200,$G267)&gt;0,
    COUNTIFS($AI$2:$AI$200,$G267)&gt;0,
    COUNTIFS($AJ$2:$AJ$200,$G267)&gt;0,
    COUNTIFS($AK$2:$AK$200,$G267)&gt;0,
    COUNTIFS($AL$2:$AL$200,$G267)&gt;0,
    COUNTIFS($AM$2:$AM$200,$G267)&gt;0,
    COUNTIFS($AN$2:$AN$200,$G267)&gt;0,
    COUNTIFS($AO$2:$AO$200,$G267)&gt;0,
    COUNTIFS($AP$2:$AP$200,$G267)&gt;0,
    COUNTIFS($AQ$2:$AQ$200,$G267)&gt;0,
    COUNTIFS($AR$2:$AR$200,$G267)&gt;0,
    COUNTIFS($AS$2:$AS$200,$G267)&gt;0,
    COUNTIFS($AT$2:$AT$200,$G267)&gt;0,
    COUNTIFS($AU$2:$AU$200,$G267)&gt;0,
    COUNTIFS($AV$2:$AV$200,$G267)&gt;0,
    COUNTIFS($AW$2:$AW$200,$G267)&gt;0,
    COUNTIFS($AX$2:$AX$200,$G267)&gt;0
   ),
  0)
 ),
"")</f>
        <v>JhoiraB</v>
      </c>
      <c r="D267" s="3" t="str" cm="1">
        <f t="array" aca="1" ref="D267" ca="1">IFERROR(
 INDEX(
  _xlfn._xlws.FILTER($U$1:$AX$1,
   TRANSPOSE(
    CHOOSE({1;2;3;4;5;6;7;8;9;10;11;12;13;14;15;16;17;18;19;20;21;22;23;24;25;26;27;28;29;30},
     COUNTIFS($U$2:$U$200,$G267)&gt;0,
     COUNTIFS($V$2:$V$200,$G267)&gt;0,
     COUNTIFS($W$2:$W$200,$G267)&gt;0,
     COUNTIFS($X$2:$X$200,$G267)&gt;0,
     COUNTIFS($Y$2:$Y$200,$G267)&gt;0,
     COUNTIFS($Z$2:$Z$200,$G267)&gt;0,
     COUNTIFS($AA$2:$AA$200,$G267)&gt;0,
     COUNTIFS($AB$2:$AB$200,$G267)&gt;0,
     COUNTIFS($AC$2:$AC$200,$G267)&gt;0,
     COUNTIFS($AD$2:$AD$200,$G267)&gt;0,
     COUNTIFS($AE$2:$AE$200,$G267)&gt;0,
     COUNTIFS($AF$2:$AF$200,$G267)&gt;0,
     COUNTIFS($AG$2:$AG$200,$G267)&gt;0,
     COUNTIFS($AH$2:$AH$200,$G267)&gt;0,
     COUNTIFS($AI$2:$AI$200,$G267)&gt;0,
     COUNTIFS($AJ$2:$AJ$200,$G267)&gt;0,
     COUNTIFS($AK$2:$AK$200,$G267)&gt;0,
     COUNTIFS($AL$2:$AL$200,$G267)&gt;0,
     COUNTIFS($AM$2:$AM$200,$G267)&gt;0,
     COUNTIFS($AN$2:$AN$200,$G267)&gt;0,
     COUNTIFS($AO$2:$AO$200,$G267)&gt;0,
     COUNTIFS($AP$2:$AP$200,$G267)&gt;0,
     COUNTIFS($AQ$2:$AQ$200,$G267)&gt;0,
     COUNTIFS($AR$2:$AR$200,$G267)&gt;0,
     COUNTIFS($AS$2:$AS$200,$G267)&gt;0,
     COUNTIFS($AT$2:$AT$200,$G267)&gt;0,
     COUNTIFS($AU$2:$AU$200,$G267)&gt;0,
     COUNTIFS($AV$2:$AV$200,$G267)&gt;0,
     COUNTIFS($AW$2:$AW$200,$G267)&gt;0,
     COUNTIFS($AX$2:$AX$200,$G267)&gt;0
   )),
  ),
  2
 ),
"")</f>
        <v/>
      </c>
      <c r="E267" s="3" t="str" cm="1">
        <f t="array" aca="1" ref="E267" ca="1">IFERROR(
 INDEX(
  _xlfn._xlws.FILTER($U$1:$AX$1,
   TRANSPOSE(
    CHOOSE({1;2;3;4;5;6;7;8;9;10;11;12;13;14;15;16;17;18;19;20;21;22;23;24;25;26;27;28;29;30},
     COUNTIFS($U$2:$U$200,$G267)&gt;0,
     COUNTIFS($V$2:$V$200,$G267)&gt;0,
     COUNTIFS($W$2:$W$200,$G267)&gt;0,
     COUNTIFS($X$2:$X$200,$G267)&gt;0,
     COUNTIFS($Y$2:$Y$200,$G267)&gt;0,
     COUNTIFS($Z$2:$Z$200,$G267)&gt;0,
     COUNTIFS($AA$2:$AA$200,$G267)&gt;0,
     COUNTIFS($AB$2:$AB$200,$G267)&gt;0,
     COUNTIFS($AC$2:$AC$200,$G267)&gt;0,
     COUNTIFS($AD$2:$AD$200,$G267)&gt;0,
     COUNTIFS($AE$2:$AE$200,$G267)&gt;0,
     COUNTIFS($AF$2:$AF$200,$G267)&gt;0,
     COUNTIFS($AG$2:$AG$200,$G267)&gt;0,
     COUNTIFS($AH$2:$AH$200,$G267)&gt;0,
     COUNTIFS($AI$2:$AI$200,$G267)&gt;0,
     COUNTIFS($AJ$2:$AJ$200,$G267)&gt;0,
     COUNTIFS($AK$2:$AK$200,$G267)&gt;0,
     COUNTIFS($AL$2:$AL$200,$G267)&gt;0,
     COUNTIFS($AM$2:$AM$200,$G267)&gt;0,
     COUNTIFS($AN$2:$AN$200,$G267)&gt;0,
     COUNTIFS($AO$2:$AO$200,$G267)&gt;0,
     COUNTIFS($AP$2:$AP$200,$G267)&gt;0,
     COUNTIFS($AQ$2:$AQ$200,$G267)&gt;0,
     COUNTIFS($AR$2:$AR$200,$G267)&gt;0,
     COUNTIFS($AS$2:$AS$200,$G267)&gt;0,
     COUNTIFS($AT$2:$AT$200,$G267)&gt;0,
     COUNTIFS($AU$2:$AU$200,$G267)&gt;0,
     COUNTIFS($AV$2:$AV$200,$G267)&gt;0,
     COUNTIFS($AW$2:$AW$200,$G267)&gt;0,
     COUNTIFS($AX$2:$AX$200,$G267)&gt;0
   )),
  ),
  3
 ),
"")</f>
        <v/>
      </c>
      <c r="F267" s="3" t="str" cm="1">
        <f t="array" aca="1" ref="F267" ca="1">IFERROR(
 INDEX(
  _xlfn._xlws.FILTER($U$1:$AX$1,
   TRANSPOSE(
    CHOOSE({1;2;3;4;5;6;7;8;9;10;11;12;13;14;15;16;17;18;19;20;21;22;23;24;25;26;27;28;29;30},
     COUNTIFS($U$2:$U$200,$G267)&gt;0,
     COUNTIFS($V$2:$V$200,$G267)&gt;0,
     COUNTIFS($W$2:$W$200,$G267)&gt;0,
     COUNTIFS($X$2:$X$200,$G267)&gt;0,
     COUNTIFS($Y$2:$Y$200,$G267)&gt;0,
     COUNTIFS($Z$2:$Z$200,$G267)&gt;0,
     COUNTIFS($AA$2:$AA$200,$G267)&gt;0,
     COUNTIFS($AB$2:$AB$200,$G267)&gt;0,
     COUNTIFS($AC$2:$AC$200,$G267)&gt;0,
     COUNTIFS($AD$2:$AD$200,$G267)&gt;0,
     COUNTIFS($AE$2:$AE$200,$G267)&gt;0,
     COUNTIFS($AF$2:$AF$200,$G267)&gt;0,
     COUNTIFS($AG$2:$AG$200,$G267)&gt;0,
     COUNTIFS($AH$2:$AH$200,$G267)&gt;0,
     COUNTIFS($AI$2:$AI$200,$G267)&gt;0,
     COUNTIFS($AJ$2:$AJ$200,$G267)&gt;0,
     COUNTIFS($AK$2:$AK$200,$G267)&gt;0,
     COUNTIFS($AL$2:$AL$200,$G267)&gt;0,
     COUNTIFS($AM$2:$AM$200,$G267)&gt;0,
     COUNTIFS($AN$2:$AN$200,$G267)&gt;0,
     COUNTIFS($AO$2:$AO$200,$G267)&gt;0,
     COUNTIFS($AP$2:$AP$200,$G267)&gt;0,
     COUNTIFS($AQ$2:$AQ$200,$G267)&gt;0,
     COUNTIFS($AR$2:$AR$200,$G267)&gt;0,
     COUNTIFS($AS$2:$AS$200,$G267)&gt;0,
     COUNTIFS($AT$2:$AT$200,$G267)&gt;0,
     COUNTIFS($AU$2:$AU$200,$G267)&gt;0,
     COUNTIFS($AV$2:$AV$200,$G267)&gt;0,
     COUNTIFS($AW$2:$AW$200,$G267)&gt;0,
     COUNTIFS($AX$2:$AX$200,$G267)&gt;0
   )),
  ),
  4
 ),
"")</f>
        <v/>
      </c>
      <c r="G267" t="str">
        <f ca="1"/>
        <v>Rotating Fireplace</v>
      </c>
    </row>
    <row r="268" spans="1:7" x14ac:dyDescent="0.25">
      <c r="A268" s="3" t="str">
        <f t="shared" ca="1" si="10"/>
        <v>1</v>
      </c>
      <c r="B268" s="3">
        <f t="shared" ca="1" si="11"/>
        <v>1</v>
      </c>
      <c r="C268" s="3" t="str">
        <f ca="1">IFERROR(
 INDEX($U$1:$AX$1,
  MATCH(TRUE,
   CHOOSE({1;2;3;4;5;6;7;8;9;10;11;12;13;14;15;16;17;18;19;20;21;22;23;24;25;26;27;28;29;30;31;32},
    COUNTIFS($U$2:$U$200,$G268)&gt;0,
    COUNTIFS($V$2:$V$200,$G268)&gt;0,
    COUNTIFS($W$2:$W$200,$G268)&gt;0,
    COUNTIFS($X$2:$X$200,$G268)&gt;0,
    COUNTIFS($Y$2:$Y$200,$G268)&gt;0,
    COUNTIFS($Z$2:$Z$200,$G268)&gt;0,
    COUNTIFS($AA$2:$AA$200,$G268)&gt;0,
    COUNTIFS($AB$2:$AB$200,$G268)&gt;0,
    COUNTIFS($AC$2:$AC$200,$G268)&gt;0,
    COUNTIFS($AD$2:$AD$200,$G268)&gt;0,
    COUNTIFS($AE$2:$AE$200,$G268)&gt;0,
    COUNTIFS($AF$2:$AF$200,$G268)&gt;0,
    COUNTIFS($AG$2:$AG$200,$G268)&gt;0,
    COUNTIFS($AH$2:$AH$200,$G268)&gt;0,
    COUNTIFS($AI$2:$AI$200,$G268)&gt;0,
    COUNTIFS($AJ$2:$AJ$200,$G268)&gt;0,
    COUNTIFS($AK$2:$AK$200,$G268)&gt;0,
    COUNTIFS($AL$2:$AL$200,$G268)&gt;0,
    COUNTIFS($AM$2:$AM$200,$G268)&gt;0,
    COUNTIFS($AN$2:$AN$200,$G268)&gt;0,
    COUNTIFS($AO$2:$AO$200,$G268)&gt;0,
    COUNTIFS($AP$2:$AP$200,$G268)&gt;0,
    COUNTIFS($AQ$2:$AQ$200,$G268)&gt;0,
    COUNTIFS($AR$2:$AR$200,$G268)&gt;0,
    COUNTIFS($AS$2:$AS$200,$G268)&gt;0,
    COUNTIFS($AT$2:$AT$200,$G268)&gt;0,
    COUNTIFS($AU$2:$AU$200,$G268)&gt;0,
    COUNTIFS($AV$2:$AV$200,$G268)&gt;0,
    COUNTIFS($AW$2:$AW$200,$G268)&gt;0,
    COUNTIFS($AX$2:$AX$200,$G268)&gt;0
   ),
  0)
 ),
"")</f>
        <v>Modular</v>
      </c>
      <c r="D268" s="3" t="str" cm="1">
        <f t="array" aca="1" ref="D268" ca="1">IFERROR(
 INDEX(
  _xlfn._xlws.FILTER($U$1:$AX$1,
   TRANSPOSE(
    CHOOSE({1;2;3;4;5;6;7;8;9;10;11;12;13;14;15;16;17;18;19;20;21;22;23;24;25;26;27;28;29;30},
     COUNTIFS($U$2:$U$200,$G268)&gt;0,
     COUNTIFS($V$2:$V$200,$G268)&gt;0,
     COUNTIFS($W$2:$W$200,$G268)&gt;0,
     COUNTIFS($X$2:$X$200,$G268)&gt;0,
     COUNTIFS($Y$2:$Y$200,$G268)&gt;0,
     COUNTIFS($Z$2:$Z$200,$G268)&gt;0,
     COUNTIFS($AA$2:$AA$200,$G268)&gt;0,
     COUNTIFS($AB$2:$AB$200,$G268)&gt;0,
     COUNTIFS($AC$2:$AC$200,$G268)&gt;0,
     COUNTIFS($AD$2:$AD$200,$G268)&gt;0,
     COUNTIFS($AE$2:$AE$200,$G268)&gt;0,
     COUNTIFS($AF$2:$AF$200,$G268)&gt;0,
     COUNTIFS($AG$2:$AG$200,$G268)&gt;0,
     COUNTIFS($AH$2:$AH$200,$G268)&gt;0,
     COUNTIFS($AI$2:$AI$200,$G268)&gt;0,
     COUNTIFS($AJ$2:$AJ$200,$G268)&gt;0,
     COUNTIFS($AK$2:$AK$200,$G268)&gt;0,
     COUNTIFS($AL$2:$AL$200,$G268)&gt;0,
     COUNTIFS($AM$2:$AM$200,$G268)&gt;0,
     COUNTIFS($AN$2:$AN$200,$G268)&gt;0,
     COUNTIFS($AO$2:$AO$200,$G268)&gt;0,
     COUNTIFS($AP$2:$AP$200,$G268)&gt;0,
     COUNTIFS($AQ$2:$AQ$200,$G268)&gt;0,
     COUNTIFS($AR$2:$AR$200,$G268)&gt;0,
     COUNTIFS($AS$2:$AS$200,$G268)&gt;0,
     COUNTIFS($AT$2:$AT$200,$G268)&gt;0,
     COUNTIFS($AU$2:$AU$200,$G268)&gt;0,
     COUNTIFS($AV$2:$AV$200,$G268)&gt;0,
     COUNTIFS($AW$2:$AW$200,$G268)&gt;0,
     COUNTIFS($AX$2:$AX$200,$G268)&gt;0
   )),
  ),
  2
 ),
"")</f>
        <v/>
      </c>
      <c r="E268" s="3" t="str" cm="1">
        <f t="array" aca="1" ref="E268" ca="1">IFERROR(
 INDEX(
  _xlfn._xlws.FILTER($U$1:$AX$1,
   TRANSPOSE(
    CHOOSE({1;2;3;4;5;6;7;8;9;10;11;12;13;14;15;16;17;18;19;20;21;22;23;24;25;26;27;28;29;30},
     COUNTIFS($U$2:$U$200,$G268)&gt;0,
     COUNTIFS($V$2:$V$200,$G268)&gt;0,
     COUNTIFS($W$2:$W$200,$G268)&gt;0,
     COUNTIFS($X$2:$X$200,$G268)&gt;0,
     COUNTIFS($Y$2:$Y$200,$G268)&gt;0,
     COUNTIFS($Z$2:$Z$200,$G268)&gt;0,
     COUNTIFS($AA$2:$AA$200,$G268)&gt;0,
     COUNTIFS($AB$2:$AB$200,$G268)&gt;0,
     COUNTIFS($AC$2:$AC$200,$G268)&gt;0,
     COUNTIFS($AD$2:$AD$200,$G268)&gt;0,
     COUNTIFS($AE$2:$AE$200,$G268)&gt;0,
     COUNTIFS($AF$2:$AF$200,$G268)&gt;0,
     COUNTIFS($AG$2:$AG$200,$G268)&gt;0,
     COUNTIFS($AH$2:$AH$200,$G268)&gt;0,
     COUNTIFS($AI$2:$AI$200,$G268)&gt;0,
     COUNTIFS($AJ$2:$AJ$200,$G268)&gt;0,
     COUNTIFS($AK$2:$AK$200,$G268)&gt;0,
     COUNTIFS($AL$2:$AL$200,$G268)&gt;0,
     COUNTIFS($AM$2:$AM$200,$G268)&gt;0,
     COUNTIFS($AN$2:$AN$200,$G268)&gt;0,
     COUNTIFS($AO$2:$AO$200,$G268)&gt;0,
     COUNTIFS($AP$2:$AP$200,$G268)&gt;0,
     COUNTIFS($AQ$2:$AQ$200,$G268)&gt;0,
     COUNTIFS($AR$2:$AR$200,$G268)&gt;0,
     COUNTIFS($AS$2:$AS$200,$G268)&gt;0,
     COUNTIFS($AT$2:$AT$200,$G268)&gt;0,
     COUNTIFS($AU$2:$AU$200,$G268)&gt;0,
     COUNTIFS($AV$2:$AV$200,$G268)&gt;0,
     COUNTIFS($AW$2:$AW$200,$G268)&gt;0,
     COUNTIFS($AX$2:$AX$200,$G268)&gt;0
   )),
  ),
  3
 ),
"")</f>
        <v/>
      </c>
      <c r="F268" s="3" t="str" cm="1">
        <f t="array" aca="1" ref="F268" ca="1">IFERROR(
 INDEX(
  _xlfn._xlws.FILTER($U$1:$AX$1,
   TRANSPOSE(
    CHOOSE({1;2;3;4;5;6;7;8;9;10;11;12;13;14;15;16;17;18;19;20;21;22;23;24;25;26;27;28;29;30},
     COUNTIFS($U$2:$U$200,$G268)&gt;0,
     COUNTIFS($V$2:$V$200,$G268)&gt;0,
     COUNTIFS($W$2:$W$200,$G268)&gt;0,
     COUNTIFS($X$2:$X$200,$G268)&gt;0,
     COUNTIFS($Y$2:$Y$200,$G268)&gt;0,
     COUNTIFS($Z$2:$Z$200,$G268)&gt;0,
     COUNTIFS($AA$2:$AA$200,$G268)&gt;0,
     COUNTIFS($AB$2:$AB$200,$G268)&gt;0,
     COUNTIFS($AC$2:$AC$200,$G268)&gt;0,
     COUNTIFS($AD$2:$AD$200,$G268)&gt;0,
     COUNTIFS($AE$2:$AE$200,$G268)&gt;0,
     COUNTIFS($AF$2:$AF$200,$G268)&gt;0,
     COUNTIFS($AG$2:$AG$200,$G268)&gt;0,
     COUNTIFS($AH$2:$AH$200,$G268)&gt;0,
     COUNTIFS($AI$2:$AI$200,$G268)&gt;0,
     COUNTIFS($AJ$2:$AJ$200,$G268)&gt;0,
     COUNTIFS($AK$2:$AK$200,$G268)&gt;0,
     COUNTIFS($AL$2:$AL$200,$G268)&gt;0,
     COUNTIFS($AM$2:$AM$200,$G268)&gt;0,
     COUNTIFS($AN$2:$AN$200,$G268)&gt;0,
     COUNTIFS($AO$2:$AO$200,$G268)&gt;0,
     COUNTIFS($AP$2:$AP$200,$G268)&gt;0,
     COUNTIFS($AQ$2:$AQ$200,$G268)&gt;0,
     COUNTIFS($AR$2:$AR$200,$G268)&gt;0,
     COUNTIFS($AS$2:$AS$200,$G268)&gt;0,
     COUNTIFS($AT$2:$AT$200,$G268)&gt;0,
     COUNTIFS($AU$2:$AU$200,$G268)&gt;0,
     COUNTIFS($AV$2:$AV$200,$G268)&gt;0,
     COUNTIFS($AW$2:$AW$200,$G268)&gt;0,
     COUNTIFS($AX$2:$AX$200,$G268)&gt;0
   )),
  ),
  4
 ),
"")</f>
        <v/>
      </c>
      <c r="G268" t="str">
        <f ca="1"/>
        <v>Rustvale Bridge</v>
      </c>
    </row>
    <row r="269" spans="1:7" x14ac:dyDescent="0.25">
      <c r="A269" s="3" t="str">
        <f t="shared" ca="1" si="10"/>
        <v>1</v>
      </c>
      <c r="B269" s="3">
        <f t="shared" ca="1" si="11"/>
        <v>1</v>
      </c>
      <c r="C269" s="3" t="str">
        <f ca="1">IFERROR(
 INDEX($U$1:$AX$1,
  MATCH(TRUE,
   CHOOSE({1;2;3;4;5;6;7;8;9;10;11;12;13;14;15;16;17;18;19;20;21;22;23;24;25;26;27;28;29;30;31;32},
    COUNTIFS($U$2:$U$200,$G269)&gt;0,
    COUNTIFS($V$2:$V$200,$G269)&gt;0,
    COUNTIFS($W$2:$W$200,$G269)&gt;0,
    COUNTIFS($X$2:$X$200,$G269)&gt;0,
    COUNTIFS($Y$2:$Y$200,$G269)&gt;0,
    COUNTIFS($Z$2:$Z$200,$G269)&gt;0,
    COUNTIFS($AA$2:$AA$200,$G269)&gt;0,
    COUNTIFS($AB$2:$AB$200,$G269)&gt;0,
    COUNTIFS($AC$2:$AC$200,$G269)&gt;0,
    COUNTIFS($AD$2:$AD$200,$G269)&gt;0,
    COUNTIFS($AE$2:$AE$200,$G269)&gt;0,
    COUNTIFS($AF$2:$AF$200,$G269)&gt;0,
    COUNTIFS($AG$2:$AG$200,$G269)&gt;0,
    COUNTIFS($AH$2:$AH$200,$G269)&gt;0,
    COUNTIFS($AI$2:$AI$200,$G269)&gt;0,
    COUNTIFS($AJ$2:$AJ$200,$G269)&gt;0,
    COUNTIFS($AK$2:$AK$200,$G269)&gt;0,
    COUNTIFS($AL$2:$AL$200,$G269)&gt;0,
    COUNTIFS($AM$2:$AM$200,$G269)&gt;0,
    COUNTIFS($AN$2:$AN$200,$G269)&gt;0,
    COUNTIFS($AO$2:$AO$200,$G269)&gt;0,
    COUNTIFS($AP$2:$AP$200,$G269)&gt;0,
    COUNTIFS($AQ$2:$AQ$200,$G269)&gt;0,
    COUNTIFS($AR$2:$AR$200,$G269)&gt;0,
    COUNTIFS($AS$2:$AS$200,$G269)&gt;0,
    COUNTIFS($AT$2:$AT$200,$G269)&gt;0,
    COUNTIFS($AU$2:$AU$200,$G269)&gt;0,
    COUNTIFS($AV$2:$AV$200,$G269)&gt;0,
    COUNTIFS($AW$2:$AW$200,$G269)&gt;0,
    COUNTIFS($AX$2:$AX$200,$G269)&gt;0
   ),
  0)
 ),
"")</f>
        <v>Modular</v>
      </c>
      <c r="D269" s="3" t="str" cm="1">
        <f t="array" aca="1" ref="D269" ca="1">IFERROR(
 INDEX(
  _xlfn._xlws.FILTER($U$1:$AX$1,
   TRANSPOSE(
    CHOOSE({1;2;3;4;5;6;7;8;9;10;11;12;13;14;15;16;17;18;19;20;21;22;23;24;25;26;27;28;29;30},
     COUNTIFS($U$2:$U$200,$G269)&gt;0,
     COUNTIFS($V$2:$V$200,$G269)&gt;0,
     COUNTIFS($W$2:$W$200,$G269)&gt;0,
     COUNTIFS($X$2:$X$200,$G269)&gt;0,
     COUNTIFS($Y$2:$Y$200,$G269)&gt;0,
     COUNTIFS($Z$2:$Z$200,$G269)&gt;0,
     COUNTIFS($AA$2:$AA$200,$G269)&gt;0,
     COUNTIFS($AB$2:$AB$200,$G269)&gt;0,
     COUNTIFS($AC$2:$AC$200,$G269)&gt;0,
     COUNTIFS($AD$2:$AD$200,$G269)&gt;0,
     COUNTIFS($AE$2:$AE$200,$G269)&gt;0,
     COUNTIFS($AF$2:$AF$200,$G269)&gt;0,
     COUNTIFS($AG$2:$AG$200,$G269)&gt;0,
     COUNTIFS($AH$2:$AH$200,$G269)&gt;0,
     COUNTIFS($AI$2:$AI$200,$G269)&gt;0,
     COUNTIFS($AJ$2:$AJ$200,$G269)&gt;0,
     COUNTIFS($AK$2:$AK$200,$G269)&gt;0,
     COUNTIFS($AL$2:$AL$200,$G269)&gt;0,
     COUNTIFS($AM$2:$AM$200,$G269)&gt;0,
     COUNTIFS($AN$2:$AN$200,$G269)&gt;0,
     COUNTIFS($AO$2:$AO$200,$G269)&gt;0,
     COUNTIFS($AP$2:$AP$200,$G269)&gt;0,
     COUNTIFS($AQ$2:$AQ$200,$G269)&gt;0,
     COUNTIFS($AR$2:$AR$200,$G269)&gt;0,
     COUNTIFS($AS$2:$AS$200,$G269)&gt;0,
     COUNTIFS($AT$2:$AT$200,$G269)&gt;0,
     COUNTIFS($AU$2:$AU$200,$G269)&gt;0,
     COUNTIFS($AV$2:$AV$200,$G269)&gt;0,
     COUNTIFS($AW$2:$AW$200,$G269)&gt;0,
     COUNTIFS($AX$2:$AX$200,$G269)&gt;0
   )),
  ),
  2
 ),
"")</f>
        <v/>
      </c>
      <c r="E269" s="3" t="str" cm="1">
        <f t="array" aca="1" ref="E269" ca="1">IFERROR(
 INDEX(
  _xlfn._xlws.FILTER($U$1:$AX$1,
   TRANSPOSE(
    CHOOSE({1;2;3;4;5;6;7;8;9;10;11;12;13;14;15;16;17;18;19;20;21;22;23;24;25;26;27;28;29;30},
     COUNTIFS($U$2:$U$200,$G269)&gt;0,
     COUNTIFS($V$2:$V$200,$G269)&gt;0,
     COUNTIFS($W$2:$W$200,$G269)&gt;0,
     COUNTIFS($X$2:$X$200,$G269)&gt;0,
     COUNTIFS($Y$2:$Y$200,$G269)&gt;0,
     COUNTIFS($Z$2:$Z$200,$G269)&gt;0,
     COUNTIFS($AA$2:$AA$200,$G269)&gt;0,
     COUNTIFS($AB$2:$AB$200,$G269)&gt;0,
     COUNTIFS($AC$2:$AC$200,$G269)&gt;0,
     COUNTIFS($AD$2:$AD$200,$G269)&gt;0,
     COUNTIFS($AE$2:$AE$200,$G269)&gt;0,
     COUNTIFS($AF$2:$AF$200,$G269)&gt;0,
     COUNTIFS($AG$2:$AG$200,$G269)&gt;0,
     COUNTIFS($AH$2:$AH$200,$G269)&gt;0,
     COUNTIFS($AI$2:$AI$200,$G269)&gt;0,
     COUNTIFS($AJ$2:$AJ$200,$G269)&gt;0,
     COUNTIFS($AK$2:$AK$200,$G269)&gt;0,
     COUNTIFS($AL$2:$AL$200,$G269)&gt;0,
     COUNTIFS($AM$2:$AM$200,$G269)&gt;0,
     COUNTIFS($AN$2:$AN$200,$G269)&gt;0,
     COUNTIFS($AO$2:$AO$200,$G269)&gt;0,
     COUNTIFS($AP$2:$AP$200,$G269)&gt;0,
     COUNTIFS($AQ$2:$AQ$200,$G269)&gt;0,
     COUNTIFS($AR$2:$AR$200,$G269)&gt;0,
     COUNTIFS($AS$2:$AS$200,$G269)&gt;0,
     COUNTIFS($AT$2:$AT$200,$G269)&gt;0,
     COUNTIFS($AU$2:$AU$200,$G269)&gt;0,
     COUNTIFS($AV$2:$AV$200,$G269)&gt;0,
     COUNTIFS($AW$2:$AW$200,$G269)&gt;0,
     COUNTIFS($AX$2:$AX$200,$G269)&gt;0
   )),
  ),
  3
 ),
"")</f>
        <v/>
      </c>
      <c r="F269" s="3" t="str" cm="1">
        <f t="array" aca="1" ref="F269" ca="1">IFERROR(
 INDEX(
  _xlfn._xlws.FILTER($U$1:$AX$1,
   TRANSPOSE(
    CHOOSE({1;2;3;4;5;6;7;8;9;10;11;12;13;14;15;16;17;18;19;20;21;22;23;24;25;26;27;28;29;30},
     COUNTIFS($U$2:$U$200,$G269)&gt;0,
     COUNTIFS($V$2:$V$200,$G269)&gt;0,
     COUNTIFS($W$2:$W$200,$G269)&gt;0,
     COUNTIFS($X$2:$X$200,$G269)&gt;0,
     COUNTIFS($Y$2:$Y$200,$G269)&gt;0,
     COUNTIFS($Z$2:$Z$200,$G269)&gt;0,
     COUNTIFS($AA$2:$AA$200,$G269)&gt;0,
     COUNTIFS($AB$2:$AB$200,$G269)&gt;0,
     COUNTIFS($AC$2:$AC$200,$G269)&gt;0,
     COUNTIFS($AD$2:$AD$200,$G269)&gt;0,
     COUNTIFS($AE$2:$AE$200,$G269)&gt;0,
     COUNTIFS($AF$2:$AF$200,$G269)&gt;0,
     COUNTIFS($AG$2:$AG$200,$G269)&gt;0,
     COUNTIFS($AH$2:$AH$200,$G269)&gt;0,
     COUNTIFS($AI$2:$AI$200,$G269)&gt;0,
     COUNTIFS($AJ$2:$AJ$200,$G269)&gt;0,
     COUNTIFS($AK$2:$AK$200,$G269)&gt;0,
     COUNTIFS($AL$2:$AL$200,$G269)&gt;0,
     COUNTIFS($AM$2:$AM$200,$G269)&gt;0,
     COUNTIFS($AN$2:$AN$200,$G269)&gt;0,
     COUNTIFS($AO$2:$AO$200,$G269)&gt;0,
     COUNTIFS($AP$2:$AP$200,$G269)&gt;0,
     COUNTIFS($AQ$2:$AQ$200,$G269)&gt;0,
     COUNTIFS($AR$2:$AR$200,$G269)&gt;0,
     COUNTIFS($AS$2:$AS$200,$G269)&gt;0,
     COUNTIFS($AT$2:$AT$200,$G269)&gt;0,
     COUNTIFS($AU$2:$AU$200,$G269)&gt;0,
     COUNTIFS($AV$2:$AV$200,$G269)&gt;0,
     COUNTIFS($AW$2:$AW$200,$G269)&gt;0,
     COUNTIFS($AX$2:$AX$200,$G269)&gt;0
   )),
  ),
  4
 ),
"")</f>
        <v/>
      </c>
      <c r="G269" t="str">
        <f ca="1"/>
        <v>Sacred Ground</v>
      </c>
    </row>
    <row r="270" spans="1:7" x14ac:dyDescent="0.25">
      <c r="A270" s="3" t="str">
        <f t="shared" ca="1" si="10"/>
        <v>1</v>
      </c>
      <c r="B270" s="3">
        <f t="shared" ca="1" si="11"/>
        <v>1</v>
      </c>
      <c r="C270" s="3" t="str">
        <f ca="1">IFERROR(
 INDEX($U$1:$AX$1,
  MATCH(TRUE,
   CHOOSE({1;2;3;4;5;6;7;8;9;10;11;12;13;14;15;16;17;18;19;20;21;22;23;24;25;26;27;28;29;30;31;32},
    COUNTIFS($U$2:$U$200,$G270)&gt;0,
    COUNTIFS($V$2:$V$200,$G270)&gt;0,
    COUNTIFS($W$2:$W$200,$G270)&gt;0,
    COUNTIFS($X$2:$X$200,$G270)&gt;0,
    COUNTIFS($Y$2:$Y$200,$G270)&gt;0,
    COUNTIFS($Z$2:$Z$200,$G270)&gt;0,
    COUNTIFS($AA$2:$AA$200,$G270)&gt;0,
    COUNTIFS($AB$2:$AB$200,$G270)&gt;0,
    COUNTIFS($AC$2:$AC$200,$G270)&gt;0,
    COUNTIFS($AD$2:$AD$200,$G270)&gt;0,
    COUNTIFS($AE$2:$AE$200,$G270)&gt;0,
    COUNTIFS($AF$2:$AF$200,$G270)&gt;0,
    COUNTIFS($AG$2:$AG$200,$G270)&gt;0,
    COUNTIFS($AH$2:$AH$200,$G270)&gt;0,
    COUNTIFS($AI$2:$AI$200,$G270)&gt;0,
    COUNTIFS($AJ$2:$AJ$200,$G270)&gt;0,
    COUNTIFS($AK$2:$AK$200,$G270)&gt;0,
    COUNTIFS($AL$2:$AL$200,$G270)&gt;0,
    COUNTIFS($AM$2:$AM$200,$G270)&gt;0,
    COUNTIFS($AN$2:$AN$200,$G270)&gt;0,
    COUNTIFS($AO$2:$AO$200,$G270)&gt;0,
    COUNTIFS($AP$2:$AP$200,$G270)&gt;0,
    COUNTIFS($AQ$2:$AQ$200,$G270)&gt;0,
    COUNTIFS($AR$2:$AR$200,$G270)&gt;0,
    COUNTIFS($AS$2:$AS$200,$G270)&gt;0,
    COUNTIFS($AT$2:$AT$200,$G270)&gt;0,
    COUNTIFS($AU$2:$AU$200,$G270)&gt;0,
    COUNTIFS($AV$2:$AV$200,$G270)&gt;0,
    COUNTIFS($AW$2:$AW$200,$G270)&gt;0,
    COUNTIFS($AX$2:$AX$200,$G270)&gt;0
   ),
  0)
 ),
"")</f>
        <v>Tayam</v>
      </c>
      <c r="D270" s="3" t="str" cm="1">
        <f t="array" aca="1" ref="D270" ca="1">IFERROR(
 INDEX(
  _xlfn._xlws.FILTER($U$1:$AX$1,
   TRANSPOSE(
    CHOOSE({1;2;3;4;5;6;7;8;9;10;11;12;13;14;15;16;17;18;19;20;21;22;23;24;25;26;27;28;29;30},
     COUNTIFS($U$2:$U$200,$G270)&gt;0,
     COUNTIFS($V$2:$V$200,$G270)&gt;0,
     COUNTIFS($W$2:$W$200,$G270)&gt;0,
     COUNTIFS($X$2:$X$200,$G270)&gt;0,
     COUNTIFS($Y$2:$Y$200,$G270)&gt;0,
     COUNTIFS($Z$2:$Z$200,$G270)&gt;0,
     COUNTIFS($AA$2:$AA$200,$G270)&gt;0,
     COUNTIFS($AB$2:$AB$200,$G270)&gt;0,
     COUNTIFS($AC$2:$AC$200,$G270)&gt;0,
     COUNTIFS($AD$2:$AD$200,$G270)&gt;0,
     COUNTIFS($AE$2:$AE$200,$G270)&gt;0,
     COUNTIFS($AF$2:$AF$200,$G270)&gt;0,
     COUNTIFS($AG$2:$AG$200,$G270)&gt;0,
     COUNTIFS($AH$2:$AH$200,$G270)&gt;0,
     COUNTIFS($AI$2:$AI$200,$G270)&gt;0,
     COUNTIFS($AJ$2:$AJ$200,$G270)&gt;0,
     COUNTIFS($AK$2:$AK$200,$G270)&gt;0,
     COUNTIFS($AL$2:$AL$200,$G270)&gt;0,
     COUNTIFS($AM$2:$AM$200,$G270)&gt;0,
     COUNTIFS($AN$2:$AN$200,$G270)&gt;0,
     COUNTIFS($AO$2:$AO$200,$G270)&gt;0,
     COUNTIFS($AP$2:$AP$200,$G270)&gt;0,
     COUNTIFS($AQ$2:$AQ$200,$G270)&gt;0,
     COUNTIFS($AR$2:$AR$200,$G270)&gt;0,
     COUNTIFS($AS$2:$AS$200,$G270)&gt;0,
     COUNTIFS($AT$2:$AT$200,$G270)&gt;0,
     COUNTIFS($AU$2:$AU$200,$G270)&gt;0,
     COUNTIFS($AV$2:$AV$200,$G270)&gt;0,
     COUNTIFS($AW$2:$AW$200,$G270)&gt;0,
     COUNTIFS($AX$2:$AX$200,$G270)&gt;0
   )),
  ),
  2
 ),
"")</f>
        <v/>
      </c>
      <c r="E270" s="3" t="str" cm="1">
        <f t="array" aca="1" ref="E270" ca="1">IFERROR(
 INDEX(
  _xlfn._xlws.FILTER($U$1:$AX$1,
   TRANSPOSE(
    CHOOSE({1;2;3;4;5;6;7;8;9;10;11;12;13;14;15;16;17;18;19;20;21;22;23;24;25;26;27;28;29;30},
     COUNTIFS($U$2:$U$200,$G270)&gt;0,
     COUNTIFS($V$2:$V$200,$G270)&gt;0,
     COUNTIFS($W$2:$W$200,$G270)&gt;0,
     COUNTIFS($X$2:$X$200,$G270)&gt;0,
     COUNTIFS($Y$2:$Y$200,$G270)&gt;0,
     COUNTIFS($Z$2:$Z$200,$G270)&gt;0,
     COUNTIFS($AA$2:$AA$200,$G270)&gt;0,
     COUNTIFS($AB$2:$AB$200,$G270)&gt;0,
     COUNTIFS($AC$2:$AC$200,$G270)&gt;0,
     COUNTIFS($AD$2:$AD$200,$G270)&gt;0,
     COUNTIFS($AE$2:$AE$200,$G270)&gt;0,
     COUNTIFS($AF$2:$AF$200,$G270)&gt;0,
     COUNTIFS($AG$2:$AG$200,$G270)&gt;0,
     COUNTIFS($AH$2:$AH$200,$G270)&gt;0,
     COUNTIFS($AI$2:$AI$200,$G270)&gt;0,
     COUNTIFS($AJ$2:$AJ$200,$G270)&gt;0,
     COUNTIFS($AK$2:$AK$200,$G270)&gt;0,
     COUNTIFS($AL$2:$AL$200,$G270)&gt;0,
     COUNTIFS($AM$2:$AM$200,$G270)&gt;0,
     COUNTIFS($AN$2:$AN$200,$G270)&gt;0,
     COUNTIFS($AO$2:$AO$200,$G270)&gt;0,
     COUNTIFS($AP$2:$AP$200,$G270)&gt;0,
     COUNTIFS($AQ$2:$AQ$200,$G270)&gt;0,
     COUNTIFS($AR$2:$AR$200,$G270)&gt;0,
     COUNTIFS($AS$2:$AS$200,$G270)&gt;0,
     COUNTIFS($AT$2:$AT$200,$G270)&gt;0,
     COUNTIFS($AU$2:$AU$200,$G270)&gt;0,
     COUNTIFS($AV$2:$AV$200,$G270)&gt;0,
     COUNTIFS($AW$2:$AW$200,$G270)&gt;0,
     COUNTIFS($AX$2:$AX$200,$G270)&gt;0
   )),
  ),
  3
 ),
"")</f>
        <v/>
      </c>
      <c r="F270" s="3" t="str" cm="1">
        <f t="array" aca="1" ref="F270" ca="1">IFERROR(
 INDEX(
  _xlfn._xlws.FILTER($U$1:$AX$1,
   TRANSPOSE(
    CHOOSE({1;2;3;4;5;6;7;8;9;10;11;12;13;14;15;16;17;18;19;20;21;22;23;24;25;26;27;28;29;30},
     COUNTIFS($U$2:$U$200,$G270)&gt;0,
     COUNTIFS($V$2:$V$200,$G270)&gt;0,
     COUNTIFS($W$2:$W$200,$G270)&gt;0,
     COUNTIFS($X$2:$X$200,$G270)&gt;0,
     COUNTIFS($Y$2:$Y$200,$G270)&gt;0,
     COUNTIFS($Z$2:$Z$200,$G270)&gt;0,
     COUNTIFS($AA$2:$AA$200,$G270)&gt;0,
     COUNTIFS($AB$2:$AB$200,$G270)&gt;0,
     COUNTIFS($AC$2:$AC$200,$G270)&gt;0,
     COUNTIFS($AD$2:$AD$200,$G270)&gt;0,
     COUNTIFS($AE$2:$AE$200,$G270)&gt;0,
     COUNTIFS($AF$2:$AF$200,$G270)&gt;0,
     COUNTIFS($AG$2:$AG$200,$G270)&gt;0,
     COUNTIFS($AH$2:$AH$200,$G270)&gt;0,
     COUNTIFS($AI$2:$AI$200,$G270)&gt;0,
     COUNTIFS($AJ$2:$AJ$200,$G270)&gt;0,
     COUNTIFS($AK$2:$AK$200,$G270)&gt;0,
     COUNTIFS($AL$2:$AL$200,$G270)&gt;0,
     COUNTIFS($AM$2:$AM$200,$G270)&gt;0,
     COUNTIFS($AN$2:$AN$200,$G270)&gt;0,
     COUNTIFS($AO$2:$AO$200,$G270)&gt;0,
     COUNTIFS($AP$2:$AP$200,$G270)&gt;0,
     COUNTIFS($AQ$2:$AQ$200,$G270)&gt;0,
     COUNTIFS($AR$2:$AR$200,$G270)&gt;0,
     COUNTIFS($AS$2:$AS$200,$G270)&gt;0,
     COUNTIFS($AT$2:$AT$200,$G270)&gt;0,
     COUNTIFS($AU$2:$AU$200,$G270)&gt;0,
     COUNTIFS($AV$2:$AV$200,$G270)&gt;0,
     COUNTIFS($AW$2:$AW$200,$G270)&gt;0,
     COUNTIFS($AX$2:$AX$200,$G270)&gt;0
   )),
  ),
  4
 ),
"")</f>
        <v/>
      </c>
      <c r="G270" t="str">
        <f ca="1"/>
        <v>Sakura-Tribe Elder</v>
      </c>
    </row>
    <row r="271" spans="1:7" x14ac:dyDescent="0.25">
      <c r="A271" s="3" t="str">
        <f t="shared" ca="1" si="10"/>
        <v>4</v>
      </c>
      <c r="B271" s="3">
        <f t="shared" ca="1" si="11"/>
        <v>1</v>
      </c>
      <c r="C271" s="3" t="str">
        <f ca="1">IFERROR(
 INDEX($U$1:$AX$1,
  MATCH(TRUE,
   CHOOSE({1;2;3;4;5;6;7;8;9;10;11;12;13;14;15;16;17;18;19;20;21;22;23;24;25;26;27;28;29;30;31;32},
    COUNTIFS($U$2:$U$200,$G271)&gt;0,
    COUNTIFS($V$2:$V$200,$G271)&gt;0,
    COUNTIFS($W$2:$W$200,$G271)&gt;0,
    COUNTIFS($X$2:$X$200,$G271)&gt;0,
    COUNTIFS($Y$2:$Y$200,$G271)&gt;0,
    COUNTIFS($Z$2:$Z$200,$G271)&gt;0,
    COUNTIFS($AA$2:$AA$200,$G271)&gt;0,
    COUNTIFS($AB$2:$AB$200,$G271)&gt;0,
    COUNTIFS($AC$2:$AC$200,$G271)&gt;0,
    COUNTIFS($AD$2:$AD$200,$G271)&gt;0,
    COUNTIFS($AE$2:$AE$200,$G271)&gt;0,
    COUNTIFS($AF$2:$AF$200,$G271)&gt;0,
    COUNTIFS($AG$2:$AG$200,$G271)&gt;0,
    COUNTIFS($AH$2:$AH$200,$G271)&gt;0,
    COUNTIFS($AI$2:$AI$200,$G271)&gt;0,
    COUNTIFS($AJ$2:$AJ$200,$G271)&gt;0,
    COUNTIFS($AK$2:$AK$200,$G271)&gt;0,
    COUNTIFS($AL$2:$AL$200,$G271)&gt;0,
    COUNTIFS($AM$2:$AM$200,$G271)&gt;0,
    COUNTIFS($AN$2:$AN$200,$G271)&gt;0,
    COUNTIFS($AO$2:$AO$200,$G271)&gt;0,
    COUNTIFS($AP$2:$AP$200,$G271)&gt;0,
    COUNTIFS($AQ$2:$AQ$200,$G271)&gt;0,
    COUNTIFS($AR$2:$AR$200,$G271)&gt;0,
    COUNTIFS($AS$2:$AS$200,$G271)&gt;0,
    COUNTIFS($AT$2:$AT$200,$G271)&gt;0,
    COUNTIFS($AU$2:$AU$200,$G271)&gt;0,
    COUNTIFS($AV$2:$AV$200,$G271)&gt;0,
    COUNTIFS($AW$2:$AW$200,$G271)&gt;0,
    COUNTIFS($AX$2:$AX$200,$G271)&gt;0
   ),
  0)
 ),
"")</f>
        <v>Kresh</v>
      </c>
      <c r="D271" s="3" t="str" cm="1">
        <f t="array" aca="1" ref="D271" ca="1">IFERROR(
 INDEX(
  _xlfn._xlws.FILTER($U$1:$AX$1,
   TRANSPOSE(
    CHOOSE({1;2;3;4;5;6;7;8;9;10;11;12;13;14;15;16;17;18;19;20;21;22;23;24;25;26;27;28;29;30},
     COUNTIFS($U$2:$U$200,$G271)&gt;0,
     COUNTIFS($V$2:$V$200,$G271)&gt;0,
     COUNTIFS($W$2:$W$200,$G271)&gt;0,
     COUNTIFS($X$2:$X$200,$G271)&gt;0,
     COUNTIFS($Y$2:$Y$200,$G271)&gt;0,
     COUNTIFS($Z$2:$Z$200,$G271)&gt;0,
     COUNTIFS($AA$2:$AA$200,$G271)&gt;0,
     COUNTIFS($AB$2:$AB$200,$G271)&gt;0,
     COUNTIFS($AC$2:$AC$200,$G271)&gt;0,
     COUNTIFS($AD$2:$AD$200,$G271)&gt;0,
     COUNTIFS($AE$2:$AE$200,$G271)&gt;0,
     COUNTIFS($AF$2:$AF$200,$G271)&gt;0,
     COUNTIFS($AG$2:$AG$200,$G271)&gt;0,
     COUNTIFS($AH$2:$AH$200,$G271)&gt;0,
     COUNTIFS($AI$2:$AI$200,$G271)&gt;0,
     COUNTIFS($AJ$2:$AJ$200,$G271)&gt;0,
     COUNTIFS($AK$2:$AK$200,$G271)&gt;0,
     COUNTIFS($AL$2:$AL$200,$G271)&gt;0,
     COUNTIFS($AM$2:$AM$200,$G271)&gt;0,
     COUNTIFS($AN$2:$AN$200,$G271)&gt;0,
     COUNTIFS($AO$2:$AO$200,$G271)&gt;0,
     COUNTIFS($AP$2:$AP$200,$G271)&gt;0,
     COUNTIFS($AQ$2:$AQ$200,$G271)&gt;0,
     COUNTIFS($AR$2:$AR$200,$G271)&gt;0,
     COUNTIFS($AS$2:$AS$200,$G271)&gt;0,
     COUNTIFS($AT$2:$AT$200,$G271)&gt;0,
     COUNTIFS($AU$2:$AU$200,$G271)&gt;0,
     COUNTIFS($AV$2:$AV$200,$G271)&gt;0,
     COUNTIFS($AW$2:$AW$200,$G271)&gt;0,
     COUNTIFS($AX$2:$AX$200,$G271)&gt;0
   )),
  ),
  2
 ),
"")</f>
        <v/>
      </c>
      <c r="E271" s="3" t="str" cm="1">
        <f t="array" aca="1" ref="E271" ca="1">IFERROR(
 INDEX(
  _xlfn._xlws.FILTER($U$1:$AX$1,
   TRANSPOSE(
    CHOOSE({1;2;3;4;5;6;7;8;9;10;11;12;13;14;15;16;17;18;19;20;21;22;23;24;25;26;27;28;29;30},
     COUNTIFS($U$2:$U$200,$G271)&gt;0,
     COUNTIFS($V$2:$V$200,$G271)&gt;0,
     COUNTIFS($W$2:$W$200,$G271)&gt;0,
     COUNTIFS($X$2:$X$200,$G271)&gt;0,
     COUNTIFS($Y$2:$Y$200,$G271)&gt;0,
     COUNTIFS($Z$2:$Z$200,$G271)&gt;0,
     COUNTIFS($AA$2:$AA$200,$G271)&gt;0,
     COUNTIFS($AB$2:$AB$200,$G271)&gt;0,
     COUNTIFS($AC$2:$AC$200,$G271)&gt;0,
     COUNTIFS($AD$2:$AD$200,$G271)&gt;0,
     COUNTIFS($AE$2:$AE$200,$G271)&gt;0,
     COUNTIFS($AF$2:$AF$200,$G271)&gt;0,
     COUNTIFS($AG$2:$AG$200,$G271)&gt;0,
     COUNTIFS($AH$2:$AH$200,$G271)&gt;0,
     COUNTIFS($AI$2:$AI$200,$G271)&gt;0,
     COUNTIFS($AJ$2:$AJ$200,$G271)&gt;0,
     COUNTIFS($AK$2:$AK$200,$G271)&gt;0,
     COUNTIFS($AL$2:$AL$200,$G271)&gt;0,
     COUNTIFS($AM$2:$AM$200,$G271)&gt;0,
     COUNTIFS($AN$2:$AN$200,$G271)&gt;0,
     COUNTIFS($AO$2:$AO$200,$G271)&gt;0,
     COUNTIFS($AP$2:$AP$200,$G271)&gt;0,
     COUNTIFS($AQ$2:$AQ$200,$G271)&gt;0,
     COUNTIFS($AR$2:$AR$200,$G271)&gt;0,
     COUNTIFS($AS$2:$AS$200,$G271)&gt;0,
     COUNTIFS($AT$2:$AT$200,$G271)&gt;0,
     COUNTIFS($AU$2:$AU$200,$G271)&gt;0,
     COUNTIFS($AV$2:$AV$200,$G271)&gt;0,
     COUNTIFS($AW$2:$AW$200,$G271)&gt;0,
     COUNTIFS($AX$2:$AX$200,$G271)&gt;0
   )),
  ),
  3
 ),
"")</f>
        <v/>
      </c>
      <c r="F271" s="3" t="str" cm="1">
        <f t="array" aca="1" ref="F271" ca="1">IFERROR(
 INDEX(
  _xlfn._xlws.FILTER($U$1:$AX$1,
   TRANSPOSE(
    CHOOSE({1;2;3;4;5;6;7;8;9;10;11;12;13;14;15;16;17;18;19;20;21;22;23;24;25;26;27;28;29;30},
     COUNTIFS($U$2:$U$200,$G271)&gt;0,
     COUNTIFS($V$2:$V$200,$G271)&gt;0,
     COUNTIFS($W$2:$W$200,$G271)&gt;0,
     COUNTIFS($X$2:$X$200,$G271)&gt;0,
     COUNTIFS($Y$2:$Y$200,$G271)&gt;0,
     COUNTIFS($Z$2:$Z$200,$G271)&gt;0,
     COUNTIFS($AA$2:$AA$200,$G271)&gt;0,
     COUNTIFS($AB$2:$AB$200,$G271)&gt;0,
     COUNTIFS($AC$2:$AC$200,$G271)&gt;0,
     COUNTIFS($AD$2:$AD$200,$G271)&gt;0,
     COUNTIFS($AE$2:$AE$200,$G271)&gt;0,
     COUNTIFS($AF$2:$AF$200,$G271)&gt;0,
     COUNTIFS($AG$2:$AG$200,$G271)&gt;0,
     COUNTIFS($AH$2:$AH$200,$G271)&gt;0,
     COUNTIFS($AI$2:$AI$200,$G271)&gt;0,
     COUNTIFS($AJ$2:$AJ$200,$G271)&gt;0,
     COUNTIFS($AK$2:$AK$200,$G271)&gt;0,
     COUNTIFS($AL$2:$AL$200,$G271)&gt;0,
     COUNTIFS($AM$2:$AM$200,$G271)&gt;0,
     COUNTIFS($AN$2:$AN$200,$G271)&gt;0,
     COUNTIFS($AO$2:$AO$200,$G271)&gt;0,
     COUNTIFS($AP$2:$AP$200,$G271)&gt;0,
     COUNTIFS($AQ$2:$AQ$200,$G271)&gt;0,
     COUNTIFS($AR$2:$AR$200,$G271)&gt;0,
     COUNTIFS($AS$2:$AS$200,$G271)&gt;0,
     COUNTIFS($AT$2:$AT$200,$G271)&gt;0,
     COUNTIFS($AU$2:$AU$200,$G271)&gt;0,
     COUNTIFS($AV$2:$AV$200,$G271)&gt;0,
     COUNTIFS($AW$2:$AW$200,$G271)&gt;0,
     COUNTIFS($AX$2:$AX$200,$G271)&gt;0
   )),
  ),
  4
 ),
"")</f>
        <v/>
      </c>
      <c r="G271" t="str">
        <f ca="1"/>
        <v>Saqueador Amaldiçoado</v>
      </c>
    </row>
    <row r="272" spans="1:7" x14ac:dyDescent="0.25">
      <c r="A272" s="3" t="str">
        <f t="shared" ca="1" si="10"/>
        <v>3</v>
      </c>
      <c r="B272" s="3">
        <f t="shared" ca="1" si="11"/>
        <v>1</v>
      </c>
      <c r="C272" s="3" t="str">
        <f ca="1">IFERROR(
 INDEX($U$1:$AX$1,
  MATCH(TRUE,
   CHOOSE({1;2;3;4;5;6;7;8;9;10;11;12;13;14;15;16;17;18;19;20;21;22;23;24;25;26;27;28;29;30;31;32},
    COUNTIFS($U$2:$U$200,$G272)&gt;0,
    COUNTIFS($V$2:$V$200,$G272)&gt;0,
    COUNTIFS($W$2:$W$200,$G272)&gt;0,
    COUNTIFS($X$2:$X$200,$G272)&gt;0,
    COUNTIFS($Y$2:$Y$200,$G272)&gt;0,
    COUNTIFS($Z$2:$Z$200,$G272)&gt;0,
    COUNTIFS($AA$2:$AA$200,$G272)&gt;0,
    COUNTIFS($AB$2:$AB$200,$G272)&gt;0,
    COUNTIFS($AC$2:$AC$200,$G272)&gt;0,
    COUNTIFS($AD$2:$AD$200,$G272)&gt;0,
    COUNTIFS($AE$2:$AE$200,$G272)&gt;0,
    COUNTIFS($AF$2:$AF$200,$G272)&gt;0,
    COUNTIFS($AG$2:$AG$200,$G272)&gt;0,
    COUNTIFS($AH$2:$AH$200,$G272)&gt;0,
    COUNTIFS($AI$2:$AI$200,$G272)&gt;0,
    COUNTIFS($AJ$2:$AJ$200,$G272)&gt;0,
    COUNTIFS($AK$2:$AK$200,$G272)&gt;0,
    COUNTIFS($AL$2:$AL$200,$G272)&gt;0,
    COUNTIFS($AM$2:$AM$200,$G272)&gt;0,
    COUNTIFS($AN$2:$AN$200,$G272)&gt;0,
    COUNTIFS($AO$2:$AO$200,$G272)&gt;0,
    COUNTIFS($AP$2:$AP$200,$G272)&gt;0,
    COUNTIFS($AQ$2:$AQ$200,$G272)&gt;0,
    COUNTIFS($AR$2:$AR$200,$G272)&gt;0,
    COUNTIFS($AS$2:$AS$200,$G272)&gt;0,
    COUNTIFS($AT$2:$AT$200,$G272)&gt;0,
    COUNTIFS($AU$2:$AU$200,$G272)&gt;0,
    COUNTIFS($AV$2:$AV$200,$G272)&gt;0,
    COUNTIFS($AW$2:$AW$200,$G272)&gt;0,
    COUNTIFS($AX$2:$AX$200,$G272)&gt;0
   ),
  0)
 ),
"")</f>
        <v>Yuriko</v>
      </c>
      <c r="D272" s="3" t="str" cm="1">
        <f t="array" aca="1" ref="D272" ca="1">IFERROR(
 INDEX(
  _xlfn._xlws.FILTER($U$1:$AX$1,
   TRANSPOSE(
    CHOOSE({1;2;3;4;5;6;7;8;9;10;11;12;13;14;15;16;17;18;19;20;21;22;23;24;25;26;27;28;29;30},
     COUNTIFS($U$2:$U$200,$G272)&gt;0,
     COUNTIFS($V$2:$V$200,$G272)&gt;0,
     COUNTIFS($W$2:$W$200,$G272)&gt;0,
     COUNTIFS($X$2:$X$200,$G272)&gt;0,
     COUNTIFS($Y$2:$Y$200,$G272)&gt;0,
     COUNTIFS($Z$2:$Z$200,$G272)&gt;0,
     COUNTIFS($AA$2:$AA$200,$G272)&gt;0,
     COUNTIFS($AB$2:$AB$200,$G272)&gt;0,
     COUNTIFS($AC$2:$AC$200,$G272)&gt;0,
     COUNTIFS($AD$2:$AD$200,$G272)&gt;0,
     COUNTIFS($AE$2:$AE$200,$G272)&gt;0,
     COUNTIFS($AF$2:$AF$200,$G272)&gt;0,
     COUNTIFS($AG$2:$AG$200,$G272)&gt;0,
     COUNTIFS($AH$2:$AH$200,$G272)&gt;0,
     COUNTIFS($AI$2:$AI$200,$G272)&gt;0,
     COUNTIFS($AJ$2:$AJ$200,$G272)&gt;0,
     COUNTIFS($AK$2:$AK$200,$G272)&gt;0,
     COUNTIFS($AL$2:$AL$200,$G272)&gt;0,
     COUNTIFS($AM$2:$AM$200,$G272)&gt;0,
     COUNTIFS($AN$2:$AN$200,$G272)&gt;0,
     COUNTIFS($AO$2:$AO$200,$G272)&gt;0,
     COUNTIFS($AP$2:$AP$200,$G272)&gt;0,
     COUNTIFS($AQ$2:$AQ$200,$G272)&gt;0,
     COUNTIFS($AR$2:$AR$200,$G272)&gt;0,
     COUNTIFS($AS$2:$AS$200,$G272)&gt;0,
     COUNTIFS($AT$2:$AT$200,$G272)&gt;0,
     COUNTIFS($AU$2:$AU$200,$G272)&gt;0,
     COUNTIFS($AV$2:$AV$200,$G272)&gt;0,
     COUNTIFS($AW$2:$AW$200,$G272)&gt;0,
     COUNTIFS($AX$2:$AX$200,$G272)&gt;0
   )),
  ),
  2
 ),
"")</f>
        <v/>
      </c>
      <c r="E272" s="3" t="str" cm="1">
        <f t="array" aca="1" ref="E272" ca="1">IFERROR(
 INDEX(
  _xlfn._xlws.FILTER($U$1:$AX$1,
   TRANSPOSE(
    CHOOSE({1;2;3;4;5;6;7;8;9;10;11;12;13;14;15;16;17;18;19;20;21;22;23;24;25;26;27;28;29;30},
     COUNTIFS($U$2:$U$200,$G272)&gt;0,
     COUNTIFS($V$2:$V$200,$G272)&gt;0,
     COUNTIFS($W$2:$W$200,$G272)&gt;0,
     COUNTIFS($X$2:$X$200,$G272)&gt;0,
     COUNTIFS($Y$2:$Y$200,$G272)&gt;0,
     COUNTIFS($Z$2:$Z$200,$G272)&gt;0,
     COUNTIFS($AA$2:$AA$200,$G272)&gt;0,
     COUNTIFS($AB$2:$AB$200,$G272)&gt;0,
     COUNTIFS($AC$2:$AC$200,$G272)&gt;0,
     COUNTIFS($AD$2:$AD$200,$G272)&gt;0,
     COUNTIFS($AE$2:$AE$200,$G272)&gt;0,
     COUNTIFS($AF$2:$AF$200,$G272)&gt;0,
     COUNTIFS($AG$2:$AG$200,$G272)&gt;0,
     COUNTIFS($AH$2:$AH$200,$G272)&gt;0,
     COUNTIFS($AI$2:$AI$200,$G272)&gt;0,
     COUNTIFS($AJ$2:$AJ$200,$G272)&gt;0,
     COUNTIFS($AK$2:$AK$200,$G272)&gt;0,
     COUNTIFS($AL$2:$AL$200,$G272)&gt;0,
     COUNTIFS($AM$2:$AM$200,$G272)&gt;0,
     COUNTIFS($AN$2:$AN$200,$G272)&gt;0,
     COUNTIFS($AO$2:$AO$200,$G272)&gt;0,
     COUNTIFS($AP$2:$AP$200,$G272)&gt;0,
     COUNTIFS($AQ$2:$AQ$200,$G272)&gt;0,
     COUNTIFS($AR$2:$AR$200,$G272)&gt;0,
     COUNTIFS($AS$2:$AS$200,$G272)&gt;0,
     COUNTIFS($AT$2:$AT$200,$G272)&gt;0,
     COUNTIFS($AU$2:$AU$200,$G272)&gt;0,
     COUNTIFS($AV$2:$AV$200,$G272)&gt;0,
     COUNTIFS($AW$2:$AW$200,$G272)&gt;0,
     COUNTIFS($AX$2:$AX$200,$G272)&gt;0
   )),
  ),
  3
 ),
"")</f>
        <v/>
      </c>
      <c r="F272" s="3" t="str" cm="1">
        <f t="array" aca="1" ref="F272" ca="1">IFERROR(
 INDEX(
  _xlfn._xlws.FILTER($U$1:$AX$1,
   TRANSPOSE(
    CHOOSE({1;2;3;4;5;6;7;8;9;10;11;12;13;14;15;16;17;18;19;20;21;22;23;24;25;26;27;28;29;30},
     COUNTIFS($U$2:$U$200,$G272)&gt;0,
     COUNTIFS($V$2:$V$200,$G272)&gt;0,
     COUNTIFS($W$2:$W$200,$G272)&gt;0,
     COUNTIFS($X$2:$X$200,$G272)&gt;0,
     COUNTIFS($Y$2:$Y$200,$G272)&gt;0,
     COUNTIFS($Z$2:$Z$200,$G272)&gt;0,
     COUNTIFS($AA$2:$AA$200,$G272)&gt;0,
     COUNTIFS($AB$2:$AB$200,$G272)&gt;0,
     COUNTIFS($AC$2:$AC$200,$G272)&gt;0,
     COUNTIFS($AD$2:$AD$200,$G272)&gt;0,
     COUNTIFS($AE$2:$AE$200,$G272)&gt;0,
     COUNTIFS($AF$2:$AF$200,$G272)&gt;0,
     COUNTIFS($AG$2:$AG$200,$G272)&gt;0,
     COUNTIFS($AH$2:$AH$200,$G272)&gt;0,
     COUNTIFS($AI$2:$AI$200,$G272)&gt;0,
     COUNTIFS($AJ$2:$AJ$200,$G272)&gt;0,
     COUNTIFS($AK$2:$AK$200,$G272)&gt;0,
     COUNTIFS($AL$2:$AL$200,$G272)&gt;0,
     COUNTIFS($AM$2:$AM$200,$G272)&gt;0,
     COUNTIFS($AN$2:$AN$200,$G272)&gt;0,
     COUNTIFS($AO$2:$AO$200,$G272)&gt;0,
     COUNTIFS($AP$2:$AP$200,$G272)&gt;0,
     COUNTIFS($AQ$2:$AQ$200,$G272)&gt;0,
     COUNTIFS($AR$2:$AR$200,$G272)&gt;0,
     COUNTIFS($AS$2:$AS$200,$G272)&gt;0,
     COUNTIFS($AT$2:$AT$200,$G272)&gt;0,
     COUNTIFS($AU$2:$AU$200,$G272)&gt;0,
     COUNTIFS($AV$2:$AV$200,$G272)&gt;0,
     COUNTIFS($AW$2:$AW$200,$G272)&gt;0,
     COUNTIFS($AX$2:$AX$200,$G272)&gt;0
   )),
  ),
  4
 ),
"")</f>
        <v/>
      </c>
      <c r="G272" t="str">
        <f ca="1"/>
        <v>Satoru, the Infiltrator</v>
      </c>
    </row>
    <row r="273" spans="1:7" x14ac:dyDescent="0.25">
      <c r="A273" s="3" t="str">
        <f t="shared" ca="1" si="10"/>
        <v>3</v>
      </c>
      <c r="B273" s="3">
        <f t="shared" ca="1" si="11"/>
        <v>1</v>
      </c>
      <c r="C273" s="3" t="str">
        <f ca="1">IFERROR(
 INDEX($U$1:$AX$1,
  MATCH(TRUE,
   CHOOSE({1;2;3;4;5;6;7;8;9;10;11;12;13;14;15;16;17;18;19;20;21;22;23;24;25;26;27;28;29;30;31;32},
    COUNTIFS($U$2:$U$200,$G273)&gt;0,
    COUNTIFS($V$2:$V$200,$G273)&gt;0,
    COUNTIFS($W$2:$W$200,$G273)&gt;0,
    COUNTIFS($X$2:$X$200,$G273)&gt;0,
    COUNTIFS($Y$2:$Y$200,$G273)&gt;0,
    COUNTIFS($Z$2:$Z$200,$G273)&gt;0,
    COUNTIFS($AA$2:$AA$200,$G273)&gt;0,
    COUNTIFS($AB$2:$AB$200,$G273)&gt;0,
    COUNTIFS($AC$2:$AC$200,$G273)&gt;0,
    COUNTIFS($AD$2:$AD$200,$G273)&gt;0,
    COUNTIFS($AE$2:$AE$200,$G273)&gt;0,
    COUNTIFS($AF$2:$AF$200,$G273)&gt;0,
    COUNTIFS($AG$2:$AG$200,$G273)&gt;0,
    COUNTIFS($AH$2:$AH$200,$G273)&gt;0,
    COUNTIFS($AI$2:$AI$200,$G273)&gt;0,
    COUNTIFS($AJ$2:$AJ$200,$G273)&gt;0,
    COUNTIFS($AK$2:$AK$200,$G273)&gt;0,
    COUNTIFS($AL$2:$AL$200,$G273)&gt;0,
    COUNTIFS($AM$2:$AM$200,$G273)&gt;0,
    COUNTIFS($AN$2:$AN$200,$G273)&gt;0,
    COUNTIFS($AO$2:$AO$200,$G273)&gt;0,
    COUNTIFS($AP$2:$AP$200,$G273)&gt;0,
    COUNTIFS($AQ$2:$AQ$200,$G273)&gt;0,
    COUNTIFS($AR$2:$AR$200,$G273)&gt;0,
    COUNTIFS($AS$2:$AS$200,$G273)&gt;0,
    COUNTIFS($AT$2:$AT$200,$G273)&gt;0,
    COUNTIFS($AU$2:$AU$200,$G273)&gt;0,
    COUNTIFS($AV$2:$AV$200,$G273)&gt;0,
    COUNTIFS($AW$2:$AW$200,$G273)&gt;0,
    COUNTIFS($AX$2:$AX$200,$G273)&gt;0
   ),
  0)
 ),
"")</f>
        <v>Inalla</v>
      </c>
      <c r="D273" s="3" t="str" cm="1">
        <f t="array" aca="1" ref="D273" ca="1">IFERROR(
 INDEX(
  _xlfn._xlws.FILTER($U$1:$AX$1,
   TRANSPOSE(
    CHOOSE({1;2;3;4;5;6;7;8;9;10;11;12;13;14;15;16;17;18;19;20;21;22;23;24;25;26;27;28;29;30},
     COUNTIFS($U$2:$U$200,$G273)&gt;0,
     COUNTIFS($V$2:$V$200,$G273)&gt;0,
     COUNTIFS($W$2:$W$200,$G273)&gt;0,
     COUNTIFS($X$2:$X$200,$G273)&gt;0,
     COUNTIFS($Y$2:$Y$200,$G273)&gt;0,
     COUNTIFS($Z$2:$Z$200,$G273)&gt;0,
     COUNTIFS($AA$2:$AA$200,$G273)&gt;0,
     COUNTIFS($AB$2:$AB$200,$G273)&gt;0,
     COUNTIFS($AC$2:$AC$200,$G273)&gt;0,
     COUNTIFS($AD$2:$AD$200,$G273)&gt;0,
     COUNTIFS($AE$2:$AE$200,$G273)&gt;0,
     COUNTIFS($AF$2:$AF$200,$G273)&gt;0,
     COUNTIFS($AG$2:$AG$200,$G273)&gt;0,
     COUNTIFS($AH$2:$AH$200,$G273)&gt;0,
     COUNTIFS($AI$2:$AI$200,$G273)&gt;0,
     COUNTIFS($AJ$2:$AJ$200,$G273)&gt;0,
     COUNTIFS($AK$2:$AK$200,$G273)&gt;0,
     COUNTIFS($AL$2:$AL$200,$G273)&gt;0,
     COUNTIFS($AM$2:$AM$200,$G273)&gt;0,
     COUNTIFS($AN$2:$AN$200,$G273)&gt;0,
     COUNTIFS($AO$2:$AO$200,$G273)&gt;0,
     COUNTIFS($AP$2:$AP$200,$G273)&gt;0,
     COUNTIFS($AQ$2:$AQ$200,$G273)&gt;0,
     COUNTIFS($AR$2:$AR$200,$G273)&gt;0,
     COUNTIFS($AS$2:$AS$200,$G273)&gt;0,
     COUNTIFS($AT$2:$AT$200,$G273)&gt;0,
     COUNTIFS($AU$2:$AU$200,$G273)&gt;0,
     COUNTIFS($AV$2:$AV$200,$G273)&gt;0,
     COUNTIFS($AW$2:$AW$200,$G273)&gt;0,
     COUNTIFS($AX$2:$AX$200,$G273)&gt;0
   )),
  ),
  2
 ),
"")</f>
        <v/>
      </c>
      <c r="E273" s="3" t="str" cm="1">
        <f t="array" aca="1" ref="E273" ca="1">IFERROR(
 INDEX(
  _xlfn._xlws.FILTER($U$1:$AX$1,
   TRANSPOSE(
    CHOOSE({1;2;3;4;5;6;7;8;9;10;11;12;13;14;15;16;17;18;19;20;21;22;23;24;25;26;27;28;29;30},
     COUNTIFS($U$2:$U$200,$G273)&gt;0,
     COUNTIFS($V$2:$V$200,$G273)&gt;0,
     COUNTIFS($W$2:$W$200,$G273)&gt;0,
     COUNTIFS($X$2:$X$200,$G273)&gt;0,
     COUNTIFS($Y$2:$Y$200,$G273)&gt;0,
     COUNTIFS($Z$2:$Z$200,$G273)&gt;0,
     COUNTIFS($AA$2:$AA$200,$G273)&gt;0,
     COUNTIFS($AB$2:$AB$200,$G273)&gt;0,
     COUNTIFS($AC$2:$AC$200,$G273)&gt;0,
     COUNTIFS($AD$2:$AD$200,$G273)&gt;0,
     COUNTIFS($AE$2:$AE$200,$G273)&gt;0,
     COUNTIFS($AF$2:$AF$200,$G273)&gt;0,
     COUNTIFS($AG$2:$AG$200,$G273)&gt;0,
     COUNTIFS($AH$2:$AH$200,$G273)&gt;0,
     COUNTIFS($AI$2:$AI$200,$G273)&gt;0,
     COUNTIFS($AJ$2:$AJ$200,$G273)&gt;0,
     COUNTIFS($AK$2:$AK$200,$G273)&gt;0,
     COUNTIFS($AL$2:$AL$200,$G273)&gt;0,
     COUNTIFS($AM$2:$AM$200,$G273)&gt;0,
     COUNTIFS($AN$2:$AN$200,$G273)&gt;0,
     COUNTIFS($AO$2:$AO$200,$G273)&gt;0,
     COUNTIFS($AP$2:$AP$200,$G273)&gt;0,
     COUNTIFS($AQ$2:$AQ$200,$G273)&gt;0,
     COUNTIFS($AR$2:$AR$200,$G273)&gt;0,
     COUNTIFS($AS$2:$AS$200,$G273)&gt;0,
     COUNTIFS($AT$2:$AT$200,$G273)&gt;0,
     COUNTIFS($AU$2:$AU$200,$G273)&gt;0,
     COUNTIFS($AV$2:$AV$200,$G273)&gt;0,
     COUNTIFS($AW$2:$AW$200,$G273)&gt;0,
     COUNTIFS($AX$2:$AX$200,$G273)&gt;0
   )),
  ),
  3
 ),
"")</f>
        <v/>
      </c>
      <c r="F273" s="3" t="str" cm="1">
        <f t="array" aca="1" ref="F273" ca="1">IFERROR(
 INDEX(
  _xlfn._xlws.FILTER($U$1:$AX$1,
   TRANSPOSE(
    CHOOSE({1;2;3;4;5;6;7;8;9;10;11;12;13;14;15;16;17;18;19;20;21;22;23;24;25;26;27;28;29;30},
     COUNTIFS($U$2:$U$200,$G273)&gt;0,
     COUNTIFS($V$2:$V$200,$G273)&gt;0,
     COUNTIFS($W$2:$W$200,$G273)&gt;0,
     COUNTIFS($X$2:$X$200,$G273)&gt;0,
     COUNTIFS($Y$2:$Y$200,$G273)&gt;0,
     COUNTIFS($Z$2:$Z$200,$G273)&gt;0,
     COUNTIFS($AA$2:$AA$200,$G273)&gt;0,
     COUNTIFS($AB$2:$AB$200,$G273)&gt;0,
     COUNTIFS($AC$2:$AC$200,$G273)&gt;0,
     COUNTIFS($AD$2:$AD$200,$G273)&gt;0,
     COUNTIFS($AE$2:$AE$200,$G273)&gt;0,
     COUNTIFS($AF$2:$AF$200,$G273)&gt;0,
     COUNTIFS($AG$2:$AG$200,$G273)&gt;0,
     COUNTIFS($AH$2:$AH$200,$G273)&gt;0,
     COUNTIFS($AI$2:$AI$200,$G273)&gt;0,
     COUNTIFS($AJ$2:$AJ$200,$G273)&gt;0,
     COUNTIFS($AK$2:$AK$200,$G273)&gt;0,
     COUNTIFS($AL$2:$AL$200,$G273)&gt;0,
     COUNTIFS($AM$2:$AM$200,$G273)&gt;0,
     COUNTIFS($AN$2:$AN$200,$G273)&gt;0,
     COUNTIFS($AO$2:$AO$200,$G273)&gt;0,
     COUNTIFS($AP$2:$AP$200,$G273)&gt;0,
     COUNTIFS($AQ$2:$AQ$200,$G273)&gt;0,
     COUNTIFS($AR$2:$AR$200,$G273)&gt;0,
     COUNTIFS($AS$2:$AS$200,$G273)&gt;0,
     COUNTIFS($AT$2:$AT$200,$G273)&gt;0,
     COUNTIFS($AU$2:$AU$200,$G273)&gt;0,
     COUNTIFS($AV$2:$AV$200,$G273)&gt;0,
     COUNTIFS($AW$2:$AW$200,$G273)&gt;0,
     COUNTIFS($AX$2:$AX$200,$G273)&gt;0
   )),
  ),
  4
 ),
"")</f>
        <v/>
      </c>
      <c r="G273" t="str">
        <f ca="1"/>
        <v>Saw in Half</v>
      </c>
    </row>
    <row r="274" spans="1:7" x14ac:dyDescent="0.25">
      <c r="A274" s="3" t="str">
        <f t="shared" ca="1" si="10"/>
        <v>3</v>
      </c>
      <c r="B274" s="3">
        <f t="shared" ca="1" si="11"/>
        <v>1</v>
      </c>
      <c r="C274" s="3" t="str">
        <f ca="1">IFERROR(
 INDEX($U$1:$AX$1,
  MATCH(TRUE,
   CHOOSE({1;2;3;4;5;6;7;8;9;10;11;12;13;14;15;16;17;18;19;20;21;22;23;24;25;26;27;28;29;30;31;32},
    COUNTIFS($U$2:$U$200,$G274)&gt;0,
    COUNTIFS($V$2:$V$200,$G274)&gt;0,
    COUNTIFS($W$2:$W$200,$G274)&gt;0,
    COUNTIFS($X$2:$X$200,$G274)&gt;0,
    COUNTIFS($Y$2:$Y$200,$G274)&gt;0,
    COUNTIFS($Z$2:$Z$200,$G274)&gt;0,
    COUNTIFS($AA$2:$AA$200,$G274)&gt;0,
    COUNTIFS($AB$2:$AB$200,$G274)&gt;0,
    COUNTIFS($AC$2:$AC$200,$G274)&gt;0,
    COUNTIFS($AD$2:$AD$200,$G274)&gt;0,
    COUNTIFS($AE$2:$AE$200,$G274)&gt;0,
    COUNTIFS($AF$2:$AF$200,$G274)&gt;0,
    COUNTIFS($AG$2:$AG$200,$G274)&gt;0,
    COUNTIFS($AH$2:$AH$200,$G274)&gt;0,
    COUNTIFS($AI$2:$AI$200,$G274)&gt;0,
    COUNTIFS($AJ$2:$AJ$200,$G274)&gt;0,
    COUNTIFS($AK$2:$AK$200,$G274)&gt;0,
    COUNTIFS($AL$2:$AL$200,$G274)&gt;0,
    COUNTIFS($AM$2:$AM$200,$G274)&gt;0,
    COUNTIFS($AN$2:$AN$200,$G274)&gt;0,
    COUNTIFS($AO$2:$AO$200,$G274)&gt;0,
    COUNTIFS($AP$2:$AP$200,$G274)&gt;0,
    COUNTIFS($AQ$2:$AQ$200,$G274)&gt;0,
    COUNTIFS($AR$2:$AR$200,$G274)&gt;0,
    COUNTIFS($AS$2:$AS$200,$G274)&gt;0,
    COUNTIFS($AT$2:$AT$200,$G274)&gt;0,
    COUNTIFS($AU$2:$AU$200,$G274)&gt;0,
    COUNTIFS($AV$2:$AV$200,$G274)&gt;0,
    COUNTIFS($AW$2:$AW$200,$G274)&gt;0,
    COUNTIFS($AX$2:$AX$200,$G274)&gt;0
   ),
  0)
 ),
"")</f>
        <v>Zimone</v>
      </c>
      <c r="D274" s="3" t="str" cm="1">
        <f t="array" aca="1" ref="D274" ca="1">IFERROR(
 INDEX(
  _xlfn._xlws.FILTER($U$1:$AX$1,
   TRANSPOSE(
    CHOOSE({1;2;3;4;5;6;7;8;9;10;11;12;13;14;15;16;17;18;19;20;21;22;23;24;25;26;27;28;29;30},
     COUNTIFS($U$2:$U$200,$G274)&gt;0,
     COUNTIFS($V$2:$V$200,$G274)&gt;0,
     COUNTIFS($W$2:$W$200,$G274)&gt;0,
     COUNTIFS($X$2:$X$200,$G274)&gt;0,
     COUNTIFS($Y$2:$Y$200,$G274)&gt;0,
     COUNTIFS($Z$2:$Z$200,$G274)&gt;0,
     COUNTIFS($AA$2:$AA$200,$G274)&gt;0,
     COUNTIFS($AB$2:$AB$200,$G274)&gt;0,
     COUNTIFS($AC$2:$AC$200,$G274)&gt;0,
     COUNTIFS($AD$2:$AD$200,$G274)&gt;0,
     COUNTIFS($AE$2:$AE$200,$G274)&gt;0,
     COUNTIFS($AF$2:$AF$200,$G274)&gt;0,
     COUNTIFS($AG$2:$AG$200,$G274)&gt;0,
     COUNTIFS($AH$2:$AH$200,$G274)&gt;0,
     COUNTIFS($AI$2:$AI$200,$G274)&gt;0,
     COUNTIFS($AJ$2:$AJ$200,$G274)&gt;0,
     COUNTIFS($AK$2:$AK$200,$G274)&gt;0,
     COUNTIFS($AL$2:$AL$200,$G274)&gt;0,
     COUNTIFS($AM$2:$AM$200,$G274)&gt;0,
     COUNTIFS($AN$2:$AN$200,$G274)&gt;0,
     COUNTIFS($AO$2:$AO$200,$G274)&gt;0,
     COUNTIFS($AP$2:$AP$200,$G274)&gt;0,
     COUNTIFS($AQ$2:$AQ$200,$G274)&gt;0,
     COUNTIFS($AR$2:$AR$200,$G274)&gt;0,
     COUNTIFS($AS$2:$AS$200,$G274)&gt;0,
     COUNTIFS($AT$2:$AT$200,$G274)&gt;0,
     COUNTIFS($AU$2:$AU$200,$G274)&gt;0,
     COUNTIFS($AV$2:$AV$200,$G274)&gt;0,
     COUNTIFS($AW$2:$AW$200,$G274)&gt;0,
     COUNTIFS($AX$2:$AX$200,$G274)&gt;0
   )),
  ),
  2
 ),
"")</f>
        <v/>
      </c>
      <c r="E274" s="3" t="str" cm="1">
        <f t="array" aca="1" ref="E274" ca="1">IFERROR(
 INDEX(
  _xlfn._xlws.FILTER($U$1:$AX$1,
   TRANSPOSE(
    CHOOSE({1;2;3;4;5;6;7;8;9;10;11;12;13;14;15;16;17;18;19;20;21;22;23;24;25;26;27;28;29;30},
     COUNTIFS($U$2:$U$200,$G274)&gt;0,
     COUNTIFS($V$2:$V$200,$G274)&gt;0,
     COUNTIFS($W$2:$W$200,$G274)&gt;0,
     COUNTIFS($X$2:$X$200,$G274)&gt;0,
     COUNTIFS($Y$2:$Y$200,$G274)&gt;0,
     COUNTIFS($Z$2:$Z$200,$G274)&gt;0,
     COUNTIFS($AA$2:$AA$200,$G274)&gt;0,
     COUNTIFS($AB$2:$AB$200,$G274)&gt;0,
     COUNTIFS($AC$2:$AC$200,$G274)&gt;0,
     COUNTIFS($AD$2:$AD$200,$G274)&gt;0,
     COUNTIFS($AE$2:$AE$200,$G274)&gt;0,
     COUNTIFS($AF$2:$AF$200,$G274)&gt;0,
     COUNTIFS($AG$2:$AG$200,$G274)&gt;0,
     COUNTIFS($AH$2:$AH$200,$G274)&gt;0,
     COUNTIFS($AI$2:$AI$200,$G274)&gt;0,
     COUNTIFS($AJ$2:$AJ$200,$G274)&gt;0,
     COUNTIFS($AK$2:$AK$200,$G274)&gt;0,
     COUNTIFS($AL$2:$AL$200,$G274)&gt;0,
     COUNTIFS($AM$2:$AM$200,$G274)&gt;0,
     COUNTIFS($AN$2:$AN$200,$G274)&gt;0,
     COUNTIFS($AO$2:$AO$200,$G274)&gt;0,
     COUNTIFS($AP$2:$AP$200,$G274)&gt;0,
     COUNTIFS($AQ$2:$AQ$200,$G274)&gt;0,
     COUNTIFS($AR$2:$AR$200,$G274)&gt;0,
     COUNTIFS($AS$2:$AS$200,$G274)&gt;0,
     COUNTIFS($AT$2:$AT$200,$G274)&gt;0,
     COUNTIFS($AU$2:$AU$200,$G274)&gt;0,
     COUNTIFS($AV$2:$AV$200,$G274)&gt;0,
     COUNTIFS($AW$2:$AW$200,$G274)&gt;0,
     COUNTIFS($AX$2:$AX$200,$G274)&gt;0
   )),
  ),
  3
 ),
"")</f>
        <v/>
      </c>
      <c r="F274" s="3" t="str" cm="1">
        <f t="array" aca="1" ref="F274" ca="1">IFERROR(
 INDEX(
  _xlfn._xlws.FILTER($U$1:$AX$1,
   TRANSPOSE(
    CHOOSE({1;2;3;4;5;6;7;8;9;10;11;12;13;14;15;16;17;18;19;20;21;22;23;24;25;26;27;28;29;30},
     COUNTIFS($U$2:$U$200,$G274)&gt;0,
     COUNTIFS($V$2:$V$200,$G274)&gt;0,
     COUNTIFS($W$2:$W$200,$G274)&gt;0,
     COUNTIFS($X$2:$X$200,$G274)&gt;0,
     COUNTIFS($Y$2:$Y$200,$G274)&gt;0,
     COUNTIFS($Z$2:$Z$200,$G274)&gt;0,
     COUNTIFS($AA$2:$AA$200,$G274)&gt;0,
     COUNTIFS($AB$2:$AB$200,$G274)&gt;0,
     COUNTIFS($AC$2:$AC$200,$G274)&gt;0,
     COUNTIFS($AD$2:$AD$200,$G274)&gt;0,
     COUNTIFS($AE$2:$AE$200,$G274)&gt;0,
     COUNTIFS($AF$2:$AF$200,$G274)&gt;0,
     COUNTIFS($AG$2:$AG$200,$G274)&gt;0,
     COUNTIFS($AH$2:$AH$200,$G274)&gt;0,
     COUNTIFS($AI$2:$AI$200,$G274)&gt;0,
     COUNTIFS($AJ$2:$AJ$200,$G274)&gt;0,
     COUNTIFS($AK$2:$AK$200,$G274)&gt;0,
     COUNTIFS($AL$2:$AL$200,$G274)&gt;0,
     COUNTIFS($AM$2:$AM$200,$G274)&gt;0,
     COUNTIFS($AN$2:$AN$200,$G274)&gt;0,
     COUNTIFS($AO$2:$AO$200,$G274)&gt;0,
     COUNTIFS($AP$2:$AP$200,$G274)&gt;0,
     COUNTIFS($AQ$2:$AQ$200,$G274)&gt;0,
     COUNTIFS($AR$2:$AR$200,$G274)&gt;0,
     COUNTIFS($AS$2:$AS$200,$G274)&gt;0,
     COUNTIFS($AT$2:$AT$200,$G274)&gt;0,
     COUNTIFS($AU$2:$AU$200,$G274)&gt;0,
     COUNTIFS($AV$2:$AV$200,$G274)&gt;0,
     COUNTIFS($AW$2:$AW$200,$G274)&gt;0,
     COUNTIFS($AX$2:$AX$200,$G274)&gt;0
   )),
  ),
  4
 ),
"")</f>
        <v/>
      </c>
      <c r="G274" t="str">
        <f ca="1"/>
        <v>Scalding Tarn</v>
      </c>
    </row>
    <row r="275" spans="1:7" x14ac:dyDescent="0.25">
      <c r="A275" s="3" t="str">
        <f t="shared" ca="1" si="10"/>
        <v>4</v>
      </c>
      <c r="B275" s="3">
        <f t="shared" ca="1" si="11"/>
        <v>1</v>
      </c>
      <c r="C275" s="3" t="str">
        <f ca="1">IFERROR(
 INDEX($U$1:$AX$1,
  MATCH(TRUE,
   CHOOSE({1;2;3;4;5;6;7;8;9;10;11;12;13;14;15;16;17;18;19;20;21;22;23;24;25;26;27;28;29;30;31;32},
    COUNTIFS($U$2:$U$200,$G275)&gt;0,
    COUNTIFS($V$2:$V$200,$G275)&gt;0,
    COUNTIFS($W$2:$W$200,$G275)&gt;0,
    COUNTIFS($X$2:$X$200,$G275)&gt;0,
    COUNTIFS($Y$2:$Y$200,$G275)&gt;0,
    COUNTIFS($Z$2:$Z$200,$G275)&gt;0,
    COUNTIFS($AA$2:$AA$200,$G275)&gt;0,
    COUNTIFS($AB$2:$AB$200,$G275)&gt;0,
    COUNTIFS($AC$2:$AC$200,$G275)&gt;0,
    COUNTIFS($AD$2:$AD$200,$G275)&gt;0,
    COUNTIFS($AE$2:$AE$200,$G275)&gt;0,
    COUNTIFS($AF$2:$AF$200,$G275)&gt;0,
    COUNTIFS($AG$2:$AG$200,$G275)&gt;0,
    COUNTIFS($AH$2:$AH$200,$G275)&gt;0,
    COUNTIFS($AI$2:$AI$200,$G275)&gt;0,
    COUNTIFS($AJ$2:$AJ$200,$G275)&gt;0,
    COUNTIFS($AK$2:$AK$200,$G275)&gt;0,
    COUNTIFS($AL$2:$AL$200,$G275)&gt;0,
    COUNTIFS($AM$2:$AM$200,$G275)&gt;0,
    COUNTIFS($AN$2:$AN$200,$G275)&gt;0,
    COUNTIFS($AO$2:$AO$200,$G275)&gt;0,
    COUNTIFS($AP$2:$AP$200,$G275)&gt;0,
    COUNTIFS($AQ$2:$AQ$200,$G275)&gt;0,
    COUNTIFS($AR$2:$AR$200,$G275)&gt;0,
    COUNTIFS($AS$2:$AS$200,$G275)&gt;0,
    COUNTIFS($AT$2:$AT$200,$G275)&gt;0,
    COUNTIFS($AU$2:$AU$200,$G275)&gt;0,
    COUNTIFS($AV$2:$AV$200,$G275)&gt;0,
    COUNTIFS($AW$2:$AW$200,$G275)&gt;0,
    COUNTIFS($AX$2:$AX$200,$G275)&gt;0
   ),
  0)
 ),
"")</f>
        <v>OWA</v>
      </c>
      <c r="D275" s="3" t="str" cm="1">
        <f t="array" aca="1" ref="D275" ca="1">IFERROR(
 INDEX(
  _xlfn._xlws.FILTER($U$1:$AX$1,
   TRANSPOSE(
    CHOOSE({1;2;3;4;5;6;7;8;9;10;11;12;13;14;15;16;17;18;19;20;21;22;23;24;25;26;27;28;29;30},
     COUNTIFS($U$2:$U$200,$G275)&gt;0,
     COUNTIFS($V$2:$V$200,$G275)&gt;0,
     COUNTIFS($W$2:$W$200,$G275)&gt;0,
     COUNTIFS($X$2:$X$200,$G275)&gt;0,
     COUNTIFS($Y$2:$Y$200,$G275)&gt;0,
     COUNTIFS($Z$2:$Z$200,$G275)&gt;0,
     COUNTIFS($AA$2:$AA$200,$G275)&gt;0,
     COUNTIFS($AB$2:$AB$200,$G275)&gt;0,
     COUNTIFS($AC$2:$AC$200,$G275)&gt;0,
     COUNTIFS($AD$2:$AD$200,$G275)&gt;0,
     COUNTIFS($AE$2:$AE$200,$G275)&gt;0,
     COUNTIFS($AF$2:$AF$200,$G275)&gt;0,
     COUNTIFS($AG$2:$AG$200,$G275)&gt;0,
     COUNTIFS($AH$2:$AH$200,$G275)&gt;0,
     COUNTIFS($AI$2:$AI$200,$G275)&gt;0,
     COUNTIFS($AJ$2:$AJ$200,$G275)&gt;0,
     COUNTIFS($AK$2:$AK$200,$G275)&gt;0,
     COUNTIFS($AL$2:$AL$200,$G275)&gt;0,
     COUNTIFS($AM$2:$AM$200,$G275)&gt;0,
     COUNTIFS($AN$2:$AN$200,$G275)&gt;0,
     COUNTIFS($AO$2:$AO$200,$G275)&gt;0,
     COUNTIFS($AP$2:$AP$200,$G275)&gt;0,
     COUNTIFS($AQ$2:$AQ$200,$G275)&gt;0,
     COUNTIFS($AR$2:$AR$200,$G275)&gt;0,
     COUNTIFS($AS$2:$AS$200,$G275)&gt;0,
     COUNTIFS($AT$2:$AT$200,$G275)&gt;0,
     COUNTIFS($AU$2:$AU$200,$G275)&gt;0,
     COUNTIFS($AV$2:$AV$200,$G275)&gt;0,
     COUNTIFS($AW$2:$AW$200,$G275)&gt;0,
     COUNTIFS($AX$2:$AX$200,$G275)&gt;0
   )),
  ),
  2
 ),
"")</f>
        <v/>
      </c>
      <c r="E275" s="3" t="str" cm="1">
        <f t="array" aca="1" ref="E275" ca="1">IFERROR(
 INDEX(
  _xlfn._xlws.FILTER($U$1:$AX$1,
   TRANSPOSE(
    CHOOSE({1;2;3;4;5;6;7;8;9;10;11;12;13;14;15;16;17;18;19;20;21;22;23;24;25;26;27;28;29;30},
     COUNTIFS($U$2:$U$200,$G275)&gt;0,
     COUNTIFS($V$2:$V$200,$G275)&gt;0,
     COUNTIFS($W$2:$W$200,$G275)&gt;0,
     COUNTIFS($X$2:$X$200,$G275)&gt;0,
     COUNTIFS($Y$2:$Y$200,$G275)&gt;0,
     COUNTIFS($Z$2:$Z$200,$G275)&gt;0,
     COUNTIFS($AA$2:$AA$200,$G275)&gt;0,
     COUNTIFS($AB$2:$AB$200,$G275)&gt;0,
     COUNTIFS($AC$2:$AC$200,$G275)&gt;0,
     COUNTIFS($AD$2:$AD$200,$G275)&gt;0,
     COUNTIFS($AE$2:$AE$200,$G275)&gt;0,
     COUNTIFS($AF$2:$AF$200,$G275)&gt;0,
     COUNTIFS($AG$2:$AG$200,$G275)&gt;0,
     COUNTIFS($AH$2:$AH$200,$G275)&gt;0,
     COUNTIFS($AI$2:$AI$200,$G275)&gt;0,
     COUNTIFS($AJ$2:$AJ$200,$G275)&gt;0,
     COUNTIFS($AK$2:$AK$200,$G275)&gt;0,
     COUNTIFS($AL$2:$AL$200,$G275)&gt;0,
     COUNTIFS($AM$2:$AM$200,$G275)&gt;0,
     COUNTIFS($AN$2:$AN$200,$G275)&gt;0,
     COUNTIFS($AO$2:$AO$200,$G275)&gt;0,
     COUNTIFS($AP$2:$AP$200,$G275)&gt;0,
     COUNTIFS($AQ$2:$AQ$200,$G275)&gt;0,
     COUNTIFS($AR$2:$AR$200,$G275)&gt;0,
     COUNTIFS($AS$2:$AS$200,$G275)&gt;0,
     COUNTIFS($AT$2:$AT$200,$G275)&gt;0,
     COUNTIFS($AU$2:$AU$200,$G275)&gt;0,
     COUNTIFS($AV$2:$AV$200,$G275)&gt;0,
     COUNTIFS($AW$2:$AW$200,$G275)&gt;0,
     COUNTIFS($AX$2:$AX$200,$G275)&gt;0
   )),
  ),
  3
 ),
"")</f>
        <v/>
      </c>
      <c r="F275" s="3" t="str" cm="1">
        <f t="array" aca="1" ref="F275" ca="1">IFERROR(
 INDEX(
  _xlfn._xlws.FILTER($U$1:$AX$1,
   TRANSPOSE(
    CHOOSE({1;2;3;4;5;6;7;8;9;10;11;12;13;14;15;16;17;18;19;20;21;22;23;24;25;26;27;28;29;30},
     COUNTIFS($U$2:$U$200,$G275)&gt;0,
     COUNTIFS($V$2:$V$200,$G275)&gt;0,
     COUNTIFS($W$2:$W$200,$G275)&gt;0,
     COUNTIFS($X$2:$X$200,$G275)&gt;0,
     COUNTIFS($Y$2:$Y$200,$G275)&gt;0,
     COUNTIFS($Z$2:$Z$200,$G275)&gt;0,
     COUNTIFS($AA$2:$AA$200,$G275)&gt;0,
     COUNTIFS($AB$2:$AB$200,$G275)&gt;0,
     COUNTIFS($AC$2:$AC$200,$G275)&gt;0,
     COUNTIFS($AD$2:$AD$200,$G275)&gt;0,
     COUNTIFS($AE$2:$AE$200,$G275)&gt;0,
     COUNTIFS($AF$2:$AF$200,$G275)&gt;0,
     COUNTIFS($AG$2:$AG$200,$G275)&gt;0,
     COUNTIFS($AH$2:$AH$200,$G275)&gt;0,
     COUNTIFS($AI$2:$AI$200,$G275)&gt;0,
     COUNTIFS($AJ$2:$AJ$200,$G275)&gt;0,
     COUNTIFS($AK$2:$AK$200,$G275)&gt;0,
     COUNTIFS($AL$2:$AL$200,$G275)&gt;0,
     COUNTIFS($AM$2:$AM$200,$G275)&gt;0,
     COUNTIFS($AN$2:$AN$200,$G275)&gt;0,
     COUNTIFS($AO$2:$AO$200,$G275)&gt;0,
     COUNTIFS($AP$2:$AP$200,$G275)&gt;0,
     COUNTIFS($AQ$2:$AQ$200,$G275)&gt;0,
     COUNTIFS($AR$2:$AR$200,$G275)&gt;0,
     COUNTIFS($AS$2:$AS$200,$G275)&gt;0,
     COUNTIFS($AT$2:$AT$200,$G275)&gt;0,
     COUNTIFS($AU$2:$AU$200,$G275)&gt;0,
     COUNTIFS($AV$2:$AV$200,$G275)&gt;0,
     COUNTIFS($AW$2:$AW$200,$G275)&gt;0,
     COUNTIFS($AX$2:$AX$200,$G275)&gt;0
   )),
  ),
  4
 ),
"")</f>
        <v/>
      </c>
      <c r="G275" t="str">
        <f ca="1"/>
        <v>Scattered Groves</v>
      </c>
    </row>
    <row r="276" spans="1:7" x14ac:dyDescent="0.25">
      <c r="A276" s="3" t="str">
        <f t="shared" ca="1" si="10"/>
        <v>1</v>
      </c>
      <c r="B276" s="3">
        <f t="shared" ca="1" si="11"/>
        <v>1</v>
      </c>
      <c r="C276" s="3" t="str">
        <f ca="1">IFERROR(
 INDEX($U$1:$AX$1,
  MATCH(TRUE,
   CHOOSE({1;2;3;4;5;6;7;8;9;10;11;12;13;14;15;16;17;18;19;20;21;22;23;24;25;26;27;28;29;30;31;32},
    COUNTIFS($U$2:$U$200,$G276)&gt;0,
    COUNTIFS($V$2:$V$200,$G276)&gt;0,
    COUNTIFS($W$2:$W$200,$G276)&gt;0,
    COUNTIFS($X$2:$X$200,$G276)&gt;0,
    COUNTIFS($Y$2:$Y$200,$G276)&gt;0,
    COUNTIFS($Z$2:$Z$200,$G276)&gt;0,
    COUNTIFS($AA$2:$AA$200,$G276)&gt;0,
    COUNTIFS($AB$2:$AB$200,$G276)&gt;0,
    COUNTIFS($AC$2:$AC$200,$G276)&gt;0,
    COUNTIFS($AD$2:$AD$200,$G276)&gt;0,
    COUNTIFS($AE$2:$AE$200,$G276)&gt;0,
    COUNTIFS($AF$2:$AF$200,$G276)&gt;0,
    COUNTIFS($AG$2:$AG$200,$G276)&gt;0,
    COUNTIFS($AH$2:$AH$200,$G276)&gt;0,
    COUNTIFS($AI$2:$AI$200,$G276)&gt;0,
    COUNTIFS($AJ$2:$AJ$200,$G276)&gt;0,
    COUNTIFS($AK$2:$AK$200,$G276)&gt;0,
    COUNTIFS($AL$2:$AL$200,$G276)&gt;0,
    COUNTIFS($AM$2:$AM$200,$G276)&gt;0,
    COUNTIFS($AN$2:$AN$200,$G276)&gt;0,
    COUNTIFS($AO$2:$AO$200,$G276)&gt;0,
    COUNTIFS($AP$2:$AP$200,$G276)&gt;0,
    COUNTIFS($AQ$2:$AQ$200,$G276)&gt;0,
    COUNTIFS($AR$2:$AR$200,$G276)&gt;0,
    COUNTIFS($AS$2:$AS$200,$G276)&gt;0,
    COUNTIFS($AT$2:$AT$200,$G276)&gt;0,
    COUNTIFS($AU$2:$AU$200,$G276)&gt;0,
    COUNTIFS($AV$2:$AV$200,$G276)&gt;0,
    COUNTIFS($AW$2:$AW$200,$G276)&gt;0,
    COUNTIFS($AX$2:$AX$200,$G276)&gt;0
   ),
  0)
 ),
"")</f>
        <v>Tayam</v>
      </c>
      <c r="D276" s="3" t="str" cm="1">
        <f t="array" aca="1" ref="D276" ca="1">IFERROR(
 INDEX(
  _xlfn._xlws.FILTER($U$1:$AX$1,
   TRANSPOSE(
    CHOOSE({1;2;3;4;5;6;7;8;9;10;11;12;13;14;15;16;17;18;19;20;21;22;23;24;25;26;27;28;29;30},
     COUNTIFS($U$2:$U$200,$G276)&gt;0,
     COUNTIFS($V$2:$V$200,$G276)&gt;0,
     COUNTIFS($W$2:$W$200,$G276)&gt;0,
     COUNTIFS($X$2:$X$200,$G276)&gt;0,
     COUNTIFS($Y$2:$Y$200,$G276)&gt;0,
     COUNTIFS($Z$2:$Z$200,$G276)&gt;0,
     COUNTIFS($AA$2:$AA$200,$G276)&gt;0,
     COUNTIFS($AB$2:$AB$200,$G276)&gt;0,
     COUNTIFS($AC$2:$AC$200,$G276)&gt;0,
     COUNTIFS($AD$2:$AD$200,$G276)&gt;0,
     COUNTIFS($AE$2:$AE$200,$G276)&gt;0,
     COUNTIFS($AF$2:$AF$200,$G276)&gt;0,
     COUNTIFS($AG$2:$AG$200,$G276)&gt;0,
     COUNTIFS($AH$2:$AH$200,$G276)&gt;0,
     COUNTIFS($AI$2:$AI$200,$G276)&gt;0,
     COUNTIFS($AJ$2:$AJ$200,$G276)&gt;0,
     COUNTIFS($AK$2:$AK$200,$G276)&gt;0,
     COUNTIFS($AL$2:$AL$200,$G276)&gt;0,
     COUNTIFS($AM$2:$AM$200,$G276)&gt;0,
     COUNTIFS($AN$2:$AN$200,$G276)&gt;0,
     COUNTIFS($AO$2:$AO$200,$G276)&gt;0,
     COUNTIFS($AP$2:$AP$200,$G276)&gt;0,
     COUNTIFS($AQ$2:$AQ$200,$G276)&gt;0,
     COUNTIFS($AR$2:$AR$200,$G276)&gt;0,
     COUNTIFS($AS$2:$AS$200,$G276)&gt;0,
     COUNTIFS($AT$2:$AT$200,$G276)&gt;0,
     COUNTIFS($AU$2:$AU$200,$G276)&gt;0,
     COUNTIFS($AV$2:$AV$200,$G276)&gt;0,
     COUNTIFS($AW$2:$AW$200,$G276)&gt;0,
     COUNTIFS($AX$2:$AX$200,$G276)&gt;0
   )),
  ),
  2
 ),
"")</f>
        <v/>
      </c>
      <c r="E276" s="3" t="str" cm="1">
        <f t="array" aca="1" ref="E276" ca="1">IFERROR(
 INDEX(
  _xlfn._xlws.FILTER($U$1:$AX$1,
   TRANSPOSE(
    CHOOSE({1;2;3;4;5;6;7;8;9;10;11;12;13;14;15;16;17;18;19;20;21;22;23;24;25;26;27;28;29;30},
     COUNTIFS($U$2:$U$200,$G276)&gt;0,
     COUNTIFS($V$2:$V$200,$G276)&gt;0,
     COUNTIFS($W$2:$W$200,$G276)&gt;0,
     COUNTIFS($X$2:$X$200,$G276)&gt;0,
     COUNTIFS($Y$2:$Y$200,$G276)&gt;0,
     COUNTIFS($Z$2:$Z$200,$G276)&gt;0,
     COUNTIFS($AA$2:$AA$200,$G276)&gt;0,
     COUNTIFS($AB$2:$AB$200,$G276)&gt;0,
     COUNTIFS($AC$2:$AC$200,$G276)&gt;0,
     COUNTIFS($AD$2:$AD$200,$G276)&gt;0,
     COUNTIFS($AE$2:$AE$200,$G276)&gt;0,
     COUNTIFS($AF$2:$AF$200,$G276)&gt;0,
     COUNTIFS($AG$2:$AG$200,$G276)&gt;0,
     COUNTIFS($AH$2:$AH$200,$G276)&gt;0,
     COUNTIFS($AI$2:$AI$200,$G276)&gt;0,
     COUNTIFS($AJ$2:$AJ$200,$G276)&gt;0,
     COUNTIFS($AK$2:$AK$200,$G276)&gt;0,
     COUNTIFS($AL$2:$AL$200,$G276)&gt;0,
     COUNTIFS($AM$2:$AM$200,$G276)&gt;0,
     COUNTIFS($AN$2:$AN$200,$G276)&gt;0,
     COUNTIFS($AO$2:$AO$200,$G276)&gt;0,
     COUNTIFS($AP$2:$AP$200,$G276)&gt;0,
     COUNTIFS($AQ$2:$AQ$200,$G276)&gt;0,
     COUNTIFS($AR$2:$AR$200,$G276)&gt;0,
     COUNTIFS($AS$2:$AS$200,$G276)&gt;0,
     COUNTIFS($AT$2:$AT$200,$G276)&gt;0,
     COUNTIFS($AU$2:$AU$200,$G276)&gt;0,
     COUNTIFS($AV$2:$AV$200,$G276)&gt;0,
     COUNTIFS($AW$2:$AW$200,$G276)&gt;0,
     COUNTIFS($AX$2:$AX$200,$G276)&gt;0
   )),
  ),
  3
 ),
"")</f>
        <v/>
      </c>
      <c r="F276" s="3" t="str" cm="1">
        <f t="array" aca="1" ref="F276" ca="1">IFERROR(
 INDEX(
  _xlfn._xlws.FILTER($U$1:$AX$1,
   TRANSPOSE(
    CHOOSE({1;2;3;4;5;6;7;8;9;10;11;12;13;14;15;16;17;18;19;20;21;22;23;24;25;26;27;28;29;30},
     COUNTIFS($U$2:$U$200,$G276)&gt;0,
     COUNTIFS($V$2:$V$200,$G276)&gt;0,
     COUNTIFS($W$2:$W$200,$G276)&gt;0,
     COUNTIFS($X$2:$X$200,$G276)&gt;0,
     COUNTIFS($Y$2:$Y$200,$G276)&gt;0,
     COUNTIFS($Z$2:$Z$200,$G276)&gt;0,
     COUNTIFS($AA$2:$AA$200,$G276)&gt;0,
     COUNTIFS($AB$2:$AB$200,$G276)&gt;0,
     COUNTIFS($AC$2:$AC$200,$G276)&gt;0,
     COUNTIFS($AD$2:$AD$200,$G276)&gt;0,
     COUNTIFS($AE$2:$AE$200,$G276)&gt;0,
     COUNTIFS($AF$2:$AF$200,$G276)&gt;0,
     COUNTIFS($AG$2:$AG$200,$G276)&gt;0,
     COUNTIFS($AH$2:$AH$200,$G276)&gt;0,
     COUNTIFS($AI$2:$AI$200,$G276)&gt;0,
     COUNTIFS($AJ$2:$AJ$200,$G276)&gt;0,
     COUNTIFS($AK$2:$AK$200,$G276)&gt;0,
     COUNTIFS($AL$2:$AL$200,$G276)&gt;0,
     COUNTIFS($AM$2:$AM$200,$G276)&gt;0,
     COUNTIFS($AN$2:$AN$200,$G276)&gt;0,
     COUNTIFS($AO$2:$AO$200,$G276)&gt;0,
     COUNTIFS($AP$2:$AP$200,$G276)&gt;0,
     COUNTIFS($AQ$2:$AQ$200,$G276)&gt;0,
     COUNTIFS($AR$2:$AR$200,$G276)&gt;0,
     COUNTIFS($AS$2:$AS$200,$G276)&gt;0,
     COUNTIFS($AT$2:$AT$200,$G276)&gt;0,
     COUNTIFS($AU$2:$AU$200,$G276)&gt;0,
     COUNTIFS($AV$2:$AV$200,$G276)&gt;0,
     COUNTIFS($AW$2:$AW$200,$G276)&gt;0,
     COUNTIFS($AX$2:$AX$200,$G276)&gt;0
   )),
  ),
  4
 ),
"")</f>
        <v/>
      </c>
      <c r="G276" t="str">
        <f ca="1"/>
        <v>Scholar of New Horizons</v>
      </c>
    </row>
    <row r="277" spans="1:7" x14ac:dyDescent="0.25">
      <c r="A277" s="3" t="str">
        <f t="shared" ca="1" si="10"/>
        <v>4</v>
      </c>
      <c r="B277" s="3">
        <f t="shared" ca="1" si="11"/>
        <v>1</v>
      </c>
      <c r="C277" s="3" t="str">
        <f ca="1">IFERROR(
 INDEX($U$1:$AX$1,
  MATCH(TRUE,
   CHOOSE({1;2;3;4;5;6;7;8;9;10;11;12;13;14;15;16;17;18;19;20;21;22;23;24;25;26;27;28;29;30;31;32},
    COUNTIFS($U$2:$U$200,$G277)&gt;0,
    COUNTIFS($V$2:$V$200,$G277)&gt;0,
    COUNTIFS($W$2:$W$200,$G277)&gt;0,
    COUNTIFS($X$2:$X$200,$G277)&gt;0,
    COUNTIFS($Y$2:$Y$200,$G277)&gt;0,
    COUNTIFS($Z$2:$Z$200,$G277)&gt;0,
    COUNTIFS($AA$2:$AA$200,$G277)&gt;0,
    COUNTIFS($AB$2:$AB$200,$G277)&gt;0,
    COUNTIFS($AC$2:$AC$200,$G277)&gt;0,
    COUNTIFS($AD$2:$AD$200,$G277)&gt;0,
    COUNTIFS($AE$2:$AE$200,$G277)&gt;0,
    COUNTIFS($AF$2:$AF$200,$G277)&gt;0,
    COUNTIFS($AG$2:$AG$200,$G277)&gt;0,
    COUNTIFS($AH$2:$AH$200,$G277)&gt;0,
    COUNTIFS($AI$2:$AI$200,$G277)&gt;0,
    COUNTIFS($AJ$2:$AJ$200,$G277)&gt;0,
    COUNTIFS($AK$2:$AK$200,$G277)&gt;0,
    COUNTIFS($AL$2:$AL$200,$G277)&gt;0,
    COUNTIFS($AM$2:$AM$200,$G277)&gt;0,
    COUNTIFS($AN$2:$AN$200,$G277)&gt;0,
    COUNTIFS($AO$2:$AO$200,$G277)&gt;0,
    COUNTIFS($AP$2:$AP$200,$G277)&gt;0,
    COUNTIFS($AQ$2:$AQ$200,$G277)&gt;0,
    COUNTIFS($AR$2:$AR$200,$G277)&gt;0,
    COUNTIFS($AS$2:$AS$200,$G277)&gt;0,
    COUNTIFS($AT$2:$AT$200,$G277)&gt;0,
    COUNTIFS($AU$2:$AU$200,$G277)&gt;0,
    COUNTIFS($AV$2:$AV$200,$G277)&gt;0,
    COUNTIFS($AW$2:$AW$200,$G277)&gt;0,
    COUNTIFS($AX$2:$AX$200,$G277)&gt;0
   ),
  0)
 ),
"")</f>
        <v>Oona</v>
      </c>
      <c r="D277" s="3" t="str" cm="1">
        <f t="array" aca="1" ref="D277" ca="1">IFERROR(
 INDEX(
  _xlfn._xlws.FILTER($U$1:$AX$1,
   TRANSPOSE(
    CHOOSE({1;2;3;4;5;6;7;8;9;10;11;12;13;14;15;16;17;18;19;20;21;22;23;24;25;26;27;28;29;30},
     COUNTIFS($U$2:$U$200,$G277)&gt;0,
     COUNTIFS($V$2:$V$200,$G277)&gt;0,
     COUNTIFS($W$2:$W$200,$G277)&gt;0,
     COUNTIFS($X$2:$X$200,$G277)&gt;0,
     COUNTIFS($Y$2:$Y$200,$G277)&gt;0,
     COUNTIFS($Z$2:$Z$200,$G277)&gt;0,
     COUNTIFS($AA$2:$AA$200,$G277)&gt;0,
     COUNTIFS($AB$2:$AB$200,$G277)&gt;0,
     COUNTIFS($AC$2:$AC$200,$G277)&gt;0,
     COUNTIFS($AD$2:$AD$200,$G277)&gt;0,
     COUNTIFS($AE$2:$AE$200,$G277)&gt;0,
     COUNTIFS($AF$2:$AF$200,$G277)&gt;0,
     COUNTIFS($AG$2:$AG$200,$G277)&gt;0,
     COUNTIFS($AH$2:$AH$200,$G277)&gt;0,
     COUNTIFS($AI$2:$AI$200,$G277)&gt;0,
     COUNTIFS($AJ$2:$AJ$200,$G277)&gt;0,
     COUNTIFS($AK$2:$AK$200,$G277)&gt;0,
     COUNTIFS($AL$2:$AL$200,$G277)&gt;0,
     COUNTIFS($AM$2:$AM$200,$G277)&gt;0,
     COUNTIFS($AN$2:$AN$200,$G277)&gt;0,
     COUNTIFS($AO$2:$AO$200,$G277)&gt;0,
     COUNTIFS($AP$2:$AP$200,$G277)&gt;0,
     COUNTIFS($AQ$2:$AQ$200,$G277)&gt;0,
     COUNTIFS($AR$2:$AR$200,$G277)&gt;0,
     COUNTIFS($AS$2:$AS$200,$G277)&gt;0,
     COUNTIFS($AT$2:$AT$200,$G277)&gt;0,
     COUNTIFS($AU$2:$AU$200,$G277)&gt;0,
     COUNTIFS($AV$2:$AV$200,$G277)&gt;0,
     COUNTIFS($AW$2:$AW$200,$G277)&gt;0,
     COUNTIFS($AX$2:$AX$200,$G277)&gt;0
   )),
  ),
  2
 ),
"")</f>
        <v/>
      </c>
      <c r="E277" s="3" t="str" cm="1">
        <f t="array" aca="1" ref="E277" ca="1">IFERROR(
 INDEX(
  _xlfn._xlws.FILTER($U$1:$AX$1,
   TRANSPOSE(
    CHOOSE({1;2;3;4;5;6;7;8;9;10;11;12;13;14;15;16;17;18;19;20;21;22;23;24;25;26;27;28;29;30},
     COUNTIFS($U$2:$U$200,$G277)&gt;0,
     COUNTIFS($V$2:$V$200,$G277)&gt;0,
     COUNTIFS($W$2:$W$200,$G277)&gt;0,
     COUNTIFS($X$2:$X$200,$G277)&gt;0,
     COUNTIFS($Y$2:$Y$200,$G277)&gt;0,
     COUNTIFS($Z$2:$Z$200,$G277)&gt;0,
     COUNTIFS($AA$2:$AA$200,$G277)&gt;0,
     COUNTIFS($AB$2:$AB$200,$G277)&gt;0,
     COUNTIFS($AC$2:$AC$200,$G277)&gt;0,
     COUNTIFS($AD$2:$AD$200,$G277)&gt;0,
     COUNTIFS($AE$2:$AE$200,$G277)&gt;0,
     COUNTIFS($AF$2:$AF$200,$G277)&gt;0,
     COUNTIFS($AG$2:$AG$200,$G277)&gt;0,
     COUNTIFS($AH$2:$AH$200,$G277)&gt;0,
     COUNTIFS($AI$2:$AI$200,$G277)&gt;0,
     COUNTIFS($AJ$2:$AJ$200,$G277)&gt;0,
     COUNTIFS($AK$2:$AK$200,$G277)&gt;0,
     COUNTIFS($AL$2:$AL$200,$G277)&gt;0,
     COUNTIFS($AM$2:$AM$200,$G277)&gt;0,
     COUNTIFS($AN$2:$AN$200,$G277)&gt;0,
     COUNTIFS($AO$2:$AO$200,$G277)&gt;0,
     COUNTIFS($AP$2:$AP$200,$G277)&gt;0,
     COUNTIFS($AQ$2:$AQ$200,$G277)&gt;0,
     COUNTIFS($AR$2:$AR$200,$G277)&gt;0,
     COUNTIFS($AS$2:$AS$200,$G277)&gt;0,
     COUNTIFS($AT$2:$AT$200,$G277)&gt;0,
     COUNTIFS($AU$2:$AU$200,$G277)&gt;0,
     COUNTIFS($AV$2:$AV$200,$G277)&gt;0,
     COUNTIFS($AW$2:$AW$200,$G277)&gt;0,
     COUNTIFS($AX$2:$AX$200,$G277)&gt;0
   )),
  ),
  3
 ),
"")</f>
        <v/>
      </c>
      <c r="F277" s="3" t="str" cm="1">
        <f t="array" aca="1" ref="F277" ca="1">IFERROR(
 INDEX(
  _xlfn._xlws.FILTER($U$1:$AX$1,
   TRANSPOSE(
    CHOOSE({1;2;3;4;5;6;7;8;9;10;11;12;13;14;15;16;17;18;19;20;21;22;23;24;25;26;27;28;29;30},
     COUNTIFS($U$2:$U$200,$G277)&gt;0,
     COUNTIFS($V$2:$V$200,$G277)&gt;0,
     COUNTIFS($W$2:$W$200,$G277)&gt;0,
     COUNTIFS($X$2:$X$200,$G277)&gt;0,
     COUNTIFS($Y$2:$Y$200,$G277)&gt;0,
     COUNTIFS($Z$2:$Z$200,$G277)&gt;0,
     COUNTIFS($AA$2:$AA$200,$G277)&gt;0,
     COUNTIFS($AB$2:$AB$200,$G277)&gt;0,
     COUNTIFS($AC$2:$AC$200,$G277)&gt;0,
     COUNTIFS($AD$2:$AD$200,$G277)&gt;0,
     COUNTIFS($AE$2:$AE$200,$G277)&gt;0,
     COUNTIFS($AF$2:$AF$200,$G277)&gt;0,
     COUNTIFS($AG$2:$AG$200,$G277)&gt;0,
     COUNTIFS($AH$2:$AH$200,$G277)&gt;0,
     COUNTIFS($AI$2:$AI$200,$G277)&gt;0,
     COUNTIFS($AJ$2:$AJ$200,$G277)&gt;0,
     COUNTIFS($AK$2:$AK$200,$G277)&gt;0,
     COUNTIFS($AL$2:$AL$200,$G277)&gt;0,
     COUNTIFS($AM$2:$AM$200,$G277)&gt;0,
     COUNTIFS($AN$2:$AN$200,$G277)&gt;0,
     COUNTIFS($AO$2:$AO$200,$G277)&gt;0,
     COUNTIFS($AP$2:$AP$200,$G277)&gt;0,
     COUNTIFS($AQ$2:$AQ$200,$G277)&gt;0,
     COUNTIFS($AR$2:$AR$200,$G277)&gt;0,
     COUNTIFS($AS$2:$AS$200,$G277)&gt;0,
     COUNTIFS($AT$2:$AT$200,$G277)&gt;0,
     COUNTIFS($AU$2:$AU$200,$G277)&gt;0,
     COUNTIFS($AV$2:$AV$200,$G277)&gt;0,
     COUNTIFS($AW$2:$AW$200,$G277)&gt;0,
     COUNTIFS($AX$2:$AX$200,$G277)&gt;0
   )),
  ),
  4
 ),
"")</f>
        <v/>
      </c>
      <c r="G277" t="str">
        <f ca="1"/>
        <v>Scour for Scrap</v>
      </c>
    </row>
    <row r="278" spans="1:7" x14ac:dyDescent="0.25">
      <c r="A278" s="3" t="str">
        <f t="shared" ca="1" si="10"/>
        <v>1</v>
      </c>
      <c r="B278" s="3">
        <f t="shared" ca="1" si="11"/>
        <v>1</v>
      </c>
      <c r="C278" s="3" t="str">
        <f ca="1">IFERROR(
 INDEX($U$1:$AX$1,
  MATCH(TRUE,
   CHOOSE({1;2;3;4;5;6;7;8;9;10;11;12;13;14;15;16;17;18;19;20;21;22;23;24;25;26;27;28;29;30;31;32},
    COUNTIFS($U$2:$U$200,$G278)&gt;0,
    COUNTIFS($V$2:$V$200,$G278)&gt;0,
    COUNTIFS($W$2:$W$200,$G278)&gt;0,
    COUNTIFS($X$2:$X$200,$G278)&gt;0,
    COUNTIFS($Y$2:$Y$200,$G278)&gt;0,
    COUNTIFS($Z$2:$Z$200,$G278)&gt;0,
    COUNTIFS($AA$2:$AA$200,$G278)&gt;0,
    COUNTIFS($AB$2:$AB$200,$G278)&gt;0,
    COUNTIFS($AC$2:$AC$200,$G278)&gt;0,
    COUNTIFS($AD$2:$AD$200,$G278)&gt;0,
    COUNTIFS($AE$2:$AE$200,$G278)&gt;0,
    COUNTIFS($AF$2:$AF$200,$G278)&gt;0,
    COUNTIFS($AG$2:$AG$200,$G278)&gt;0,
    COUNTIFS($AH$2:$AH$200,$G278)&gt;0,
    COUNTIFS($AI$2:$AI$200,$G278)&gt;0,
    COUNTIFS($AJ$2:$AJ$200,$G278)&gt;0,
    COUNTIFS($AK$2:$AK$200,$G278)&gt;0,
    COUNTIFS($AL$2:$AL$200,$G278)&gt;0,
    COUNTIFS($AM$2:$AM$200,$G278)&gt;0,
    COUNTIFS($AN$2:$AN$200,$G278)&gt;0,
    COUNTIFS($AO$2:$AO$200,$G278)&gt;0,
    COUNTIFS($AP$2:$AP$200,$G278)&gt;0,
    COUNTIFS($AQ$2:$AQ$200,$G278)&gt;0,
    COUNTIFS($AR$2:$AR$200,$G278)&gt;0,
    COUNTIFS($AS$2:$AS$200,$G278)&gt;0,
    COUNTIFS($AT$2:$AT$200,$G278)&gt;0,
    COUNTIFS($AU$2:$AU$200,$G278)&gt;0,
    COUNTIFS($AV$2:$AV$200,$G278)&gt;0,
    COUNTIFS($AW$2:$AW$200,$G278)&gt;0,
    COUNTIFS($AX$2:$AX$200,$G278)&gt;0
   ),
  0)
 ),
"")</f>
        <v>Modular</v>
      </c>
      <c r="D278" s="3" t="str" cm="1">
        <f t="array" aca="1" ref="D278" ca="1">IFERROR(
 INDEX(
  _xlfn._xlws.FILTER($U$1:$AX$1,
   TRANSPOSE(
    CHOOSE({1;2;3;4;5;6;7;8;9;10;11;12;13;14;15;16;17;18;19;20;21;22;23;24;25;26;27;28;29;30},
     COUNTIFS($U$2:$U$200,$G278)&gt;0,
     COUNTIFS($V$2:$V$200,$G278)&gt;0,
     COUNTIFS($W$2:$W$200,$G278)&gt;0,
     COUNTIFS($X$2:$X$200,$G278)&gt;0,
     COUNTIFS($Y$2:$Y$200,$G278)&gt;0,
     COUNTIFS($Z$2:$Z$200,$G278)&gt;0,
     COUNTIFS($AA$2:$AA$200,$G278)&gt;0,
     COUNTIFS($AB$2:$AB$200,$G278)&gt;0,
     COUNTIFS($AC$2:$AC$200,$G278)&gt;0,
     COUNTIFS($AD$2:$AD$200,$G278)&gt;0,
     COUNTIFS($AE$2:$AE$200,$G278)&gt;0,
     COUNTIFS($AF$2:$AF$200,$G278)&gt;0,
     COUNTIFS($AG$2:$AG$200,$G278)&gt;0,
     COUNTIFS($AH$2:$AH$200,$G278)&gt;0,
     COUNTIFS($AI$2:$AI$200,$G278)&gt;0,
     COUNTIFS($AJ$2:$AJ$200,$G278)&gt;0,
     COUNTIFS($AK$2:$AK$200,$G278)&gt;0,
     COUNTIFS($AL$2:$AL$200,$G278)&gt;0,
     COUNTIFS($AM$2:$AM$200,$G278)&gt;0,
     COUNTIFS($AN$2:$AN$200,$G278)&gt;0,
     COUNTIFS($AO$2:$AO$200,$G278)&gt;0,
     COUNTIFS($AP$2:$AP$200,$G278)&gt;0,
     COUNTIFS($AQ$2:$AQ$200,$G278)&gt;0,
     COUNTIFS($AR$2:$AR$200,$G278)&gt;0,
     COUNTIFS($AS$2:$AS$200,$G278)&gt;0,
     COUNTIFS($AT$2:$AT$200,$G278)&gt;0,
     COUNTIFS($AU$2:$AU$200,$G278)&gt;0,
     COUNTIFS($AV$2:$AV$200,$G278)&gt;0,
     COUNTIFS($AW$2:$AW$200,$G278)&gt;0,
     COUNTIFS($AX$2:$AX$200,$G278)&gt;0
   )),
  ),
  2
 ),
"")</f>
        <v/>
      </c>
      <c r="E278" s="3" t="str" cm="1">
        <f t="array" aca="1" ref="E278" ca="1">IFERROR(
 INDEX(
  _xlfn._xlws.FILTER($U$1:$AX$1,
   TRANSPOSE(
    CHOOSE({1;2;3;4;5;6;7;8;9;10;11;12;13;14;15;16;17;18;19;20;21;22;23;24;25;26;27;28;29;30},
     COUNTIFS($U$2:$U$200,$G278)&gt;0,
     COUNTIFS($V$2:$V$200,$G278)&gt;0,
     COUNTIFS($W$2:$W$200,$G278)&gt;0,
     COUNTIFS($X$2:$X$200,$G278)&gt;0,
     COUNTIFS($Y$2:$Y$200,$G278)&gt;0,
     COUNTIFS($Z$2:$Z$200,$G278)&gt;0,
     COUNTIFS($AA$2:$AA$200,$G278)&gt;0,
     COUNTIFS($AB$2:$AB$200,$G278)&gt;0,
     COUNTIFS($AC$2:$AC$200,$G278)&gt;0,
     COUNTIFS($AD$2:$AD$200,$G278)&gt;0,
     COUNTIFS($AE$2:$AE$200,$G278)&gt;0,
     COUNTIFS($AF$2:$AF$200,$G278)&gt;0,
     COUNTIFS($AG$2:$AG$200,$G278)&gt;0,
     COUNTIFS($AH$2:$AH$200,$G278)&gt;0,
     COUNTIFS($AI$2:$AI$200,$G278)&gt;0,
     COUNTIFS($AJ$2:$AJ$200,$G278)&gt;0,
     COUNTIFS($AK$2:$AK$200,$G278)&gt;0,
     COUNTIFS($AL$2:$AL$200,$G278)&gt;0,
     COUNTIFS($AM$2:$AM$200,$G278)&gt;0,
     COUNTIFS($AN$2:$AN$200,$G278)&gt;0,
     COUNTIFS($AO$2:$AO$200,$G278)&gt;0,
     COUNTIFS($AP$2:$AP$200,$G278)&gt;0,
     COUNTIFS($AQ$2:$AQ$200,$G278)&gt;0,
     COUNTIFS($AR$2:$AR$200,$G278)&gt;0,
     COUNTIFS($AS$2:$AS$200,$G278)&gt;0,
     COUNTIFS($AT$2:$AT$200,$G278)&gt;0,
     COUNTIFS($AU$2:$AU$200,$G278)&gt;0,
     COUNTIFS($AV$2:$AV$200,$G278)&gt;0,
     COUNTIFS($AW$2:$AW$200,$G278)&gt;0,
     COUNTIFS($AX$2:$AX$200,$G278)&gt;0
   )),
  ),
  3
 ),
"")</f>
        <v/>
      </c>
      <c r="F278" s="3" t="str" cm="1">
        <f t="array" aca="1" ref="F278" ca="1">IFERROR(
 INDEX(
  _xlfn._xlws.FILTER($U$1:$AX$1,
   TRANSPOSE(
    CHOOSE({1;2;3;4;5;6;7;8;9;10;11;12;13;14;15;16;17;18;19;20;21;22;23;24;25;26;27;28;29;30},
     COUNTIFS($U$2:$U$200,$G278)&gt;0,
     COUNTIFS($V$2:$V$200,$G278)&gt;0,
     COUNTIFS($W$2:$W$200,$G278)&gt;0,
     COUNTIFS($X$2:$X$200,$G278)&gt;0,
     COUNTIFS($Y$2:$Y$200,$G278)&gt;0,
     COUNTIFS($Z$2:$Z$200,$G278)&gt;0,
     COUNTIFS($AA$2:$AA$200,$G278)&gt;0,
     COUNTIFS($AB$2:$AB$200,$G278)&gt;0,
     COUNTIFS($AC$2:$AC$200,$G278)&gt;0,
     COUNTIFS($AD$2:$AD$200,$G278)&gt;0,
     COUNTIFS($AE$2:$AE$200,$G278)&gt;0,
     COUNTIFS($AF$2:$AF$200,$G278)&gt;0,
     COUNTIFS($AG$2:$AG$200,$G278)&gt;0,
     COUNTIFS($AH$2:$AH$200,$G278)&gt;0,
     COUNTIFS($AI$2:$AI$200,$G278)&gt;0,
     COUNTIFS($AJ$2:$AJ$200,$G278)&gt;0,
     COUNTIFS($AK$2:$AK$200,$G278)&gt;0,
     COUNTIFS($AL$2:$AL$200,$G278)&gt;0,
     COUNTIFS($AM$2:$AM$200,$G278)&gt;0,
     COUNTIFS($AN$2:$AN$200,$G278)&gt;0,
     COUNTIFS($AO$2:$AO$200,$G278)&gt;0,
     COUNTIFS($AP$2:$AP$200,$G278)&gt;0,
     COUNTIFS($AQ$2:$AQ$200,$G278)&gt;0,
     COUNTIFS($AR$2:$AR$200,$G278)&gt;0,
     COUNTIFS($AS$2:$AS$200,$G278)&gt;0,
     COUNTIFS($AT$2:$AT$200,$G278)&gt;0,
     COUNTIFS($AU$2:$AU$200,$G278)&gt;0,
     COUNTIFS($AV$2:$AV$200,$G278)&gt;0,
     COUNTIFS($AW$2:$AW$200,$G278)&gt;0,
     COUNTIFS($AX$2:$AX$200,$G278)&gt;0
   )),
  ),
  4
 ),
"")</f>
        <v/>
      </c>
      <c r="G278" t="str">
        <f ca="1"/>
        <v>Scrapyard Recombiner</v>
      </c>
    </row>
    <row r="279" spans="1:7" x14ac:dyDescent="0.25">
      <c r="A279" s="3" t="str">
        <f t="shared" ca="1" si="10"/>
        <v>3</v>
      </c>
      <c r="B279" s="3">
        <f t="shared" ca="1" si="11"/>
        <v>1</v>
      </c>
      <c r="C279" s="3" t="str">
        <f ca="1">IFERROR(
 INDEX($U$1:$AX$1,
  MATCH(TRUE,
   CHOOSE({1;2;3;4;5;6;7;8;9;10;11;12;13;14;15;16;17;18;19;20;21;22;23;24;25;26;27;28;29;30;31;32},
    COUNTIFS($U$2:$U$200,$G279)&gt;0,
    COUNTIFS($V$2:$V$200,$G279)&gt;0,
    COUNTIFS($W$2:$W$200,$G279)&gt;0,
    COUNTIFS($X$2:$X$200,$G279)&gt;0,
    COUNTIFS($Y$2:$Y$200,$G279)&gt;0,
    COUNTIFS($Z$2:$Z$200,$G279)&gt;0,
    COUNTIFS($AA$2:$AA$200,$G279)&gt;0,
    COUNTIFS($AB$2:$AB$200,$G279)&gt;0,
    COUNTIFS($AC$2:$AC$200,$G279)&gt;0,
    COUNTIFS($AD$2:$AD$200,$G279)&gt;0,
    COUNTIFS($AE$2:$AE$200,$G279)&gt;0,
    COUNTIFS($AF$2:$AF$200,$G279)&gt;0,
    COUNTIFS($AG$2:$AG$200,$G279)&gt;0,
    COUNTIFS($AH$2:$AH$200,$G279)&gt;0,
    COUNTIFS($AI$2:$AI$200,$G279)&gt;0,
    COUNTIFS($AJ$2:$AJ$200,$G279)&gt;0,
    COUNTIFS($AK$2:$AK$200,$G279)&gt;0,
    COUNTIFS($AL$2:$AL$200,$G279)&gt;0,
    COUNTIFS($AM$2:$AM$200,$G279)&gt;0,
    COUNTIFS($AN$2:$AN$200,$G279)&gt;0,
    COUNTIFS($AO$2:$AO$200,$G279)&gt;0,
    COUNTIFS($AP$2:$AP$200,$G279)&gt;0,
    COUNTIFS($AQ$2:$AQ$200,$G279)&gt;0,
    COUNTIFS($AR$2:$AR$200,$G279)&gt;0,
    COUNTIFS($AS$2:$AS$200,$G279)&gt;0,
    COUNTIFS($AT$2:$AT$200,$G279)&gt;0,
    COUNTIFS($AU$2:$AU$200,$G279)&gt;0,
    COUNTIFS($AV$2:$AV$200,$G279)&gt;0,
    COUNTIFS($AW$2:$AW$200,$G279)&gt;0,
    COUNTIFS($AX$2:$AX$200,$G279)&gt;0
   ),
  0)
 ),
"")</f>
        <v>Yuriko</v>
      </c>
      <c r="D279" s="3" t="str" cm="1">
        <f t="array" aca="1" ref="D279" ca="1">IFERROR(
 INDEX(
  _xlfn._xlws.FILTER($U$1:$AX$1,
   TRANSPOSE(
    CHOOSE({1;2;3;4;5;6;7;8;9;10;11;12;13;14;15;16;17;18;19;20;21;22;23;24;25;26;27;28;29;30},
     COUNTIFS($U$2:$U$200,$G279)&gt;0,
     COUNTIFS($V$2:$V$200,$G279)&gt;0,
     COUNTIFS($W$2:$W$200,$G279)&gt;0,
     COUNTIFS($X$2:$X$200,$G279)&gt;0,
     COUNTIFS($Y$2:$Y$200,$G279)&gt;0,
     COUNTIFS($Z$2:$Z$200,$G279)&gt;0,
     COUNTIFS($AA$2:$AA$200,$G279)&gt;0,
     COUNTIFS($AB$2:$AB$200,$G279)&gt;0,
     COUNTIFS($AC$2:$AC$200,$G279)&gt;0,
     COUNTIFS($AD$2:$AD$200,$G279)&gt;0,
     COUNTIFS($AE$2:$AE$200,$G279)&gt;0,
     COUNTIFS($AF$2:$AF$200,$G279)&gt;0,
     COUNTIFS($AG$2:$AG$200,$G279)&gt;0,
     COUNTIFS($AH$2:$AH$200,$G279)&gt;0,
     COUNTIFS($AI$2:$AI$200,$G279)&gt;0,
     COUNTIFS($AJ$2:$AJ$200,$G279)&gt;0,
     COUNTIFS($AK$2:$AK$200,$G279)&gt;0,
     COUNTIFS($AL$2:$AL$200,$G279)&gt;0,
     COUNTIFS($AM$2:$AM$200,$G279)&gt;0,
     COUNTIFS($AN$2:$AN$200,$G279)&gt;0,
     COUNTIFS($AO$2:$AO$200,$G279)&gt;0,
     COUNTIFS($AP$2:$AP$200,$G279)&gt;0,
     COUNTIFS($AQ$2:$AQ$200,$G279)&gt;0,
     COUNTIFS($AR$2:$AR$200,$G279)&gt;0,
     COUNTIFS($AS$2:$AS$200,$G279)&gt;0,
     COUNTIFS($AT$2:$AT$200,$G279)&gt;0,
     COUNTIFS($AU$2:$AU$200,$G279)&gt;0,
     COUNTIFS($AV$2:$AV$200,$G279)&gt;0,
     COUNTIFS($AW$2:$AW$200,$G279)&gt;0,
     COUNTIFS($AX$2:$AX$200,$G279)&gt;0
   )),
  ),
  2
 ),
"")</f>
        <v/>
      </c>
      <c r="E279" s="3" t="str" cm="1">
        <f t="array" aca="1" ref="E279" ca="1">IFERROR(
 INDEX(
  _xlfn._xlws.FILTER($U$1:$AX$1,
   TRANSPOSE(
    CHOOSE({1;2;3;4;5;6;7;8;9;10;11;12;13;14;15;16;17;18;19;20;21;22;23;24;25;26;27;28;29;30},
     COUNTIFS($U$2:$U$200,$G279)&gt;0,
     COUNTIFS($V$2:$V$200,$G279)&gt;0,
     COUNTIFS($W$2:$W$200,$G279)&gt;0,
     COUNTIFS($X$2:$X$200,$G279)&gt;0,
     COUNTIFS($Y$2:$Y$200,$G279)&gt;0,
     COUNTIFS($Z$2:$Z$200,$G279)&gt;0,
     COUNTIFS($AA$2:$AA$200,$G279)&gt;0,
     COUNTIFS($AB$2:$AB$200,$G279)&gt;0,
     COUNTIFS($AC$2:$AC$200,$G279)&gt;0,
     COUNTIFS($AD$2:$AD$200,$G279)&gt;0,
     COUNTIFS($AE$2:$AE$200,$G279)&gt;0,
     COUNTIFS($AF$2:$AF$200,$G279)&gt;0,
     COUNTIFS($AG$2:$AG$200,$G279)&gt;0,
     COUNTIFS($AH$2:$AH$200,$G279)&gt;0,
     COUNTIFS($AI$2:$AI$200,$G279)&gt;0,
     COUNTIFS($AJ$2:$AJ$200,$G279)&gt;0,
     COUNTIFS($AK$2:$AK$200,$G279)&gt;0,
     COUNTIFS($AL$2:$AL$200,$G279)&gt;0,
     COUNTIFS($AM$2:$AM$200,$G279)&gt;0,
     COUNTIFS($AN$2:$AN$200,$G279)&gt;0,
     COUNTIFS($AO$2:$AO$200,$G279)&gt;0,
     COUNTIFS($AP$2:$AP$200,$G279)&gt;0,
     COUNTIFS($AQ$2:$AQ$200,$G279)&gt;0,
     COUNTIFS($AR$2:$AR$200,$G279)&gt;0,
     COUNTIFS($AS$2:$AS$200,$G279)&gt;0,
     COUNTIFS($AT$2:$AT$200,$G279)&gt;0,
     COUNTIFS($AU$2:$AU$200,$G279)&gt;0,
     COUNTIFS($AV$2:$AV$200,$G279)&gt;0,
     COUNTIFS($AW$2:$AW$200,$G279)&gt;0,
     COUNTIFS($AX$2:$AX$200,$G279)&gt;0
   )),
  ),
  3
 ),
"")</f>
        <v/>
      </c>
      <c r="F279" s="3" t="str" cm="1">
        <f t="array" aca="1" ref="F279" ca="1">IFERROR(
 INDEX(
  _xlfn._xlws.FILTER($U$1:$AX$1,
   TRANSPOSE(
    CHOOSE({1;2;3;4;5;6;7;8;9;10;11;12;13;14;15;16;17;18;19;20;21;22;23;24;25;26;27;28;29;30},
     COUNTIFS($U$2:$U$200,$G279)&gt;0,
     COUNTIFS($V$2:$V$200,$G279)&gt;0,
     COUNTIFS($W$2:$W$200,$G279)&gt;0,
     COUNTIFS($X$2:$X$200,$G279)&gt;0,
     COUNTIFS($Y$2:$Y$200,$G279)&gt;0,
     COUNTIFS($Z$2:$Z$200,$G279)&gt;0,
     COUNTIFS($AA$2:$AA$200,$G279)&gt;0,
     COUNTIFS($AB$2:$AB$200,$G279)&gt;0,
     COUNTIFS($AC$2:$AC$200,$G279)&gt;0,
     COUNTIFS($AD$2:$AD$200,$G279)&gt;0,
     COUNTIFS($AE$2:$AE$200,$G279)&gt;0,
     COUNTIFS($AF$2:$AF$200,$G279)&gt;0,
     COUNTIFS($AG$2:$AG$200,$G279)&gt;0,
     COUNTIFS($AH$2:$AH$200,$G279)&gt;0,
     COUNTIFS($AI$2:$AI$200,$G279)&gt;0,
     COUNTIFS($AJ$2:$AJ$200,$G279)&gt;0,
     COUNTIFS($AK$2:$AK$200,$G279)&gt;0,
     COUNTIFS($AL$2:$AL$200,$G279)&gt;0,
     COUNTIFS($AM$2:$AM$200,$G279)&gt;0,
     COUNTIFS($AN$2:$AN$200,$G279)&gt;0,
     COUNTIFS($AO$2:$AO$200,$G279)&gt;0,
     COUNTIFS($AP$2:$AP$200,$G279)&gt;0,
     COUNTIFS($AQ$2:$AQ$200,$G279)&gt;0,
     COUNTIFS($AR$2:$AR$200,$G279)&gt;0,
     COUNTIFS($AS$2:$AS$200,$G279)&gt;0,
     COUNTIFS($AT$2:$AT$200,$G279)&gt;0,
     COUNTIFS($AU$2:$AU$200,$G279)&gt;0,
     COUNTIFS($AV$2:$AV$200,$G279)&gt;0,
     COUNTIFS($AW$2:$AW$200,$G279)&gt;0,
     COUNTIFS($AX$2:$AX$200,$G279)&gt;0
   )),
  ),
  4
 ),
"")</f>
        <v/>
      </c>
      <c r="G279" t="str">
        <f ca="1"/>
        <v>Sea Gate Restoration</v>
      </c>
    </row>
    <row r="280" spans="1:7" x14ac:dyDescent="0.25">
      <c r="A280" s="3" t="str">
        <f t="shared" ca="1" si="10"/>
        <v>2</v>
      </c>
      <c r="B280" s="3">
        <f t="shared" ca="1" si="11"/>
        <v>1</v>
      </c>
      <c r="C280" s="3" t="str">
        <f ca="1">IFERROR(
 INDEX($U$1:$AX$1,
  MATCH(TRUE,
   CHOOSE({1;2;3;4;5;6;7;8;9;10;11;12;13;14;15;16;17;18;19;20;21;22;23;24;25;26;27;28;29;30;31;32},
    COUNTIFS($U$2:$U$200,$G280)&gt;0,
    COUNTIFS($V$2:$V$200,$G280)&gt;0,
    COUNTIFS($W$2:$W$200,$G280)&gt;0,
    COUNTIFS($X$2:$X$200,$G280)&gt;0,
    COUNTIFS($Y$2:$Y$200,$G280)&gt;0,
    COUNTIFS($Z$2:$Z$200,$G280)&gt;0,
    COUNTIFS($AA$2:$AA$200,$G280)&gt;0,
    COUNTIFS($AB$2:$AB$200,$G280)&gt;0,
    COUNTIFS($AC$2:$AC$200,$G280)&gt;0,
    COUNTIFS($AD$2:$AD$200,$G280)&gt;0,
    COUNTIFS($AE$2:$AE$200,$G280)&gt;0,
    COUNTIFS($AF$2:$AF$200,$G280)&gt;0,
    COUNTIFS($AG$2:$AG$200,$G280)&gt;0,
    COUNTIFS($AH$2:$AH$200,$G280)&gt;0,
    COUNTIFS($AI$2:$AI$200,$G280)&gt;0,
    COUNTIFS($AJ$2:$AJ$200,$G280)&gt;0,
    COUNTIFS($AK$2:$AK$200,$G280)&gt;0,
    COUNTIFS($AL$2:$AL$200,$G280)&gt;0,
    COUNTIFS($AM$2:$AM$200,$G280)&gt;0,
    COUNTIFS($AN$2:$AN$200,$G280)&gt;0,
    COUNTIFS($AO$2:$AO$200,$G280)&gt;0,
    COUNTIFS($AP$2:$AP$200,$G280)&gt;0,
    COUNTIFS($AQ$2:$AQ$200,$G280)&gt;0,
    COUNTIFS($AR$2:$AR$200,$G280)&gt;0,
    COUNTIFS($AS$2:$AS$200,$G280)&gt;0,
    COUNTIFS($AT$2:$AT$200,$G280)&gt;0,
    COUNTIFS($AU$2:$AU$200,$G280)&gt;0,
    COUNTIFS($AV$2:$AV$200,$G280)&gt;0,
    COUNTIFS($AW$2:$AW$200,$G280)&gt;0,
    COUNTIFS($AX$2:$AX$200,$G280)&gt;0
   ),
  0)
 ),
"")</f>
        <v>Narset</v>
      </c>
      <c r="D280" s="3" t="str" cm="1">
        <f t="array" aca="1" ref="D280" ca="1">IFERROR(
 INDEX(
  _xlfn._xlws.FILTER($U$1:$AX$1,
   TRANSPOSE(
    CHOOSE({1;2;3;4;5;6;7;8;9;10;11;12;13;14;15;16;17;18;19;20;21;22;23;24;25;26;27;28;29;30},
     COUNTIFS($U$2:$U$200,$G280)&gt;0,
     COUNTIFS($V$2:$V$200,$G280)&gt;0,
     COUNTIFS($W$2:$W$200,$G280)&gt;0,
     COUNTIFS($X$2:$X$200,$G280)&gt;0,
     COUNTIFS($Y$2:$Y$200,$G280)&gt;0,
     COUNTIFS($Z$2:$Z$200,$G280)&gt;0,
     COUNTIFS($AA$2:$AA$200,$G280)&gt;0,
     COUNTIFS($AB$2:$AB$200,$G280)&gt;0,
     COUNTIFS($AC$2:$AC$200,$G280)&gt;0,
     COUNTIFS($AD$2:$AD$200,$G280)&gt;0,
     COUNTIFS($AE$2:$AE$200,$G280)&gt;0,
     COUNTIFS($AF$2:$AF$200,$G280)&gt;0,
     COUNTIFS($AG$2:$AG$200,$G280)&gt;0,
     COUNTIFS($AH$2:$AH$200,$G280)&gt;0,
     COUNTIFS($AI$2:$AI$200,$G280)&gt;0,
     COUNTIFS($AJ$2:$AJ$200,$G280)&gt;0,
     COUNTIFS($AK$2:$AK$200,$G280)&gt;0,
     COUNTIFS($AL$2:$AL$200,$G280)&gt;0,
     COUNTIFS($AM$2:$AM$200,$G280)&gt;0,
     COUNTIFS($AN$2:$AN$200,$G280)&gt;0,
     COUNTIFS($AO$2:$AO$200,$G280)&gt;0,
     COUNTIFS($AP$2:$AP$200,$G280)&gt;0,
     COUNTIFS($AQ$2:$AQ$200,$G280)&gt;0,
     COUNTIFS($AR$2:$AR$200,$G280)&gt;0,
     COUNTIFS($AS$2:$AS$200,$G280)&gt;0,
     COUNTIFS($AT$2:$AT$200,$G280)&gt;0,
     COUNTIFS($AU$2:$AU$200,$G280)&gt;0,
     COUNTIFS($AV$2:$AV$200,$G280)&gt;0,
     COUNTIFS($AW$2:$AW$200,$G280)&gt;0,
     COUNTIFS($AX$2:$AX$200,$G280)&gt;0
   )),
  ),
  2
 ),
"")</f>
        <v/>
      </c>
      <c r="E280" s="3" t="str" cm="1">
        <f t="array" aca="1" ref="E280" ca="1">IFERROR(
 INDEX(
  _xlfn._xlws.FILTER($U$1:$AX$1,
   TRANSPOSE(
    CHOOSE({1;2;3;4;5;6;7;8;9;10;11;12;13;14;15;16;17;18;19;20;21;22;23;24;25;26;27;28;29;30},
     COUNTIFS($U$2:$U$200,$G280)&gt;0,
     COUNTIFS($V$2:$V$200,$G280)&gt;0,
     COUNTIFS($W$2:$W$200,$G280)&gt;0,
     COUNTIFS($X$2:$X$200,$G280)&gt;0,
     COUNTIFS($Y$2:$Y$200,$G280)&gt;0,
     COUNTIFS($Z$2:$Z$200,$G280)&gt;0,
     COUNTIFS($AA$2:$AA$200,$G280)&gt;0,
     COUNTIFS($AB$2:$AB$200,$G280)&gt;0,
     COUNTIFS($AC$2:$AC$200,$G280)&gt;0,
     COUNTIFS($AD$2:$AD$200,$G280)&gt;0,
     COUNTIFS($AE$2:$AE$200,$G280)&gt;0,
     COUNTIFS($AF$2:$AF$200,$G280)&gt;0,
     COUNTIFS($AG$2:$AG$200,$G280)&gt;0,
     COUNTIFS($AH$2:$AH$200,$G280)&gt;0,
     COUNTIFS($AI$2:$AI$200,$G280)&gt;0,
     COUNTIFS($AJ$2:$AJ$200,$G280)&gt;0,
     COUNTIFS($AK$2:$AK$200,$G280)&gt;0,
     COUNTIFS($AL$2:$AL$200,$G280)&gt;0,
     COUNTIFS($AM$2:$AM$200,$G280)&gt;0,
     COUNTIFS($AN$2:$AN$200,$G280)&gt;0,
     COUNTIFS($AO$2:$AO$200,$G280)&gt;0,
     COUNTIFS($AP$2:$AP$200,$G280)&gt;0,
     COUNTIFS($AQ$2:$AQ$200,$G280)&gt;0,
     COUNTIFS($AR$2:$AR$200,$G280)&gt;0,
     COUNTIFS($AS$2:$AS$200,$G280)&gt;0,
     COUNTIFS($AT$2:$AT$200,$G280)&gt;0,
     COUNTIFS($AU$2:$AU$200,$G280)&gt;0,
     COUNTIFS($AV$2:$AV$200,$G280)&gt;0,
     COUNTIFS($AW$2:$AW$200,$G280)&gt;0,
     COUNTIFS($AX$2:$AX$200,$G280)&gt;0
   )),
  ),
  3
 ),
"")</f>
        <v/>
      </c>
      <c r="F280" s="3" t="str" cm="1">
        <f t="array" aca="1" ref="F280" ca="1">IFERROR(
 INDEX(
  _xlfn._xlws.FILTER($U$1:$AX$1,
   TRANSPOSE(
    CHOOSE({1;2;3;4;5;6;7;8;9;10;11;12;13;14;15;16;17;18;19;20;21;22;23;24;25;26;27;28;29;30},
     COUNTIFS($U$2:$U$200,$G280)&gt;0,
     COUNTIFS($V$2:$V$200,$G280)&gt;0,
     COUNTIFS($W$2:$W$200,$G280)&gt;0,
     COUNTIFS($X$2:$X$200,$G280)&gt;0,
     COUNTIFS($Y$2:$Y$200,$G280)&gt;0,
     COUNTIFS($Z$2:$Z$200,$G280)&gt;0,
     COUNTIFS($AA$2:$AA$200,$G280)&gt;0,
     COUNTIFS($AB$2:$AB$200,$G280)&gt;0,
     COUNTIFS($AC$2:$AC$200,$G280)&gt;0,
     COUNTIFS($AD$2:$AD$200,$G280)&gt;0,
     COUNTIFS($AE$2:$AE$200,$G280)&gt;0,
     COUNTIFS($AF$2:$AF$200,$G280)&gt;0,
     COUNTIFS($AG$2:$AG$200,$G280)&gt;0,
     COUNTIFS($AH$2:$AH$200,$G280)&gt;0,
     COUNTIFS($AI$2:$AI$200,$G280)&gt;0,
     COUNTIFS($AJ$2:$AJ$200,$G280)&gt;0,
     COUNTIFS($AK$2:$AK$200,$G280)&gt;0,
     COUNTIFS($AL$2:$AL$200,$G280)&gt;0,
     COUNTIFS($AM$2:$AM$200,$G280)&gt;0,
     COUNTIFS($AN$2:$AN$200,$G280)&gt;0,
     COUNTIFS($AO$2:$AO$200,$G280)&gt;0,
     COUNTIFS($AP$2:$AP$200,$G280)&gt;0,
     COUNTIFS($AQ$2:$AQ$200,$G280)&gt;0,
     COUNTIFS($AR$2:$AR$200,$G280)&gt;0,
     COUNTIFS($AS$2:$AS$200,$G280)&gt;0,
     COUNTIFS($AT$2:$AT$200,$G280)&gt;0,
     COUNTIFS($AU$2:$AU$200,$G280)&gt;0,
     COUNTIFS($AV$2:$AV$200,$G280)&gt;0,
     COUNTIFS($AW$2:$AW$200,$G280)&gt;0,
     COUNTIFS($AX$2:$AX$200,$G280)&gt;0
   )),
  ),
  4
 ),
"")</f>
        <v/>
      </c>
      <c r="G280" t="str">
        <f ca="1"/>
        <v>Sea of Clouds</v>
      </c>
    </row>
    <row r="281" spans="1:7" x14ac:dyDescent="0.25">
      <c r="A281" s="3" t="str">
        <f t="shared" ca="1" si="10"/>
        <v>2</v>
      </c>
      <c r="B281" s="3">
        <f t="shared" ca="1" si="11"/>
        <v>1</v>
      </c>
      <c r="C281" s="3" t="str">
        <f ca="1">IFERROR(
 INDEX($U$1:$AX$1,
  MATCH(TRUE,
   CHOOSE({1;2;3;4;5;6;7;8;9;10;11;12;13;14;15;16;17;18;19;20;21;22;23;24;25;26;27;28;29;30;31;32},
    COUNTIFS($U$2:$U$200,$G281)&gt;0,
    COUNTIFS($V$2:$V$200,$G281)&gt;0,
    COUNTIFS($W$2:$W$200,$G281)&gt;0,
    COUNTIFS($X$2:$X$200,$G281)&gt;0,
    COUNTIFS($Y$2:$Y$200,$G281)&gt;0,
    COUNTIFS($Z$2:$Z$200,$G281)&gt;0,
    COUNTIFS($AA$2:$AA$200,$G281)&gt;0,
    COUNTIFS($AB$2:$AB$200,$G281)&gt;0,
    COUNTIFS($AC$2:$AC$200,$G281)&gt;0,
    COUNTIFS($AD$2:$AD$200,$G281)&gt;0,
    COUNTIFS($AE$2:$AE$200,$G281)&gt;0,
    COUNTIFS($AF$2:$AF$200,$G281)&gt;0,
    COUNTIFS($AG$2:$AG$200,$G281)&gt;0,
    COUNTIFS($AH$2:$AH$200,$G281)&gt;0,
    COUNTIFS($AI$2:$AI$200,$G281)&gt;0,
    COUNTIFS($AJ$2:$AJ$200,$G281)&gt;0,
    COUNTIFS($AK$2:$AK$200,$G281)&gt;0,
    COUNTIFS($AL$2:$AL$200,$G281)&gt;0,
    COUNTIFS($AM$2:$AM$200,$G281)&gt;0,
    COUNTIFS($AN$2:$AN$200,$G281)&gt;0,
    COUNTIFS($AO$2:$AO$200,$G281)&gt;0,
    COUNTIFS($AP$2:$AP$200,$G281)&gt;0,
    COUNTIFS($AQ$2:$AQ$200,$G281)&gt;0,
    COUNTIFS($AR$2:$AR$200,$G281)&gt;0,
    COUNTIFS($AS$2:$AS$200,$G281)&gt;0,
    COUNTIFS($AT$2:$AT$200,$G281)&gt;0,
    COUNTIFS($AU$2:$AU$200,$G281)&gt;0,
    COUNTIFS($AV$2:$AV$200,$G281)&gt;0,
    COUNTIFS($AW$2:$AW$200,$G281)&gt;0,
    COUNTIFS($AX$2:$AX$200,$G281)&gt;0
   ),
  0)
 ),
"")</f>
        <v>Kumena</v>
      </c>
      <c r="D281" s="3" t="str" cm="1">
        <f t="array" aca="1" ref="D281" ca="1">IFERROR(
 INDEX(
  _xlfn._xlws.FILTER($U$1:$AX$1,
   TRANSPOSE(
    CHOOSE({1;2;3;4;5;6;7;8;9;10;11;12;13;14;15;16;17;18;19;20;21;22;23;24;25;26;27;28;29;30},
     COUNTIFS($U$2:$U$200,$G281)&gt;0,
     COUNTIFS($V$2:$V$200,$G281)&gt;0,
     COUNTIFS($W$2:$W$200,$G281)&gt;0,
     COUNTIFS($X$2:$X$200,$G281)&gt;0,
     COUNTIFS($Y$2:$Y$200,$G281)&gt;0,
     COUNTIFS($Z$2:$Z$200,$G281)&gt;0,
     COUNTIFS($AA$2:$AA$200,$G281)&gt;0,
     COUNTIFS($AB$2:$AB$200,$G281)&gt;0,
     COUNTIFS($AC$2:$AC$200,$G281)&gt;0,
     COUNTIFS($AD$2:$AD$200,$G281)&gt;0,
     COUNTIFS($AE$2:$AE$200,$G281)&gt;0,
     COUNTIFS($AF$2:$AF$200,$G281)&gt;0,
     COUNTIFS($AG$2:$AG$200,$G281)&gt;0,
     COUNTIFS($AH$2:$AH$200,$G281)&gt;0,
     COUNTIFS($AI$2:$AI$200,$G281)&gt;0,
     COUNTIFS($AJ$2:$AJ$200,$G281)&gt;0,
     COUNTIFS($AK$2:$AK$200,$G281)&gt;0,
     COUNTIFS($AL$2:$AL$200,$G281)&gt;0,
     COUNTIFS($AM$2:$AM$200,$G281)&gt;0,
     COUNTIFS($AN$2:$AN$200,$G281)&gt;0,
     COUNTIFS($AO$2:$AO$200,$G281)&gt;0,
     COUNTIFS($AP$2:$AP$200,$G281)&gt;0,
     COUNTIFS($AQ$2:$AQ$200,$G281)&gt;0,
     COUNTIFS($AR$2:$AR$200,$G281)&gt;0,
     COUNTIFS($AS$2:$AS$200,$G281)&gt;0,
     COUNTIFS($AT$2:$AT$200,$G281)&gt;0,
     COUNTIFS($AU$2:$AU$200,$G281)&gt;0,
     COUNTIFS($AV$2:$AV$200,$G281)&gt;0,
     COUNTIFS($AW$2:$AW$200,$G281)&gt;0,
     COUNTIFS($AX$2:$AX$200,$G281)&gt;0
   )),
  ),
  2
 ),
"")</f>
        <v/>
      </c>
      <c r="E281" s="3" t="str" cm="1">
        <f t="array" aca="1" ref="E281" ca="1">IFERROR(
 INDEX(
  _xlfn._xlws.FILTER($U$1:$AX$1,
   TRANSPOSE(
    CHOOSE({1;2;3;4;5;6;7;8;9;10;11;12;13;14;15;16;17;18;19;20;21;22;23;24;25;26;27;28;29;30},
     COUNTIFS($U$2:$U$200,$G281)&gt;0,
     COUNTIFS($V$2:$V$200,$G281)&gt;0,
     COUNTIFS($W$2:$W$200,$G281)&gt;0,
     COUNTIFS($X$2:$X$200,$G281)&gt;0,
     COUNTIFS($Y$2:$Y$200,$G281)&gt;0,
     COUNTIFS($Z$2:$Z$200,$G281)&gt;0,
     COUNTIFS($AA$2:$AA$200,$G281)&gt;0,
     COUNTIFS($AB$2:$AB$200,$G281)&gt;0,
     COUNTIFS($AC$2:$AC$200,$G281)&gt;0,
     COUNTIFS($AD$2:$AD$200,$G281)&gt;0,
     COUNTIFS($AE$2:$AE$200,$G281)&gt;0,
     COUNTIFS($AF$2:$AF$200,$G281)&gt;0,
     COUNTIFS($AG$2:$AG$200,$G281)&gt;0,
     COUNTIFS($AH$2:$AH$200,$G281)&gt;0,
     COUNTIFS($AI$2:$AI$200,$G281)&gt;0,
     COUNTIFS($AJ$2:$AJ$200,$G281)&gt;0,
     COUNTIFS($AK$2:$AK$200,$G281)&gt;0,
     COUNTIFS($AL$2:$AL$200,$G281)&gt;0,
     COUNTIFS($AM$2:$AM$200,$G281)&gt;0,
     COUNTIFS($AN$2:$AN$200,$G281)&gt;0,
     COUNTIFS($AO$2:$AO$200,$G281)&gt;0,
     COUNTIFS($AP$2:$AP$200,$G281)&gt;0,
     COUNTIFS($AQ$2:$AQ$200,$G281)&gt;0,
     COUNTIFS($AR$2:$AR$200,$G281)&gt;0,
     COUNTIFS($AS$2:$AS$200,$G281)&gt;0,
     COUNTIFS($AT$2:$AT$200,$G281)&gt;0,
     COUNTIFS($AU$2:$AU$200,$G281)&gt;0,
     COUNTIFS($AV$2:$AV$200,$G281)&gt;0,
     COUNTIFS($AW$2:$AW$200,$G281)&gt;0,
     COUNTIFS($AX$2:$AX$200,$G281)&gt;0
   )),
  ),
  3
 ),
"")</f>
        <v/>
      </c>
      <c r="F281" s="3" t="str" cm="1">
        <f t="array" aca="1" ref="F281" ca="1">IFERROR(
 INDEX(
  _xlfn._xlws.FILTER($U$1:$AX$1,
   TRANSPOSE(
    CHOOSE({1;2;3;4;5;6;7;8;9;10;11;12;13;14;15;16;17;18;19;20;21;22;23;24;25;26;27;28;29;30},
     COUNTIFS($U$2:$U$200,$G281)&gt;0,
     COUNTIFS($V$2:$V$200,$G281)&gt;0,
     COUNTIFS($W$2:$W$200,$G281)&gt;0,
     COUNTIFS($X$2:$X$200,$G281)&gt;0,
     COUNTIFS($Y$2:$Y$200,$G281)&gt;0,
     COUNTIFS($Z$2:$Z$200,$G281)&gt;0,
     COUNTIFS($AA$2:$AA$200,$G281)&gt;0,
     COUNTIFS($AB$2:$AB$200,$G281)&gt;0,
     COUNTIFS($AC$2:$AC$200,$G281)&gt;0,
     COUNTIFS($AD$2:$AD$200,$G281)&gt;0,
     COUNTIFS($AE$2:$AE$200,$G281)&gt;0,
     COUNTIFS($AF$2:$AF$200,$G281)&gt;0,
     COUNTIFS($AG$2:$AG$200,$G281)&gt;0,
     COUNTIFS($AH$2:$AH$200,$G281)&gt;0,
     COUNTIFS($AI$2:$AI$200,$G281)&gt;0,
     COUNTIFS($AJ$2:$AJ$200,$G281)&gt;0,
     COUNTIFS($AK$2:$AK$200,$G281)&gt;0,
     COUNTIFS($AL$2:$AL$200,$G281)&gt;0,
     COUNTIFS($AM$2:$AM$200,$G281)&gt;0,
     COUNTIFS($AN$2:$AN$200,$G281)&gt;0,
     COUNTIFS($AO$2:$AO$200,$G281)&gt;0,
     COUNTIFS($AP$2:$AP$200,$G281)&gt;0,
     COUNTIFS($AQ$2:$AQ$200,$G281)&gt;0,
     COUNTIFS($AR$2:$AR$200,$G281)&gt;0,
     COUNTIFS($AS$2:$AS$200,$G281)&gt;0,
     COUNTIFS($AT$2:$AT$200,$G281)&gt;0,
     COUNTIFS($AU$2:$AU$200,$G281)&gt;0,
     COUNTIFS($AV$2:$AV$200,$G281)&gt;0,
     COUNTIFS($AW$2:$AW$200,$G281)&gt;0,
     COUNTIFS($AX$2:$AX$200,$G281)&gt;0
   )),
  ),
  4
 ),
"")</f>
        <v/>
      </c>
      <c r="G281" t="str">
        <f ca="1"/>
        <v>Seahunter</v>
      </c>
    </row>
    <row r="282" spans="1:7" x14ac:dyDescent="0.25">
      <c r="A282" s="3" t="str">
        <f t="shared" ca="1" si="10"/>
        <v>4</v>
      </c>
      <c r="B282" s="3">
        <f t="shared" ca="1" si="11"/>
        <v>1</v>
      </c>
      <c r="C282" s="3" t="str">
        <f ca="1">IFERROR(
 INDEX($U$1:$AX$1,
  MATCH(TRUE,
   CHOOSE({1;2;3;4;5;6;7;8;9;10;11;12;13;14;15;16;17;18;19;20;21;22;23;24;25;26;27;28;29;30;31;32},
    COUNTIFS($U$2:$U$200,$G282)&gt;0,
    COUNTIFS($V$2:$V$200,$G282)&gt;0,
    COUNTIFS($W$2:$W$200,$G282)&gt;0,
    COUNTIFS($X$2:$X$200,$G282)&gt;0,
    COUNTIFS($Y$2:$Y$200,$G282)&gt;0,
    COUNTIFS($Z$2:$Z$200,$G282)&gt;0,
    COUNTIFS($AA$2:$AA$200,$G282)&gt;0,
    COUNTIFS($AB$2:$AB$200,$G282)&gt;0,
    COUNTIFS($AC$2:$AC$200,$G282)&gt;0,
    COUNTIFS($AD$2:$AD$200,$G282)&gt;0,
    COUNTIFS($AE$2:$AE$200,$G282)&gt;0,
    COUNTIFS($AF$2:$AF$200,$G282)&gt;0,
    COUNTIFS($AG$2:$AG$200,$G282)&gt;0,
    COUNTIFS($AH$2:$AH$200,$G282)&gt;0,
    COUNTIFS($AI$2:$AI$200,$G282)&gt;0,
    COUNTIFS($AJ$2:$AJ$200,$G282)&gt;0,
    COUNTIFS($AK$2:$AK$200,$G282)&gt;0,
    COUNTIFS($AL$2:$AL$200,$G282)&gt;0,
    COUNTIFS($AM$2:$AM$200,$G282)&gt;0,
    COUNTIFS($AN$2:$AN$200,$G282)&gt;0,
    COUNTIFS($AO$2:$AO$200,$G282)&gt;0,
    COUNTIFS($AP$2:$AP$200,$G282)&gt;0,
    COUNTIFS($AQ$2:$AQ$200,$G282)&gt;0,
    COUNTIFS($AR$2:$AR$200,$G282)&gt;0,
    COUNTIFS($AS$2:$AS$200,$G282)&gt;0,
    COUNTIFS($AT$2:$AT$200,$G282)&gt;0,
    COUNTIFS($AU$2:$AU$200,$G282)&gt;0,
    COUNTIFS($AV$2:$AV$200,$G282)&gt;0,
    COUNTIFS($AW$2:$AW$200,$G282)&gt;0,
    COUNTIFS($AX$2:$AX$200,$G282)&gt;0
   ),
  0)
 ),
"")</f>
        <v>Oona</v>
      </c>
      <c r="D282" s="3" t="str" cm="1">
        <f t="array" aca="1" ref="D282" ca="1">IFERROR(
 INDEX(
  _xlfn._xlws.FILTER($U$1:$AX$1,
   TRANSPOSE(
    CHOOSE({1;2;3;4;5;6;7;8;9;10;11;12;13;14;15;16;17;18;19;20;21;22;23;24;25;26;27;28;29;30},
     COUNTIFS($U$2:$U$200,$G282)&gt;0,
     COUNTIFS($V$2:$V$200,$G282)&gt;0,
     COUNTIFS($W$2:$W$200,$G282)&gt;0,
     COUNTIFS($X$2:$X$200,$G282)&gt;0,
     COUNTIFS($Y$2:$Y$200,$G282)&gt;0,
     COUNTIFS($Z$2:$Z$200,$G282)&gt;0,
     COUNTIFS($AA$2:$AA$200,$G282)&gt;0,
     COUNTIFS($AB$2:$AB$200,$G282)&gt;0,
     COUNTIFS($AC$2:$AC$200,$G282)&gt;0,
     COUNTIFS($AD$2:$AD$200,$G282)&gt;0,
     COUNTIFS($AE$2:$AE$200,$G282)&gt;0,
     COUNTIFS($AF$2:$AF$200,$G282)&gt;0,
     COUNTIFS($AG$2:$AG$200,$G282)&gt;0,
     COUNTIFS($AH$2:$AH$200,$G282)&gt;0,
     COUNTIFS($AI$2:$AI$200,$G282)&gt;0,
     COUNTIFS($AJ$2:$AJ$200,$G282)&gt;0,
     COUNTIFS($AK$2:$AK$200,$G282)&gt;0,
     COUNTIFS($AL$2:$AL$200,$G282)&gt;0,
     COUNTIFS($AM$2:$AM$200,$G282)&gt;0,
     COUNTIFS($AN$2:$AN$200,$G282)&gt;0,
     COUNTIFS($AO$2:$AO$200,$G282)&gt;0,
     COUNTIFS($AP$2:$AP$200,$G282)&gt;0,
     COUNTIFS($AQ$2:$AQ$200,$G282)&gt;0,
     COUNTIFS($AR$2:$AR$200,$G282)&gt;0,
     COUNTIFS($AS$2:$AS$200,$G282)&gt;0,
     COUNTIFS($AT$2:$AT$200,$G282)&gt;0,
     COUNTIFS($AU$2:$AU$200,$G282)&gt;0,
     COUNTIFS($AV$2:$AV$200,$G282)&gt;0,
     COUNTIFS($AW$2:$AW$200,$G282)&gt;0,
     COUNTIFS($AX$2:$AX$200,$G282)&gt;0
   )),
  ),
  2
 ),
"")</f>
        <v/>
      </c>
      <c r="E282" s="3" t="str" cm="1">
        <f t="array" aca="1" ref="E282" ca="1">IFERROR(
 INDEX(
  _xlfn._xlws.FILTER($U$1:$AX$1,
   TRANSPOSE(
    CHOOSE({1;2;3;4;5;6;7;8;9;10;11;12;13;14;15;16;17;18;19;20;21;22;23;24;25;26;27;28;29;30},
     COUNTIFS($U$2:$U$200,$G282)&gt;0,
     COUNTIFS($V$2:$V$200,$G282)&gt;0,
     COUNTIFS($W$2:$W$200,$G282)&gt;0,
     COUNTIFS($X$2:$X$200,$G282)&gt;0,
     COUNTIFS($Y$2:$Y$200,$G282)&gt;0,
     COUNTIFS($Z$2:$Z$200,$G282)&gt;0,
     COUNTIFS($AA$2:$AA$200,$G282)&gt;0,
     COUNTIFS($AB$2:$AB$200,$G282)&gt;0,
     COUNTIFS($AC$2:$AC$200,$G282)&gt;0,
     COUNTIFS($AD$2:$AD$200,$G282)&gt;0,
     COUNTIFS($AE$2:$AE$200,$G282)&gt;0,
     COUNTIFS($AF$2:$AF$200,$G282)&gt;0,
     COUNTIFS($AG$2:$AG$200,$G282)&gt;0,
     COUNTIFS($AH$2:$AH$200,$G282)&gt;0,
     COUNTIFS($AI$2:$AI$200,$G282)&gt;0,
     COUNTIFS($AJ$2:$AJ$200,$G282)&gt;0,
     COUNTIFS($AK$2:$AK$200,$G282)&gt;0,
     COUNTIFS($AL$2:$AL$200,$G282)&gt;0,
     COUNTIFS($AM$2:$AM$200,$G282)&gt;0,
     COUNTIFS($AN$2:$AN$200,$G282)&gt;0,
     COUNTIFS($AO$2:$AO$200,$G282)&gt;0,
     COUNTIFS($AP$2:$AP$200,$G282)&gt;0,
     COUNTIFS($AQ$2:$AQ$200,$G282)&gt;0,
     COUNTIFS($AR$2:$AR$200,$G282)&gt;0,
     COUNTIFS($AS$2:$AS$200,$G282)&gt;0,
     COUNTIFS($AT$2:$AT$200,$G282)&gt;0,
     COUNTIFS($AU$2:$AU$200,$G282)&gt;0,
     COUNTIFS($AV$2:$AV$200,$G282)&gt;0,
     COUNTIFS($AW$2:$AW$200,$G282)&gt;0,
     COUNTIFS($AX$2:$AX$200,$G282)&gt;0
   )),
  ),
  3
 ),
"")</f>
        <v/>
      </c>
      <c r="F282" s="3" t="str" cm="1">
        <f t="array" aca="1" ref="F282" ca="1">IFERROR(
 INDEX(
  _xlfn._xlws.FILTER($U$1:$AX$1,
   TRANSPOSE(
    CHOOSE({1;2;3;4;5;6;7;8;9;10;11;12;13;14;15;16;17;18;19;20;21;22;23;24;25;26;27;28;29;30},
     COUNTIFS($U$2:$U$200,$G282)&gt;0,
     COUNTIFS($V$2:$V$200,$G282)&gt;0,
     COUNTIFS($W$2:$W$200,$G282)&gt;0,
     COUNTIFS($X$2:$X$200,$G282)&gt;0,
     COUNTIFS($Y$2:$Y$200,$G282)&gt;0,
     COUNTIFS($Z$2:$Z$200,$G282)&gt;0,
     COUNTIFS($AA$2:$AA$200,$G282)&gt;0,
     COUNTIFS($AB$2:$AB$200,$G282)&gt;0,
     COUNTIFS($AC$2:$AC$200,$G282)&gt;0,
     COUNTIFS($AD$2:$AD$200,$G282)&gt;0,
     COUNTIFS($AE$2:$AE$200,$G282)&gt;0,
     COUNTIFS($AF$2:$AF$200,$G282)&gt;0,
     COUNTIFS($AG$2:$AG$200,$G282)&gt;0,
     COUNTIFS($AH$2:$AH$200,$G282)&gt;0,
     COUNTIFS($AI$2:$AI$200,$G282)&gt;0,
     COUNTIFS($AJ$2:$AJ$200,$G282)&gt;0,
     COUNTIFS($AK$2:$AK$200,$G282)&gt;0,
     COUNTIFS($AL$2:$AL$200,$G282)&gt;0,
     COUNTIFS($AM$2:$AM$200,$G282)&gt;0,
     COUNTIFS($AN$2:$AN$200,$G282)&gt;0,
     COUNTIFS($AO$2:$AO$200,$G282)&gt;0,
     COUNTIFS($AP$2:$AP$200,$G282)&gt;0,
     COUNTIFS($AQ$2:$AQ$200,$G282)&gt;0,
     COUNTIFS($AR$2:$AR$200,$G282)&gt;0,
     COUNTIFS($AS$2:$AS$200,$G282)&gt;0,
     COUNTIFS($AT$2:$AT$200,$G282)&gt;0,
     COUNTIFS($AU$2:$AU$200,$G282)&gt;0,
     COUNTIFS($AV$2:$AV$200,$G282)&gt;0,
     COUNTIFS($AW$2:$AW$200,$G282)&gt;0,
     COUNTIFS($AX$2:$AX$200,$G282)&gt;0
   )),
  ),
  4
 ),
"")</f>
        <v/>
      </c>
      <c r="G282" t="str">
        <f ca="1"/>
        <v>Season of Weaving</v>
      </c>
    </row>
    <row r="283" spans="1:7" x14ac:dyDescent="0.25">
      <c r="A283" s="3" t="str">
        <f t="shared" ca="1" si="10"/>
        <v>2</v>
      </c>
      <c r="B283" s="3">
        <f t="shared" ca="1" si="11"/>
        <v>1</v>
      </c>
      <c r="C283" s="3" t="str">
        <f ca="1">IFERROR(
 INDEX($U$1:$AX$1,
  MATCH(TRUE,
   CHOOSE({1;2;3;4;5;6;7;8;9;10;11;12;13;14;15;16;17;18;19;20;21;22;23;24;25;26;27;28;29;30;31;32},
    COUNTIFS($U$2:$U$200,$G283)&gt;0,
    COUNTIFS($V$2:$V$200,$G283)&gt;0,
    COUNTIFS($W$2:$W$200,$G283)&gt;0,
    COUNTIFS($X$2:$X$200,$G283)&gt;0,
    COUNTIFS($Y$2:$Y$200,$G283)&gt;0,
    COUNTIFS($Z$2:$Z$200,$G283)&gt;0,
    COUNTIFS($AA$2:$AA$200,$G283)&gt;0,
    COUNTIFS($AB$2:$AB$200,$G283)&gt;0,
    COUNTIFS($AC$2:$AC$200,$G283)&gt;0,
    COUNTIFS($AD$2:$AD$200,$G283)&gt;0,
    COUNTIFS($AE$2:$AE$200,$G283)&gt;0,
    COUNTIFS($AF$2:$AF$200,$G283)&gt;0,
    COUNTIFS($AG$2:$AG$200,$G283)&gt;0,
    COUNTIFS($AH$2:$AH$200,$G283)&gt;0,
    COUNTIFS($AI$2:$AI$200,$G283)&gt;0,
    COUNTIFS($AJ$2:$AJ$200,$G283)&gt;0,
    COUNTIFS($AK$2:$AK$200,$G283)&gt;0,
    COUNTIFS($AL$2:$AL$200,$G283)&gt;0,
    COUNTIFS($AM$2:$AM$200,$G283)&gt;0,
    COUNTIFS($AN$2:$AN$200,$G283)&gt;0,
    COUNTIFS($AO$2:$AO$200,$G283)&gt;0,
    COUNTIFS($AP$2:$AP$200,$G283)&gt;0,
    COUNTIFS($AQ$2:$AQ$200,$G283)&gt;0,
    COUNTIFS($AR$2:$AR$200,$G283)&gt;0,
    COUNTIFS($AS$2:$AS$200,$G283)&gt;0,
    COUNTIFS($AT$2:$AT$200,$G283)&gt;0,
    COUNTIFS($AU$2:$AU$200,$G283)&gt;0,
    COUNTIFS($AV$2:$AV$200,$G283)&gt;0,
    COUNTIFS($AW$2:$AW$200,$G283)&gt;0,
    COUNTIFS($AX$2:$AX$200,$G283)&gt;0
   ),
  0)
 ),
"")</f>
        <v>Piratas</v>
      </c>
      <c r="D283" s="3" t="str" cm="1">
        <f t="array" aca="1" ref="D283" ca="1">IFERROR(
 INDEX(
  _xlfn._xlws.FILTER($U$1:$AX$1,
   TRANSPOSE(
    CHOOSE({1;2;3;4;5;6;7;8;9;10;11;12;13;14;15;16;17;18;19;20;21;22;23;24;25;26;27;28;29;30},
     COUNTIFS($U$2:$U$200,$G283)&gt;0,
     COUNTIFS($V$2:$V$200,$G283)&gt;0,
     COUNTIFS($W$2:$W$200,$G283)&gt;0,
     COUNTIFS($X$2:$X$200,$G283)&gt;0,
     COUNTIFS($Y$2:$Y$200,$G283)&gt;0,
     COUNTIFS($Z$2:$Z$200,$G283)&gt;0,
     COUNTIFS($AA$2:$AA$200,$G283)&gt;0,
     COUNTIFS($AB$2:$AB$200,$G283)&gt;0,
     COUNTIFS($AC$2:$AC$200,$G283)&gt;0,
     COUNTIFS($AD$2:$AD$200,$G283)&gt;0,
     COUNTIFS($AE$2:$AE$200,$G283)&gt;0,
     COUNTIFS($AF$2:$AF$200,$G283)&gt;0,
     COUNTIFS($AG$2:$AG$200,$G283)&gt;0,
     COUNTIFS($AH$2:$AH$200,$G283)&gt;0,
     COUNTIFS($AI$2:$AI$200,$G283)&gt;0,
     COUNTIFS($AJ$2:$AJ$200,$G283)&gt;0,
     COUNTIFS($AK$2:$AK$200,$G283)&gt;0,
     COUNTIFS($AL$2:$AL$200,$G283)&gt;0,
     COUNTIFS($AM$2:$AM$200,$G283)&gt;0,
     COUNTIFS($AN$2:$AN$200,$G283)&gt;0,
     COUNTIFS($AO$2:$AO$200,$G283)&gt;0,
     COUNTIFS($AP$2:$AP$200,$G283)&gt;0,
     COUNTIFS($AQ$2:$AQ$200,$G283)&gt;0,
     COUNTIFS($AR$2:$AR$200,$G283)&gt;0,
     COUNTIFS($AS$2:$AS$200,$G283)&gt;0,
     COUNTIFS($AT$2:$AT$200,$G283)&gt;0,
     COUNTIFS($AU$2:$AU$200,$G283)&gt;0,
     COUNTIFS($AV$2:$AV$200,$G283)&gt;0,
     COUNTIFS($AW$2:$AW$200,$G283)&gt;0,
     COUNTIFS($AX$2:$AX$200,$G283)&gt;0
   )),
  ),
  2
 ),
"")</f>
        <v/>
      </c>
      <c r="E283" s="3" t="str" cm="1">
        <f t="array" aca="1" ref="E283" ca="1">IFERROR(
 INDEX(
  _xlfn._xlws.FILTER($U$1:$AX$1,
   TRANSPOSE(
    CHOOSE({1;2;3;4;5;6;7;8;9;10;11;12;13;14;15;16;17;18;19;20;21;22;23;24;25;26;27;28;29;30},
     COUNTIFS($U$2:$U$200,$G283)&gt;0,
     COUNTIFS($V$2:$V$200,$G283)&gt;0,
     COUNTIFS($W$2:$W$200,$G283)&gt;0,
     COUNTIFS($X$2:$X$200,$G283)&gt;0,
     COUNTIFS($Y$2:$Y$200,$G283)&gt;0,
     COUNTIFS($Z$2:$Z$200,$G283)&gt;0,
     COUNTIFS($AA$2:$AA$200,$G283)&gt;0,
     COUNTIFS($AB$2:$AB$200,$G283)&gt;0,
     COUNTIFS($AC$2:$AC$200,$G283)&gt;0,
     COUNTIFS($AD$2:$AD$200,$G283)&gt;0,
     COUNTIFS($AE$2:$AE$200,$G283)&gt;0,
     COUNTIFS($AF$2:$AF$200,$G283)&gt;0,
     COUNTIFS($AG$2:$AG$200,$G283)&gt;0,
     COUNTIFS($AH$2:$AH$200,$G283)&gt;0,
     COUNTIFS($AI$2:$AI$200,$G283)&gt;0,
     COUNTIFS($AJ$2:$AJ$200,$G283)&gt;0,
     COUNTIFS($AK$2:$AK$200,$G283)&gt;0,
     COUNTIFS($AL$2:$AL$200,$G283)&gt;0,
     COUNTIFS($AM$2:$AM$200,$G283)&gt;0,
     COUNTIFS($AN$2:$AN$200,$G283)&gt;0,
     COUNTIFS($AO$2:$AO$200,$G283)&gt;0,
     COUNTIFS($AP$2:$AP$200,$G283)&gt;0,
     COUNTIFS($AQ$2:$AQ$200,$G283)&gt;0,
     COUNTIFS($AR$2:$AR$200,$G283)&gt;0,
     COUNTIFS($AS$2:$AS$200,$G283)&gt;0,
     COUNTIFS($AT$2:$AT$200,$G283)&gt;0,
     COUNTIFS($AU$2:$AU$200,$G283)&gt;0,
     COUNTIFS($AV$2:$AV$200,$G283)&gt;0,
     COUNTIFS($AW$2:$AW$200,$G283)&gt;0,
     COUNTIFS($AX$2:$AX$200,$G283)&gt;0
   )),
  ),
  3
 ),
"")</f>
        <v/>
      </c>
      <c r="F283" s="3" t="str" cm="1">
        <f t="array" aca="1" ref="F283" ca="1">IFERROR(
 INDEX(
  _xlfn._xlws.FILTER($U$1:$AX$1,
   TRANSPOSE(
    CHOOSE({1;2;3;4;5;6;7;8;9;10;11;12;13;14;15;16;17;18;19;20;21;22;23;24;25;26;27;28;29;30},
     COUNTIFS($U$2:$U$200,$G283)&gt;0,
     COUNTIFS($V$2:$V$200,$G283)&gt;0,
     COUNTIFS($W$2:$W$200,$G283)&gt;0,
     COUNTIFS($X$2:$X$200,$G283)&gt;0,
     COUNTIFS($Y$2:$Y$200,$G283)&gt;0,
     COUNTIFS($Z$2:$Z$200,$G283)&gt;0,
     COUNTIFS($AA$2:$AA$200,$G283)&gt;0,
     COUNTIFS($AB$2:$AB$200,$G283)&gt;0,
     COUNTIFS($AC$2:$AC$200,$G283)&gt;0,
     COUNTIFS($AD$2:$AD$200,$G283)&gt;0,
     COUNTIFS($AE$2:$AE$200,$G283)&gt;0,
     COUNTIFS($AF$2:$AF$200,$G283)&gt;0,
     COUNTIFS($AG$2:$AG$200,$G283)&gt;0,
     COUNTIFS($AH$2:$AH$200,$G283)&gt;0,
     COUNTIFS($AI$2:$AI$200,$G283)&gt;0,
     COUNTIFS($AJ$2:$AJ$200,$G283)&gt;0,
     COUNTIFS($AK$2:$AK$200,$G283)&gt;0,
     COUNTIFS($AL$2:$AL$200,$G283)&gt;0,
     COUNTIFS($AM$2:$AM$200,$G283)&gt;0,
     COUNTIFS($AN$2:$AN$200,$G283)&gt;0,
     COUNTIFS($AO$2:$AO$200,$G283)&gt;0,
     COUNTIFS($AP$2:$AP$200,$G283)&gt;0,
     COUNTIFS($AQ$2:$AQ$200,$G283)&gt;0,
     COUNTIFS($AR$2:$AR$200,$G283)&gt;0,
     COUNTIFS($AS$2:$AS$200,$G283)&gt;0,
     COUNTIFS($AT$2:$AT$200,$G283)&gt;0,
     COUNTIFS($AU$2:$AU$200,$G283)&gt;0,
     COUNTIFS($AV$2:$AV$200,$G283)&gt;0,
     COUNTIFS($AW$2:$AW$200,$G283)&gt;0,
     COUNTIFS($AX$2:$AX$200,$G283)&gt;0
   )),
  ),
  4
 ),
"")</f>
        <v/>
      </c>
      <c r="G283" t="str">
        <f ca="1"/>
        <v>Secluded Courtyard</v>
      </c>
    </row>
    <row r="284" spans="1:7" x14ac:dyDescent="0.25">
      <c r="A284" s="3" t="str">
        <f t="shared" ca="1" si="10"/>
        <v>1</v>
      </c>
      <c r="B284" s="3">
        <f t="shared" ca="1" si="11"/>
        <v>1</v>
      </c>
      <c r="C284" s="3" t="str">
        <f ca="1">IFERROR(
 INDEX($U$1:$AX$1,
  MATCH(TRUE,
   CHOOSE({1;2;3;4;5;6;7;8;9;10;11;12;13;14;15;16;17;18;19;20;21;22;23;24;25;26;27;28;29;30;31;32},
    COUNTIFS($U$2:$U$200,$G284)&gt;0,
    COUNTIFS($V$2:$V$200,$G284)&gt;0,
    COUNTIFS($W$2:$W$200,$G284)&gt;0,
    COUNTIFS($X$2:$X$200,$G284)&gt;0,
    COUNTIFS($Y$2:$Y$200,$G284)&gt;0,
    COUNTIFS($Z$2:$Z$200,$G284)&gt;0,
    COUNTIFS($AA$2:$AA$200,$G284)&gt;0,
    COUNTIFS($AB$2:$AB$200,$G284)&gt;0,
    COUNTIFS($AC$2:$AC$200,$G284)&gt;0,
    COUNTIFS($AD$2:$AD$200,$G284)&gt;0,
    COUNTIFS($AE$2:$AE$200,$G284)&gt;0,
    COUNTIFS($AF$2:$AF$200,$G284)&gt;0,
    COUNTIFS($AG$2:$AG$200,$G284)&gt;0,
    COUNTIFS($AH$2:$AH$200,$G284)&gt;0,
    COUNTIFS($AI$2:$AI$200,$G284)&gt;0,
    COUNTIFS($AJ$2:$AJ$200,$G284)&gt;0,
    COUNTIFS($AK$2:$AK$200,$G284)&gt;0,
    COUNTIFS($AL$2:$AL$200,$G284)&gt;0,
    COUNTIFS($AM$2:$AM$200,$G284)&gt;0,
    COUNTIFS($AN$2:$AN$200,$G284)&gt;0,
    COUNTIFS($AO$2:$AO$200,$G284)&gt;0,
    COUNTIFS($AP$2:$AP$200,$G284)&gt;0,
    COUNTIFS($AQ$2:$AQ$200,$G284)&gt;0,
    COUNTIFS($AR$2:$AR$200,$G284)&gt;0,
    COUNTIFS($AS$2:$AS$200,$G284)&gt;0,
    COUNTIFS($AT$2:$AT$200,$G284)&gt;0,
    COUNTIFS($AU$2:$AU$200,$G284)&gt;0,
    COUNTIFS($AV$2:$AV$200,$G284)&gt;0,
    COUNTIFS($AW$2:$AW$200,$G284)&gt;0,
    COUNTIFS($AX$2:$AX$200,$G284)&gt;0
   ),
  0)
 ),
"")</f>
        <v>Baylen</v>
      </c>
      <c r="D284" s="3" t="str" cm="1">
        <f t="array" aca="1" ref="D284" ca="1">IFERROR(
 INDEX(
  _xlfn._xlws.FILTER($U$1:$AX$1,
   TRANSPOSE(
    CHOOSE({1;2;3;4;5;6;7;8;9;10;11;12;13;14;15;16;17;18;19;20;21;22;23;24;25;26;27;28;29;30},
     COUNTIFS($U$2:$U$200,$G284)&gt;0,
     COUNTIFS($V$2:$V$200,$G284)&gt;0,
     COUNTIFS($W$2:$W$200,$G284)&gt;0,
     COUNTIFS($X$2:$X$200,$G284)&gt;0,
     COUNTIFS($Y$2:$Y$200,$G284)&gt;0,
     COUNTIFS($Z$2:$Z$200,$G284)&gt;0,
     COUNTIFS($AA$2:$AA$200,$G284)&gt;0,
     COUNTIFS($AB$2:$AB$200,$G284)&gt;0,
     COUNTIFS($AC$2:$AC$200,$G284)&gt;0,
     COUNTIFS($AD$2:$AD$200,$G284)&gt;0,
     COUNTIFS($AE$2:$AE$200,$G284)&gt;0,
     COUNTIFS($AF$2:$AF$200,$G284)&gt;0,
     COUNTIFS($AG$2:$AG$200,$G284)&gt;0,
     COUNTIFS($AH$2:$AH$200,$G284)&gt;0,
     COUNTIFS($AI$2:$AI$200,$G284)&gt;0,
     COUNTIFS($AJ$2:$AJ$200,$G284)&gt;0,
     COUNTIFS($AK$2:$AK$200,$G284)&gt;0,
     COUNTIFS($AL$2:$AL$200,$G284)&gt;0,
     COUNTIFS($AM$2:$AM$200,$G284)&gt;0,
     COUNTIFS($AN$2:$AN$200,$G284)&gt;0,
     COUNTIFS($AO$2:$AO$200,$G284)&gt;0,
     COUNTIFS($AP$2:$AP$200,$G284)&gt;0,
     COUNTIFS($AQ$2:$AQ$200,$G284)&gt;0,
     COUNTIFS($AR$2:$AR$200,$G284)&gt;0,
     COUNTIFS($AS$2:$AS$200,$G284)&gt;0,
     COUNTIFS($AT$2:$AT$200,$G284)&gt;0,
     COUNTIFS($AU$2:$AU$200,$G284)&gt;0,
     COUNTIFS($AV$2:$AV$200,$G284)&gt;0,
     COUNTIFS($AW$2:$AW$200,$G284)&gt;0,
     COUNTIFS($AX$2:$AX$200,$G284)&gt;0
   )),
  ),
  2
 ),
"")</f>
        <v/>
      </c>
      <c r="E284" s="3" t="str" cm="1">
        <f t="array" aca="1" ref="E284" ca="1">IFERROR(
 INDEX(
  _xlfn._xlws.FILTER($U$1:$AX$1,
   TRANSPOSE(
    CHOOSE({1;2;3;4;5;6;7;8;9;10;11;12;13;14;15;16;17;18;19;20;21;22;23;24;25;26;27;28;29;30},
     COUNTIFS($U$2:$U$200,$G284)&gt;0,
     COUNTIFS($V$2:$V$200,$G284)&gt;0,
     COUNTIFS($W$2:$W$200,$G284)&gt;0,
     COUNTIFS($X$2:$X$200,$G284)&gt;0,
     COUNTIFS($Y$2:$Y$200,$G284)&gt;0,
     COUNTIFS($Z$2:$Z$200,$G284)&gt;0,
     COUNTIFS($AA$2:$AA$200,$G284)&gt;0,
     COUNTIFS($AB$2:$AB$200,$G284)&gt;0,
     COUNTIFS($AC$2:$AC$200,$G284)&gt;0,
     COUNTIFS($AD$2:$AD$200,$G284)&gt;0,
     COUNTIFS($AE$2:$AE$200,$G284)&gt;0,
     COUNTIFS($AF$2:$AF$200,$G284)&gt;0,
     COUNTIFS($AG$2:$AG$200,$G284)&gt;0,
     COUNTIFS($AH$2:$AH$200,$G284)&gt;0,
     COUNTIFS($AI$2:$AI$200,$G284)&gt;0,
     COUNTIFS($AJ$2:$AJ$200,$G284)&gt;0,
     COUNTIFS($AK$2:$AK$200,$G284)&gt;0,
     COUNTIFS($AL$2:$AL$200,$G284)&gt;0,
     COUNTIFS($AM$2:$AM$200,$G284)&gt;0,
     COUNTIFS($AN$2:$AN$200,$G284)&gt;0,
     COUNTIFS($AO$2:$AO$200,$G284)&gt;0,
     COUNTIFS($AP$2:$AP$200,$G284)&gt;0,
     COUNTIFS($AQ$2:$AQ$200,$G284)&gt;0,
     COUNTIFS($AR$2:$AR$200,$G284)&gt;0,
     COUNTIFS($AS$2:$AS$200,$G284)&gt;0,
     COUNTIFS($AT$2:$AT$200,$G284)&gt;0,
     COUNTIFS($AU$2:$AU$200,$G284)&gt;0,
     COUNTIFS($AV$2:$AV$200,$G284)&gt;0,
     COUNTIFS($AW$2:$AW$200,$G284)&gt;0,
     COUNTIFS($AX$2:$AX$200,$G284)&gt;0
   )),
  ),
  3
 ),
"")</f>
        <v/>
      </c>
      <c r="F284" s="3" t="str" cm="1">
        <f t="array" aca="1" ref="F284" ca="1">IFERROR(
 INDEX(
  _xlfn._xlws.FILTER($U$1:$AX$1,
   TRANSPOSE(
    CHOOSE({1;2;3;4;5;6;7;8;9;10;11;12;13;14;15;16;17;18;19;20;21;22;23;24;25;26;27;28;29;30},
     COUNTIFS($U$2:$U$200,$G284)&gt;0,
     COUNTIFS($V$2:$V$200,$G284)&gt;0,
     COUNTIFS($W$2:$W$200,$G284)&gt;0,
     COUNTIFS($X$2:$X$200,$G284)&gt;0,
     COUNTIFS($Y$2:$Y$200,$G284)&gt;0,
     COUNTIFS($Z$2:$Z$200,$G284)&gt;0,
     COUNTIFS($AA$2:$AA$200,$G284)&gt;0,
     COUNTIFS($AB$2:$AB$200,$G284)&gt;0,
     COUNTIFS($AC$2:$AC$200,$G284)&gt;0,
     COUNTIFS($AD$2:$AD$200,$G284)&gt;0,
     COUNTIFS($AE$2:$AE$200,$G284)&gt;0,
     COUNTIFS($AF$2:$AF$200,$G284)&gt;0,
     COUNTIFS($AG$2:$AG$200,$G284)&gt;0,
     COUNTIFS($AH$2:$AH$200,$G284)&gt;0,
     COUNTIFS($AI$2:$AI$200,$G284)&gt;0,
     COUNTIFS($AJ$2:$AJ$200,$G284)&gt;0,
     COUNTIFS($AK$2:$AK$200,$G284)&gt;0,
     COUNTIFS($AL$2:$AL$200,$G284)&gt;0,
     COUNTIFS($AM$2:$AM$200,$G284)&gt;0,
     COUNTIFS($AN$2:$AN$200,$G284)&gt;0,
     COUNTIFS($AO$2:$AO$200,$G284)&gt;0,
     COUNTIFS($AP$2:$AP$200,$G284)&gt;0,
     COUNTIFS($AQ$2:$AQ$200,$G284)&gt;0,
     COUNTIFS($AR$2:$AR$200,$G284)&gt;0,
     COUNTIFS($AS$2:$AS$200,$G284)&gt;0,
     COUNTIFS($AT$2:$AT$200,$G284)&gt;0,
     COUNTIFS($AU$2:$AU$200,$G284)&gt;0,
     COUNTIFS($AV$2:$AV$200,$G284)&gt;0,
     COUNTIFS($AW$2:$AW$200,$G284)&gt;0,
     COUNTIFS($AX$2:$AX$200,$G284)&gt;0
   )),
  ),
  4
 ),
"")</f>
        <v/>
      </c>
      <c r="G284" t="str">
        <f ca="1"/>
        <v>Second Harvest</v>
      </c>
    </row>
    <row r="285" spans="1:7" x14ac:dyDescent="0.25">
      <c r="A285" s="3" t="str">
        <f t="shared" ca="1" si="10"/>
        <v>1</v>
      </c>
      <c r="B285" s="3">
        <f t="shared" ca="1" si="11"/>
        <v>1</v>
      </c>
      <c r="C285" s="3" t="str">
        <f ca="1">IFERROR(
 INDEX($U$1:$AX$1,
  MATCH(TRUE,
   CHOOSE({1;2;3;4;5;6;7;8;9;10;11;12;13;14;15;16;17;18;19;20;21;22;23;24;25;26;27;28;29;30;31;32},
    COUNTIFS($U$2:$U$200,$G285)&gt;0,
    COUNTIFS($V$2:$V$200,$G285)&gt;0,
    COUNTIFS($W$2:$W$200,$G285)&gt;0,
    COUNTIFS($X$2:$X$200,$G285)&gt;0,
    COUNTIFS($Y$2:$Y$200,$G285)&gt;0,
    COUNTIFS($Z$2:$Z$200,$G285)&gt;0,
    COUNTIFS($AA$2:$AA$200,$G285)&gt;0,
    COUNTIFS($AB$2:$AB$200,$G285)&gt;0,
    COUNTIFS($AC$2:$AC$200,$G285)&gt;0,
    COUNTIFS($AD$2:$AD$200,$G285)&gt;0,
    COUNTIFS($AE$2:$AE$200,$G285)&gt;0,
    COUNTIFS($AF$2:$AF$200,$G285)&gt;0,
    COUNTIFS($AG$2:$AG$200,$G285)&gt;0,
    COUNTIFS($AH$2:$AH$200,$G285)&gt;0,
    COUNTIFS($AI$2:$AI$200,$G285)&gt;0,
    COUNTIFS($AJ$2:$AJ$200,$G285)&gt;0,
    COUNTIFS($AK$2:$AK$200,$G285)&gt;0,
    COUNTIFS($AL$2:$AL$200,$G285)&gt;0,
    COUNTIFS($AM$2:$AM$200,$G285)&gt;0,
    COUNTIFS($AN$2:$AN$200,$G285)&gt;0,
    COUNTIFS($AO$2:$AO$200,$G285)&gt;0,
    COUNTIFS($AP$2:$AP$200,$G285)&gt;0,
    COUNTIFS($AQ$2:$AQ$200,$G285)&gt;0,
    COUNTIFS($AR$2:$AR$200,$G285)&gt;0,
    COUNTIFS($AS$2:$AS$200,$G285)&gt;0,
    COUNTIFS($AT$2:$AT$200,$G285)&gt;0,
    COUNTIFS($AU$2:$AU$200,$G285)&gt;0,
    COUNTIFS($AV$2:$AV$200,$G285)&gt;0,
    COUNTIFS($AW$2:$AW$200,$G285)&gt;0,
    COUNTIFS($AX$2:$AX$200,$G285)&gt;0
   ),
  0)
 ),
"")</f>
        <v>Baylen</v>
      </c>
      <c r="D285" s="3" t="str" cm="1">
        <f t="array" aca="1" ref="D285" ca="1">IFERROR(
 INDEX(
  _xlfn._xlws.FILTER($U$1:$AX$1,
   TRANSPOSE(
    CHOOSE({1;2;3;4;5;6;7;8;9;10;11;12;13;14;15;16;17;18;19;20;21;22;23;24;25;26;27;28;29;30},
     COUNTIFS($U$2:$U$200,$G285)&gt;0,
     COUNTIFS($V$2:$V$200,$G285)&gt;0,
     COUNTIFS($W$2:$W$200,$G285)&gt;0,
     COUNTIFS($X$2:$X$200,$G285)&gt;0,
     COUNTIFS($Y$2:$Y$200,$G285)&gt;0,
     COUNTIFS($Z$2:$Z$200,$G285)&gt;0,
     COUNTIFS($AA$2:$AA$200,$G285)&gt;0,
     COUNTIFS($AB$2:$AB$200,$G285)&gt;0,
     COUNTIFS($AC$2:$AC$200,$G285)&gt;0,
     COUNTIFS($AD$2:$AD$200,$G285)&gt;0,
     COUNTIFS($AE$2:$AE$200,$G285)&gt;0,
     COUNTIFS($AF$2:$AF$200,$G285)&gt;0,
     COUNTIFS($AG$2:$AG$200,$G285)&gt;0,
     COUNTIFS($AH$2:$AH$200,$G285)&gt;0,
     COUNTIFS($AI$2:$AI$200,$G285)&gt;0,
     COUNTIFS($AJ$2:$AJ$200,$G285)&gt;0,
     COUNTIFS($AK$2:$AK$200,$G285)&gt;0,
     COUNTIFS($AL$2:$AL$200,$G285)&gt;0,
     COUNTIFS($AM$2:$AM$200,$G285)&gt;0,
     COUNTIFS($AN$2:$AN$200,$G285)&gt;0,
     COUNTIFS($AO$2:$AO$200,$G285)&gt;0,
     COUNTIFS($AP$2:$AP$200,$G285)&gt;0,
     COUNTIFS($AQ$2:$AQ$200,$G285)&gt;0,
     COUNTIFS($AR$2:$AR$200,$G285)&gt;0,
     COUNTIFS($AS$2:$AS$200,$G285)&gt;0,
     COUNTIFS($AT$2:$AT$200,$G285)&gt;0,
     COUNTIFS($AU$2:$AU$200,$G285)&gt;0,
     COUNTIFS($AV$2:$AV$200,$G285)&gt;0,
     COUNTIFS($AW$2:$AW$200,$G285)&gt;0,
     COUNTIFS($AX$2:$AX$200,$G285)&gt;0
   )),
  ),
  2
 ),
"")</f>
        <v/>
      </c>
      <c r="E285" s="3" t="str" cm="1">
        <f t="array" aca="1" ref="E285" ca="1">IFERROR(
 INDEX(
  _xlfn._xlws.FILTER($U$1:$AX$1,
   TRANSPOSE(
    CHOOSE({1;2;3;4;5;6;7;8;9;10;11;12;13;14;15;16;17;18;19;20;21;22;23;24;25;26;27;28;29;30},
     COUNTIFS($U$2:$U$200,$G285)&gt;0,
     COUNTIFS($V$2:$V$200,$G285)&gt;0,
     COUNTIFS($W$2:$W$200,$G285)&gt;0,
     COUNTIFS($X$2:$X$200,$G285)&gt;0,
     COUNTIFS($Y$2:$Y$200,$G285)&gt;0,
     COUNTIFS($Z$2:$Z$200,$G285)&gt;0,
     COUNTIFS($AA$2:$AA$200,$G285)&gt;0,
     COUNTIFS($AB$2:$AB$200,$G285)&gt;0,
     COUNTIFS($AC$2:$AC$200,$G285)&gt;0,
     COUNTIFS($AD$2:$AD$200,$G285)&gt;0,
     COUNTIFS($AE$2:$AE$200,$G285)&gt;0,
     COUNTIFS($AF$2:$AF$200,$G285)&gt;0,
     COUNTIFS($AG$2:$AG$200,$G285)&gt;0,
     COUNTIFS($AH$2:$AH$200,$G285)&gt;0,
     COUNTIFS($AI$2:$AI$200,$G285)&gt;0,
     COUNTIFS($AJ$2:$AJ$200,$G285)&gt;0,
     COUNTIFS($AK$2:$AK$200,$G285)&gt;0,
     COUNTIFS($AL$2:$AL$200,$G285)&gt;0,
     COUNTIFS($AM$2:$AM$200,$G285)&gt;0,
     COUNTIFS($AN$2:$AN$200,$G285)&gt;0,
     COUNTIFS($AO$2:$AO$200,$G285)&gt;0,
     COUNTIFS($AP$2:$AP$200,$G285)&gt;0,
     COUNTIFS($AQ$2:$AQ$200,$G285)&gt;0,
     COUNTIFS($AR$2:$AR$200,$G285)&gt;0,
     COUNTIFS($AS$2:$AS$200,$G285)&gt;0,
     COUNTIFS($AT$2:$AT$200,$G285)&gt;0,
     COUNTIFS($AU$2:$AU$200,$G285)&gt;0,
     COUNTIFS($AV$2:$AV$200,$G285)&gt;0,
     COUNTIFS($AW$2:$AW$200,$G285)&gt;0,
     COUNTIFS($AX$2:$AX$200,$G285)&gt;0
   )),
  ),
  3
 ),
"")</f>
        <v/>
      </c>
      <c r="F285" s="3" t="str" cm="1">
        <f t="array" aca="1" ref="F285" ca="1">IFERROR(
 INDEX(
  _xlfn._xlws.FILTER($U$1:$AX$1,
   TRANSPOSE(
    CHOOSE({1;2;3;4;5;6;7;8;9;10;11;12;13;14;15;16;17;18;19;20;21;22;23;24;25;26;27;28;29;30},
     COUNTIFS($U$2:$U$200,$G285)&gt;0,
     COUNTIFS($V$2:$V$200,$G285)&gt;0,
     COUNTIFS($W$2:$W$200,$G285)&gt;0,
     COUNTIFS($X$2:$X$200,$G285)&gt;0,
     COUNTIFS($Y$2:$Y$200,$G285)&gt;0,
     COUNTIFS($Z$2:$Z$200,$G285)&gt;0,
     COUNTIFS($AA$2:$AA$200,$G285)&gt;0,
     COUNTIFS($AB$2:$AB$200,$G285)&gt;0,
     COUNTIFS($AC$2:$AC$200,$G285)&gt;0,
     COUNTIFS($AD$2:$AD$200,$G285)&gt;0,
     COUNTIFS($AE$2:$AE$200,$G285)&gt;0,
     COUNTIFS($AF$2:$AF$200,$G285)&gt;0,
     COUNTIFS($AG$2:$AG$200,$G285)&gt;0,
     COUNTIFS($AH$2:$AH$200,$G285)&gt;0,
     COUNTIFS($AI$2:$AI$200,$G285)&gt;0,
     COUNTIFS($AJ$2:$AJ$200,$G285)&gt;0,
     COUNTIFS($AK$2:$AK$200,$G285)&gt;0,
     COUNTIFS($AL$2:$AL$200,$G285)&gt;0,
     COUNTIFS($AM$2:$AM$200,$G285)&gt;0,
     COUNTIFS($AN$2:$AN$200,$G285)&gt;0,
     COUNTIFS($AO$2:$AO$200,$G285)&gt;0,
     COUNTIFS($AP$2:$AP$200,$G285)&gt;0,
     COUNTIFS($AQ$2:$AQ$200,$G285)&gt;0,
     COUNTIFS($AR$2:$AR$200,$G285)&gt;0,
     COUNTIFS($AS$2:$AS$200,$G285)&gt;0,
     COUNTIFS($AT$2:$AT$200,$G285)&gt;0,
     COUNTIFS($AU$2:$AU$200,$G285)&gt;0,
     COUNTIFS($AV$2:$AV$200,$G285)&gt;0,
     COUNTIFS($AW$2:$AW$200,$G285)&gt;0,
     COUNTIFS($AX$2:$AX$200,$G285)&gt;0
   )),
  ),
  4
 ),
"")</f>
        <v/>
      </c>
      <c r="G285" t="str">
        <f ca="1"/>
        <v>Seedborn Muse</v>
      </c>
    </row>
    <row r="286" spans="1:7" x14ac:dyDescent="0.25">
      <c r="A286" s="3" t="str">
        <f t="shared" ca="1" si="10"/>
        <v>2</v>
      </c>
      <c r="B286" s="3">
        <f t="shared" ca="1" si="11"/>
        <v>1</v>
      </c>
      <c r="C286" s="3" t="str">
        <f ca="1">IFERROR(
 INDEX($U$1:$AX$1,
  MATCH(TRUE,
   CHOOSE({1;2;3;4;5;6;7;8;9;10;11;12;13;14;15;16;17;18;19;20;21;22;23;24;25;26;27;28;29;30;31;32},
    COUNTIFS($U$2:$U$200,$G286)&gt;0,
    COUNTIFS($V$2:$V$200,$G286)&gt;0,
    COUNTIFS($W$2:$W$200,$G286)&gt;0,
    COUNTIFS($X$2:$X$200,$G286)&gt;0,
    COUNTIFS($Y$2:$Y$200,$G286)&gt;0,
    COUNTIFS($Z$2:$Z$200,$G286)&gt;0,
    COUNTIFS($AA$2:$AA$200,$G286)&gt;0,
    COUNTIFS($AB$2:$AB$200,$G286)&gt;0,
    COUNTIFS($AC$2:$AC$200,$G286)&gt;0,
    COUNTIFS($AD$2:$AD$200,$G286)&gt;0,
    COUNTIFS($AE$2:$AE$200,$G286)&gt;0,
    COUNTIFS($AF$2:$AF$200,$G286)&gt;0,
    COUNTIFS($AG$2:$AG$200,$G286)&gt;0,
    COUNTIFS($AH$2:$AH$200,$G286)&gt;0,
    COUNTIFS($AI$2:$AI$200,$G286)&gt;0,
    COUNTIFS($AJ$2:$AJ$200,$G286)&gt;0,
    COUNTIFS($AK$2:$AK$200,$G286)&gt;0,
    COUNTIFS($AL$2:$AL$200,$G286)&gt;0,
    COUNTIFS($AM$2:$AM$200,$G286)&gt;0,
    COUNTIFS($AN$2:$AN$200,$G286)&gt;0,
    COUNTIFS($AO$2:$AO$200,$G286)&gt;0,
    COUNTIFS($AP$2:$AP$200,$G286)&gt;0,
    COUNTIFS($AQ$2:$AQ$200,$G286)&gt;0,
    COUNTIFS($AR$2:$AR$200,$G286)&gt;0,
    COUNTIFS($AS$2:$AS$200,$G286)&gt;0,
    COUNTIFS($AT$2:$AT$200,$G286)&gt;0,
    COUNTIFS($AU$2:$AU$200,$G286)&gt;0,
    COUNTIFS($AV$2:$AV$200,$G286)&gt;0,
    COUNTIFS($AW$2:$AW$200,$G286)&gt;0,
    COUNTIFS($AX$2:$AX$200,$G286)&gt;0
   ),
  0)
 ),
"")</f>
        <v>Piratas</v>
      </c>
      <c r="D286" s="3" t="str" cm="1">
        <f t="array" aca="1" ref="D286" ca="1">IFERROR(
 INDEX(
  _xlfn._xlws.FILTER($U$1:$AX$1,
   TRANSPOSE(
    CHOOSE({1;2;3;4;5;6;7;8;9;10;11;12;13;14;15;16;17;18;19;20;21;22;23;24;25;26;27;28;29;30},
     COUNTIFS($U$2:$U$200,$G286)&gt;0,
     COUNTIFS($V$2:$V$200,$G286)&gt;0,
     COUNTIFS($W$2:$W$200,$G286)&gt;0,
     COUNTIFS($X$2:$X$200,$G286)&gt;0,
     COUNTIFS($Y$2:$Y$200,$G286)&gt;0,
     COUNTIFS($Z$2:$Z$200,$G286)&gt;0,
     COUNTIFS($AA$2:$AA$200,$G286)&gt;0,
     COUNTIFS($AB$2:$AB$200,$G286)&gt;0,
     COUNTIFS($AC$2:$AC$200,$G286)&gt;0,
     COUNTIFS($AD$2:$AD$200,$G286)&gt;0,
     COUNTIFS($AE$2:$AE$200,$G286)&gt;0,
     COUNTIFS($AF$2:$AF$200,$G286)&gt;0,
     COUNTIFS($AG$2:$AG$200,$G286)&gt;0,
     COUNTIFS($AH$2:$AH$200,$G286)&gt;0,
     COUNTIFS($AI$2:$AI$200,$G286)&gt;0,
     COUNTIFS($AJ$2:$AJ$200,$G286)&gt;0,
     COUNTIFS($AK$2:$AK$200,$G286)&gt;0,
     COUNTIFS($AL$2:$AL$200,$G286)&gt;0,
     COUNTIFS($AM$2:$AM$200,$G286)&gt;0,
     COUNTIFS($AN$2:$AN$200,$G286)&gt;0,
     COUNTIFS($AO$2:$AO$200,$G286)&gt;0,
     COUNTIFS($AP$2:$AP$200,$G286)&gt;0,
     COUNTIFS($AQ$2:$AQ$200,$G286)&gt;0,
     COUNTIFS($AR$2:$AR$200,$G286)&gt;0,
     COUNTIFS($AS$2:$AS$200,$G286)&gt;0,
     COUNTIFS($AT$2:$AT$200,$G286)&gt;0,
     COUNTIFS($AU$2:$AU$200,$G286)&gt;0,
     COUNTIFS($AV$2:$AV$200,$G286)&gt;0,
     COUNTIFS($AW$2:$AW$200,$G286)&gt;0,
     COUNTIFS($AX$2:$AX$200,$G286)&gt;0
   )),
  ),
  2
 ),
"")</f>
        <v/>
      </c>
      <c r="E286" s="3" t="str" cm="1">
        <f t="array" aca="1" ref="E286" ca="1">IFERROR(
 INDEX(
  _xlfn._xlws.FILTER($U$1:$AX$1,
   TRANSPOSE(
    CHOOSE({1;2;3;4;5;6;7;8;9;10;11;12;13;14;15;16;17;18;19;20;21;22;23;24;25;26;27;28;29;30},
     COUNTIFS($U$2:$U$200,$G286)&gt;0,
     COUNTIFS($V$2:$V$200,$G286)&gt;0,
     COUNTIFS($W$2:$W$200,$G286)&gt;0,
     COUNTIFS($X$2:$X$200,$G286)&gt;0,
     COUNTIFS($Y$2:$Y$200,$G286)&gt;0,
     COUNTIFS($Z$2:$Z$200,$G286)&gt;0,
     COUNTIFS($AA$2:$AA$200,$G286)&gt;0,
     COUNTIFS($AB$2:$AB$200,$G286)&gt;0,
     COUNTIFS($AC$2:$AC$200,$G286)&gt;0,
     COUNTIFS($AD$2:$AD$200,$G286)&gt;0,
     COUNTIFS($AE$2:$AE$200,$G286)&gt;0,
     COUNTIFS($AF$2:$AF$200,$G286)&gt;0,
     COUNTIFS($AG$2:$AG$200,$G286)&gt;0,
     COUNTIFS($AH$2:$AH$200,$G286)&gt;0,
     COUNTIFS($AI$2:$AI$200,$G286)&gt;0,
     COUNTIFS($AJ$2:$AJ$200,$G286)&gt;0,
     COUNTIFS($AK$2:$AK$200,$G286)&gt;0,
     COUNTIFS($AL$2:$AL$200,$G286)&gt;0,
     COUNTIFS($AM$2:$AM$200,$G286)&gt;0,
     COUNTIFS($AN$2:$AN$200,$G286)&gt;0,
     COUNTIFS($AO$2:$AO$200,$G286)&gt;0,
     COUNTIFS($AP$2:$AP$200,$G286)&gt;0,
     COUNTIFS($AQ$2:$AQ$200,$G286)&gt;0,
     COUNTIFS($AR$2:$AR$200,$G286)&gt;0,
     COUNTIFS($AS$2:$AS$200,$G286)&gt;0,
     COUNTIFS($AT$2:$AT$200,$G286)&gt;0,
     COUNTIFS($AU$2:$AU$200,$G286)&gt;0,
     COUNTIFS($AV$2:$AV$200,$G286)&gt;0,
     COUNTIFS($AW$2:$AW$200,$G286)&gt;0,
     COUNTIFS($AX$2:$AX$200,$G286)&gt;0
   )),
  ),
  3
 ),
"")</f>
        <v/>
      </c>
      <c r="F286" s="3" t="str" cm="1">
        <f t="array" aca="1" ref="F286" ca="1">IFERROR(
 INDEX(
  _xlfn._xlws.FILTER($U$1:$AX$1,
   TRANSPOSE(
    CHOOSE({1;2;3;4;5;6;7;8;9;10;11;12;13;14;15;16;17;18;19;20;21;22;23;24;25;26;27;28;29;30},
     COUNTIFS($U$2:$U$200,$G286)&gt;0,
     COUNTIFS($V$2:$V$200,$G286)&gt;0,
     COUNTIFS($W$2:$W$200,$G286)&gt;0,
     COUNTIFS($X$2:$X$200,$G286)&gt;0,
     COUNTIFS($Y$2:$Y$200,$G286)&gt;0,
     COUNTIFS($Z$2:$Z$200,$G286)&gt;0,
     COUNTIFS($AA$2:$AA$200,$G286)&gt;0,
     COUNTIFS($AB$2:$AB$200,$G286)&gt;0,
     COUNTIFS($AC$2:$AC$200,$G286)&gt;0,
     COUNTIFS($AD$2:$AD$200,$G286)&gt;0,
     COUNTIFS($AE$2:$AE$200,$G286)&gt;0,
     COUNTIFS($AF$2:$AF$200,$G286)&gt;0,
     COUNTIFS($AG$2:$AG$200,$G286)&gt;0,
     COUNTIFS($AH$2:$AH$200,$G286)&gt;0,
     COUNTIFS($AI$2:$AI$200,$G286)&gt;0,
     COUNTIFS($AJ$2:$AJ$200,$G286)&gt;0,
     COUNTIFS($AK$2:$AK$200,$G286)&gt;0,
     COUNTIFS($AL$2:$AL$200,$G286)&gt;0,
     COUNTIFS($AM$2:$AM$200,$G286)&gt;0,
     COUNTIFS($AN$2:$AN$200,$G286)&gt;0,
     COUNTIFS($AO$2:$AO$200,$G286)&gt;0,
     COUNTIFS($AP$2:$AP$200,$G286)&gt;0,
     COUNTIFS($AQ$2:$AQ$200,$G286)&gt;0,
     COUNTIFS($AR$2:$AR$200,$G286)&gt;0,
     COUNTIFS($AS$2:$AS$200,$G286)&gt;0,
     COUNTIFS($AT$2:$AT$200,$G286)&gt;0,
     COUNTIFS($AU$2:$AU$200,$G286)&gt;0,
     COUNTIFS($AV$2:$AV$200,$G286)&gt;0,
     COUNTIFS($AW$2:$AW$200,$G286)&gt;0,
     COUNTIFS($AX$2:$AX$200,$G286)&gt;0
   )),
  ),
  4
 ),
"")</f>
        <v/>
      </c>
      <c r="G286" t="str">
        <f ca="1"/>
        <v>Seething Landscape</v>
      </c>
    </row>
    <row r="287" spans="1:7" x14ac:dyDescent="0.25">
      <c r="A287" s="3" t="str">
        <f t="shared" ca="1" si="10"/>
        <v>1</v>
      </c>
      <c r="B287" s="3">
        <f t="shared" ca="1" si="11"/>
        <v>1</v>
      </c>
      <c r="C287" s="3" t="str">
        <f ca="1">IFERROR(
 INDEX($U$1:$AX$1,
  MATCH(TRUE,
   CHOOSE({1;2;3;4;5;6;7;8;9;10;11;12;13;14;15;16;17;18;19;20;21;22;23;24;25;26;27;28;29;30;31;32},
    COUNTIFS($U$2:$U$200,$G287)&gt;0,
    COUNTIFS($V$2:$V$200,$G287)&gt;0,
    COUNTIFS($W$2:$W$200,$G287)&gt;0,
    COUNTIFS($X$2:$X$200,$G287)&gt;0,
    COUNTIFS($Y$2:$Y$200,$G287)&gt;0,
    COUNTIFS($Z$2:$Z$200,$G287)&gt;0,
    COUNTIFS($AA$2:$AA$200,$G287)&gt;0,
    COUNTIFS($AB$2:$AB$200,$G287)&gt;0,
    COUNTIFS($AC$2:$AC$200,$G287)&gt;0,
    COUNTIFS($AD$2:$AD$200,$G287)&gt;0,
    COUNTIFS($AE$2:$AE$200,$G287)&gt;0,
    COUNTIFS($AF$2:$AF$200,$G287)&gt;0,
    COUNTIFS($AG$2:$AG$200,$G287)&gt;0,
    COUNTIFS($AH$2:$AH$200,$G287)&gt;0,
    COUNTIFS($AI$2:$AI$200,$G287)&gt;0,
    COUNTIFS($AJ$2:$AJ$200,$G287)&gt;0,
    COUNTIFS($AK$2:$AK$200,$G287)&gt;0,
    COUNTIFS($AL$2:$AL$200,$G287)&gt;0,
    COUNTIFS($AM$2:$AM$200,$G287)&gt;0,
    COUNTIFS($AN$2:$AN$200,$G287)&gt;0,
    COUNTIFS($AO$2:$AO$200,$G287)&gt;0,
    COUNTIFS($AP$2:$AP$200,$G287)&gt;0,
    COUNTIFS($AQ$2:$AQ$200,$G287)&gt;0,
    COUNTIFS($AR$2:$AR$200,$G287)&gt;0,
    COUNTIFS($AS$2:$AS$200,$G287)&gt;0,
    COUNTIFS($AT$2:$AT$200,$G287)&gt;0,
    COUNTIFS($AU$2:$AU$200,$G287)&gt;0,
    COUNTIFS($AV$2:$AV$200,$G287)&gt;0,
    COUNTIFS($AW$2:$AW$200,$G287)&gt;0,
    COUNTIFS($AX$2:$AX$200,$G287)&gt;0
   ),
  0)
 ),
"")</f>
        <v>Modular</v>
      </c>
      <c r="D287" s="3" t="str" cm="1">
        <f t="array" aca="1" ref="D287" ca="1">IFERROR(
 INDEX(
  _xlfn._xlws.FILTER($U$1:$AX$1,
   TRANSPOSE(
    CHOOSE({1;2;3;4;5;6;7;8;9;10;11;12;13;14;15;16;17;18;19;20;21;22;23;24;25;26;27;28;29;30},
     COUNTIFS($U$2:$U$200,$G287)&gt;0,
     COUNTIFS($V$2:$V$200,$G287)&gt;0,
     COUNTIFS($W$2:$W$200,$G287)&gt;0,
     COUNTIFS($X$2:$X$200,$G287)&gt;0,
     COUNTIFS($Y$2:$Y$200,$G287)&gt;0,
     COUNTIFS($Z$2:$Z$200,$G287)&gt;0,
     COUNTIFS($AA$2:$AA$200,$G287)&gt;0,
     COUNTIFS($AB$2:$AB$200,$G287)&gt;0,
     COUNTIFS($AC$2:$AC$200,$G287)&gt;0,
     COUNTIFS($AD$2:$AD$200,$G287)&gt;0,
     COUNTIFS($AE$2:$AE$200,$G287)&gt;0,
     COUNTIFS($AF$2:$AF$200,$G287)&gt;0,
     COUNTIFS($AG$2:$AG$200,$G287)&gt;0,
     COUNTIFS($AH$2:$AH$200,$G287)&gt;0,
     COUNTIFS($AI$2:$AI$200,$G287)&gt;0,
     COUNTIFS($AJ$2:$AJ$200,$G287)&gt;0,
     COUNTIFS($AK$2:$AK$200,$G287)&gt;0,
     COUNTIFS($AL$2:$AL$200,$G287)&gt;0,
     COUNTIFS($AM$2:$AM$200,$G287)&gt;0,
     COUNTIFS($AN$2:$AN$200,$G287)&gt;0,
     COUNTIFS($AO$2:$AO$200,$G287)&gt;0,
     COUNTIFS($AP$2:$AP$200,$G287)&gt;0,
     COUNTIFS($AQ$2:$AQ$200,$G287)&gt;0,
     COUNTIFS($AR$2:$AR$200,$G287)&gt;0,
     COUNTIFS($AS$2:$AS$200,$G287)&gt;0,
     COUNTIFS($AT$2:$AT$200,$G287)&gt;0,
     COUNTIFS($AU$2:$AU$200,$G287)&gt;0,
     COUNTIFS($AV$2:$AV$200,$G287)&gt;0,
     COUNTIFS($AW$2:$AW$200,$G287)&gt;0,
     COUNTIFS($AX$2:$AX$200,$G287)&gt;0
   )),
  ),
  2
 ),
"")</f>
        <v/>
      </c>
      <c r="E287" s="3" t="str" cm="1">
        <f t="array" aca="1" ref="E287" ca="1">IFERROR(
 INDEX(
  _xlfn._xlws.FILTER($U$1:$AX$1,
   TRANSPOSE(
    CHOOSE({1;2;3;4;5;6;7;8;9;10;11;12;13;14;15;16;17;18;19;20;21;22;23;24;25;26;27;28;29;30},
     COUNTIFS($U$2:$U$200,$G287)&gt;0,
     COUNTIFS($V$2:$V$200,$G287)&gt;0,
     COUNTIFS($W$2:$W$200,$G287)&gt;0,
     COUNTIFS($X$2:$X$200,$G287)&gt;0,
     COUNTIFS($Y$2:$Y$200,$G287)&gt;0,
     COUNTIFS($Z$2:$Z$200,$G287)&gt;0,
     COUNTIFS($AA$2:$AA$200,$G287)&gt;0,
     COUNTIFS($AB$2:$AB$200,$G287)&gt;0,
     COUNTIFS($AC$2:$AC$200,$G287)&gt;0,
     COUNTIFS($AD$2:$AD$200,$G287)&gt;0,
     COUNTIFS($AE$2:$AE$200,$G287)&gt;0,
     COUNTIFS($AF$2:$AF$200,$G287)&gt;0,
     COUNTIFS($AG$2:$AG$200,$G287)&gt;0,
     COUNTIFS($AH$2:$AH$200,$G287)&gt;0,
     COUNTIFS($AI$2:$AI$200,$G287)&gt;0,
     COUNTIFS($AJ$2:$AJ$200,$G287)&gt;0,
     COUNTIFS($AK$2:$AK$200,$G287)&gt;0,
     COUNTIFS($AL$2:$AL$200,$G287)&gt;0,
     COUNTIFS($AM$2:$AM$200,$G287)&gt;0,
     COUNTIFS($AN$2:$AN$200,$G287)&gt;0,
     COUNTIFS($AO$2:$AO$200,$G287)&gt;0,
     COUNTIFS($AP$2:$AP$200,$G287)&gt;0,
     COUNTIFS($AQ$2:$AQ$200,$G287)&gt;0,
     COUNTIFS($AR$2:$AR$200,$G287)&gt;0,
     COUNTIFS($AS$2:$AS$200,$G287)&gt;0,
     COUNTIFS($AT$2:$AT$200,$G287)&gt;0,
     COUNTIFS($AU$2:$AU$200,$G287)&gt;0,
     COUNTIFS($AV$2:$AV$200,$G287)&gt;0,
     COUNTIFS($AW$2:$AW$200,$G287)&gt;0,
     COUNTIFS($AX$2:$AX$200,$G287)&gt;0
   )),
  ),
  3
 ),
"")</f>
        <v/>
      </c>
      <c r="F287" s="3" t="str" cm="1">
        <f t="array" aca="1" ref="F287" ca="1">IFERROR(
 INDEX(
  _xlfn._xlws.FILTER($U$1:$AX$1,
   TRANSPOSE(
    CHOOSE({1;2;3;4;5;6;7;8;9;10;11;12;13;14;15;16;17;18;19;20;21;22;23;24;25;26;27;28;29;30},
     COUNTIFS($U$2:$U$200,$G287)&gt;0,
     COUNTIFS($V$2:$V$200,$G287)&gt;0,
     COUNTIFS($W$2:$W$200,$G287)&gt;0,
     COUNTIFS($X$2:$X$200,$G287)&gt;0,
     COUNTIFS($Y$2:$Y$200,$G287)&gt;0,
     COUNTIFS($Z$2:$Z$200,$G287)&gt;0,
     COUNTIFS($AA$2:$AA$200,$G287)&gt;0,
     COUNTIFS($AB$2:$AB$200,$G287)&gt;0,
     COUNTIFS($AC$2:$AC$200,$G287)&gt;0,
     COUNTIFS($AD$2:$AD$200,$G287)&gt;0,
     COUNTIFS($AE$2:$AE$200,$G287)&gt;0,
     COUNTIFS($AF$2:$AF$200,$G287)&gt;0,
     COUNTIFS($AG$2:$AG$200,$G287)&gt;0,
     COUNTIFS($AH$2:$AH$200,$G287)&gt;0,
     COUNTIFS($AI$2:$AI$200,$G287)&gt;0,
     COUNTIFS($AJ$2:$AJ$200,$G287)&gt;0,
     COUNTIFS($AK$2:$AK$200,$G287)&gt;0,
     COUNTIFS($AL$2:$AL$200,$G287)&gt;0,
     COUNTIFS($AM$2:$AM$200,$G287)&gt;0,
     COUNTIFS($AN$2:$AN$200,$G287)&gt;0,
     COUNTIFS($AO$2:$AO$200,$G287)&gt;0,
     COUNTIFS($AP$2:$AP$200,$G287)&gt;0,
     COUNTIFS($AQ$2:$AQ$200,$G287)&gt;0,
     COUNTIFS($AR$2:$AR$200,$G287)&gt;0,
     COUNTIFS($AS$2:$AS$200,$G287)&gt;0,
     COUNTIFS($AT$2:$AT$200,$G287)&gt;0,
     COUNTIFS($AU$2:$AU$200,$G287)&gt;0,
     COUNTIFS($AV$2:$AV$200,$G287)&gt;0,
     COUNTIFS($AW$2:$AW$200,$G287)&gt;0,
     COUNTIFS($AX$2:$AX$200,$G287)&gt;0
   )),
  ),
  4
 ),
"")</f>
        <v/>
      </c>
      <c r="G287" t="str">
        <f ca="1"/>
        <v>Selesnya Signet</v>
      </c>
    </row>
    <row r="288" spans="1:7" x14ac:dyDescent="0.25">
      <c r="A288" s="3" t="str">
        <f t="shared" ca="1" si="10"/>
        <v>4</v>
      </c>
      <c r="B288" s="3">
        <f t="shared" ca="1" si="11"/>
        <v>1</v>
      </c>
      <c r="C288" s="3" t="str">
        <f ca="1">IFERROR(
 INDEX($U$1:$AX$1,
  MATCH(TRUE,
   CHOOSE({1;2;3;4;5;6;7;8;9;10;11;12;13;14;15;16;17;18;19;20;21;22;23;24;25;26;27;28;29;30;31;32},
    COUNTIFS($U$2:$U$200,$G288)&gt;0,
    COUNTIFS($V$2:$V$200,$G288)&gt;0,
    COUNTIFS($W$2:$W$200,$G288)&gt;0,
    COUNTIFS($X$2:$X$200,$G288)&gt;0,
    COUNTIFS($Y$2:$Y$200,$G288)&gt;0,
    COUNTIFS($Z$2:$Z$200,$G288)&gt;0,
    COUNTIFS($AA$2:$AA$200,$G288)&gt;0,
    COUNTIFS($AB$2:$AB$200,$G288)&gt;0,
    COUNTIFS($AC$2:$AC$200,$G288)&gt;0,
    COUNTIFS($AD$2:$AD$200,$G288)&gt;0,
    COUNTIFS($AE$2:$AE$200,$G288)&gt;0,
    COUNTIFS($AF$2:$AF$200,$G288)&gt;0,
    COUNTIFS($AG$2:$AG$200,$G288)&gt;0,
    COUNTIFS($AH$2:$AH$200,$G288)&gt;0,
    COUNTIFS($AI$2:$AI$200,$G288)&gt;0,
    COUNTIFS($AJ$2:$AJ$200,$G288)&gt;0,
    COUNTIFS($AK$2:$AK$200,$G288)&gt;0,
    COUNTIFS($AL$2:$AL$200,$G288)&gt;0,
    COUNTIFS($AM$2:$AM$200,$G288)&gt;0,
    COUNTIFS($AN$2:$AN$200,$G288)&gt;0,
    COUNTIFS($AO$2:$AO$200,$G288)&gt;0,
    COUNTIFS($AP$2:$AP$200,$G288)&gt;0,
    COUNTIFS($AQ$2:$AQ$200,$G288)&gt;0,
    COUNTIFS($AR$2:$AR$200,$G288)&gt;0,
    COUNTIFS($AS$2:$AS$200,$G288)&gt;0,
    COUNTIFS($AT$2:$AT$200,$G288)&gt;0,
    COUNTIFS($AU$2:$AU$200,$G288)&gt;0,
    COUNTIFS($AV$2:$AV$200,$G288)&gt;0,
    COUNTIFS($AW$2:$AW$200,$G288)&gt;0,
    COUNTIFS($AX$2:$AX$200,$G288)&gt;0
   ),
  0)
 ),
"")</f>
        <v>Rielle</v>
      </c>
      <c r="D288" s="3" t="str" cm="1">
        <f t="array" aca="1" ref="D288" ca="1">IFERROR(
 INDEX(
  _xlfn._xlws.FILTER($U$1:$AX$1,
   TRANSPOSE(
    CHOOSE({1;2;3;4;5;6;7;8;9;10;11;12;13;14;15;16;17;18;19;20;21;22;23;24;25;26;27;28;29;30},
     COUNTIFS($U$2:$U$200,$G288)&gt;0,
     COUNTIFS($V$2:$V$200,$G288)&gt;0,
     COUNTIFS($W$2:$W$200,$G288)&gt;0,
     COUNTIFS($X$2:$X$200,$G288)&gt;0,
     COUNTIFS($Y$2:$Y$200,$G288)&gt;0,
     COUNTIFS($Z$2:$Z$200,$G288)&gt;0,
     COUNTIFS($AA$2:$AA$200,$G288)&gt;0,
     COUNTIFS($AB$2:$AB$200,$G288)&gt;0,
     COUNTIFS($AC$2:$AC$200,$G288)&gt;0,
     COUNTIFS($AD$2:$AD$200,$G288)&gt;0,
     COUNTIFS($AE$2:$AE$200,$G288)&gt;0,
     COUNTIFS($AF$2:$AF$200,$G288)&gt;0,
     COUNTIFS($AG$2:$AG$200,$G288)&gt;0,
     COUNTIFS($AH$2:$AH$200,$G288)&gt;0,
     COUNTIFS($AI$2:$AI$200,$G288)&gt;0,
     COUNTIFS($AJ$2:$AJ$200,$G288)&gt;0,
     COUNTIFS($AK$2:$AK$200,$G288)&gt;0,
     COUNTIFS($AL$2:$AL$200,$G288)&gt;0,
     COUNTIFS($AM$2:$AM$200,$G288)&gt;0,
     COUNTIFS($AN$2:$AN$200,$G288)&gt;0,
     COUNTIFS($AO$2:$AO$200,$G288)&gt;0,
     COUNTIFS($AP$2:$AP$200,$G288)&gt;0,
     COUNTIFS($AQ$2:$AQ$200,$G288)&gt;0,
     COUNTIFS($AR$2:$AR$200,$G288)&gt;0,
     COUNTIFS($AS$2:$AS$200,$G288)&gt;0,
     COUNTIFS($AT$2:$AT$200,$G288)&gt;0,
     COUNTIFS($AU$2:$AU$200,$G288)&gt;0,
     COUNTIFS($AV$2:$AV$200,$G288)&gt;0,
     COUNTIFS($AW$2:$AW$200,$G288)&gt;0,
     COUNTIFS($AX$2:$AX$200,$G288)&gt;0
   )),
  ),
  2
 ),
"")</f>
        <v/>
      </c>
      <c r="E288" s="3" t="str" cm="1">
        <f t="array" aca="1" ref="E288" ca="1">IFERROR(
 INDEX(
  _xlfn._xlws.FILTER($U$1:$AX$1,
   TRANSPOSE(
    CHOOSE({1;2;3;4;5;6;7;8;9;10;11;12;13;14;15;16;17;18;19;20;21;22;23;24;25;26;27;28;29;30},
     COUNTIFS($U$2:$U$200,$G288)&gt;0,
     COUNTIFS($V$2:$V$200,$G288)&gt;0,
     COUNTIFS($W$2:$W$200,$G288)&gt;0,
     COUNTIFS($X$2:$X$200,$G288)&gt;0,
     COUNTIFS($Y$2:$Y$200,$G288)&gt;0,
     COUNTIFS($Z$2:$Z$200,$G288)&gt;0,
     COUNTIFS($AA$2:$AA$200,$G288)&gt;0,
     COUNTIFS($AB$2:$AB$200,$G288)&gt;0,
     COUNTIFS($AC$2:$AC$200,$G288)&gt;0,
     COUNTIFS($AD$2:$AD$200,$G288)&gt;0,
     COUNTIFS($AE$2:$AE$200,$G288)&gt;0,
     COUNTIFS($AF$2:$AF$200,$G288)&gt;0,
     COUNTIFS($AG$2:$AG$200,$G288)&gt;0,
     COUNTIFS($AH$2:$AH$200,$G288)&gt;0,
     COUNTIFS($AI$2:$AI$200,$G288)&gt;0,
     COUNTIFS($AJ$2:$AJ$200,$G288)&gt;0,
     COUNTIFS($AK$2:$AK$200,$G288)&gt;0,
     COUNTIFS($AL$2:$AL$200,$G288)&gt;0,
     COUNTIFS($AM$2:$AM$200,$G288)&gt;0,
     COUNTIFS($AN$2:$AN$200,$G288)&gt;0,
     COUNTIFS($AO$2:$AO$200,$G288)&gt;0,
     COUNTIFS($AP$2:$AP$200,$G288)&gt;0,
     COUNTIFS($AQ$2:$AQ$200,$G288)&gt;0,
     COUNTIFS($AR$2:$AR$200,$G288)&gt;0,
     COUNTIFS($AS$2:$AS$200,$G288)&gt;0,
     COUNTIFS($AT$2:$AT$200,$G288)&gt;0,
     COUNTIFS($AU$2:$AU$200,$G288)&gt;0,
     COUNTIFS($AV$2:$AV$200,$G288)&gt;0,
     COUNTIFS($AW$2:$AW$200,$G288)&gt;0,
     COUNTIFS($AX$2:$AX$200,$G288)&gt;0
   )),
  ),
  3
 ),
"")</f>
        <v/>
      </c>
      <c r="F288" s="3" t="str" cm="1">
        <f t="array" aca="1" ref="F288" ca="1">IFERROR(
 INDEX(
  _xlfn._xlws.FILTER($U$1:$AX$1,
   TRANSPOSE(
    CHOOSE({1;2;3;4;5;6;7;8;9;10;11;12;13;14;15;16;17;18;19;20;21;22;23;24;25;26;27;28;29;30},
     COUNTIFS($U$2:$U$200,$G288)&gt;0,
     COUNTIFS($V$2:$V$200,$G288)&gt;0,
     COUNTIFS($W$2:$W$200,$G288)&gt;0,
     COUNTIFS($X$2:$X$200,$G288)&gt;0,
     COUNTIFS($Y$2:$Y$200,$G288)&gt;0,
     COUNTIFS($Z$2:$Z$200,$G288)&gt;0,
     COUNTIFS($AA$2:$AA$200,$G288)&gt;0,
     COUNTIFS($AB$2:$AB$200,$G288)&gt;0,
     COUNTIFS($AC$2:$AC$200,$G288)&gt;0,
     COUNTIFS($AD$2:$AD$200,$G288)&gt;0,
     COUNTIFS($AE$2:$AE$200,$G288)&gt;0,
     COUNTIFS($AF$2:$AF$200,$G288)&gt;0,
     COUNTIFS($AG$2:$AG$200,$G288)&gt;0,
     COUNTIFS($AH$2:$AH$200,$G288)&gt;0,
     COUNTIFS($AI$2:$AI$200,$G288)&gt;0,
     COUNTIFS($AJ$2:$AJ$200,$G288)&gt;0,
     COUNTIFS($AK$2:$AK$200,$G288)&gt;0,
     COUNTIFS($AL$2:$AL$200,$G288)&gt;0,
     COUNTIFS($AM$2:$AM$200,$G288)&gt;0,
     COUNTIFS($AN$2:$AN$200,$G288)&gt;0,
     COUNTIFS($AO$2:$AO$200,$G288)&gt;0,
     COUNTIFS($AP$2:$AP$200,$G288)&gt;0,
     COUNTIFS($AQ$2:$AQ$200,$G288)&gt;0,
     COUNTIFS($AR$2:$AR$200,$G288)&gt;0,
     COUNTIFS($AS$2:$AS$200,$G288)&gt;0,
     COUNTIFS($AT$2:$AT$200,$G288)&gt;0,
     COUNTIFS($AU$2:$AU$200,$G288)&gt;0,
     COUNTIFS($AV$2:$AV$200,$G288)&gt;0,
     COUNTIFS($AW$2:$AW$200,$G288)&gt;0,
     COUNTIFS($AX$2:$AX$200,$G288)&gt;0
   )),
  ),
  4
 ),
"")</f>
        <v/>
      </c>
      <c r="G288" t="str">
        <f ca="1"/>
        <v>Serenata das Estriges</v>
      </c>
    </row>
    <row r="289" spans="1:7" x14ac:dyDescent="0.25">
      <c r="A289" s="3" t="str">
        <f t="shared" ca="1" si="10"/>
        <v>5</v>
      </c>
      <c r="B289" s="3">
        <f t="shared" ca="1" si="11"/>
        <v>1</v>
      </c>
      <c r="C289" s="3" t="str">
        <f ca="1">IFERROR(
 INDEX($U$1:$AX$1,
  MATCH(TRUE,
   CHOOSE({1;2;3;4;5;6;7;8;9;10;11;12;13;14;15;16;17;18;19;20;21;22;23;24;25;26;27;28;29;30;31;32},
    COUNTIFS($U$2:$U$200,$G289)&gt;0,
    COUNTIFS($V$2:$V$200,$G289)&gt;0,
    COUNTIFS($W$2:$W$200,$G289)&gt;0,
    COUNTIFS($X$2:$X$200,$G289)&gt;0,
    COUNTIFS($Y$2:$Y$200,$G289)&gt;0,
    COUNTIFS($Z$2:$Z$200,$G289)&gt;0,
    COUNTIFS($AA$2:$AA$200,$G289)&gt;0,
    COUNTIFS($AB$2:$AB$200,$G289)&gt;0,
    COUNTIFS($AC$2:$AC$200,$G289)&gt;0,
    COUNTIFS($AD$2:$AD$200,$G289)&gt;0,
    COUNTIFS($AE$2:$AE$200,$G289)&gt;0,
    COUNTIFS($AF$2:$AF$200,$G289)&gt;0,
    COUNTIFS($AG$2:$AG$200,$G289)&gt;0,
    COUNTIFS($AH$2:$AH$200,$G289)&gt;0,
    COUNTIFS($AI$2:$AI$200,$G289)&gt;0,
    COUNTIFS($AJ$2:$AJ$200,$G289)&gt;0,
    COUNTIFS($AK$2:$AK$200,$G289)&gt;0,
    COUNTIFS($AL$2:$AL$200,$G289)&gt;0,
    COUNTIFS($AM$2:$AM$200,$G289)&gt;0,
    COUNTIFS($AN$2:$AN$200,$G289)&gt;0,
    COUNTIFS($AO$2:$AO$200,$G289)&gt;0,
    COUNTIFS($AP$2:$AP$200,$G289)&gt;0,
    COUNTIFS($AQ$2:$AQ$200,$G289)&gt;0,
    COUNTIFS($AR$2:$AR$200,$G289)&gt;0,
    COUNTIFS($AS$2:$AS$200,$G289)&gt;0,
    COUNTIFS($AT$2:$AT$200,$G289)&gt;0,
    COUNTIFS($AU$2:$AU$200,$G289)&gt;0,
    COUNTIFS($AV$2:$AV$200,$G289)&gt;0,
    COUNTIFS($AW$2:$AW$200,$G289)&gt;0,
    COUNTIFS($AX$2:$AX$200,$G289)&gt;0
   ),
  0)
 ),
"")</f>
        <v>Thrakiri</v>
      </c>
      <c r="D289" s="3" t="str" cm="1">
        <f t="array" aca="1" ref="D289" ca="1">IFERROR(
 INDEX(
  _xlfn._xlws.FILTER($U$1:$AX$1,
   TRANSPOSE(
    CHOOSE({1;2;3;4;5;6;7;8;9;10;11;12;13;14;15;16;17;18;19;20;21;22;23;24;25;26;27;28;29;30},
     COUNTIFS($U$2:$U$200,$G289)&gt;0,
     COUNTIFS($V$2:$V$200,$G289)&gt;0,
     COUNTIFS($W$2:$W$200,$G289)&gt;0,
     COUNTIFS($X$2:$X$200,$G289)&gt;0,
     COUNTIFS($Y$2:$Y$200,$G289)&gt;0,
     COUNTIFS($Z$2:$Z$200,$G289)&gt;0,
     COUNTIFS($AA$2:$AA$200,$G289)&gt;0,
     COUNTIFS($AB$2:$AB$200,$G289)&gt;0,
     COUNTIFS($AC$2:$AC$200,$G289)&gt;0,
     COUNTIFS($AD$2:$AD$200,$G289)&gt;0,
     COUNTIFS($AE$2:$AE$200,$G289)&gt;0,
     COUNTIFS($AF$2:$AF$200,$G289)&gt;0,
     COUNTIFS($AG$2:$AG$200,$G289)&gt;0,
     COUNTIFS($AH$2:$AH$200,$G289)&gt;0,
     COUNTIFS($AI$2:$AI$200,$G289)&gt;0,
     COUNTIFS($AJ$2:$AJ$200,$G289)&gt;0,
     COUNTIFS($AK$2:$AK$200,$G289)&gt;0,
     COUNTIFS($AL$2:$AL$200,$G289)&gt;0,
     COUNTIFS($AM$2:$AM$200,$G289)&gt;0,
     COUNTIFS($AN$2:$AN$200,$G289)&gt;0,
     COUNTIFS($AO$2:$AO$200,$G289)&gt;0,
     COUNTIFS($AP$2:$AP$200,$G289)&gt;0,
     COUNTIFS($AQ$2:$AQ$200,$G289)&gt;0,
     COUNTIFS($AR$2:$AR$200,$G289)&gt;0,
     COUNTIFS($AS$2:$AS$200,$G289)&gt;0,
     COUNTIFS($AT$2:$AT$200,$G289)&gt;0,
     COUNTIFS($AU$2:$AU$200,$G289)&gt;0,
     COUNTIFS($AV$2:$AV$200,$G289)&gt;0,
     COUNTIFS($AW$2:$AW$200,$G289)&gt;0,
     COUNTIFS($AX$2:$AX$200,$G289)&gt;0
   )),
  ),
  2
 ),
"")</f>
        <v/>
      </c>
      <c r="E289" s="3" t="str" cm="1">
        <f t="array" aca="1" ref="E289" ca="1">IFERROR(
 INDEX(
  _xlfn._xlws.FILTER($U$1:$AX$1,
   TRANSPOSE(
    CHOOSE({1;2;3;4;5;6;7;8;9;10;11;12;13;14;15;16;17;18;19;20;21;22;23;24;25;26;27;28;29;30},
     COUNTIFS($U$2:$U$200,$G289)&gt;0,
     COUNTIFS($V$2:$V$200,$G289)&gt;0,
     COUNTIFS($W$2:$W$200,$G289)&gt;0,
     COUNTIFS($X$2:$X$200,$G289)&gt;0,
     COUNTIFS($Y$2:$Y$200,$G289)&gt;0,
     COUNTIFS($Z$2:$Z$200,$G289)&gt;0,
     COUNTIFS($AA$2:$AA$200,$G289)&gt;0,
     COUNTIFS($AB$2:$AB$200,$G289)&gt;0,
     COUNTIFS($AC$2:$AC$200,$G289)&gt;0,
     COUNTIFS($AD$2:$AD$200,$G289)&gt;0,
     COUNTIFS($AE$2:$AE$200,$G289)&gt;0,
     COUNTIFS($AF$2:$AF$200,$G289)&gt;0,
     COUNTIFS($AG$2:$AG$200,$G289)&gt;0,
     COUNTIFS($AH$2:$AH$200,$G289)&gt;0,
     COUNTIFS($AI$2:$AI$200,$G289)&gt;0,
     COUNTIFS($AJ$2:$AJ$200,$G289)&gt;0,
     COUNTIFS($AK$2:$AK$200,$G289)&gt;0,
     COUNTIFS($AL$2:$AL$200,$G289)&gt;0,
     COUNTIFS($AM$2:$AM$200,$G289)&gt;0,
     COUNTIFS($AN$2:$AN$200,$G289)&gt;0,
     COUNTIFS($AO$2:$AO$200,$G289)&gt;0,
     COUNTIFS($AP$2:$AP$200,$G289)&gt;0,
     COUNTIFS($AQ$2:$AQ$200,$G289)&gt;0,
     COUNTIFS($AR$2:$AR$200,$G289)&gt;0,
     COUNTIFS($AS$2:$AS$200,$G289)&gt;0,
     COUNTIFS($AT$2:$AT$200,$G289)&gt;0,
     COUNTIFS($AU$2:$AU$200,$G289)&gt;0,
     COUNTIFS($AV$2:$AV$200,$G289)&gt;0,
     COUNTIFS($AW$2:$AW$200,$G289)&gt;0,
     COUNTIFS($AX$2:$AX$200,$G289)&gt;0
   )),
  ),
  3
 ),
"")</f>
        <v/>
      </c>
      <c r="F289" s="3" t="str" cm="1">
        <f t="array" aca="1" ref="F289" ca="1">IFERROR(
 INDEX(
  _xlfn._xlws.FILTER($U$1:$AX$1,
   TRANSPOSE(
    CHOOSE({1;2;3;4;5;6;7;8;9;10;11;12;13;14;15;16;17;18;19;20;21;22;23;24;25;26;27;28;29;30},
     COUNTIFS($U$2:$U$200,$G289)&gt;0,
     COUNTIFS($V$2:$V$200,$G289)&gt;0,
     COUNTIFS($W$2:$W$200,$G289)&gt;0,
     COUNTIFS($X$2:$X$200,$G289)&gt;0,
     COUNTIFS($Y$2:$Y$200,$G289)&gt;0,
     COUNTIFS($Z$2:$Z$200,$G289)&gt;0,
     COUNTIFS($AA$2:$AA$200,$G289)&gt;0,
     COUNTIFS($AB$2:$AB$200,$G289)&gt;0,
     COUNTIFS($AC$2:$AC$200,$G289)&gt;0,
     COUNTIFS($AD$2:$AD$200,$G289)&gt;0,
     COUNTIFS($AE$2:$AE$200,$G289)&gt;0,
     COUNTIFS($AF$2:$AF$200,$G289)&gt;0,
     COUNTIFS($AG$2:$AG$200,$G289)&gt;0,
     COUNTIFS($AH$2:$AH$200,$G289)&gt;0,
     COUNTIFS($AI$2:$AI$200,$G289)&gt;0,
     COUNTIFS($AJ$2:$AJ$200,$G289)&gt;0,
     COUNTIFS($AK$2:$AK$200,$G289)&gt;0,
     COUNTIFS($AL$2:$AL$200,$G289)&gt;0,
     COUNTIFS($AM$2:$AM$200,$G289)&gt;0,
     COUNTIFS($AN$2:$AN$200,$G289)&gt;0,
     COUNTIFS($AO$2:$AO$200,$G289)&gt;0,
     COUNTIFS($AP$2:$AP$200,$G289)&gt;0,
     COUNTIFS($AQ$2:$AQ$200,$G289)&gt;0,
     COUNTIFS($AR$2:$AR$200,$G289)&gt;0,
     COUNTIFS($AS$2:$AS$200,$G289)&gt;0,
     COUNTIFS($AT$2:$AT$200,$G289)&gt;0,
     COUNTIFS($AU$2:$AU$200,$G289)&gt;0,
     COUNTIFS($AV$2:$AV$200,$G289)&gt;0,
     COUNTIFS($AW$2:$AW$200,$G289)&gt;0,
     COUNTIFS($AX$2:$AX$200,$G289)&gt;0
   )),
  ),
  4
 ),
"")</f>
        <v/>
      </c>
      <c r="G289" t="str">
        <f ca="1"/>
        <v>Shaku da Honra Desgastada</v>
      </c>
    </row>
    <row r="290" spans="1:7" x14ac:dyDescent="0.25">
      <c r="A290" s="3" t="str">
        <f t="shared" ca="1" si="10"/>
        <v>1</v>
      </c>
      <c r="B290" s="3">
        <f t="shared" ca="1" si="11"/>
        <v>1</v>
      </c>
      <c r="C290" s="3" t="str">
        <f ca="1">IFERROR(
 INDEX($U$1:$AX$1,
  MATCH(TRUE,
   CHOOSE({1;2;3;4;5;6;7;8;9;10;11;12;13;14;15;16;17;18;19;20;21;22;23;24;25;26;27;28;29;30;31;32},
    COUNTIFS($U$2:$U$200,$G290)&gt;0,
    COUNTIFS($V$2:$V$200,$G290)&gt;0,
    COUNTIFS($W$2:$W$200,$G290)&gt;0,
    COUNTIFS($X$2:$X$200,$G290)&gt;0,
    COUNTIFS($Y$2:$Y$200,$G290)&gt;0,
    COUNTIFS($Z$2:$Z$200,$G290)&gt;0,
    COUNTIFS($AA$2:$AA$200,$G290)&gt;0,
    COUNTIFS($AB$2:$AB$200,$G290)&gt;0,
    COUNTIFS($AC$2:$AC$200,$G290)&gt;0,
    COUNTIFS($AD$2:$AD$200,$G290)&gt;0,
    COUNTIFS($AE$2:$AE$200,$G290)&gt;0,
    COUNTIFS($AF$2:$AF$200,$G290)&gt;0,
    COUNTIFS($AG$2:$AG$200,$G290)&gt;0,
    COUNTIFS($AH$2:$AH$200,$G290)&gt;0,
    COUNTIFS($AI$2:$AI$200,$G290)&gt;0,
    COUNTIFS($AJ$2:$AJ$200,$G290)&gt;0,
    COUNTIFS($AK$2:$AK$200,$G290)&gt;0,
    COUNTIFS($AL$2:$AL$200,$G290)&gt;0,
    COUNTIFS($AM$2:$AM$200,$G290)&gt;0,
    COUNTIFS($AN$2:$AN$200,$G290)&gt;0,
    COUNTIFS($AO$2:$AO$200,$G290)&gt;0,
    COUNTIFS($AP$2:$AP$200,$G290)&gt;0,
    COUNTIFS($AQ$2:$AQ$200,$G290)&gt;0,
    COUNTIFS($AR$2:$AR$200,$G290)&gt;0,
    COUNTIFS($AS$2:$AS$200,$G290)&gt;0,
    COUNTIFS($AT$2:$AT$200,$G290)&gt;0,
    COUNTIFS($AU$2:$AU$200,$G290)&gt;0,
    COUNTIFS($AV$2:$AV$200,$G290)&gt;0,
    COUNTIFS($AW$2:$AW$200,$G290)&gt;0,
    COUNTIFS($AX$2:$AX$200,$G290)&gt;0
   ),
  0)
 ),
"")</f>
        <v>Tayam</v>
      </c>
      <c r="D290" s="3" t="str" cm="1">
        <f t="array" aca="1" ref="D290" ca="1">IFERROR(
 INDEX(
  _xlfn._xlws.FILTER($U$1:$AX$1,
   TRANSPOSE(
    CHOOSE({1;2;3;4;5;6;7;8;9;10;11;12;13;14;15;16;17;18;19;20;21;22;23;24;25;26;27;28;29;30},
     COUNTIFS($U$2:$U$200,$G290)&gt;0,
     COUNTIFS($V$2:$V$200,$G290)&gt;0,
     COUNTIFS($W$2:$W$200,$G290)&gt;0,
     COUNTIFS($X$2:$X$200,$G290)&gt;0,
     COUNTIFS($Y$2:$Y$200,$G290)&gt;0,
     COUNTIFS($Z$2:$Z$200,$G290)&gt;0,
     COUNTIFS($AA$2:$AA$200,$G290)&gt;0,
     COUNTIFS($AB$2:$AB$200,$G290)&gt;0,
     COUNTIFS($AC$2:$AC$200,$G290)&gt;0,
     COUNTIFS($AD$2:$AD$200,$G290)&gt;0,
     COUNTIFS($AE$2:$AE$200,$G290)&gt;0,
     COUNTIFS($AF$2:$AF$200,$G290)&gt;0,
     COUNTIFS($AG$2:$AG$200,$G290)&gt;0,
     COUNTIFS($AH$2:$AH$200,$G290)&gt;0,
     COUNTIFS($AI$2:$AI$200,$G290)&gt;0,
     COUNTIFS($AJ$2:$AJ$200,$G290)&gt;0,
     COUNTIFS($AK$2:$AK$200,$G290)&gt;0,
     COUNTIFS($AL$2:$AL$200,$G290)&gt;0,
     COUNTIFS($AM$2:$AM$200,$G290)&gt;0,
     COUNTIFS($AN$2:$AN$200,$G290)&gt;0,
     COUNTIFS($AO$2:$AO$200,$G290)&gt;0,
     COUNTIFS($AP$2:$AP$200,$G290)&gt;0,
     COUNTIFS($AQ$2:$AQ$200,$G290)&gt;0,
     COUNTIFS($AR$2:$AR$200,$G290)&gt;0,
     COUNTIFS($AS$2:$AS$200,$G290)&gt;0,
     COUNTIFS($AT$2:$AT$200,$G290)&gt;0,
     COUNTIFS($AU$2:$AU$200,$G290)&gt;0,
     COUNTIFS($AV$2:$AV$200,$G290)&gt;0,
     COUNTIFS($AW$2:$AW$200,$G290)&gt;0,
     COUNTIFS($AX$2:$AX$200,$G290)&gt;0
   )),
  ),
  2
 ),
"")</f>
        <v/>
      </c>
      <c r="E290" s="3" t="str" cm="1">
        <f t="array" aca="1" ref="E290" ca="1">IFERROR(
 INDEX(
  _xlfn._xlws.FILTER($U$1:$AX$1,
   TRANSPOSE(
    CHOOSE({1;2;3;4;5;6;7;8;9;10;11;12;13;14;15;16;17;18;19;20;21;22;23;24;25;26;27;28;29;30},
     COUNTIFS($U$2:$U$200,$G290)&gt;0,
     COUNTIFS($V$2:$V$200,$G290)&gt;0,
     COUNTIFS($W$2:$W$200,$G290)&gt;0,
     COUNTIFS($X$2:$X$200,$G290)&gt;0,
     COUNTIFS($Y$2:$Y$200,$G290)&gt;0,
     COUNTIFS($Z$2:$Z$200,$G290)&gt;0,
     COUNTIFS($AA$2:$AA$200,$G290)&gt;0,
     COUNTIFS($AB$2:$AB$200,$G290)&gt;0,
     COUNTIFS($AC$2:$AC$200,$G290)&gt;0,
     COUNTIFS($AD$2:$AD$200,$G290)&gt;0,
     COUNTIFS($AE$2:$AE$200,$G290)&gt;0,
     COUNTIFS($AF$2:$AF$200,$G290)&gt;0,
     COUNTIFS($AG$2:$AG$200,$G290)&gt;0,
     COUNTIFS($AH$2:$AH$200,$G290)&gt;0,
     COUNTIFS($AI$2:$AI$200,$G290)&gt;0,
     COUNTIFS($AJ$2:$AJ$200,$G290)&gt;0,
     COUNTIFS($AK$2:$AK$200,$G290)&gt;0,
     COUNTIFS($AL$2:$AL$200,$G290)&gt;0,
     COUNTIFS($AM$2:$AM$200,$G290)&gt;0,
     COUNTIFS($AN$2:$AN$200,$G290)&gt;0,
     COUNTIFS($AO$2:$AO$200,$G290)&gt;0,
     COUNTIFS($AP$2:$AP$200,$G290)&gt;0,
     COUNTIFS($AQ$2:$AQ$200,$G290)&gt;0,
     COUNTIFS($AR$2:$AR$200,$G290)&gt;0,
     COUNTIFS($AS$2:$AS$200,$G290)&gt;0,
     COUNTIFS($AT$2:$AT$200,$G290)&gt;0,
     COUNTIFS($AU$2:$AU$200,$G290)&gt;0,
     COUNTIFS($AV$2:$AV$200,$G290)&gt;0,
     COUNTIFS($AW$2:$AW$200,$G290)&gt;0,
     COUNTIFS($AX$2:$AX$200,$G290)&gt;0
   )),
  ),
  3
 ),
"")</f>
        <v/>
      </c>
      <c r="F290" s="3" t="str" cm="1">
        <f t="array" aca="1" ref="F290" ca="1">IFERROR(
 INDEX(
  _xlfn._xlws.FILTER($U$1:$AX$1,
   TRANSPOSE(
    CHOOSE({1;2;3;4;5;6;7;8;9;10;11;12;13;14;15;16;17;18;19;20;21;22;23;24;25;26;27;28;29;30},
     COUNTIFS($U$2:$U$200,$G290)&gt;0,
     COUNTIFS($V$2:$V$200,$G290)&gt;0,
     COUNTIFS($W$2:$W$200,$G290)&gt;0,
     COUNTIFS($X$2:$X$200,$G290)&gt;0,
     COUNTIFS($Y$2:$Y$200,$G290)&gt;0,
     COUNTIFS($Z$2:$Z$200,$G290)&gt;0,
     COUNTIFS($AA$2:$AA$200,$G290)&gt;0,
     COUNTIFS($AB$2:$AB$200,$G290)&gt;0,
     COUNTIFS($AC$2:$AC$200,$G290)&gt;0,
     COUNTIFS($AD$2:$AD$200,$G290)&gt;0,
     COUNTIFS($AE$2:$AE$200,$G290)&gt;0,
     COUNTIFS($AF$2:$AF$200,$G290)&gt;0,
     COUNTIFS($AG$2:$AG$200,$G290)&gt;0,
     COUNTIFS($AH$2:$AH$200,$G290)&gt;0,
     COUNTIFS($AI$2:$AI$200,$G290)&gt;0,
     COUNTIFS($AJ$2:$AJ$200,$G290)&gt;0,
     COUNTIFS($AK$2:$AK$200,$G290)&gt;0,
     COUNTIFS($AL$2:$AL$200,$G290)&gt;0,
     COUNTIFS($AM$2:$AM$200,$G290)&gt;0,
     COUNTIFS($AN$2:$AN$200,$G290)&gt;0,
     COUNTIFS($AO$2:$AO$200,$G290)&gt;0,
     COUNTIFS($AP$2:$AP$200,$G290)&gt;0,
     COUNTIFS($AQ$2:$AQ$200,$G290)&gt;0,
     COUNTIFS($AR$2:$AR$200,$G290)&gt;0,
     COUNTIFS($AS$2:$AS$200,$G290)&gt;0,
     COUNTIFS($AT$2:$AT$200,$G290)&gt;0,
     COUNTIFS($AU$2:$AU$200,$G290)&gt;0,
     COUNTIFS($AV$2:$AV$200,$G290)&gt;0,
     COUNTIFS($AW$2:$AW$200,$G290)&gt;0,
     COUNTIFS($AX$2:$AX$200,$G290)&gt;0
   )),
  ),
  4
 ),
"")</f>
        <v/>
      </c>
      <c r="G290" t="str">
        <f ca="1"/>
        <v>Shelinda, Yevon Acolyte</v>
      </c>
    </row>
    <row r="291" spans="1:7" x14ac:dyDescent="0.25">
      <c r="A291" s="3" t="str">
        <f t="shared" ca="1" si="10"/>
        <v>3</v>
      </c>
      <c r="B291" s="3">
        <f t="shared" ca="1" si="11"/>
        <v>1</v>
      </c>
      <c r="C291" s="3" t="str">
        <f ca="1">IFERROR(
 INDEX($U$1:$AX$1,
  MATCH(TRUE,
   CHOOSE({1;2;3;4;5;6;7;8;9;10;11;12;13;14;15;16;17;18;19;20;21;22;23;24;25;26;27;28;29;30;31;32},
    COUNTIFS($U$2:$U$200,$G291)&gt;0,
    COUNTIFS($V$2:$V$200,$G291)&gt;0,
    COUNTIFS($W$2:$W$200,$G291)&gt;0,
    COUNTIFS($X$2:$X$200,$G291)&gt;0,
    COUNTIFS($Y$2:$Y$200,$G291)&gt;0,
    COUNTIFS($Z$2:$Z$200,$G291)&gt;0,
    COUNTIFS($AA$2:$AA$200,$G291)&gt;0,
    COUNTIFS($AB$2:$AB$200,$G291)&gt;0,
    COUNTIFS($AC$2:$AC$200,$G291)&gt;0,
    COUNTIFS($AD$2:$AD$200,$G291)&gt;0,
    COUNTIFS($AE$2:$AE$200,$G291)&gt;0,
    COUNTIFS($AF$2:$AF$200,$G291)&gt;0,
    COUNTIFS($AG$2:$AG$200,$G291)&gt;0,
    COUNTIFS($AH$2:$AH$200,$G291)&gt;0,
    COUNTIFS($AI$2:$AI$200,$G291)&gt;0,
    COUNTIFS($AJ$2:$AJ$200,$G291)&gt;0,
    COUNTIFS($AK$2:$AK$200,$G291)&gt;0,
    COUNTIFS($AL$2:$AL$200,$G291)&gt;0,
    COUNTIFS($AM$2:$AM$200,$G291)&gt;0,
    COUNTIFS($AN$2:$AN$200,$G291)&gt;0,
    COUNTIFS($AO$2:$AO$200,$G291)&gt;0,
    COUNTIFS($AP$2:$AP$200,$G291)&gt;0,
    COUNTIFS($AQ$2:$AQ$200,$G291)&gt;0,
    COUNTIFS($AR$2:$AR$200,$G291)&gt;0,
    COUNTIFS($AS$2:$AS$200,$G291)&gt;0,
    COUNTIFS($AT$2:$AT$200,$G291)&gt;0,
    COUNTIFS($AU$2:$AU$200,$G291)&gt;0,
    COUNTIFS($AV$2:$AV$200,$G291)&gt;0,
    COUNTIFS($AW$2:$AW$200,$G291)&gt;0,
    COUNTIFS($AX$2:$AX$200,$G291)&gt;0
   ),
  0)
 ),
"")</f>
        <v>Yuriko</v>
      </c>
      <c r="D291" s="3" t="str" cm="1">
        <f t="array" aca="1" ref="D291" ca="1">IFERROR(
 INDEX(
  _xlfn._xlws.FILTER($U$1:$AX$1,
   TRANSPOSE(
    CHOOSE({1;2;3;4;5;6;7;8;9;10;11;12;13;14;15;16;17;18;19;20;21;22;23;24;25;26;27;28;29;30},
     COUNTIFS($U$2:$U$200,$G291)&gt;0,
     COUNTIFS($V$2:$V$200,$G291)&gt;0,
     COUNTIFS($W$2:$W$200,$G291)&gt;0,
     COUNTIFS($X$2:$X$200,$G291)&gt;0,
     COUNTIFS($Y$2:$Y$200,$G291)&gt;0,
     COUNTIFS($Z$2:$Z$200,$G291)&gt;0,
     COUNTIFS($AA$2:$AA$200,$G291)&gt;0,
     COUNTIFS($AB$2:$AB$200,$G291)&gt;0,
     COUNTIFS($AC$2:$AC$200,$G291)&gt;0,
     COUNTIFS($AD$2:$AD$200,$G291)&gt;0,
     COUNTIFS($AE$2:$AE$200,$G291)&gt;0,
     COUNTIFS($AF$2:$AF$200,$G291)&gt;0,
     COUNTIFS($AG$2:$AG$200,$G291)&gt;0,
     COUNTIFS($AH$2:$AH$200,$G291)&gt;0,
     COUNTIFS($AI$2:$AI$200,$G291)&gt;0,
     COUNTIFS($AJ$2:$AJ$200,$G291)&gt;0,
     COUNTIFS($AK$2:$AK$200,$G291)&gt;0,
     COUNTIFS($AL$2:$AL$200,$G291)&gt;0,
     COUNTIFS($AM$2:$AM$200,$G291)&gt;0,
     COUNTIFS($AN$2:$AN$200,$G291)&gt;0,
     COUNTIFS($AO$2:$AO$200,$G291)&gt;0,
     COUNTIFS($AP$2:$AP$200,$G291)&gt;0,
     COUNTIFS($AQ$2:$AQ$200,$G291)&gt;0,
     COUNTIFS($AR$2:$AR$200,$G291)&gt;0,
     COUNTIFS($AS$2:$AS$200,$G291)&gt;0,
     COUNTIFS($AT$2:$AT$200,$G291)&gt;0,
     COUNTIFS($AU$2:$AU$200,$G291)&gt;0,
     COUNTIFS($AV$2:$AV$200,$G291)&gt;0,
     COUNTIFS($AW$2:$AW$200,$G291)&gt;0,
     COUNTIFS($AX$2:$AX$200,$G291)&gt;0
   )),
  ),
  2
 ),
"")</f>
        <v/>
      </c>
      <c r="E291" s="3" t="str" cm="1">
        <f t="array" aca="1" ref="E291" ca="1">IFERROR(
 INDEX(
  _xlfn._xlws.FILTER($U$1:$AX$1,
   TRANSPOSE(
    CHOOSE({1;2;3;4;5;6;7;8;9;10;11;12;13;14;15;16;17;18;19;20;21;22;23;24;25;26;27;28;29;30},
     COUNTIFS($U$2:$U$200,$G291)&gt;0,
     COUNTIFS($V$2:$V$200,$G291)&gt;0,
     COUNTIFS($W$2:$W$200,$G291)&gt;0,
     COUNTIFS($X$2:$X$200,$G291)&gt;0,
     COUNTIFS($Y$2:$Y$200,$G291)&gt;0,
     COUNTIFS($Z$2:$Z$200,$G291)&gt;0,
     COUNTIFS($AA$2:$AA$200,$G291)&gt;0,
     COUNTIFS($AB$2:$AB$200,$G291)&gt;0,
     COUNTIFS($AC$2:$AC$200,$G291)&gt;0,
     COUNTIFS($AD$2:$AD$200,$G291)&gt;0,
     COUNTIFS($AE$2:$AE$200,$G291)&gt;0,
     COUNTIFS($AF$2:$AF$200,$G291)&gt;0,
     COUNTIFS($AG$2:$AG$200,$G291)&gt;0,
     COUNTIFS($AH$2:$AH$200,$G291)&gt;0,
     COUNTIFS($AI$2:$AI$200,$G291)&gt;0,
     COUNTIFS($AJ$2:$AJ$200,$G291)&gt;0,
     COUNTIFS($AK$2:$AK$200,$G291)&gt;0,
     COUNTIFS($AL$2:$AL$200,$G291)&gt;0,
     COUNTIFS($AM$2:$AM$200,$G291)&gt;0,
     COUNTIFS($AN$2:$AN$200,$G291)&gt;0,
     COUNTIFS($AO$2:$AO$200,$G291)&gt;0,
     COUNTIFS($AP$2:$AP$200,$G291)&gt;0,
     COUNTIFS($AQ$2:$AQ$200,$G291)&gt;0,
     COUNTIFS($AR$2:$AR$200,$G291)&gt;0,
     COUNTIFS($AS$2:$AS$200,$G291)&gt;0,
     COUNTIFS($AT$2:$AT$200,$G291)&gt;0,
     COUNTIFS($AU$2:$AU$200,$G291)&gt;0,
     COUNTIFS($AV$2:$AV$200,$G291)&gt;0,
     COUNTIFS($AW$2:$AW$200,$G291)&gt;0,
     COUNTIFS($AX$2:$AX$200,$G291)&gt;0
   )),
  ),
  3
 ),
"")</f>
        <v/>
      </c>
      <c r="F291" s="3" t="str" cm="1">
        <f t="array" aca="1" ref="F291" ca="1">IFERROR(
 INDEX(
  _xlfn._xlws.FILTER($U$1:$AX$1,
   TRANSPOSE(
    CHOOSE({1;2;3;4;5;6;7;8;9;10;11;12;13;14;15;16;17;18;19;20;21;22;23;24;25;26;27;28;29;30},
     COUNTIFS($U$2:$U$200,$G291)&gt;0,
     COUNTIFS($V$2:$V$200,$G291)&gt;0,
     COUNTIFS($W$2:$W$200,$G291)&gt;0,
     COUNTIFS($X$2:$X$200,$G291)&gt;0,
     COUNTIFS($Y$2:$Y$200,$G291)&gt;0,
     COUNTIFS($Z$2:$Z$200,$G291)&gt;0,
     COUNTIFS($AA$2:$AA$200,$G291)&gt;0,
     COUNTIFS($AB$2:$AB$200,$G291)&gt;0,
     COUNTIFS($AC$2:$AC$200,$G291)&gt;0,
     COUNTIFS($AD$2:$AD$200,$G291)&gt;0,
     COUNTIFS($AE$2:$AE$200,$G291)&gt;0,
     COUNTIFS($AF$2:$AF$200,$G291)&gt;0,
     COUNTIFS($AG$2:$AG$200,$G291)&gt;0,
     COUNTIFS($AH$2:$AH$200,$G291)&gt;0,
     COUNTIFS($AI$2:$AI$200,$G291)&gt;0,
     COUNTIFS($AJ$2:$AJ$200,$G291)&gt;0,
     COUNTIFS($AK$2:$AK$200,$G291)&gt;0,
     COUNTIFS($AL$2:$AL$200,$G291)&gt;0,
     COUNTIFS($AM$2:$AM$200,$G291)&gt;0,
     COUNTIFS($AN$2:$AN$200,$G291)&gt;0,
     COUNTIFS($AO$2:$AO$200,$G291)&gt;0,
     COUNTIFS($AP$2:$AP$200,$G291)&gt;0,
     COUNTIFS($AQ$2:$AQ$200,$G291)&gt;0,
     COUNTIFS($AR$2:$AR$200,$G291)&gt;0,
     COUNTIFS($AS$2:$AS$200,$G291)&gt;0,
     COUNTIFS($AT$2:$AT$200,$G291)&gt;0,
     COUNTIFS($AU$2:$AU$200,$G291)&gt;0,
     COUNTIFS($AV$2:$AV$200,$G291)&gt;0,
     COUNTIFS($AW$2:$AW$200,$G291)&gt;0,
     COUNTIFS($AX$2:$AX$200,$G291)&gt;0
   )),
  ),
  4
 ),
"")</f>
        <v/>
      </c>
      <c r="G291" t="str">
        <f ca="1"/>
        <v>Shizo, Death's Storehouse</v>
      </c>
    </row>
    <row r="292" spans="1:7" x14ac:dyDescent="0.25">
      <c r="A292" s="3" t="str">
        <f t="shared" ca="1" si="10"/>
        <v>2</v>
      </c>
      <c r="B292" s="3">
        <f t="shared" ca="1" si="11"/>
        <v>1</v>
      </c>
      <c r="C292" s="3" t="str">
        <f ca="1">IFERROR(
 INDEX($U$1:$AX$1,
  MATCH(TRUE,
   CHOOSE({1;2;3;4;5;6;7;8;9;10;11;12;13;14;15;16;17;18;19;20;21;22;23;24;25;26;27;28;29;30;31;32},
    COUNTIFS($U$2:$U$200,$G292)&gt;0,
    COUNTIFS($V$2:$V$200,$G292)&gt;0,
    COUNTIFS($W$2:$W$200,$G292)&gt;0,
    COUNTIFS($X$2:$X$200,$G292)&gt;0,
    COUNTIFS($Y$2:$Y$200,$G292)&gt;0,
    COUNTIFS($Z$2:$Z$200,$G292)&gt;0,
    COUNTIFS($AA$2:$AA$200,$G292)&gt;0,
    COUNTIFS($AB$2:$AB$200,$G292)&gt;0,
    COUNTIFS($AC$2:$AC$200,$G292)&gt;0,
    COUNTIFS($AD$2:$AD$200,$G292)&gt;0,
    COUNTIFS($AE$2:$AE$200,$G292)&gt;0,
    COUNTIFS($AF$2:$AF$200,$G292)&gt;0,
    COUNTIFS($AG$2:$AG$200,$G292)&gt;0,
    COUNTIFS($AH$2:$AH$200,$G292)&gt;0,
    COUNTIFS($AI$2:$AI$200,$G292)&gt;0,
    COUNTIFS($AJ$2:$AJ$200,$G292)&gt;0,
    COUNTIFS($AK$2:$AK$200,$G292)&gt;0,
    COUNTIFS($AL$2:$AL$200,$G292)&gt;0,
    COUNTIFS($AM$2:$AM$200,$G292)&gt;0,
    COUNTIFS($AN$2:$AN$200,$G292)&gt;0,
    COUNTIFS($AO$2:$AO$200,$G292)&gt;0,
    COUNTIFS($AP$2:$AP$200,$G292)&gt;0,
    COUNTIFS($AQ$2:$AQ$200,$G292)&gt;0,
    COUNTIFS($AR$2:$AR$200,$G292)&gt;0,
    COUNTIFS($AS$2:$AS$200,$G292)&gt;0,
    COUNTIFS($AT$2:$AT$200,$G292)&gt;0,
    COUNTIFS($AU$2:$AU$200,$G292)&gt;0,
    COUNTIFS($AV$2:$AV$200,$G292)&gt;0,
    COUNTIFS($AW$2:$AW$200,$G292)&gt;0,
    COUNTIFS($AX$2:$AX$200,$G292)&gt;0
   ),
  0)
 ),
"")</f>
        <v>Piratas</v>
      </c>
      <c r="D292" s="3" t="str" cm="1">
        <f t="array" aca="1" ref="D292" ca="1">IFERROR(
 INDEX(
  _xlfn._xlws.FILTER($U$1:$AX$1,
   TRANSPOSE(
    CHOOSE({1;2;3;4;5;6;7;8;9;10;11;12;13;14;15;16;17;18;19;20;21;22;23;24;25;26;27;28;29;30},
     COUNTIFS($U$2:$U$200,$G292)&gt;0,
     COUNTIFS($V$2:$V$200,$G292)&gt;0,
     COUNTIFS($W$2:$W$200,$G292)&gt;0,
     COUNTIFS($X$2:$X$200,$G292)&gt;0,
     COUNTIFS($Y$2:$Y$200,$G292)&gt;0,
     COUNTIFS($Z$2:$Z$200,$G292)&gt;0,
     COUNTIFS($AA$2:$AA$200,$G292)&gt;0,
     COUNTIFS($AB$2:$AB$200,$G292)&gt;0,
     COUNTIFS($AC$2:$AC$200,$G292)&gt;0,
     COUNTIFS($AD$2:$AD$200,$G292)&gt;0,
     COUNTIFS($AE$2:$AE$200,$G292)&gt;0,
     COUNTIFS($AF$2:$AF$200,$G292)&gt;0,
     COUNTIFS($AG$2:$AG$200,$G292)&gt;0,
     COUNTIFS($AH$2:$AH$200,$G292)&gt;0,
     COUNTIFS($AI$2:$AI$200,$G292)&gt;0,
     COUNTIFS($AJ$2:$AJ$200,$G292)&gt;0,
     COUNTIFS($AK$2:$AK$200,$G292)&gt;0,
     COUNTIFS($AL$2:$AL$200,$G292)&gt;0,
     COUNTIFS($AM$2:$AM$200,$G292)&gt;0,
     COUNTIFS($AN$2:$AN$200,$G292)&gt;0,
     COUNTIFS($AO$2:$AO$200,$G292)&gt;0,
     COUNTIFS($AP$2:$AP$200,$G292)&gt;0,
     COUNTIFS($AQ$2:$AQ$200,$G292)&gt;0,
     COUNTIFS($AR$2:$AR$200,$G292)&gt;0,
     COUNTIFS($AS$2:$AS$200,$G292)&gt;0,
     COUNTIFS($AT$2:$AT$200,$G292)&gt;0,
     COUNTIFS($AU$2:$AU$200,$G292)&gt;0,
     COUNTIFS($AV$2:$AV$200,$G292)&gt;0,
     COUNTIFS($AW$2:$AW$200,$G292)&gt;0,
     COUNTIFS($AX$2:$AX$200,$G292)&gt;0
   )),
  ),
  2
 ),
"")</f>
        <v/>
      </c>
      <c r="E292" s="3" t="str" cm="1">
        <f t="array" aca="1" ref="E292" ca="1">IFERROR(
 INDEX(
  _xlfn._xlws.FILTER($U$1:$AX$1,
   TRANSPOSE(
    CHOOSE({1;2;3;4;5;6;7;8;9;10;11;12;13;14;15;16;17;18;19;20;21;22;23;24;25;26;27;28;29;30},
     COUNTIFS($U$2:$U$200,$G292)&gt;0,
     COUNTIFS($V$2:$V$200,$G292)&gt;0,
     COUNTIFS($W$2:$W$200,$G292)&gt;0,
     COUNTIFS($X$2:$X$200,$G292)&gt;0,
     COUNTIFS($Y$2:$Y$200,$G292)&gt;0,
     COUNTIFS($Z$2:$Z$200,$G292)&gt;0,
     COUNTIFS($AA$2:$AA$200,$G292)&gt;0,
     COUNTIFS($AB$2:$AB$200,$G292)&gt;0,
     COUNTIFS($AC$2:$AC$200,$G292)&gt;0,
     COUNTIFS($AD$2:$AD$200,$G292)&gt;0,
     COUNTIFS($AE$2:$AE$200,$G292)&gt;0,
     COUNTIFS($AF$2:$AF$200,$G292)&gt;0,
     COUNTIFS($AG$2:$AG$200,$G292)&gt;0,
     COUNTIFS($AH$2:$AH$200,$G292)&gt;0,
     COUNTIFS($AI$2:$AI$200,$G292)&gt;0,
     COUNTIFS($AJ$2:$AJ$200,$G292)&gt;0,
     COUNTIFS($AK$2:$AK$200,$G292)&gt;0,
     COUNTIFS($AL$2:$AL$200,$G292)&gt;0,
     COUNTIFS($AM$2:$AM$200,$G292)&gt;0,
     COUNTIFS($AN$2:$AN$200,$G292)&gt;0,
     COUNTIFS($AO$2:$AO$200,$G292)&gt;0,
     COUNTIFS($AP$2:$AP$200,$G292)&gt;0,
     COUNTIFS($AQ$2:$AQ$200,$G292)&gt;0,
     COUNTIFS($AR$2:$AR$200,$G292)&gt;0,
     COUNTIFS($AS$2:$AS$200,$G292)&gt;0,
     COUNTIFS($AT$2:$AT$200,$G292)&gt;0,
     COUNTIFS($AU$2:$AU$200,$G292)&gt;0,
     COUNTIFS($AV$2:$AV$200,$G292)&gt;0,
     COUNTIFS($AW$2:$AW$200,$G292)&gt;0,
     COUNTIFS($AX$2:$AX$200,$G292)&gt;0
   )),
  ),
  3
 ),
"")</f>
        <v/>
      </c>
      <c r="F292" s="3" t="str" cm="1">
        <f t="array" aca="1" ref="F292" ca="1">IFERROR(
 INDEX(
  _xlfn._xlws.FILTER($U$1:$AX$1,
   TRANSPOSE(
    CHOOSE({1;2;3;4;5;6;7;8;9;10;11;12;13;14;15;16;17;18;19;20;21;22;23;24;25;26;27;28;29;30},
     COUNTIFS($U$2:$U$200,$G292)&gt;0,
     COUNTIFS($V$2:$V$200,$G292)&gt;0,
     COUNTIFS($W$2:$W$200,$G292)&gt;0,
     COUNTIFS($X$2:$X$200,$G292)&gt;0,
     COUNTIFS($Y$2:$Y$200,$G292)&gt;0,
     COUNTIFS($Z$2:$Z$200,$G292)&gt;0,
     COUNTIFS($AA$2:$AA$200,$G292)&gt;0,
     COUNTIFS($AB$2:$AB$200,$G292)&gt;0,
     COUNTIFS($AC$2:$AC$200,$G292)&gt;0,
     COUNTIFS($AD$2:$AD$200,$G292)&gt;0,
     COUNTIFS($AE$2:$AE$200,$G292)&gt;0,
     COUNTIFS($AF$2:$AF$200,$G292)&gt;0,
     COUNTIFS($AG$2:$AG$200,$G292)&gt;0,
     COUNTIFS($AH$2:$AH$200,$G292)&gt;0,
     COUNTIFS($AI$2:$AI$200,$G292)&gt;0,
     COUNTIFS($AJ$2:$AJ$200,$G292)&gt;0,
     COUNTIFS($AK$2:$AK$200,$G292)&gt;0,
     COUNTIFS($AL$2:$AL$200,$G292)&gt;0,
     COUNTIFS($AM$2:$AM$200,$G292)&gt;0,
     COUNTIFS($AN$2:$AN$200,$G292)&gt;0,
     COUNTIFS($AO$2:$AO$200,$G292)&gt;0,
     COUNTIFS($AP$2:$AP$200,$G292)&gt;0,
     COUNTIFS($AQ$2:$AQ$200,$G292)&gt;0,
     COUNTIFS($AR$2:$AR$200,$G292)&gt;0,
     COUNTIFS($AS$2:$AS$200,$G292)&gt;0,
     COUNTIFS($AT$2:$AT$200,$G292)&gt;0,
     COUNTIFS($AU$2:$AU$200,$G292)&gt;0,
     COUNTIFS($AV$2:$AV$200,$G292)&gt;0,
     COUNTIFS($AW$2:$AW$200,$G292)&gt;0,
     COUNTIFS($AX$2:$AX$200,$G292)&gt;0
   )),
  ),
  4
 ),
"")</f>
        <v/>
      </c>
      <c r="G292" t="str">
        <f ca="1"/>
        <v>Shoot the Sheriff</v>
      </c>
    </row>
    <row r="293" spans="1:7" x14ac:dyDescent="0.25">
      <c r="A293" s="3" t="str">
        <f t="shared" ca="1" si="10"/>
        <v>2</v>
      </c>
      <c r="B293" s="3">
        <f t="shared" ca="1" si="11"/>
        <v>1</v>
      </c>
      <c r="C293" s="3" t="str">
        <f ca="1">IFERROR(
 INDEX($U$1:$AX$1,
  MATCH(TRUE,
   CHOOSE({1;2;3;4;5;6;7;8;9;10;11;12;13;14;15;16;17;18;19;20;21;22;23;24;25;26;27;28;29;30;31;32},
    COUNTIFS($U$2:$U$200,$G293)&gt;0,
    COUNTIFS($V$2:$V$200,$G293)&gt;0,
    COUNTIFS($W$2:$W$200,$G293)&gt;0,
    COUNTIFS($X$2:$X$200,$G293)&gt;0,
    COUNTIFS($Y$2:$Y$200,$G293)&gt;0,
    COUNTIFS($Z$2:$Z$200,$G293)&gt;0,
    COUNTIFS($AA$2:$AA$200,$G293)&gt;0,
    COUNTIFS($AB$2:$AB$200,$G293)&gt;0,
    COUNTIFS($AC$2:$AC$200,$G293)&gt;0,
    COUNTIFS($AD$2:$AD$200,$G293)&gt;0,
    COUNTIFS($AE$2:$AE$200,$G293)&gt;0,
    COUNTIFS($AF$2:$AF$200,$G293)&gt;0,
    COUNTIFS($AG$2:$AG$200,$G293)&gt;0,
    COUNTIFS($AH$2:$AH$200,$G293)&gt;0,
    COUNTIFS($AI$2:$AI$200,$G293)&gt;0,
    COUNTIFS($AJ$2:$AJ$200,$G293)&gt;0,
    COUNTIFS($AK$2:$AK$200,$G293)&gt;0,
    COUNTIFS($AL$2:$AL$200,$G293)&gt;0,
    COUNTIFS($AM$2:$AM$200,$G293)&gt;0,
    COUNTIFS($AN$2:$AN$200,$G293)&gt;0,
    COUNTIFS($AO$2:$AO$200,$G293)&gt;0,
    COUNTIFS($AP$2:$AP$200,$G293)&gt;0,
    COUNTIFS($AQ$2:$AQ$200,$G293)&gt;0,
    COUNTIFS($AR$2:$AR$200,$G293)&gt;0,
    COUNTIFS($AS$2:$AS$200,$G293)&gt;0,
    COUNTIFS($AT$2:$AT$200,$G293)&gt;0,
    COUNTIFS($AU$2:$AU$200,$G293)&gt;0,
    COUNTIFS($AV$2:$AV$200,$G293)&gt;0,
    COUNTIFS($AW$2:$AW$200,$G293)&gt;0,
    COUNTIFS($AX$2:$AX$200,$G293)&gt;0
   ),
  0)
 ),
"")</f>
        <v>Kumena</v>
      </c>
      <c r="D293" s="3" t="str" cm="1">
        <f t="array" aca="1" ref="D293" ca="1">IFERROR(
 INDEX(
  _xlfn._xlws.FILTER($U$1:$AX$1,
   TRANSPOSE(
    CHOOSE({1;2;3;4;5;6;7;8;9;10;11;12;13;14;15;16;17;18;19;20;21;22;23;24;25;26;27;28;29;30},
     COUNTIFS($U$2:$U$200,$G293)&gt;0,
     COUNTIFS($V$2:$V$200,$G293)&gt;0,
     COUNTIFS($W$2:$W$200,$G293)&gt;0,
     COUNTIFS($X$2:$X$200,$G293)&gt;0,
     COUNTIFS($Y$2:$Y$200,$G293)&gt;0,
     COUNTIFS($Z$2:$Z$200,$G293)&gt;0,
     COUNTIFS($AA$2:$AA$200,$G293)&gt;0,
     COUNTIFS($AB$2:$AB$200,$G293)&gt;0,
     COUNTIFS($AC$2:$AC$200,$G293)&gt;0,
     COUNTIFS($AD$2:$AD$200,$G293)&gt;0,
     COUNTIFS($AE$2:$AE$200,$G293)&gt;0,
     COUNTIFS($AF$2:$AF$200,$G293)&gt;0,
     COUNTIFS($AG$2:$AG$200,$G293)&gt;0,
     COUNTIFS($AH$2:$AH$200,$G293)&gt;0,
     COUNTIFS($AI$2:$AI$200,$G293)&gt;0,
     COUNTIFS($AJ$2:$AJ$200,$G293)&gt;0,
     COUNTIFS($AK$2:$AK$200,$G293)&gt;0,
     COUNTIFS($AL$2:$AL$200,$G293)&gt;0,
     COUNTIFS($AM$2:$AM$200,$G293)&gt;0,
     COUNTIFS($AN$2:$AN$200,$G293)&gt;0,
     COUNTIFS($AO$2:$AO$200,$G293)&gt;0,
     COUNTIFS($AP$2:$AP$200,$G293)&gt;0,
     COUNTIFS($AQ$2:$AQ$200,$G293)&gt;0,
     COUNTIFS($AR$2:$AR$200,$G293)&gt;0,
     COUNTIFS($AS$2:$AS$200,$G293)&gt;0,
     COUNTIFS($AT$2:$AT$200,$G293)&gt;0,
     COUNTIFS($AU$2:$AU$200,$G293)&gt;0,
     COUNTIFS($AV$2:$AV$200,$G293)&gt;0,
     COUNTIFS($AW$2:$AW$200,$G293)&gt;0,
     COUNTIFS($AX$2:$AX$200,$G293)&gt;0
   )),
  ),
  2
 ),
"")</f>
        <v/>
      </c>
      <c r="E293" s="3" t="str" cm="1">
        <f t="array" aca="1" ref="E293" ca="1">IFERROR(
 INDEX(
  _xlfn._xlws.FILTER($U$1:$AX$1,
   TRANSPOSE(
    CHOOSE({1;2;3;4;5;6;7;8;9;10;11;12;13;14;15;16;17;18;19;20;21;22;23;24;25;26;27;28;29;30},
     COUNTIFS($U$2:$U$200,$G293)&gt;0,
     COUNTIFS($V$2:$V$200,$G293)&gt;0,
     COUNTIFS($W$2:$W$200,$G293)&gt;0,
     COUNTIFS($X$2:$X$200,$G293)&gt;0,
     COUNTIFS($Y$2:$Y$200,$G293)&gt;0,
     COUNTIFS($Z$2:$Z$200,$G293)&gt;0,
     COUNTIFS($AA$2:$AA$200,$G293)&gt;0,
     COUNTIFS($AB$2:$AB$200,$G293)&gt;0,
     COUNTIFS($AC$2:$AC$200,$G293)&gt;0,
     COUNTIFS($AD$2:$AD$200,$G293)&gt;0,
     COUNTIFS($AE$2:$AE$200,$G293)&gt;0,
     COUNTIFS($AF$2:$AF$200,$G293)&gt;0,
     COUNTIFS($AG$2:$AG$200,$G293)&gt;0,
     COUNTIFS($AH$2:$AH$200,$G293)&gt;0,
     COUNTIFS($AI$2:$AI$200,$G293)&gt;0,
     COUNTIFS($AJ$2:$AJ$200,$G293)&gt;0,
     COUNTIFS($AK$2:$AK$200,$G293)&gt;0,
     COUNTIFS($AL$2:$AL$200,$G293)&gt;0,
     COUNTIFS($AM$2:$AM$200,$G293)&gt;0,
     COUNTIFS($AN$2:$AN$200,$G293)&gt;0,
     COUNTIFS($AO$2:$AO$200,$G293)&gt;0,
     COUNTIFS($AP$2:$AP$200,$G293)&gt;0,
     COUNTIFS($AQ$2:$AQ$200,$G293)&gt;0,
     COUNTIFS($AR$2:$AR$200,$G293)&gt;0,
     COUNTIFS($AS$2:$AS$200,$G293)&gt;0,
     COUNTIFS($AT$2:$AT$200,$G293)&gt;0,
     COUNTIFS($AU$2:$AU$200,$G293)&gt;0,
     COUNTIFS($AV$2:$AV$200,$G293)&gt;0,
     COUNTIFS($AW$2:$AW$200,$G293)&gt;0,
     COUNTIFS($AX$2:$AX$200,$G293)&gt;0
   )),
  ),
  3
 ),
"")</f>
        <v/>
      </c>
      <c r="F293" s="3" t="str" cm="1">
        <f t="array" aca="1" ref="F293" ca="1">IFERROR(
 INDEX(
  _xlfn._xlws.FILTER($U$1:$AX$1,
   TRANSPOSE(
    CHOOSE({1;2;3;4;5;6;7;8;9;10;11;12;13;14;15;16;17;18;19;20;21;22;23;24;25;26;27;28;29;30},
     COUNTIFS($U$2:$U$200,$G293)&gt;0,
     COUNTIFS($V$2:$V$200,$G293)&gt;0,
     COUNTIFS($W$2:$W$200,$G293)&gt;0,
     COUNTIFS($X$2:$X$200,$G293)&gt;0,
     COUNTIFS($Y$2:$Y$200,$G293)&gt;0,
     COUNTIFS($Z$2:$Z$200,$G293)&gt;0,
     COUNTIFS($AA$2:$AA$200,$G293)&gt;0,
     COUNTIFS($AB$2:$AB$200,$G293)&gt;0,
     COUNTIFS($AC$2:$AC$200,$G293)&gt;0,
     COUNTIFS($AD$2:$AD$200,$G293)&gt;0,
     COUNTIFS($AE$2:$AE$200,$G293)&gt;0,
     COUNTIFS($AF$2:$AF$200,$G293)&gt;0,
     COUNTIFS($AG$2:$AG$200,$G293)&gt;0,
     COUNTIFS($AH$2:$AH$200,$G293)&gt;0,
     COUNTIFS($AI$2:$AI$200,$G293)&gt;0,
     COUNTIFS($AJ$2:$AJ$200,$G293)&gt;0,
     COUNTIFS($AK$2:$AK$200,$G293)&gt;0,
     COUNTIFS($AL$2:$AL$200,$G293)&gt;0,
     COUNTIFS($AM$2:$AM$200,$G293)&gt;0,
     COUNTIFS($AN$2:$AN$200,$G293)&gt;0,
     COUNTIFS($AO$2:$AO$200,$G293)&gt;0,
     COUNTIFS($AP$2:$AP$200,$G293)&gt;0,
     COUNTIFS($AQ$2:$AQ$200,$G293)&gt;0,
     COUNTIFS($AR$2:$AR$200,$G293)&gt;0,
     COUNTIFS($AS$2:$AS$200,$G293)&gt;0,
     COUNTIFS($AT$2:$AT$200,$G293)&gt;0,
     COUNTIFS($AU$2:$AU$200,$G293)&gt;0,
     COUNTIFS($AV$2:$AV$200,$G293)&gt;0,
     COUNTIFS($AW$2:$AW$200,$G293)&gt;0,
     COUNTIFS($AX$2:$AX$200,$G293)&gt;0
   )),
  ),
  4
 ),
"")</f>
        <v/>
      </c>
      <c r="G293" t="str">
        <f ca="1"/>
        <v>Simic Charm</v>
      </c>
    </row>
    <row r="294" spans="1:7" x14ac:dyDescent="0.25">
      <c r="A294" s="3" t="str">
        <f t="shared" ca="1" si="10"/>
        <v>2</v>
      </c>
      <c r="B294" s="3">
        <f t="shared" ca="1" si="11"/>
        <v>1</v>
      </c>
      <c r="C294" s="3" t="str">
        <f ca="1">IFERROR(
 INDEX($U$1:$AX$1,
  MATCH(TRUE,
   CHOOSE({1;2;3;4;5;6;7;8;9;10;11;12;13;14;15;16;17;18;19;20;21;22;23;24;25;26;27;28;29;30;31;32},
    COUNTIFS($U$2:$U$200,$G294)&gt;0,
    COUNTIFS($V$2:$V$200,$G294)&gt;0,
    COUNTIFS($W$2:$W$200,$G294)&gt;0,
    COUNTIFS($X$2:$X$200,$G294)&gt;0,
    COUNTIFS($Y$2:$Y$200,$G294)&gt;0,
    COUNTIFS($Z$2:$Z$200,$G294)&gt;0,
    COUNTIFS($AA$2:$AA$200,$G294)&gt;0,
    COUNTIFS($AB$2:$AB$200,$G294)&gt;0,
    COUNTIFS($AC$2:$AC$200,$G294)&gt;0,
    COUNTIFS($AD$2:$AD$200,$G294)&gt;0,
    COUNTIFS($AE$2:$AE$200,$G294)&gt;0,
    COUNTIFS($AF$2:$AF$200,$G294)&gt;0,
    COUNTIFS($AG$2:$AG$200,$G294)&gt;0,
    COUNTIFS($AH$2:$AH$200,$G294)&gt;0,
    COUNTIFS($AI$2:$AI$200,$G294)&gt;0,
    COUNTIFS($AJ$2:$AJ$200,$G294)&gt;0,
    COUNTIFS($AK$2:$AK$200,$G294)&gt;0,
    COUNTIFS($AL$2:$AL$200,$G294)&gt;0,
    COUNTIFS($AM$2:$AM$200,$G294)&gt;0,
    COUNTIFS($AN$2:$AN$200,$G294)&gt;0,
    COUNTIFS($AO$2:$AO$200,$G294)&gt;0,
    COUNTIFS($AP$2:$AP$200,$G294)&gt;0,
    COUNTIFS($AQ$2:$AQ$200,$G294)&gt;0,
    COUNTIFS($AR$2:$AR$200,$G294)&gt;0,
    COUNTIFS($AS$2:$AS$200,$G294)&gt;0,
    COUNTIFS($AT$2:$AT$200,$G294)&gt;0,
    COUNTIFS($AU$2:$AU$200,$G294)&gt;0,
    COUNTIFS($AV$2:$AV$200,$G294)&gt;0,
    COUNTIFS($AW$2:$AW$200,$G294)&gt;0,
    COUNTIFS($AX$2:$AX$200,$G294)&gt;0
   ),
  0)
 ),
"")</f>
        <v>Kumena</v>
      </c>
      <c r="D294" s="3" t="str" cm="1">
        <f t="array" aca="1" ref="D294" ca="1">IFERROR(
 INDEX(
  _xlfn._xlws.FILTER($U$1:$AX$1,
   TRANSPOSE(
    CHOOSE({1;2;3;4;5;6;7;8;9;10;11;12;13;14;15;16;17;18;19;20;21;22;23;24;25;26;27;28;29;30},
     COUNTIFS($U$2:$U$200,$G294)&gt;0,
     COUNTIFS($V$2:$V$200,$G294)&gt;0,
     COUNTIFS($W$2:$W$200,$G294)&gt;0,
     COUNTIFS($X$2:$X$200,$G294)&gt;0,
     COUNTIFS($Y$2:$Y$200,$G294)&gt;0,
     COUNTIFS($Z$2:$Z$200,$G294)&gt;0,
     COUNTIFS($AA$2:$AA$200,$G294)&gt;0,
     COUNTIFS($AB$2:$AB$200,$G294)&gt;0,
     COUNTIFS($AC$2:$AC$200,$G294)&gt;0,
     COUNTIFS($AD$2:$AD$200,$G294)&gt;0,
     COUNTIFS($AE$2:$AE$200,$G294)&gt;0,
     COUNTIFS($AF$2:$AF$200,$G294)&gt;0,
     COUNTIFS($AG$2:$AG$200,$G294)&gt;0,
     COUNTIFS($AH$2:$AH$200,$G294)&gt;0,
     COUNTIFS($AI$2:$AI$200,$G294)&gt;0,
     COUNTIFS($AJ$2:$AJ$200,$G294)&gt;0,
     COUNTIFS($AK$2:$AK$200,$G294)&gt;0,
     COUNTIFS($AL$2:$AL$200,$G294)&gt;0,
     COUNTIFS($AM$2:$AM$200,$G294)&gt;0,
     COUNTIFS($AN$2:$AN$200,$G294)&gt;0,
     COUNTIFS($AO$2:$AO$200,$G294)&gt;0,
     COUNTIFS($AP$2:$AP$200,$G294)&gt;0,
     COUNTIFS($AQ$2:$AQ$200,$G294)&gt;0,
     COUNTIFS($AR$2:$AR$200,$G294)&gt;0,
     COUNTIFS($AS$2:$AS$200,$G294)&gt;0,
     COUNTIFS($AT$2:$AT$200,$G294)&gt;0,
     COUNTIFS($AU$2:$AU$200,$G294)&gt;0,
     COUNTIFS($AV$2:$AV$200,$G294)&gt;0,
     COUNTIFS($AW$2:$AW$200,$G294)&gt;0,
     COUNTIFS($AX$2:$AX$200,$G294)&gt;0
   )),
  ),
  2
 ),
"")</f>
        <v/>
      </c>
      <c r="E294" s="3" t="str" cm="1">
        <f t="array" aca="1" ref="E294" ca="1">IFERROR(
 INDEX(
  _xlfn._xlws.FILTER($U$1:$AX$1,
   TRANSPOSE(
    CHOOSE({1;2;3;4;5;6;7;8;9;10;11;12;13;14;15;16;17;18;19;20;21;22;23;24;25;26;27;28;29;30},
     COUNTIFS($U$2:$U$200,$G294)&gt;0,
     COUNTIFS($V$2:$V$200,$G294)&gt;0,
     COUNTIFS($W$2:$W$200,$G294)&gt;0,
     COUNTIFS($X$2:$X$200,$G294)&gt;0,
     COUNTIFS($Y$2:$Y$200,$G294)&gt;0,
     COUNTIFS($Z$2:$Z$200,$G294)&gt;0,
     COUNTIFS($AA$2:$AA$200,$G294)&gt;0,
     COUNTIFS($AB$2:$AB$200,$G294)&gt;0,
     COUNTIFS($AC$2:$AC$200,$G294)&gt;0,
     COUNTIFS($AD$2:$AD$200,$G294)&gt;0,
     COUNTIFS($AE$2:$AE$200,$G294)&gt;0,
     COUNTIFS($AF$2:$AF$200,$G294)&gt;0,
     COUNTIFS($AG$2:$AG$200,$G294)&gt;0,
     COUNTIFS($AH$2:$AH$200,$G294)&gt;0,
     COUNTIFS($AI$2:$AI$200,$G294)&gt;0,
     COUNTIFS($AJ$2:$AJ$200,$G294)&gt;0,
     COUNTIFS($AK$2:$AK$200,$G294)&gt;0,
     COUNTIFS($AL$2:$AL$200,$G294)&gt;0,
     COUNTIFS($AM$2:$AM$200,$G294)&gt;0,
     COUNTIFS($AN$2:$AN$200,$G294)&gt;0,
     COUNTIFS($AO$2:$AO$200,$G294)&gt;0,
     COUNTIFS($AP$2:$AP$200,$G294)&gt;0,
     COUNTIFS($AQ$2:$AQ$200,$G294)&gt;0,
     COUNTIFS($AR$2:$AR$200,$G294)&gt;0,
     COUNTIFS($AS$2:$AS$200,$G294)&gt;0,
     COUNTIFS($AT$2:$AT$200,$G294)&gt;0,
     COUNTIFS($AU$2:$AU$200,$G294)&gt;0,
     COUNTIFS($AV$2:$AV$200,$G294)&gt;0,
     COUNTIFS($AW$2:$AW$200,$G294)&gt;0,
     COUNTIFS($AX$2:$AX$200,$G294)&gt;0
   )),
  ),
  3
 ),
"")</f>
        <v/>
      </c>
      <c r="F294" s="3" t="str" cm="1">
        <f t="array" aca="1" ref="F294" ca="1">IFERROR(
 INDEX(
  _xlfn._xlws.FILTER($U$1:$AX$1,
   TRANSPOSE(
    CHOOSE({1;2;3;4;5;6;7;8;9;10;11;12;13;14;15;16;17;18;19;20;21;22;23;24;25;26;27;28;29;30},
     COUNTIFS($U$2:$U$200,$G294)&gt;0,
     COUNTIFS($V$2:$V$200,$G294)&gt;0,
     COUNTIFS($W$2:$W$200,$G294)&gt;0,
     COUNTIFS($X$2:$X$200,$G294)&gt;0,
     COUNTIFS($Y$2:$Y$200,$G294)&gt;0,
     COUNTIFS($Z$2:$Z$200,$G294)&gt;0,
     COUNTIFS($AA$2:$AA$200,$G294)&gt;0,
     COUNTIFS($AB$2:$AB$200,$G294)&gt;0,
     COUNTIFS($AC$2:$AC$200,$G294)&gt;0,
     COUNTIFS($AD$2:$AD$200,$G294)&gt;0,
     COUNTIFS($AE$2:$AE$200,$G294)&gt;0,
     COUNTIFS($AF$2:$AF$200,$G294)&gt;0,
     COUNTIFS($AG$2:$AG$200,$G294)&gt;0,
     COUNTIFS($AH$2:$AH$200,$G294)&gt;0,
     COUNTIFS($AI$2:$AI$200,$G294)&gt;0,
     COUNTIFS($AJ$2:$AJ$200,$G294)&gt;0,
     COUNTIFS($AK$2:$AK$200,$G294)&gt;0,
     COUNTIFS($AL$2:$AL$200,$G294)&gt;0,
     COUNTIFS($AM$2:$AM$200,$G294)&gt;0,
     COUNTIFS($AN$2:$AN$200,$G294)&gt;0,
     COUNTIFS($AO$2:$AO$200,$G294)&gt;0,
     COUNTIFS($AP$2:$AP$200,$G294)&gt;0,
     COUNTIFS($AQ$2:$AQ$200,$G294)&gt;0,
     COUNTIFS($AR$2:$AR$200,$G294)&gt;0,
     COUNTIFS($AS$2:$AS$200,$G294)&gt;0,
     COUNTIFS($AT$2:$AT$200,$G294)&gt;0,
     COUNTIFS($AU$2:$AU$200,$G294)&gt;0,
     COUNTIFS($AV$2:$AV$200,$G294)&gt;0,
     COUNTIFS($AW$2:$AW$200,$G294)&gt;0,
     COUNTIFS($AX$2:$AX$200,$G294)&gt;0
   )),
  ),
  4
 ),
"")</f>
        <v/>
      </c>
      <c r="G294" t="str">
        <f ca="1"/>
        <v>Singer of Swift Rivers</v>
      </c>
    </row>
    <row r="295" spans="1:7" x14ac:dyDescent="0.25">
      <c r="A295" s="3" t="str">
        <f t="shared" ca="1" si="10"/>
        <v>2</v>
      </c>
      <c r="B295" s="3">
        <f t="shared" ca="1" si="11"/>
        <v>1</v>
      </c>
      <c r="C295" s="3" t="str">
        <f ca="1">IFERROR(
 INDEX($U$1:$AX$1,
  MATCH(TRUE,
   CHOOSE({1;2;3;4;5;6;7;8;9;10;11;12;13;14;15;16;17;18;19;20;21;22;23;24;25;26;27;28;29;30;31;32},
    COUNTIFS($U$2:$U$200,$G295)&gt;0,
    COUNTIFS($V$2:$V$200,$G295)&gt;0,
    COUNTIFS($W$2:$W$200,$G295)&gt;0,
    COUNTIFS($X$2:$X$200,$G295)&gt;0,
    COUNTIFS($Y$2:$Y$200,$G295)&gt;0,
    COUNTIFS($Z$2:$Z$200,$G295)&gt;0,
    COUNTIFS($AA$2:$AA$200,$G295)&gt;0,
    COUNTIFS($AB$2:$AB$200,$G295)&gt;0,
    COUNTIFS($AC$2:$AC$200,$G295)&gt;0,
    COUNTIFS($AD$2:$AD$200,$G295)&gt;0,
    COUNTIFS($AE$2:$AE$200,$G295)&gt;0,
    COUNTIFS($AF$2:$AF$200,$G295)&gt;0,
    COUNTIFS($AG$2:$AG$200,$G295)&gt;0,
    COUNTIFS($AH$2:$AH$200,$G295)&gt;0,
    COUNTIFS($AI$2:$AI$200,$G295)&gt;0,
    COUNTIFS($AJ$2:$AJ$200,$G295)&gt;0,
    COUNTIFS($AK$2:$AK$200,$G295)&gt;0,
    COUNTIFS($AL$2:$AL$200,$G295)&gt;0,
    COUNTIFS($AM$2:$AM$200,$G295)&gt;0,
    COUNTIFS($AN$2:$AN$200,$G295)&gt;0,
    COUNTIFS($AO$2:$AO$200,$G295)&gt;0,
    COUNTIFS($AP$2:$AP$200,$G295)&gt;0,
    COUNTIFS($AQ$2:$AQ$200,$G295)&gt;0,
    COUNTIFS($AR$2:$AR$200,$G295)&gt;0,
    COUNTIFS($AS$2:$AS$200,$G295)&gt;0,
    COUNTIFS($AT$2:$AT$200,$G295)&gt;0,
    COUNTIFS($AU$2:$AU$200,$G295)&gt;0,
    COUNTIFS($AV$2:$AV$200,$G295)&gt;0,
    COUNTIFS($AW$2:$AW$200,$G295)&gt;0,
    COUNTIFS($AX$2:$AX$200,$G295)&gt;0
   ),
  0)
 ),
"")</f>
        <v>Piratas</v>
      </c>
      <c r="D295" s="3" t="str" cm="1">
        <f t="array" aca="1" ref="D295" ca="1">IFERROR(
 INDEX(
  _xlfn._xlws.FILTER($U$1:$AX$1,
   TRANSPOSE(
    CHOOSE({1;2;3;4;5;6;7;8;9;10;11;12;13;14;15;16;17;18;19;20;21;22;23;24;25;26;27;28;29;30},
     COUNTIFS($U$2:$U$200,$G295)&gt;0,
     COUNTIFS($V$2:$V$200,$G295)&gt;0,
     COUNTIFS($W$2:$W$200,$G295)&gt;0,
     COUNTIFS($X$2:$X$200,$G295)&gt;0,
     COUNTIFS($Y$2:$Y$200,$G295)&gt;0,
     COUNTIFS($Z$2:$Z$200,$G295)&gt;0,
     COUNTIFS($AA$2:$AA$200,$G295)&gt;0,
     COUNTIFS($AB$2:$AB$200,$G295)&gt;0,
     COUNTIFS($AC$2:$AC$200,$G295)&gt;0,
     COUNTIFS($AD$2:$AD$200,$G295)&gt;0,
     COUNTIFS($AE$2:$AE$200,$G295)&gt;0,
     COUNTIFS($AF$2:$AF$200,$G295)&gt;0,
     COUNTIFS($AG$2:$AG$200,$G295)&gt;0,
     COUNTIFS($AH$2:$AH$200,$G295)&gt;0,
     COUNTIFS($AI$2:$AI$200,$G295)&gt;0,
     COUNTIFS($AJ$2:$AJ$200,$G295)&gt;0,
     COUNTIFS($AK$2:$AK$200,$G295)&gt;0,
     COUNTIFS($AL$2:$AL$200,$G295)&gt;0,
     COUNTIFS($AM$2:$AM$200,$G295)&gt;0,
     COUNTIFS($AN$2:$AN$200,$G295)&gt;0,
     COUNTIFS($AO$2:$AO$200,$G295)&gt;0,
     COUNTIFS($AP$2:$AP$200,$G295)&gt;0,
     COUNTIFS($AQ$2:$AQ$200,$G295)&gt;0,
     COUNTIFS($AR$2:$AR$200,$G295)&gt;0,
     COUNTIFS($AS$2:$AS$200,$G295)&gt;0,
     COUNTIFS($AT$2:$AT$200,$G295)&gt;0,
     COUNTIFS($AU$2:$AU$200,$G295)&gt;0,
     COUNTIFS($AV$2:$AV$200,$G295)&gt;0,
     COUNTIFS($AW$2:$AW$200,$G295)&gt;0,
     COUNTIFS($AX$2:$AX$200,$G295)&gt;0
   )),
  ),
  2
 ),
"")</f>
        <v/>
      </c>
      <c r="E295" s="3" t="str" cm="1">
        <f t="array" aca="1" ref="E295" ca="1">IFERROR(
 INDEX(
  _xlfn._xlws.FILTER($U$1:$AX$1,
   TRANSPOSE(
    CHOOSE({1;2;3;4;5;6;7;8;9;10;11;12;13;14;15;16;17;18;19;20;21;22;23;24;25;26;27;28;29;30},
     COUNTIFS($U$2:$U$200,$G295)&gt;0,
     COUNTIFS($V$2:$V$200,$G295)&gt;0,
     COUNTIFS($W$2:$W$200,$G295)&gt;0,
     COUNTIFS($X$2:$X$200,$G295)&gt;0,
     COUNTIFS($Y$2:$Y$200,$G295)&gt;0,
     COUNTIFS($Z$2:$Z$200,$G295)&gt;0,
     COUNTIFS($AA$2:$AA$200,$G295)&gt;0,
     COUNTIFS($AB$2:$AB$200,$G295)&gt;0,
     COUNTIFS($AC$2:$AC$200,$G295)&gt;0,
     COUNTIFS($AD$2:$AD$200,$G295)&gt;0,
     COUNTIFS($AE$2:$AE$200,$G295)&gt;0,
     COUNTIFS($AF$2:$AF$200,$G295)&gt;0,
     COUNTIFS($AG$2:$AG$200,$G295)&gt;0,
     COUNTIFS($AH$2:$AH$200,$G295)&gt;0,
     COUNTIFS($AI$2:$AI$200,$G295)&gt;0,
     COUNTIFS($AJ$2:$AJ$200,$G295)&gt;0,
     COUNTIFS($AK$2:$AK$200,$G295)&gt;0,
     COUNTIFS($AL$2:$AL$200,$G295)&gt;0,
     COUNTIFS($AM$2:$AM$200,$G295)&gt;0,
     COUNTIFS($AN$2:$AN$200,$G295)&gt;0,
     COUNTIFS($AO$2:$AO$200,$G295)&gt;0,
     COUNTIFS($AP$2:$AP$200,$G295)&gt;0,
     COUNTIFS($AQ$2:$AQ$200,$G295)&gt;0,
     COUNTIFS($AR$2:$AR$200,$G295)&gt;0,
     COUNTIFS($AS$2:$AS$200,$G295)&gt;0,
     COUNTIFS($AT$2:$AT$200,$G295)&gt;0,
     COUNTIFS($AU$2:$AU$200,$G295)&gt;0,
     COUNTIFS($AV$2:$AV$200,$G295)&gt;0,
     COUNTIFS($AW$2:$AW$200,$G295)&gt;0,
     COUNTIFS($AX$2:$AX$200,$G295)&gt;0
   )),
  ),
  3
 ),
"")</f>
        <v/>
      </c>
      <c r="F295" s="3" t="str" cm="1">
        <f t="array" aca="1" ref="F295" ca="1">IFERROR(
 INDEX(
  _xlfn._xlws.FILTER($U$1:$AX$1,
   TRANSPOSE(
    CHOOSE({1;2;3;4;5;6;7;8;9;10;11;12;13;14;15;16;17;18;19;20;21;22;23;24;25;26;27;28;29;30},
     COUNTIFS($U$2:$U$200,$G295)&gt;0,
     COUNTIFS($V$2:$V$200,$G295)&gt;0,
     COUNTIFS($W$2:$W$200,$G295)&gt;0,
     COUNTIFS($X$2:$X$200,$G295)&gt;0,
     COUNTIFS($Y$2:$Y$200,$G295)&gt;0,
     COUNTIFS($Z$2:$Z$200,$G295)&gt;0,
     COUNTIFS($AA$2:$AA$200,$G295)&gt;0,
     COUNTIFS($AB$2:$AB$200,$G295)&gt;0,
     COUNTIFS($AC$2:$AC$200,$G295)&gt;0,
     COUNTIFS($AD$2:$AD$200,$G295)&gt;0,
     COUNTIFS($AE$2:$AE$200,$G295)&gt;0,
     COUNTIFS($AF$2:$AF$200,$G295)&gt;0,
     COUNTIFS($AG$2:$AG$200,$G295)&gt;0,
     COUNTIFS($AH$2:$AH$200,$G295)&gt;0,
     COUNTIFS($AI$2:$AI$200,$G295)&gt;0,
     COUNTIFS($AJ$2:$AJ$200,$G295)&gt;0,
     COUNTIFS($AK$2:$AK$200,$G295)&gt;0,
     COUNTIFS($AL$2:$AL$200,$G295)&gt;0,
     COUNTIFS($AM$2:$AM$200,$G295)&gt;0,
     COUNTIFS($AN$2:$AN$200,$G295)&gt;0,
     COUNTIFS($AO$2:$AO$200,$G295)&gt;0,
     COUNTIFS($AP$2:$AP$200,$G295)&gt;0,
     COUNTIFS($AQ$2:$AQ$200,$G295)&gt;0,
     COUNTIFS($AR$2:$AR$200,$G295)&gt;0,
     COUNTIFS($AS$2:$AS$200,$G295)&gt;0,
     COUNTIFS($AT$2:$AT$200,$G295)&gt;0,
     COUNTIFS($AU$2:$AU$200,$G295)&gt;0,
     COUNTIFS($AV$2:$AV$200,$G295)&gt;0,
     COUNTIFS($AW$2:$AW$200,$G295)&gt;0,
     COUNTIFS($AX$2:$AX$200,$G295)&gt;0
   )),
  ),
  4
 ),
"")</f>
        <v/>
      </c>
      <c r="G295" t="str">
        <f ca="1"/>
        <v>Siren Stormtamer</v>
      </c>
    </row>
    <row r="296" spans="1:7" x14ac:dyDescent="0.25">
      <c r="A296" s="3" t="str">
        <f t="shared" ca="1" si="10"/>
        <v>1</v>
      </c>
      <c r="B296" s="3">
        <f t="shared" ca="1" si="11"/>
        <v>1</v>
      </c>
      <c r="C296" s="3" t="str">
        <f ca="1">IFERROR(
 INDEX($U$1:$AX$1,
  MATCH(TRUE,
   CHOOSE({1;2;3;4;5;6;7;8;9;10;11;12;13;14;15;16;17;18;19;20;21;22;23;24;25;26;27;28;29;30;31;32},
    COUNTIFS($U$2:$U$200,$G296)&gt;0,
    COUNTIFS($V$2:$V$200,$G296)&gt;0,
    COUNTIFS($W$2:$W$200,$G296)&gt;0,
    COUNTIFS($X$2:$X$200,$G296)&gt;0,
    COUNTIFS($Y$2:$Y$200,$G296)&gt;0,
    COUNTIFS($Z$2:$Z$200,$G296)&gt;0,
    COUNTIFS($AA$2:$AA$200,$G296)&gt;0,
    COUNTIFS($AB$2:$AB$200,$G296)&gt;0,
    COUNTIFS($AC$2:$AC$200,$G296)&gt;0,
    COUNTIFS($AD$2:$AD$200,$G296)&gt;0,
    COUNTIFS($AE$2:$AE$200,$G296)&gt;0,
    COUNTIFS($AF$2:$AF$200,$G296)&gt;0,
    COUNTIFS($AG$2:$AG$200,$G296)&gt;0,
    COUNTIFS($AH$2:$AH$200,$G296)&gt;0,
    COUNTIFS($AI$2:$AI$200,$G296)&gt;0,
    COUNTIFS($AJ$2:$AJ$200,$G296)&gt;0,
    COUNTIFS($AK$2:$AK$200,$G296)&gt;0,
    COUNTIFS($AL$2:$AL$200,$G296)&gt;0,
    COUNTIFS($AM$2:$AM$200,$G296)&gt;0,
    COUNTIFS($AN$2:$AN$200,$G296)&gt;0,
    COUNTIFS($AO$2:$AO$200,$G296)&gt;0,
    COUNTIFS($AP$2:$AP$200,$G296)&gt;0,
    COUNTIFS($AQ$2:$AQ$200,$G296)&gt;0,
    COUNTIFS($AR$2:$AR$200,$G296)&gt;0,
    COUNTIFS($AS$2:$AS$200,$G296)&gt;0,
    COUNTIFS($AT$2:$AT$200,$G296)&gt;0,
    COUNTIFS($AU$2:$AU$200,$G296)&gt;0,
    COUNTIFS($AV$2:$AV$200,$G296)&gt;0,
    COUNTIFS($AW$2:$AW$200,$G296)&gt;0,
    COUNTIFS($AX$2:$AX$200,$G296)&gt;0
   ),
  0)
 ),
"")</f>
        <v>Modular</v>
      </c>
      <c r="D296" s="3" t="str" cm="1">
        <f t="array" aca="1" ref="D296" ca="1">IFERROR(
 INDEX(
  _xlfn._xlws.FILTER($U$1:$AX$1,
   TRANSPOSE(
    CHOOSE({1;2;3;4;5;6;7;8;9;10;11;12;13;14;15;16;17;18;19;20;21;22;23;24;25;26;27;28;29;30},
     COUNTIFS($U$2:$U$200,$G296)&gt;0,
     COUNTIFS($V$2:$V$200,$G296)&gt;0,
     COUNTIFS($W$2:$W$200,$G296)&gt;0,
     COUNTIFS($X$2:$X$200,$G296)&gt;0,
     COUNTIFS($Y$2:$Y$200,$G296)&gt;0,
     COUNTIFS($Z$2:$Z$200,$G296)&gt;0,
     COUNTIFS($AA$2:$AA$200,$G296)&gt;0,
     COUNTIFS($AB$2:$AB$200,$G296)&gt;0,
     COUNTIFS($AC$2:$AC$200,$G296)&gt;0,
     COUNTIFS($AD$2:$AD$200,$G296)&gt;0,
     COUNTIFS($AE$2:$AE$200,$G296)&gt;0,
     COUNTIFS($AF$2:$AF$200,$G296)&gt;0,
     COUNTIFS($AG$2:$AG$200,$G296)&gt;0,
     COUNTIFS($AH$2:$AH$200,$G296)&gt;0,
     COUNTIFS($AI$2:$AI$200,$G296)&gt;0,
     COUNTIFS($AJ$2:$AJ$200,$G296)&gt;0,
     COUNTIFS($AK$2:$AK$200,$G296)&gt;0,
     COUNTIFS($AL$2:$AL$200,$G296)&gt;0,
     COUNTIFS($AM$2:$AM$200,$G296)&gt;0,
     COUNTIFS($AN$2:$AN$200,$G296)&gt;0,
     COUNTIFS($AO$2:$AO$200,$G296)&gt;0,
     COUNTIFS($AP$2:$AP$200,$G296)&gt;0,
     COUNTIFS($AQ$2:$AQ$200,$G296)&gt;0,
     COUNTIFS($AR$2:$AR$200,$G296)&gt;0,
     COUNTIFS($AS$2:$AS$200,$G296)&gt;0,
     COUNTIFS($AT$2:$AT$200,$G296)&gt;0,
     COUNTIFS($AU$2:$AU$200,$G296)&gt;0,
     COUNTIFS($AV$2:$AV$200,$G296)&gt;0,
     COUNTIFS($AW$2:$AW$200,$G296)&gt;0,
     COUNTIFS($AX$2:$AX$200,$G296)&gt;0
   )),
  ),
  2
 ),
"")</f>
        <v/>
      </c>
      <c r="E296" s="3" t="str" cm="1">
        <f t="array" aca="1" ref="E296" ca="1">IFERROR(
 INDEX(
  _xlfn._xlws.FILTER($U$1:$AX$1,
   TRANSPOSE(
    CHOOSE({1;2;3;4;5;6;7;8;9;10;11;12;13;14;15;16;17;18;19;20;21;22;23;24;25;26;27;28;29;30},
     COUNTIFS($U$2:$U$200,$G296)&gt;0,
     COUNTIFS($V$2:$V$200,$G296)&gt;0,
     COUNTIFS($W$2:$W$200,$G296)&gt;0,
     COUNTIFS($X$2:$X$200,$G296)&gt;0,
     COUNTIFS($Y$2:$Y$200,$G296)&gt;0,
     COUNTIFS($Z$2:$Z$200,$G296)&gt;0,
     COUNTIFS($AA$2:$AA$200,$G296)&gt;0,
     COUNTIFS($AB$2:$AB$200,$G296)&gt;0,
     COUNTIFS($AC$2:$AC$200,$G296)&gt;0,
     COUNTIFS($AD$2:$AD$200,$G296)&gt;0,
     COUNTIFS($AE$2:$AE$200,$G296)&gt;0,
     COUNTIFS($AF$2:$AF$200,$G296)&gt;0,
     COUNTIFS($AG$2:$AG$200,$G296)&gt;0,
     COUNTIFS($AH$2:$AH$200,$G296)&gt;0,
     COUNTIFS($AI$2:$AI$200,$G296)&gt;0,
     COUNTIFS($AJ$2:$AJ$200,$G296)&gt;0,
     COUNTIFS($AK$2:$AK$200,$G296)&gt;0,
     COUNTIFS($AL$2:$AL$200,$G296)&gt;0,
     COUNTIFS($AM$2:$AM$200,$G296)&gt;0,
     COUNTIFS($AN$2:$AN$200,$G296)&gt;0,
     COUNTIFS($AO$2:$AO$200,$G296)&gt;0,
     COUNTIFS($AP$2:$AP$200,$G296)&gt;0,
     COUNTIFS($AQ$2:$AQ$200,$G296)&gt;0,
     COUNTIFS($AR$2:$AR$200,$G296)&gt;0,
     COUNTIFS($AS$2:$AS$200,$G296)&gt;0,
     COUNTIFS($AT$2:$AT$200,$G296)&gt;0,
     COUNTIFS($AU$2:$AU$200,$G296)&gt;0,
     COUNTIFS($AV$2:$AV$200,$G296)&gt;0,
     COUNTIFS($AW$2:$AW$200,$G296)&gt;0,
     COUNTIFS($AX$2:$AX$200,$G296)&gt;0
   )),
  ),
  3
 ),
"")</f>
        <v/>
      </c>
      <c r="F296" s="3" t="str" cm="1">
        <f t="array" aca="1" ref="F296" ca="1">IFERROR(
 INDEX(
  _xlfn._xlws.FILTER($U$1:$AX$1,
   TRANSPOSE(
    CHOOSE({1;2;3;4;5;6;7;8;9;10;11;12;13;14;15;16;17;18;19;20;21;22;23;24;25;26;27;28;29;30},
     COUNTIFS($U$2:$U$200,$G296)&gt;0,
     COUNTIFS($V$2:$V$200,$G296)&gt;0,
     COUNTIFS($W$2:$W$200,$G296)&gt;0,
     COUNTIFS($X$2:$X$200,$G296)&gt;0,
     COUNTIFS($Y$2:$Y$200,$G296)&gt;0,
     COUNTIFS($Z$2:$Z$200,$G296)&gt;0,
     COUNTIFS($AA$2:$AA$200,$G296)&gt;0,
     COUNTIFS($AB$2:$AB$200,$G296)&gt;0,
     COUNTIFS($AC$2:$AC$200,$G296)&gt;0,
     COUNTIFS($AD$2:$AD$200,$G296)&gt;0,
     COUNTIFS($AE$2:$AE$200,$G296)&gt;0,
     COUNTIFS($AF$2:$AF$200,$G296)&gt;0,
     COUNTIFS($AG$2:$AG$200,$G296)&gt;0,
     COUNTIFS($AH$2:$AH$200,$G296)&gt;0,
     COUNTIFS($AI$2:$AI$200,$G296)&gt;0,
     COUNTIFS($AJ$2:$AJ$200,$G296)&gt;0,
     COUNTIFS($AK$2:$AK$200,$G296)&gt;0,
     COUNTIFS($AL$2:$AL$200,$G296)&gt;0,
     COUNTIFS($AM$2:$AM$200,$G296)&gt;0,
     COUNTIFS($AN$2:$AN$200,$G296)&gt;0,
     COUNTIFS($AO$2:$AO$200,$G296)&gt;0,
     COUNTIFS($AP$2:$AP$200,$G296)&gt;0,
     COUNTIFS($AQ$2:$AQ$200,$G296)&gt;0,
     COUNTIFS($AR$2:$AR$200,$G296)&gt;0,
     COUNTIFS($AS$2:$AS$200,$G296)&gt;0,
     COUNTIFS($AT$2:$AT$200,$G296)&gt;0,
     COUNTIFS($AU$2:$AU$200,$G296)&gt;0,
     COUNTIFS($AV$2:$AV$200,$G296)&gt;0,
     COUNTIFS($AW$2:$AW$200,$G296)&gt;0,
     COUNTIFS($AX$2:$AX$200,$G296)&gt;0
   )),
  ),
  4
 ),
"")</f>
        <v/>
      </c>
      <c r="G296" t="str">
        <f ca="1"/>
        <v>Slagwoods Bridge</v>
      </c>
    </row>
    <row r="297" spans="1:7" x14ac:dyDescent="0.25">
      <c r="A297" s="3" t="str">
        <f t="shared" ca="1" si="10"/>
        <v>2</v>
      </c>
      <c r="B297" s="3">
        <f t="shared" ca="1" si="11"/>
        <v>1</v>
      </c>
      <c r="C297" s="3" t="str">
        <f ca="1">IFERROR(
 INDEX($U$1:$AX$1,
  MATCH(TRUE,
   CHOOSE({1;2;3;4;5;6;7;8;9;10;11;12;13;14;15;16;17;18;19;20;21;22;23;24;25;26;27;28;29;30;31;32},
    COUNTIFS($U$2:$U$200,$G297)&gt;0,
    COUNTIFS($V$2:$V$200,$G297)&gt;0,
    COUNTIFS($W$2:$W$200,$G297)&gt;0,
    COUNTIFS($X$2:$X$200,$G297)&gt;0,
    COUNTIFS($Y$2:$Y$200,$G297)&gt;0,
    COUNTIFS($Z$2:$Z$200,$G297)&gt;0,
    COUNTIFS($AA$2:$AA$200,$G297)&gt;0,
    COUNTIFS($AB$2:$AB$200,$G297)&gt;0,
    COUNTIFS($AC$2:$AC$200,$G297)&gt;0,
    COUNTIFS($AD$2:$AD$200,$G297)&gt;0,
    COUNTIFS($AE$2:$AE$200,$G297)&gt;0,
    COUNTIFS($AF$2:$AF$200,$G297)&gt;0,
    COUNTIFS($AG$2:$AG$200,$G297)&gt;0,
    COUNTIFS($AH$2:$AH$200,$G297)&gt;0,
    COUNTIFS($AI$2:$AI$200,$G297)&gt;0,
    COUNTIFS($AJ$2:$AJ$200,$G297)&gt;0,
    COUNTIFS($AK$2:$AK$200,$G297)&gt;0,
    COUNTIFS($AL$2:$AL$200,$G297)&gt;0,
    COUNTIFS($AM$2:$AM$200,$G297)&gt;0,
    COUNTIFS($AN$2:$AN$200,$G297)&gt;0,
    COUNTIFS($AO$2:$AO$200,$G297)&gt;0,
    COUNTIFS($AP$2:$AP$200,$G297)&gt;0,
    COUNTIFS($AQ$2:$AQ$200,$G297)&gt;0,
    COUNTIFS($AR$2:$AR$200,$G297)&gt;0,
    COUNTIFS($AS$2:$AS$200,$G297)&gt;0,
    COUNTIFS($AT$2:$AT$200,$G297)&gt;0,
    COUNTIFS($AU$2:$AU$200,$G297)&gt;0,
    COUNTIFS($AV$2:$AV$200,$G297)&gt;0,
    COUNTIFS($AW$2:$AW$200,$G297)&gt;0,
    COUNTIFS($AX$2:$AX$200,$G297)&gt;0
   ),
  0)
 ),
"")</f>
        <v>Narset</v>
      </c>
      <c r="D297" s="3" t="str" cm="1">
        <f t="array" aca="1" ref="D297" ca="1">IFERROR(
 INDEX(
  _xlfn._xlws.FILTER($U$1:$AX$1,
   TRANSPOSE(
    CHOOSE({1;2;3;4;5;6;7;8;9;10;11;12;13;14;15;16;17;18;19;20;21;22;23;24;25;26;27;28;29;30},
     COUNTIFS($U$2:$U$200,$G297)&gt;0,
     COUNTIFS($V$2:$V$200,$G297)&gt;0,
     COUNTIFS($W$2:$W$200,$G297)&gt;0,
     COUNTIFS($X$2:$X$200,$G297)&gt;0,
     COUNTIFS($Y$2:$Y$200,$G297)&gt;0,
     COUNTIFS($Z$2:$Z$200,$G297)&gt;0,
     COUNTIFS($AA$2:$AA$200,$G297)&gt;0,
     COUNTIFS($AB$2:$AB$200,$G297)&gt;0,
     COUNTIFS($AC$2:$AC$200,$G297)&gt;0,
     COUNTIFS($AD$2:$AD$200,$G297)&gt;0,
     COUNTIFS($AE$2:$AE$200,$G297)&gt;0,
     COUNTIFS($AF$2:$AF$200,$G297)&gt;0,
     COUNTIFS($AG$2:$AG$200,$G297)&gt;0,
     COUNTIFS($AH$2:$AH$200,$G297)&gt;0,
     COUNTIFS($AI$2:$AI$200,$G297)&gt;0,
     COUNTIFS($AJ$2:$AJ$200,$G297)&gt;0,
     COUNTIFS($AK$2:$AK$200,$G297)&gt;0,
     COUNTIFS($AL$2:$AL$200,$G297)&gt;0,
     COUNTIFS($AM$2:$AM$200,$G297)&gt;0,
     COUNTIFS($AN$2:$AN$200,$G297)&gt;0,
     COUNTIFS($AO$2:$AO$200,$G297)&gt;0,
     COUNTIFS($AP$2:$AP$200,$G297)&gt;0,
     COUNTIFS($AQ$2:$AQ$200,$G297)&gt;0,
     COUNTIFS($AR$2:$AR$200,$G297)&gt;0,
     COUNTIFS($AS$2:$AS$200,$G297)&gt;0,
     COUNTIFS($AT$2:$AT$200,$G297)&gt;0,
     COUNTIFS($AU$2:$AU$200,$G297)&gt;0,
     COUNTIFS($AV$2:$AV$200,$G297)&gt;0,
     COUNTIFS($AW$2:$AW$200,$G297)&gt;0,
     COUNTIFS($AX$2:$AX$200,$G297)&gt;0
   )),
  ),
  2
 ),
"")</f>
        <v/>
      </c>
      <c r="E297" s="3" t="str" cm="1">
        <f t="array" aca="1" ref="E297" ca="1">IFERROR(
 INDEX(
  _xlfn._xlws.FILTER($U$1:$AX$1,
   TRANSPOSE(
    CHOOSE({1;2;3;4;5;6;7;8;9;10;11;12;13;14;15;16;17;18;19;20;21;22;23;24;25;26;27;28;29;30},
     COUNTIFS($U$2:$U$200,$G297)&gt;0,
     COUNTIFS($V$2:$V$200,$G297)&gt;0,
     COUNTIFS($W$2:$W$200,$G297)&gt;0,
     COUNTIFS($X$2:$X$200,$G297)&gt;0,
     COUNTIFS($Y$2:$Y$200,$G297)&gt;0,
     COUNTIFS($Z$2:$Z$200,$G297)&gt;0,
     COUNTIFS($AA$2:$AA$200,$G297)&gt;0,
     COUNTIFS($AB$2:$AB$200,$G297)&gt;0,
     COUNTIFS($AC$2:$AC$200,$G297)&gt;0,
     COUNTIFS($AD$2:$AD$200,$G297)&gt;0,
     COUNTIFS($AE$2:$AE$200,$G297)&gt;0,
     COUNTIFS($AF$2:$AF$200,$G297)&gt;0,
     COUNTIFS($AG$2:$AG$200,$G297)&gt;0,
     COUNTIFS($AH$2:$AH$200,$G297)&gt;0,
     COUNTIFS($AI$2:$AI$200,$G297)&gt;0,
     COUNTIFS($AJ$2:$AJ$200,$G297)&gt;0,
     COUNTIFS($AK$2:$AK$200,$G297)&gt;0,
     COUNTIFS($AL$2:$AL$200,$G297)&gt;0,
     COUNTIFS($AM$2:$AM$200,$G297)&gt;0,
     COUNTIFS($AN$2:$AN$200,$G297)&gt;0,
     COUNTIFS($AO$2:$AO$200,$G297)&gt;0,
     COUNTIFS($AP$2:$AP$200,$G297)&gt;0,
     COUNTIFS($AQ$2:$AQ$200,$G297)&gt;0,
     COUNTIFS($AR$2:$AR$200,$G297)&gt;0,
     COUNTIFS($AS$2:$AS$200,$G297)&gt;0,
     COUNTIFS($AT$2:$AT$200,$G297)&gt;0,
     COUNTIFS($AU$2:$AU$200,$G297)&gt;0,
     COUNTIFS($AV$2:$AV$200,$G297)&gt;0,
     COUNTIFS($AW$2:$AW$200,$G297)&gt;0,
     COUNTIFS($AX$2:$AX$200,$G297)&gt;0
   )),
  ),
  3
 ),
"")</f>
        <v/>
      </c>
      <c r="F297" s="3" t="str" cm="1">
        <f t="array" aca="1" ref="F297" ca="1">IFERROR(
 INDEX(
  _xlfn._xlws.FILTER($U$1:$AX$1,
   TRANSPOSE(
    CHOOSE({1;2;3;4;5;6;7;8;9;10;11;12;13;14;15;16;17;18;19;20;21;22;23;24;25;26;27;28;29;30},
     COUNTIFS($U$2:$U$200,$G297)&gt;0,
     COUNTIFS($V$2:$V$200,$G297)&gt;0,
     COUNTIFS($W$2:$W$200,$G297)&gt;0,
     COUNTIFS($X$2:$X$200,$G297)&gt;0,
     COUNTIFS($Y$2:$Y$200,$G297)&gt;0,
     COUNTIFS($Z$2:$Z$200,$G297)&gt;0,
     COUNTIFS($AA$2:$AA$200,$G297)&gt;0,
     COUNTIFS($AB$2:$AB$200,$G297)&gt;0,
     COUNTIFS($AC$2:$AC$200,$G297)&gt;0,
     COUNTIFS($AD$2:$AD$200,$G297)&gt;0,
     COUNTIFS($AE$2:$AE$200,$G297)&gt;0,
     COUNTIFS($AF$2:$AF$200,$G297)&gt;0,
     COUNTIFS($AG$2:$AG$200,$G297)&gt;0,
     COUNTIFS($AH$2:$AH$200,$G297)&gt;0,
     COUNTIFS($AI$2:$AI$200,$G297)&gt;0,
     COUNTIFS($AJ$2:$AJ$200,$G297)&gt;0,
     COUNTIFS($AK$2:$AK$200,$G297)&gt;0,
     COUNTIFS($AL$2:$AL$200,$G297)&gt;0,
     COUNTIFS($AM$2:$AM$200,$G297)&gt;0,
     COUNTIFS($AN$2:$AN$200,$G297)&gt;0,
     COUNTIFS($AO$2:$AO$200,$G297)&gt;0,
     COUNTIFS($AP$2:$AP$200,$G297)&gt;0,
     COUNTIFS($AQ$2:$AQ$200,$G297)&gt;0,
     COUNTIFS($AR$2:$AR$200,$G297)&gt;0,
     COUNTIFS($AS$2:$AS$200,$G297)&gt;0,
     COUNTIFS($AT$2:$AT$200,$G297)&gt;0,
     COUNTIFS($AU$2:$AU$200,$G297)&gt;0,
     COUNTIFS($AV$2:$AV$200,$G297)&gt;0,
     COUNTIFS($AW$2:$AW$200,$G297)&gt;0,
     COUNTIFS($AX$2:$AX$200,$G297)&gt;0
   )),
  ),
  4
 ),
"")</f>
        <v/>
      </c>
      <c r="G297" t="str">
        <f ca="1"/>
        <v>Slash the Ranks</v>
      </c>
    </row>
    <row r="298" spans="1:7" x14ac:dyDescent="0.25">
      <c r="A298" s="3" t="str">
        <f t="shared" ca="1" si="10"/>
        <v>2</v>
      </c>
      <c r="B298" s="3">
        <f t="shared" ca="1" si="11"/>
        <v>1</v>
      </c>
      <c r="C298" s="3" t="str">
        <f ca="1">IFERROR(
 INDEX($U$1:$AX$1,
  MATCH(TRUE,
   CHOOSE({1;2;3;4;5;6;7;8;9;10;11;12;13;14;15;16;17;18;19;20;21;22;23;24;25;26;27;28;29;30;31;32},
    COUNTIFS($U$2:$U$200,$G298)&gt;0,
    COUNTIFS($V$2:$V$200,$G298)&gt;0,
    COUNTIFS($W$2:$W$200,$G298)&gt;0,
    COUNTIFS($X$2:$X$200,$G298)&gt;0,
    COUNTIFS($Y$2:$Y$200,$G298)&gt;0,
    COUNTIFS($Z$2:$Z$200,$G298)&gt;0,
    COUNTIFS($AA$2:$AA$200,$G298)&gt;0,
    COUNTIFS($AB$2:$AB$200,$G298)&gt;0,
    COUNTIFS($AC$2:$AC$200,$G298)&gt;0,
    COUNTIFS($AD$2:$AD$200,$G298)&gt;0,
    COUNTIFS($AE$2:$AE$200,$G298)&gt;0,
    COUNTIFS($AF$2:$AF$200,$G298)&gt;0,
    COUNTIFS($AG$2:$AG$200,$G298)&gt;0,
    COUNTIFS($AH$2:$AH$200,$G298)&gt;0,
    COUNTIFS($AI$2:$AI$200,$G298)&gt;0,
    COUNTIFS($AJ$2:$AJ$200,$G298)&gt;0,
    COUNTIFS($AK$2:$AK$200,$G298)&gt;0,
    COUNTIFS($AL$2:$AL$200,$G298)&gt;0,
    COUNTIFS($AM$2:$AM$200,$G298)&gt;0,
    COUNTIFS($AN$2:$AN$200,$G298)&gt;0,
    COUNTIFS($AO$2:$AO$200,$G298)&gt;0,
    COUNTIFS($AP$2:$AP$200,$G298)&gt;0,
    COUNTIFS($AQ$2:$AQ$200,$G298)&gt;0,
    COUNTIFS($AR$2:$AR$200,$G298)&gt;0,
    COUNTIFS($AS$2:$AS$200,$G298)&gt;0,
    COUNTIFS($AT$2:$AT$200,$G298)&gt;0,
    COUNTIFS($AU$2:$AU$200,$G298)&gt;0,
    COUNTIFS($AV$2:$AV$200,$G298)&gt;0,
    COUNTIFS($AW$2:$AW$200,$G298)&gt;0,
    COUNTIFS($AX$2:$AX$200,$G298)&gt;0
   ),
  0)
 ),
"")</f>
        <v>Narset</v>
      </c>
      <c r="D298" s="3" t="str" cm="1">
        <f t="array" aca="1" ref="D298" ca="1">IFERROR(
 INDEX(
  _xlfn._xlws.FILTER($U$1:$AX$1,
   TRANSPOSE(
    CHOOSE({1;2;3;4;5;6;7;8;9;10;11;12;13;14;15;16;17;18;19;20;21;22;23;24;25;26;27;28;29;30},
     COUNTIFS($U$2:$U$200,$G298)&gt;0,
     COUNTIFS($V$2:$V$200,$G298)&gt;0,
     COUNTIFS($W$2:$W$200,$G298)&gt;0,
     COUNTIFS($X$2:$X$200,$G298)&gt;0,
     COUNTIFS($Y$2:$Y$200,$G298)&gt;0,
     COUNTIFS($Z$2:$Z$200,$G298)&gt;0,
     COUNTIFS($AA$2:$AA$200,$G298)&gt;0,
     COUNTIFS($AB$2:$AB$200,$G298)&gt;0,
     COUNTIFS($AC$2:$AC$200,$G298)&gt;0,
     COUNTIFS($AD$2:$AD$200,$G298)&gt;0,
     COUNTIFS($AE$2:$AE$200,$G298)&gt;0,
     COUNTIFS($AF$2:$AF$200,$G298)&gt;0,
     COUNTIFS($AG$2:$AG$200,$G298)&gt;0,
     COUNTIFS($AH$2:$AH$200,$G298)&gt;0,
     COUNTIFS($AI$2:$AI$200,$G298)&gt;0,
     COUNTIFS($AJ$2:$AJ$200,$G298)&gt;0,
     COUNTIFS($AK$2:$AK$200,$G298)&gt;0,
     COUNTIFS($AL$2:$AL$200,$G298)&gt;0,
     COUNTIFS($AM$2:$AM$200,$G298)&gt;0,
     COUNTIFS($AN$2:$AN$200,$G298)&gt;0,
     COUNTIFS($AO$2:$AO$200,$G298)&gt;0,
     COUNTIFS($AP$2:$AP$200,$G298)&gt;0,
     COUNTIFS($AQ$2:$AQ$200,$G298)&gt;0,
     COUNTIFS($AR$2:$AR$200,$G298)&gt;0,
     COUNTIFS($AS$2:$AS$200,$G298)&gt;0,
     COUNTIFS($AT$2:$AT$200,$G298)&gt;0,
     COUNTIFS($AU$2:$AU$200,$G298)&gt;0,
     COUNTIFS($AV$2:$AV$200,$G298)&gt;0,
     COUNTIFS($AW$2:$AW$200,$G298)&gt;0,
     COUNTIFS($AX$2:$AX$200,$G298)&gt;0
   )),
  ),
  2
 ),
"")</f>
        <v/>
      </c>
      <c r="E298" s="3" t="str" cm="1">
        <f t="array" aca="1" ref="E298" ca="1">IFERROR(
 INDEX(
  _xlfn._xlws.FILTER($U$1:$AX$1,
   TRANSPOSE(
    CHOOSE({1;2;3;4;5;6;7;8;9;10;11;12;13;14;15;16;17;18;19;20;21;22;23;24;25;26;27;28;29;30},
     COUNTIFS($U$2:$U$200,$G298)&gt;0,
     COUNTIFS($V$2:$V$200,$G298)&gt;0,
     COUNTIFS($W$2:$W$200,$G298)&gt;0,
     COUNTIFS($X$2:$X$200,$G298)&gt;0,
     COUNTIFS($Y$2:$Y$200,$G298)&gt;0,
     COUNTIFS($Z$2:$Z$200,$G298)&gt;0,
     COUNTIFS($AA$2:$AA$200,$G298)&gt;0,
     COUNTIFS($AB$2:$AB$200,$G298)&gt;0,
     COUNTIFS($AC$2:$AC$200,$G298)&gt;0,
     COUNTIFS($AD$2:$AD$200,$G298)&gt;0,
     COUNTIFS($AE$2:$AE$200,$G298)&gt;0,
     COUNTIFS($AF$2:$AF$200,$G298)&gt;0,
     COUNTIFS($AG$2:$AG$200,$G298)&gt;0,
     COUNTIFS($AH$2:$AH$200,$G298)&gt;0,
     COUNTIFS($AI$2:$AI$200,$G298)&gt;0,
     COUNTIFS($AJ$2:$AJ$200,$G298)&gt;0,
     COUNTIFS($AK$2:$AK$200,$G298)&gt;0,
     COUNTIFS($AL$2:$AL$200,$G298)&gt;0,
     COUNTIFS($AM$2:$AM$200,$G298)&gt;0,
     COUNTIFS($AN$2:$AN$200,$G298)&gt;0,
     COUNTIFS($AO$2:$AO$200,$G298)&gt;0,
     COUNTIFS($AP$2:$AP$200,$G298)&gt;0,
     COUNTIFS($AQ$2:$AQ$200,$G298)&gt;0,
     COUNTIFS($AR$2:$AR$200,$G298)&gt;0,
     COUNTIFS($AS$2:$AS$200,$G298)&gt;0,
     COUNTIFS($AT$2:$AT$200,$G298)&gt;0,
     COUNTIFS($AU$2:$AU$200,$G298)&gt;0,
     COUNTIFS($AV$2:$AV$200,$G298)&gt;0,
     COUNTIFS($AW$2:$AW$200,$G298)&gt;0,
     COUNTIFS($AX$2:$AX$200,$G298)&gt;0
   )),
  ),
  3
 ),
"")</f>
        <v/>
      </c>
      <c r="F298" s="3" t="str" cm="1">
        <f t="array" aca="1" ref="F298" ca="1">IFERROR(
 INDEX(
  _xlfn._xlws.FILTER($U$1:$AX$1,
   TRANSPOSE(
    CHOOSE({1;2;3;4;5;6;7;8;9;10;11;12;13;14;15;16;17;18;19;20;21;22;23;24;25;26;27;28;29;30},
     COUNTIFS($U$2:$U$200,$G298)&gt;0,
     COUNTIFS($V$2:$V$200,$G298)&gt;0,
     COUNTIFS($W$2:$W$200,$G298)&gt;0,
     COUNTIFS($X$2:$X$200,$G298)&gt;0,
     COUNTIFS($Y$2:$Y$200,$G298)&gt;0,
     COUNTIFS($Z$2:$Z$200,$G298)&gt;0,
     COUNTIFS($AA$2:$AA$200,$G298)&gt;0,
     COUNTIFS($AB$2:$AB$200,$G298)&gt;0,
     COUNTIFS($AC$2:$AC$200,$G298)&gt;0,
     COUNTIFS($AD$2:$AD$200,$G298)&gt;0,
     COUNTIFS($AE$2:$AE$200,$G298)&gt;0,
     COUNTIFS($AF$2:$AF$200,$G298)&gt;0,
     COUNTIFS($AG$2:$AG$200,$G298)&gt;0,
     COUNTIFS($AH$2:$AH$200,$G298)&gt;0,
     COUNTIFS($AI$2:$AI$200,$G298)&gt;0,
     COUNTIFS($AJ$2:$AJ$200,$G298)&gt;0,
     COUNTIFS($AK$2:$AK$200,$G298)&gt;0,
     COUNTIFS($AL$2:$AL$200,$G298)&gt;0,
     COUNTIFS($AM$2:$AM$200,$G298)&gt;0,
     COUNTIFS($AN$2:$AN$200,$G298)&gt;0,
     COUNTIFS($AO$2:$AO$200,$G298)&gt;0,
     COUNTIFS($AP$2:$AP$200,$G298)&gt;0,
     COUNTIFS($AQ$2:$AQ$200,$G298)&gt;0,
     COUNTIFS($AR$2:$AR$200,$G298)&gt;0,
     COUNTIFS($AS$2:$AS$200,$G298)&gt;0,
     COUNTIFS($AT$2:$AT$200,$G298)&gt;0,
     COUNTIFS($AU$2:$AU$200,$G298)&gt;0,
     COUNTIFS($AV$2:$AV$200,$G298)&gt;0,
     COUNTIFS($AW$2:$AW$200,$G298)&gt;0,
     COUNTIFS($AX$2:$AX$200,$G298)&gt;0
   )),
  ),
  4
 ),
"")</f>
        <v/>
      </c>
      <c r="G298" t="str">
        <f ca="1"/>
        <v>Slayers' Stronghold</v>
      </c>
    </row>
    <row r="299" spans="1:7" x14ac:dyDescent="0.25">
      <c r="A299" s="3" t="str">
        <f t="shared" ca="1" si="10"/>
        <v>4</v>
      </c>
      <c r="B299" s="3">
        <f t="shared" ca="1" si="11"/>
        <v>1</v>
      </c>
      <c r="C299" s="3" t="str">
        <f ca="1">IFERROR(
 INDEX($U$1:$AX$1,
  MATCH(TRUE,
   CHOOSE({1;2;3;4;5;6;7;8;9;10;11;12;13;14;15;16;17;18;19;20;21;22;23;24;25;26;27;28;29;30;31;32},
    COUNTIFS($U$2:$U$200,$G299)&gt;0,
    COUNTIFS($V$2:$V$200,$G299)&gt;0,
    COUNTIFS($W$2:$W$200,$G299)&gt;0,
    COUNTIFS($X$2:$X$200,$G299)&gt;0,
    COUNTIFS($Y$2:$Y$200,$G299)&gt;0,
    COUNTIFS($Z$2:$Z$200,$G299)&gt;0,
    COUNTIFS($AA$2:$AA$200,$G299)&gt;0,
    COUNTIFS($AB$2:$AB$200,$G299)&gt;0,
    COUNTIFS($AC$2:$AC$200,$G299)&gt;0,
    COUNTIFS($AD$2:$AD$200,$G299)&gt;0,
    COUNTIFS($AE$2:$AE$200,$G299)&gt;0,
    COUNTIFS($AF$2:$AF$200,$G299)&gt;0,
    COUNTIFS($AG$2:$AG$200,$G299)&gt;0,
    COUNTIFS($AH$2:$AH$200,$G299)&gt;0,
    COUNTIFS($AI$2:$AI$200,$G299)&gt;0,
    COUNTIFS($AJ$2:$AJ$200,$G299)&gt;0,
    COUNTIFS($AK$2:$AK$200,$G299)&gt;0,
    COUNTIFS($AL$2:$AL$200,$G299)&gt;0,
    COUNTIFS($AM$2:$AM$200,$G299)&gt;0,
    COUNTIFS($AN$2:$AN$200,$G299)&gt;0,
    COUNTIFS($AO$2:$AO$200,$G299)&gt;0,
    COUNTIFS($AP$2:$AP$200,$G299)&gt;0,
    COUNTIFS($AQ$2:$AQ$200,$G299)&gt;0,
    COUNTIFS($AR$2:$AR$200,$G299)&gt;0,
    COUNTIFS($AS$2:$AS$200,$G299)&gt;0,
    COUNTIFS($AT$2:$AT$200,$G299)&gt;0,
    COUNTIFS($AU$2:$AU$200,$G299)&gt;0,
    COUNTIFS($AV$2:$AV$200,$G299)&gt;0,
    COUNTIFS($AW$2:$AW$200,$G299)&gt;0,
    COUNTIFS($AX$2:$AX$200,$G299)&gt;0
   ),
  0)
 ),
"")</f>
        <v>Fractius</v>
      </c>
      <c r="D299" s="3" t="str" cm="1">
        <f t="array" aca="1" ref="D299" ca="1">IFERROR(
 INDEX(
  _xlfn._xlws.FILTER($U$1:$AX$1,
   TRANSPOSE(
    CHOOSE({1;2;3;4;5;6;7;8;9;10;11;12;13;14;15;16;17;18;19;20;21;22;23;24;25;26;27;28;29;30},
     COUNTIFS($U$2:$U$200,$G299)&gt;0,
     COUNTIFS($V$2:$V$200,$G299)&gt;0,
     COUNTIFS($W$2:$W$200,$G299)&gt;0,
     COUNTIFS($X$2:$X$200,$G299)&gt;0,
     COUNTIFS($Y$2:$Y$200,$G299)&gt;0,
     COUNTIFS($Z$2:$Z$200,$G299)&gt;0,
     COUNTIFS($AA$2:$AA$200,$G299)&gt;0,
     COUNTIFS($AB$2:$AB$200,$G299)&gt;0,
     COUNTIFS($AC$2:$AC$200,$G299)&gt;0,
     COUNTIFS($AD$2:$AD$200,$G299)&gt;0,
     COUNTIFS($AE$2:$AE$200,$G299)&gt;0,
     COUNTIFS($AF$2:$AF$200,$G299)&gt;0,
     COUNTIFS($AG$2:$AG$200,$G299)&gt;0,
     COUNTIFS($AH$2:$AH$200,$G299)&gt;0,
     COUNTIFS($AI$2:$AI$200,$G299)&gt;0,
     COUNTIFS($AJ$2:$AJ$200,$G299)&gt;0,
     COUNTIFS($AK$2:$AK$200,$G299)&gt;0,
     COUNTIFS($AL$2:$AL$200,$G299)&gt;0,
     COUNTIFS($AM$2:$AM$200,$G299)&gt;0,
     COUNTIFS($AN$2:$AN$200,$G299)&gt;0,
     COUNTIFS($AO$2:$AO$200,$G299)&gt;0,
     COUNTIFS($AP$2:$AP$200,$G299)&gt;0,
     COUNTIFS($AQ$2:$AQ$200,$G299)&gt;0,
     COUNTIFS($AR$2:$AR$200,$G299)&gt;0,
     COUNTIFS($AS$2:$AS$200,$G299)&gt;0,
     COUNTIFS($AT$2:$AT$200,$G299)&gt;0,
     COUNTIFS($AU$2:$AU$200,$G299)&gt;0,
     COUNTIFS($AV$2:$AV$200,$G299)&gt;0,
     COUNTIFS($AW$2:$AW$200,$G299)&gt;0,
     COUNTIFS($AX$2:$AX$200,$G299)&gt;0
   )),
  ),
  2
 ),
"")</f>
        <v/>
      </c>
      <c r="E299" s="3" t="str" cm="1">
        <f t="array" aca="1" ref="E299" ca="1">IFERROR(
 INDEX(
  _xlfn._xlws.FILTER($U$1:$AX$1,
   TRANSPOSE(
    CHOOSE({1;2;3;4;5;6;7;8;9;10;11;12;13;14;15;16;17;18;19;20;21;22;23;24;25;26;27;28;29;30},
     COUNTIFS($U$2:$U$200,$G299)&gt;0,
     COUNTIFS($V$2:$V$200,$G299)&gt;0,
     COUNTIFS($W$2:$W$200,$G299)&gt;0,
     COUNTIFS($X$2:$X$200,$G299)&gt;0,
     COUNTIFS($Y$2:$Y$200,$G299)&gt;0,
     COUNTIFS($Z$2:$Z$200,$G299)&gt;0,
     COUNTIFS($AA$2:$AA$200,$G299)&gt;0,
     COUNTIFS($AB$2:$AB$200,$G299)&gt;0,
     COUNTIFS($AC$2:$AC$200,$G299)&gt;0,
     COUNTIFS($AD$2:$AD$200,$G299)&gt;0,
     COUNTIFS($AE$2:$AE$200,$G299)&gt;0,
     COUNTIFS($AF$2:$AF$200,$G299)&gt;0,
     COUNTIFS($AG$2:$AG$200,$G299)&gt;0,
     COUNTIFS($AH$2:$AH$200,$G299)&gt;0,
     COUNTIFS($AI$2:$AI$200,$G299)&gt;0,
     COUNTIFS($AJ$2:$AJ$200,$G299)&gt;0,
     COUNTIFS($AK$2:$AK$200,$G299)&gt;0,
     COUNTIFS($AL$2:$AL$200,$G299)&gt;0,
     COUNTIFS($AM$2:$AM$200,$G299)&gt;0,
     COUNTIFS($AN$2:$AN$200,$G299)&gt;0,
     COUNTIFS($AO$2:$AO$200,$G299)&gt;0,
     COUNTIFS($AP$2:$AP$200,$G299)&gt;0,
     COUNTIFS($AQ$2:$AQ$200,$G299)&gt;0,
     COUNTIFS($AR$2:$AR$200,$G299)&gt;0,
     COUNTIFS($AS$2:$AS$200,$G299)&gt;0,
     COUNTIFS($AT$2:$AT$200,$G299)&gt;0,
     COUNTIFS($AU$2:$AU$200,$G299)&gt;0,
     COUNTIFS($AV$2:$AV$200,$G299)&gt;0,
     COUNTIFS($AW$2:$AW$200,$G299)&gt;0,
     COUNTIFS($AX$2:$AX$200,$G299)&gt;0
   )),
  ),
  3
 ),
"")</f>
        <v/>
      </c>
      <c r="F299" s="3" t="str" cm="1">
        <f t="array" aca="1" ref="F299" ca="1">IFERROR(
 INDEX(
  _xlfn._xlws.FILTER($U$1:$AX$1,
   TRANSPOSE(
    CHOOSE({1;2;3;4;5;6;7;8;9;10;11;12;13;14;15;16;17;18;19;20;21;22;23;24;25;26;27;28;29;30},
     COUNTIFS($U$2:$U$200,$G299)&gt;0,
     COUNTIFS($V$2:$V$200,$G299)&gt;0,
     COUNTIFS($W$2:$W$200,$G299)&gt;0,
     COUNTIFS($X$2:$X$200,$G299)&gt;0,
     COUNTIFS($Y$2:$Y$200,$G299)&gt;0,
     COUNTIFS($Z$2:$Z$200,$G299)&gt;0,
     COUNTIFS($AA$2:$AA$200,$G299)&gt;0,
     COUNTIFS($AB$2:$AB$200,$G299)&gt;0,
     COUNTIFS($AC$2:$AC$200,$G299)&gt;0,
     COUNTIFS($AD$2:$AD$200,$G299)&gt;0,
     COUNTIFS($AE$2:$AE$200,$G299)&gt;0,
     COUNTIFS($AF$2:$AF$200,$G299)&gt;0,
     COUNTIFS($AG$2:$AG$200,$G299)&gt;0,
     COUNTIFS($AH$2:$AH$200,$G299)&gt;0,
     COUNTIFS($AI$2:$AI$200,$G299)&gt;0,
     COUNTIFS($AJ$2:$AJ$200,$G299)&gt;0,
     COUNTIFS($AK$2:$AK$200,$G299)&gt;0,
     COUNTIFS($AL$2:$AL$200,$G299)&gt;0,
     COUNTIFS($AM$2:$AM$200,$G299)&gt;0,
     COUNTIFS($AN$2:$AN$200,$G299)&gt;0,
     COUNTIFS($AO$2:$AO$200,$G299)&gt;0,
     COUNTIFS($AP$2:$AP$200,$G299)&gt;0,
     COUNTIFS($AQ$2:$AQ$200,$G299)&gt;0,
     COUNTIFS($AR$2:$AR$200,$G299)&gt;0,
     COUNTIFS($AS$2:$AS$200,$G299)&gt;0,
     COUNTIFS($AT$2:$AT$200,$G299)&gt;0,
     COUNTIFS($AU$2:$AU$200,$G299)&gt;0,
     COUNTIFS($AV$2:$AV$200,$G299)&gt;0,
     COUNTIFS($AW$2:$AW$200,$G299)&gt;0,
     COUNTIFS($AX$2:$AX$200,$G299)&gt;0
   )),
  ),
  4
 ),
"")</f>
        <v/>
      </c>
      <c r="G299" t="str">
        <f ca="1"/>
        <v>Sliver Gravemother</v>
      </c>
    </row>
    <row r="300" spans="1:7" x14ac:dyDescent="0.25">
      <c r="A300" s="3" t="str">
        <f t="shared" ca="1" si="10"/>
        <v>2</v>
      </c>
      <c r="B300" s="3">
        <f t="shared" ca="1" si="11"/>
        <v>1</v>
      </c>
      <c r="C300" s="3" t="str">
        <f ca="1">IFERROR(
 INDEX($U$1:$AX$1,
  MATCH(TRUE,
   CHOOSE({1;2;3;4;5;6;7;8;9;10;11;12;13;14;15;16;17;18;19;20;21;22;23;24;25;26;27;28;29;30;31;32},
    COUNTIFS($U$2:$U$200,$G300)&gt;0,
    COUNTIFS($V$2:$V$200,$G300)&gt;0,
    COUNTIFS($W$2:$W$200,$G300)&gt;0,
    COUNTIFS($X$2:$X$200,$G300)&gt;0,
    COUNTIFS($Y$2:$Y$200,$G300)&gt;0,
    COUNTIFS($Z$2:$Z$200,$G300)&gt;0,
    COUNTIFS($AA$2:$AA$200,$G300)&gt;0,
    COUNTIFS($AB$2:$AB$200,$G300)&gt;0,
    COUNTIFS($AC$2:$AC$200,$G300)&gt;0,
    COUNTIFS($AD$2:$AD$200,$G300)&gt;0,
    COUNTIFS($AE$2:$AE$200,$G300)&gt;0,
    COUNTIFS($AF$2:$AF$200,$G300)&gt;0,
    COUNTIFS($AG$2:$AG$200,$G300)&gt;0,
    COUNTIFS($AH$2:$AH$200,$G300)&gt;0,
    COUNTIFS($AI$2:$AI$200,$G300)&gt;0,
    COUNTIFS($AJ$2:$AJ$200,$G300)&gt;0,
    COUNTIFS($AK$2:$AK$200,$G300)&gt;0,
    COUNTIFS($AL$2:$AL$200,$G300)&gt;0,
    COUNTIFS($AM$2:$AM$200,$G300)&gt;0,
    COUNTIFS($AN$2:$AN$200,$G300)&gt;0,
    COUNTIFS($AO$2:$AO$200,$G300)&gt;0,
    COUNTIFS($AP$2:$AP$200,$G300)&gt;0,
    COUNTIFS($AQ$2:$AQ$200,$G300)&gt;0,
    COUNTIFS($AR$2:$AR$200,$G300)&gt;0,
    COUNTIFS($AS$2:$AS$200,$G300)&gt;0,
    COUNTIFS($AT$2:$AT$200,$G300)&gt;0,
    COUNTIFS($AU$2:$AU$200,$G300)&gt;0,
    COUNTIFS($AV$2:$AV$200,$G300)&gt;0,
    COUNTIFS($AW$2:$AW$200,$G300)&gt;0,
    COUNTIFS($AX$2:$AX$200,$G300)&gt;0
   ),
  0)
 ),
"")</f>
        <v>Narset</v>
      </c>
      <c r="D300" s="3" t="str" cm="1">
        <f t="array" aca="1" ref="D300" ca="1">IFERROR(
 INDEX(
  _xlfn._xlws.FILTER($U$1:$AX$1,
   TRANSPOSE(
    CHOOSE({1;2;3;4;5;6;7;8;9;10;11;12;13;14;15;16;17;18;19;20;21;22;23;24;25;26;27;28;29;30},
     COUNTIFS($U$2:$U$200,$G300)&gt;0,
     COUNTIFS($V$2:$V$200,$G300)&gt;0,
     COUNTIFS($W$2:$W$200,$G300)&gt;0,
     COUNTIFS($X$2:$X$200,$G300)&gt;0,
     COUNTIFS($Y$2:$Y$200,$G300)&gt;0,
     COUNTIFS($Z$2:$Z$200,$G300)&gt;0,
     COUNTIFS($AA$2:$AA$200,$G300)&gt;0,
     COUNTIFS($AB$2:$AB$200,$G300)&gt;0,
     COUNTIFS($AC$2:$AC$200,$G300)&gt;0,
     COUNTIFS($AD$2:$AD$200,$G300)&gt;0,
     COUNTIFS($AE$2:$AE$200,$G300)&gt;0,
     COUNTIFS($AF$2:$AF$200,$G300)&gt;0,
     COUNTIFS($AG$2:$AG$200,$G300)&gt;0,
     COUNTIFS($AH$2:$AH$200,$G300)&gt;0,
     COUNTIFS($AI$2:$AI$200,$G300)&gt;0,
     COUNTIFS($AJ$2:$AJ$200,$G300)&gt;0,
     COUNTIFS($AK$2:$AK$200,$G300)&gt;0,
     COUNTIFS($AL$2:$AL$200,$G300)&gt;0,
     COUNTIFS($AM$2:$AM$200,$G300)&gt;0,
     COUNTIFS($AN$2:$AN$200,$G300)&gt;0,
     COUNTIFS($AO$2:$AO$200,$G300)&gt;0,
     COUNTIFS($AP$2:$AP$200,$G300)&gt;0,
     COUNTIFS($AQ$2:$AQ$200,$G300)&gt;0,
     COUNTIFS($AR$2:$AR$200,$G300)&gt;0,
     COUNTIFS($AS$2:$AS$200,$G300)&gt;0,
     COUNTIFS($AT$2:$AT$200,$G300)&gt;0,
     COUNTIFS($AU$2:$AU$200,$G300)&gt;0,
     COUNTIFS($AV$2:$AV$200,$G300)&gt;0,
     COUNTIFS($AW$2:$AW$200,$G300)&gt;0,
     COUNTIFS($AX$2:$AX$200,$G300)&gt;0
   )),
  ),
  2
 ),
"")</f>
        <v/>
      </c>
      <c r="E300" s="3" t="str" cm="1">
        <f t="array" aca="1" ref="E300" ca="1">IFERROR(
 INDEX(
  _xlfn._xlws.FILTER($U$1:$AX$1,
   TRANSPOSE(
    CHOOSE({1;2;3;4;5;6;7;8;9;10;11;12;13;14;15;16;17;18;19;20;21;22;23;24;25;26;27;28;29;30},
     COUNTIFS($U$2:$U$200,$G300)&gt;0,
     COUNTIFS($V$2:$V$200,$G300)&gt;0,
     COUNTIFS($W$2:$W$200,$G300)&gt;0,
     COUNTIFS($X$2:$X$200,$G300)&gt;0,
     COUNTIFS($Y$2:$Y$200,$G300)&gt;0,
     COUNTIFS($Z$2:$Z$200,$G300)&gt;0,
     COUNTIFS($AA$2:$AA$200,$G300)&gt;0,
     COUNTIFS($AB$2:$AB$200,$G300)&gt;0,
     COUNTIFS($AC$2:$AC$200,$G300)&gt;0,
     COUNTIFS($AD$2:$AD$200,$G300)&gt;0,
     COUNTIFS($AE$2:$AE$200,$G300)&gt;0,
     COUNTIFS($AF$2:$AF$200,$G300)&gt;0,
     COUNTIFS($AG$2:$AG$200,$G300)&gt;0,
     COUNTIFS($AH$2:$AH$200,$G300)&gt;0,
     COUNTIFS($AI$2:$AI$200,$G300)&gt;0,
     COUNTIFS($AJ$2:$AJ$200,$G300)&gt;0,
     COUNTIFS($AK$2:$AK$200,$G300)&gt;0,
     COUNTIFS($AL$2:$AL$200,$G300)&gt;0,
     COUNTIFS($AM$2:$AM$200,$G300)&gt;0,
     COUNTIFS($AN$2:$AN$200,$G300)&gt;0,
     COUNTIFS($AO$2:$AO$200,$G300)&gt;0,
     COUNTIFS($AP$2:$AP$200,$G300)&gt;0,
     COUNTIFS($AQ$2:$AQ$200,$G300)&gt;0,
     COUNTIFS($AR$2:$AR$200,$G300)&gt;0,
     COUNTIFS($AS$2:$AS$200,$G300)&gt;0,
     COUNTIFS($AT$2:$AT$200,$G300)&gt;0,
     COUNTIFS($AU$2:$AU$200,$G300)&gt;0,
     COUNTIFS($AV$2:$AV$200,$G300)&gt;0,
     COUNTIFS($AW$2:$AW$200,$G300)&gt;0,
     COUNTIFS($AX$2:$AX$200,$G300)&gt;0
   )),
  ),
  3
 ),
"")</f>
        <v/>
      </c>
      <c r="F300" s="3" t="str" cm="1">
        <f t="array" aca="1" ref="F300" ca="1">IFERROR(
 INDEX(
  _xlfn._xlws.FILTER($U$1:$AX$1,
   TRANSPOSE(
    CHOOSE({1;2;3;4;5;6;7;8;9;10;11;12;13;14;15;16;17;18;19;20;21;22;23;24;25;26;27;28;29;30},
     COUNTIFS($U$2:$U$200,$G300)&gt;0,
     COUNTIFS($V$2:$V$200,$G300)&gt;0,
     COUNTIFS($W$2:$W$200,$G300)&gt;0,
     COUNTIFS($X$2:$X$200,$G300)&gt;0,
     COUNTIFS($Y$2:$Y$200,$G300)&gt;0,
     COUNTIFS($Z$2:$Z$200,$G300)&gt;0,
     COUNTIFS($AA$2:$AA$200,$G300)&gt;0,
     COUNTIFS($AB$2:$AB$200,$G300)&gt;0,
     COUNTIFS($AC$2:$AC$200,$G300)&gt;0,
     COUNTIFS($AD$2:$AD$200,$G300)&gt;0,
     COUNTIFS($AE$2:$AE$200,$G300)&gt;0,
     COUNTIFS($AF$2:$AF$200,$G300)&gt;0,
     COUNTIFS($AG$2:$AG$200,$G300)&gt;0,
     COUNTIFS($AH$2:$AH$200,$G300)&gt;0,
     COUNTIFS($AI$2:$AI$200,$G300)&gt;0,
     COUNTIFS($AJ$2:$AJ$200,$G300)&gt;0,
     COUNTIFS($AK$2:$AK$200,$G300)&gt;0,
     COUNTIFS($AL$2:$AL$200,$G300)&gt;0,
     COUNTIFS($AM$2:$AM$200,$G300)&gt;0,
     COUNTIFS($AN$2:$AN$200,$G300)&gt;0,
     COUNTIFS($AO$2:$AO$200,$G300)&gt;0,
     COUNTIFS($AP$2:$AP$200,$G300)&gt;0,
     COUNTIFS($AQ$2:$AQ$200,$G300)&gt;0,
     COUNTIFS($AR$2:$AR$200,$G300)&gt;0,
     COUNTIFS($AS$2:$AS$200,$G300)&gt;0,
     COUNTIFS($AT$2:$AT$200,$G300)&gt;0,
     COUNTIFS($AU$2:$AU$200,$G300)&gt;0,
     COUNTIFS($AV$2:$AV$200,$G300)&gt;0,
     COUNTIFS($AW$2:$AW$200,$G300)&gt;0,
     COUNTIFS($AX$2:$AX$200,$G300)&gt;0
   )),
  ),
  4
 ),
"")</f>
        <v/>
      </c>
      <c r="G300" t="str">
        <f ca="1"/>
        <v>Smuggler's Share</v>
      </c>
    </row>
    <row r="301" spans="1:7" x14ac:dyDescent="0.25">
      <c r="A301" s="3" t="str">
        <f t="shared" ca="1" si="10"/>
        <v>4</v>
      </c>
      <c r="B301" s="3">
        <f t="shared" ca="1" si="11"/>
        <v>1</v>
      </c>
      <c r="C301" s="3" t="str">
        <f ca="1">IFERROR(
 INDEX($U$1:$AX$1,
  MATCH(TRUE,
   CHOOSE({1;2;3;4;5;6;7;8;9;10;11;12;13;14;15;16;17;18;19;20;21;22;23;24;25;26;27;28;29;30;31;32},
    COUNTIFS($U$2:$U$200,$G301)&gt;0,
    COUNTIFS($V$2:$V$200,$G301)&gt;0,
    COUNTIFS($W$2:$W$200,$G301)&gt;0,
    COUNTIFS($X$2:$X$200,$G301)&gt;0,
    COUNTIFS($Y$2:$Y$200,$G301)&gt;0,
    COUNTIFS($Z$2:$Z$200,$G301)&gt;0,
    COUNTIFS($AA$2:$AA$200,$G301)&gt;0,
    COUNTIFS($AB$2:$AB$200,$G301)&gt;0,
    COUNTIFS($AC$2:$AC$200,$G301)&gt;0,
    COUNTIFS($AD$2:$AD$200,$G301)&gt;0,
    COUNTIFS($AE$2:$AE$200,$G301)&gt;0,
    COUNTIFS($AF$2:$AF$200,$G301)&gt;0,
    COUNTIFS($AG$2:$AG$200,$G301)&gt;0,
    COUNTIFS($AH$2:$AH$200,$G301)&gt;0,
    COUNTIFS($AI$2:$AI$200,$G301)&gt;0,
    COUNTIFS($AJ$2:$AJ$200,$G301)&gt;0,
    COUNTIFS($AK$2:$AK$200,$G301)&gt;0,
    COUNTIFS($AL$2:$AL$200,$G301)&gt;0,
    COUNTIFS($AM$2:$AM$200,$G301)&gt;0,
    COUNTIFS($AN$2:$AN$200,$G301)&gt;0,
    COUNTIFS($AO$2:$AO$200,$G301)&gt;0,
    COUNTIFS($AP$2:$AP$200,$G301)&gt;0,
    COUNTIFS($AQ$2:$AQ$200,$G301)&gt;0,
    COUNTIFS($AR$2:$AR$200,$G301)&gt;0,
    COUNTIFS($AS$2:$AS$200,$G301)&gt;0,
    COUNTIFS($AT$2:$AT$200,$G301)&gt;0,
    COUNTIFS($AU$2:$AU$200,$G301)&gt;0,
    COUNTIFS($AV$2:$AV$200,$G301)&gt;0,
    COUNTIFS($AW$2:$AW$200,$G301)&gt;0,
    COUNTIFS($AX$2:$AX$200,$G301)&gt;0
   ),
  0)
 ),
"")</f>
        <v>Rielle</v>
      </c>
      <c r="D301" s="3" t="str" cm="1">
        <f t="array" aca="1" ref="D301" ca="1">IFERROR(
 INDEX(
  _xlfn._xlws.FILTER($U$1:$AX$1,
   TRANSPOSE(
    CHOOSE({1;2;3;4;5;6;7;8;9;10;11;12;13;14;15;16;17;18;19;20;21;22;23;24;25;26;27;28;29;30},
     COUNTIFS($U$2:$U$200,$G301)&gt;0,
     COUNTIFS($V$2:$V$200,$G301)&gt;0,
     COUNTIFS($W$2:$W$200,$G301)&gt;0,
     COUNTIFS($X$2:$X$200,$G301)&gt;0,
     COUNTIFS($Y$2:$Y$200,$G301)&gt;0,
     COUNTIFS($Z$2:$Z$200,$G301)&gt;0,
     COUNTIFS($AA$2:$AA$200,$G301)&gt;0,
     COUNTIFS($AB$2:$AB$200,$G301)&gt;0,
     COUNTIFS($AC$2:$AC$200,$G301)&gt;0,
     COUNTIFS($AD$2:$AD$200,$G301)&gt;0,
     COUNTIFS($AE$2:$AE$200,$G301)&gt;0,
     COUNTIFS($AF$2:$AF$200,$G301)&gt;0,
     COUNTIFS($AG$2:$AG$200,$G301)&gt;0,
     COUNTIFS($AH$2:$AH$200,$G301)&gt;0,
     COUNTIFS($AI$2:$AI$200,$G301)&gt;0,
     COUNTIFS($AJ$2:$AJ$200,$G301)&gt;0,
     COUNTIFS($AK$2:$AK$200,$G301)&gt;0,
     COUNTIFS($AL$2:$AL$200,$G301)&gt;0,
     COUNTIFS($AM$2:$AM$200,$G301)&gt;0,
     COUNTIFS($AN$2:$AN$200,$G301)&gt;0,
     COUNTIFS($AO$2:$AO$200,$G301)&gt;0,
     COUNTIFS($AP$2:$AP$200,$G301)&gt;0,
     COUNTIFS($AQ$2:$AQ$200,$G301)&gt;0,
     COUNTIFS($AR$2:$AR$200,$G301)&gt;0,
     COUNTIFS($AS$2:$AS$200,$G301)&gt;0,
     COUNTIFS($AT$2:$AT$200,$G301)&gt;0,
     COUNTIFS($AU$2:$AU$200,$G301)&gt;0,
     COUNTIFS($AV$2:$AV$200,$G301)&gt;0,
     COUNTIFS($AW$2:$AW$200,$G301)&gt;0,
     COUNTIFS($AX$2:$AX$200,$G301)&gt;0
   )),
  ),
  2
 ),
"")</f>
        <v/>
      </c>
      <c r="E301" s="3" t="str" cm="1">
        <f t="array" aca="1" ref="E301" ca="1">IFERROR(
 INDEX(
  _xlfn._xlws.FILTER($U$1:$AX$1,
   TRANSPOSE(
    CHOOSE({1;2;3;4;5;6;7;8;9;10;11;12;13;14;15;16;17;18;19;20;21;22;23;24;25;26;27;28;29;30},
     COUNTIFS($U$2:$U$200,$G301)&gt;0,
     COUNTIFS($V$2:$V$200,$G301)&gt;0,
     COUNTIFS($W$2:$W$200,$G301)&gt;0,
     COUNTIFS($X$2:$X$200,$G301)&gt;0,
     COUNTIFS($Y$2:$Y$200,$G301)&gt;0,
     COUNTIFS($Z$2:$Z$200,$G301)&gt;0,
     COUNTIFS($AA$2:$AA$200,$G301)&gt;0,
     COUNTIFS($AB$2:$AB$200,$G301)&gt;0,
     COUNTIFS($AC$2:$AC$200,$G301)&gt;0,
     COUNTIFS($AD$2:$AD$200,$G301)&gt;0,
     COUNTIFS($AE$2:$AE$200,$G301)&gt;0,
     COUNTIFS($AF$2:$AF$200,$G301)&gt;0,
     COUNTIFS($AG$2:$AG$200,$G301)&gt;0,
     COUNTIFS($AH$2:$AH$200,$G301)&gt;0,
     COUNTIFS($AI$2:$AI$200,$G301)&gt;0,
     COUNTIFS($AJ$2:$AJ$200,$G301)&gt;0,
     COUNTIFS($AK$2:$AK$200,$G301)&gt;0,
     COUNTIFS($AL$2:$AL$200,$G301)&gt;0,
     COUNTIFS($AM$2:$AM$200,$G301)&gt;0,
     COUNTIFS($AN$2:$AN$200,$G301)&gt;0,
     COUNTIFS($AO$2:$AO$200,$G301)&gt;0,
     COUNTIFS($AP$2:$AP$200,$G301)&gt;0,
     COUNTIFS($AQ$2:$AQ$200,$G301)&gt;0,
     COUNTIFS($AR$2:$AR$200,$G301)&gt;0,
     COUNTIFS($AS$2:$AS$200,$G301)&gt;0,
     COUNTIFS($AT$2:$AT$200,$G301)&gt;0,
     COUNTIFS($AU$2:$AU$200,$G301)&gt;0,
     COUNTIFS($AV$2:$AV$200,$G301)&gt;0,
     COUNTIFS($AW$2:$AW$200,$G301)&gt;0,
     COUNTIFS($AX$2:$AX$200,$G301)&gt;0
   )),
  ),
  3
 ),
"")</f>
        <v/>
      </c>
      <c r="F301" s="3" t="str" cm="1">
        <f t="array" aca="1" ref="F301" ca="1">IFERROR(
 INDEX(
  _xlfn._xlws.FILTER($U$1:$AX$1,
   TRANSPOSE(
    CHOOSE({1;2;3;4;5;6;7;8;9;10;11;12;13;14;15;16;17;18;19;20;21;22;23;24;25;26;27;28;29;30},
     COUNTIFS($U$2:$U$200,$G301)&gt;0,
     COUNTIFS($V$2:$V$200,$G301)&gt;0,
     COUNTIFS($W$2:$W$200,$G301)&gt;0,
     COUNTIFS($X$2:$X$200,$G301)&gt;0,
     COUNTIFS($Y$2:$Y$200,$G301)&gt;0,
     COUNTIFS($Z$2:$Z$200,$G301)&gt;0,
     COUNTIFS($AA$2:$AA$200,$G301)&gt;0,
     COUNTIFS($AB$2:$AB$200,$G301)&gt;0,
     COUNTIFS($AC$2:$AC$200,$G301)&gt;0,
     COUNTIFS($AD$2:$AD$200,$G301)&gt;0,
     COUNTIFS($AE$2:$AE$200,$G301)&gt;0,
     COUNTIFS($AF$2:$AF$200,$G301)&gt;0,
     COUNTIFS($AG$2:$AG$200,$G301)&gt;0,
     COUNTIFS($AH$2:$AH$200,$G301)&gt;0,
     COUNTIFS($AI$2:$AI$200,$G301)&gt;0,
     COUNTIFS($AJ$2:$AJ$200,$G301)&gt;0,
     COUNTIFS($AK$2:$AK$200,$G301)&gt;0,
     COUNTIFS($AL$2:$AL$200,$G301)&gt;0,
     COUNTIFS($AM$2:$AM$200,$G301)&gt;0,
     COUNTIFS($AN$2:$AN$200,$G301)&gt;0,
     COUNTIFS($AO$2:$AO$200,$G301)&gt;0,
     COUNTIFS($AP$2:$AP$200,$G301)&gt;0,
     COUNTIFS($AQ$2:$AQ$200,$G301)&gt;0,
     COUNTIFS($AR$2:$AR$200,$G301)&gt;0,
     COUNTIFS($AS$2:$AS$200,$G301)&gt;0,
     COUNTIFS($AT$2:$AT$200,$G301)&gt;0,
     COUNTIFS($AU$2:$AU$200,$G301)&gt;0,
     COUNTIFS($AV$2:$AV$200,$G301)&gt;0,
     COUNTIFS($AW$2:$AW$200,$G301)&gt;0,
     COUNTIFS($AX$2:$AX$200,$G301)&gt;0
   )),
  ),
  4
 ),
"")</f>
        <v/>
      </c>
      <c r="G301" t="str">
        <f ca="1"/>
        <v>Sokenzan, Crisol da Afronta</v>
      </c>
    </row>
    <row r="302" spans="1:7" x14ac:dyDescent="0.25">
      <c r="A302" s="3" t="str">
        <f t="shared" ca="1" si="10"/>
        <v>2</v>
      </c>
      <c r="B302" s="3">
        <f t="shared" ca="1" si="11"/>
        <v>1</v>
      </c>
      <c r="C302" s="3" t="str">
        <f ca="1">IFERROR(
 INDEX($U$1:$AX$1,
  MATCH(TRUE,
   CHOOSE({1;2;3;4;5;6;7;8;9;10;11;12;13;14;15;16;17;18;19;20;21;22;23;24;25;26;27;28;29;30;31;32},
    COUNTIFS($U$2:$U$200,$G302)&gt;0,
    COUNTIFS($V$2:$V$200,$G302)&gt;0,
    COUNTIFS($W$2:$W$200,$G302)&gt;0,
    COUNTIFS($X$2:$X$200,$G302)&gt;0,
    COUNTIFS($Y$2:$Y$200,$G302)&gt;0,
    COUNTIFS($Z$2:$Z$200,$G302)&gt;0,
    COUNTIFS($AA$2:$AA$200,$G302)&gt;0,
    COUNTIFS($AB$2:$AB$200,$G302)&gt;0,
    COUNTIFS($AC$2:$AC$200,$G302)&gt;0,
    COUNTIFS($AD$2:$AD$200,$G302)&gt;0,
    COUNTIFS($AE$2:$AE$200,$G302)&gt;0,
    COUNTIFS($AF$2:$AF$200,$G302)&gt;0,
    COUNTIFS($AG$2:$AG$200,$G302)&gt;0,
    COUNTIFS($AH$2:$AH$200,$G302)&gt;0,
    COUNTIFS($AI$2:$AI$200,$G302)&gt;0,
    COUNTIFS($AJ$2:$AJ$200,$G302)&gt;0,
    COUNTIFS($AK$2:$AK$200,$G302)&gt;0,
    COUNTIFS($AL$2:$AL$200,$G302)&gt;0,
    COUNTIFS($AM$2:$AM$200,$G302)&gt;0,
    COUNTIFS($AN$2:$AN$200,$G302)&gt;0,
    COUNTIFS($AO$2:$AO$200,$G302)&gt;0,
    COUNTIFS($AP$2:$AP$200,$G302)&gt;0,
    COUNTIFS($AQ$2:$AQ$200,$G302)&gt;0,
    COUNTIFS($AR$2:$AR$200,$G302)&gt;0,
    COUNTIFS($AS$2:$AS$200,$G302)&gt;0,
    COUNTIFS($AT$2:$AT$200,$G302)&gt;0,
    COUNTIFS($AU$2:$AU$200,$G302)&gt;0,
    COUNTIFS($AV$2:$AV$200,$G302)&gt;0,
    COUNTIFS($AW$2:$AW$200,$G302)&gt;0,
    COUNTIFS($AX$2:$AX$200,$G302)&gt;0
   ),
  0)
 ),
"")</f>
        <v>Narset</v>
      </c>
      <c r="D302" s="3" t="str" cm="1">
        <f t="array" aca="1" ref="D302" ca="1">IFERROR(
 INDEX(
  _xlfn._xlws.FILTER($U$1:$AX$1,
   TRANSPOSE(
    CHOOSE({1;2;3;4;5;6;7;8;9;10;11;12;13;14;15;16;17;18;19;20;21;22;23;24;25;26;27;28;29;30},
     COUNTIFS($U$2:$U$200,$G302)&gt;0,
     COUNTIFS($V$2:$V$200,$G302)&gt;0,
     COUNTIFS($W$2:$W$200,$G302)&gt;0,
     COUNTIFS($X$2:$X$200,$G302)&gt;0,
     COUNTIFS($Y$2:$Y$200,$G302)&gt;0,
     COUNTIFS($Z$2:$Z$200,$G302)&gt;0,
     COUNTIFS($AA$2:$AA$200,$G302)&gt;0,
     COUNTIFS($AB$2:$AB$200,$G302)&gt;0,
     COUNTIFS($AC$2:$AC$200,$G302)&gt;0,
     COUNTIFS($AD$2:$AD$200,$G302)&gt;0,
     COUNTIFS($AE$2:$AE$200,$G302)&gt;0,
     COUNTIFS($AF$2:$AF$200,$G302)&gt;0,
     COUNTIFS($AG$2:$AG$200,$G302)&gt;0,
     COUNTIFS($AH$2:$AH$200,$G302)&gt;0,
     COUNTIFS($AI$2:$AI$200,$G302)&gt;0,
     COUNTIFS($AJ$2:$AJ$200,$G302)&gt;0,
     COUNTIFS($AK$2:$AK$200,$G302)&gt;0,
     COUNTIFS($AL$2:$AL$200,$G302)&gt;0,
     COUNTIFS($AM$2:$AM$200,$G302)&gt;0,
     COUNTIFS($AN$2:$AN$200,$G302)&gt;0,
     COUNTIFS($AO$2:$AO$200,$G302)&gt;0,
     COUNTIFS($AP$2:$AP$200,$G302)&gt;0,
     COUNTIFS($AQ$2:$AQ$200,$G302)&gt;0,
     COUNTIFS($AR$2:$AR$200,$G302)&gt;0,
     COUNTIFS($AS$2:$AS$200,$G302)&gt;0,
     COUNTIFS($AT$2:$AT$200,$G302)&gt;0,
     COUNTIFS($AU$2:$AU$200,$G302)&gt;0,
     COUNTIFS($AV$2:$AV$200,$G302)&gt;0,
     COUNTIFS($AW$2:$AW$200,$G302)&gt;0,
     COUNTIFS($AX$2:$AX$200,$G302)&gt;0
   )),
  ),
  2
 ),
"")</f>
        <v/>
      </c>
      <c r="E302" s="3" t="str" cm="1">
        <f t="array" aca="1" ref="E302" ca="1">IFERROR(
 INDEX(
  _xlfn._xlws.FILTER($U$1:$AX$1,
   TRANSPOSE(
    CHOOSE({1;2;3;4;5;6;7;8;9;10;11;12;13;14;15;16;17;18;19;20;21;22;23;24;25;26;27;28;29;30},
     COUNTIFS($U$2:$U$200,$G302)&gt;0,
     COUNTIFS($V$2:$V$200,$G302)&gt;0,
     COUNTIFS($W$2:$W$200,$G302)&gt;0,
     COUNTIFS($X$2:$X$200,$G302)&gt;0,
     COUNTIFS($Y$2:$Y$200,$G302)&gt;0,
     COUNTIFS($Z$2:$Z$200,$G302)&gt;0,
     COUNTIFS($AA$2:$AA$200,$G302)&gt;0,
     COUNTIFS($AB$2:$AB$200,$G302)&gt;0,
     COUNTIFS($AC$2:$AC$200,$G302)&gt;0,
     COUNTIFS($AD$2:$AD$200,$G302)&gt;0,
     COUNTIFS($AE$2:$AE$200,$G302)&gt;0,
     COUNTIFS($AF$2:$AF$200,$G302)&gt;0,
     COUNTIFS($AG$2:$AG$200,$G302)&gt;0,
     COUNTIFS($AH$2:$AH$200,$G302)&gt;0,
     COUNTIFS($AI$2:$AI$200,$G302)&gt;0,
     COUNTIFS($AJ$2:$AJ$200,$G302)&gt;0,
     COUNTIFS($AK$2:$AK$200,$G302)&gt;0,
     COUNTIFS($AL$2:$AL$200,$G302)&gt;0,
     COUNTIFS($AM$2:$AM$200,$G302)&gt;0,
     COUNTIFS($AN$2:$AN$200,$G302)&gt;0,
     COUNTIFS($AO$2:$AO$200,$G302)&gt;0,
     COUNTIFS($AP$2:$AP$200,$G302)&gt;0,
     COUNTIFS($AQ$2:$AQ$200,$G302)&gt;0,
     COUNTIFS($AR$2:$AR$200,$G302)&gt;0,
     COUNTIFS($AS$2:$AS$200,$G302)&gt;0,
     COUNTIFS($AT$2:$AT$200,$G302)&gt;0,
     COUNTIFS($AU$2:$AU$200,$G302)&gt;0,
     COUNTIFS($AV$2:$AV$200,$G302)&gt;0,
     COUNTIFS($AW$2:$AW$200,$G302)&gt;0,
     COUNTIFS($AX$2:$AX$200,$G302)&gt;0
   )),
  ),
  3
 ),
"")</f>
        <v/>
      </c>
      <c r="F302" s="3" t="str" cm="1">
        <f t="array" aca="1" ref="F302" ca="1">IFERROR(
 INDEX(
  _xlfn._xlws.FILTER($U$1:$AX$1,
   TRANSPOSE(
    CHOOSE({1;2;3;4;5;6;7;8;9;10;11;12;13;14;15;16;17;18;19;20;21;22;23;24;25;26;27;28;29;30},
     COUNTIFS($U$2:$U$200,$G302)&gt;0,
     COUNTIFS($V$2:$V$200,$G302)&gt;0,
     COUNTIFS($W$2:$W$200,$G302)&gt;0,
     COUNTIFS($X$2:$X$200,$G302)&gt;0,
     COUNTIFS($Y$2:$Y$200,$G302)&gt;0,
     COUNTIFS($Z$2:$Z$200,$G302)&gt;0,
     COUNTIFS($AA$2:$AA$200,$G302)&gt;0,
     COUNTIFS($AB$2:$AB$200,$G302)&gt;0,
     COUNTIFS($AC$2:$AC$200,$G302)&gt;0,
     COUNTIFS($AD$2:$AD$200,$G302)&gt;0,
     COUNTIFS($AE$2:$AE$200,$G302)&gt;0,
     COUNTIFS($AF$2:$AF$200,$G302)&gt;0,
     COUNTIFS($AG$2:$AG$200,$G302)&gt;0,
     COUNTIFS($AH$2:$AH$200,$G302)&gt;0,
     COUNTIFS($AI$2:$AI$200,$G302)&gt;0,
     COUNTIFS($AJ$2:$AJ$200,$G302)&gt;0,
     COUNTIFS($AK$2:$AK$200,$G302)&gt;0,
     COUNTIFS($AL$2:$AL$200,$G302)&gt;0,
     COUNTIFS($AM$2:$AM$200,$G302)&gt;0,
     COUNTIFS($AN$2:$AN$200,$G302)&gt;0,
     COUNTIFS($AO$2:$AO$200,$G302)&gt;0,
     COUNTIFS($AP$2:$AP$200,$G302)&gt;0,
     COUNTIFS($AQ$2:$AQ$200,$G302)&gt;0,
     COUNTIFS($AR$2:$AR$200,$G302)&gt;0,
     COUNTIFS($AS$2:$AS$200,$G302)&gt;0,
     COUNTIFS($AT$2:$AT$200,$G302)&gt;0,
     COUNTIFS($AU$2:$AU$200,$G302)&gt;0,
     COUNTIFS($AV$2:$AV$200,$G302)&gt;0,
     COUNTIFS($AW$2:$AW$200,$G302)&gt;0,
     COUNTIFS($AX$2:$AX$200,$G302)&gt;0
   )),
  ),
  4
 ),
"")</f>
        <v/>
      </c>
      <c r="G302" t="str">
        <f ca="1"/>
        <v>Sokenzan, Crucible of Defiance</v>
      </c>
    </row>
    <row r="303" spans="1:7" x14ac:dyDescent="0.25">
      <c r="A303" s="3" t="str">
        <f t="shared" ca="1" si="10"/>
        <v>2</v>
      </c>
      <c r="B303" s="3">
        <f t="shared" ca="1" si="11"/>
        <v>4</v>
      </c>
      <c r="C303" s="3" t="str">
        <f ca="1">IFERROR(
 INDEX($U$1:$AX$1,
  MATCH(TRUE,
   CHOOSE({1;2;3;4;5;6;7;8;9;10;11;12;13;14;15;16;17;18;19;20;21;22;23;24;25;26;27;28;29;30;31;32},
    COUNTIFS($U$2:$U$200,$G303)&gt;0,
    COUNTIFS($V$2:$V$200,$G303)&gt;0,
    COUNTIFS($W$2:$W$200,$G303)&gt;0,
    COUNTIFS($X$2:$X$200,$G303)&gt;0,
    COUNTIFS($Y$2:$Y$200,$G303)&gt;0,
    COUNTIFS($Z$2:$Z$200,$G303)&gt;0,
    COUNTIFS($AA$2:$AA$200,$G303)&gt;0,
    COUNTIFS($AB$2:$AB$200,$G303)&gt;0,
    COUNTIFS($AC$2:$AC$200,$G303)&gt;0,
    COUNTIFS($AD$2:$AD$200,$G303)&gt;0,
    COUNTIFS($AE$2:$AE$200,$G303)&gt;0,
    COUNTIFS($AF$2:$AF$200,$G303)&gt;0,
    COUNTIFS($AG$2:$AG$200,$G303)&gt;0,
    COUNTIFS($AH$2:$AH$200,$G303)&gt;0,
    COUNTIFS($AI$2:$AI$200,$G303)&gt;0,
    COUNTIFS($AJ$2:$AJ$200,$G303)&gt;0,
    COUNTIFS($AK$2:$AK$200,$G303)&gt;0,
    COUNTIFS($AL$2:$AL$200,$G303)&gt;0,
    COUNTIFS($AM$2:$AM$200,$G303)&gt;0,
    COUNTIFS($AN$2:$AN$200,$G303)&gt;0,
    COUNTIFS($AO$2:$AO$200,$G303)&gt;0,
    COUNTIFS($AP$2:$AP$200,$G303)&gt;0,
    COUNTIFS($AQ$2:$AQ$200,$G303)&gt;0,
    COUNTIFS($AR$2:$AR$200,$G303)&gt;0,
    COUNTIFS($AS$2:$AS$200,$G303)&gt;0,
    COUNTIFS($AT$2:$AT$200,$G303)&gt;0,
    COUNTIFS($AU$2:$AU$200,$G303)&gt;0,
    COUNTIFS($AV$2:$AV$200,$G303)&gt;0,
    COUNTIFS($AW$2:$AW$200,$G303)&gt;0,
    COUNTIFS($AX$2:$AX$200,$G303)&gt;0
   ),
  0)
 ),
"")</f>
        <v>Narset</v>
      </c>
      <c r="D303" s="3" t="str" cm="1">
        <f t="array" aca="1" ref="D303" ca="1">IFERROR(
 INDEX(
  _xlfn._xlws.FILTER($U$1:$AX$1,
   TRANSPOSE(
    CHOOSE({1;2;3;4;5;6;7;8;9;10;11;12;13;14;15;16;17;18;19;20;21;22;23;24;25;26;27;28;29;30},
     COUNTIFS($U$2:$U$200,$G303)&gt;0,
     COUNTIFS($V$2:$V$200,$G303)&gt;0,
     COUNTIFS($W$2:$W$200,$G303)&gt;0,
     COUNTIFS($X$2:$X$200,$G303)&gt;0,
     COUNTIFS($Y$2:$Y$200,$G303)&gt;0,
     COUNTIFS($Z$2:$Z$200,$G303)&gt;0,
     COUNTIFS($AA$2:$AA$200,$G303)&gt;0,
     COUNTIFS($AB$2:$AB$200,$G303)&gt;0,
     COUNTIFS($AC$2:$AC$200,$G303)&gt;0,
     COUNTIFS($AD$2:$AD$200,$G303)&gt;0,
     COUNTIFS($AE$2:$AE$200,$G303)&gt;0,
     COUNTIFS($AF$2:$AF$200,$G303)&gt;0,
     COUNTIFS($AG$2:$AG$200,$G303)&gt;0,
     COUNTIFS($AH$2:$AH$200,$G303)&gt;0,
     COUNTIFS($AI$2:$AI$200,$G303)&gt;0,
     COUNTIFS($AJ$2:$AJ$200,$G303)&gt;0,
     COUNTIFS($AK$2:$AK$200,$G303)&gt;0,
     COUNTIFS($AL$2:$AL$200,$G303)&gt;0,
     COUNTIFS($AM$2:$AM$200,$G303)&gt;0,
     COUNTIFS($AN$2:$AN$200,$G303)&gt;0,
     COUNTIFS($AO$2:$AO$200,$G303)&gt;0,
     COUNTIFS($AP$2:$AP$200,$G303)&gt;0,
     COUNTIFS($AQ$2:$AQ$200,$G303)&gt;0,
     COUNTIFS($AR$2:$AR$200,$G303)&gt;0,
     COUNTIFS($AS$2:$AS$200,$G303)&gt;0,
     COUNTIFS($AT$2:$AT$200,$G303)&gt;0,
     COUNTIFS($AU$2:$AU$200,$G303)&gt;0,
     COUNTIFS($AV$2:$AV$200,$G303)&gt;0,
     COUNTIFS($AW$2:$AW$200,$G303)&gt;0,
     COUNTIFS($AX$2:$AX$200,$G303)&gt;0
   )),
  ),
  2
 ),
"")</f>
        <v>Rani</v>
      </c>
      <c r="E303" s="3" t="str" cm="1">
        <f t="array" aca="1" ref="E303" ca="1">IFERROR(
 INDEX(
  _xlfn._xlws.FILTER($U$1:$AX$1,
   TRANSPOSE(
    CHOOSE({1;2;3;4;5;6;7;8;9;10;11;12;13;14;15;16;17;18;19;20;21;22;23;24;25;26;27;28;29;30},
     COUNTIFS($U$2:$U$200,$G303)&gt;0,
     COUNTIFS($V$2:$V$200,$G303)&gt;0,
     COUNTIFS($W$2:$W$200,$G303)&gt;0,
     COUNTIFS($X$2:$X$200,$G303)&gt;0,
     COUNTIFS($Y$2:$Y$200,$G303)&gt;0,
     COUNTIFS($Z$2:$Z$200,$G303)&gt;0,
     COUNTIFS($AA$2:$AA$200,$G303)&gt;0,
     COUNTIFS($AB$2:$AB$200,$G303)&gt;0,
     COUNTIFS($AC$2:$AC$200,$G303)&gt;0,
     COUNTIFS($AD$2:$AD$200,$G303)&gt;0,
     COUNTIFS($AE$2:$AE$200,$G303)&gt;0,
     COUNTIFS($AF$2:$AF$200,$G303)&gt;0,
     COUNTIFS($AG$2:$AG$200,$G303)&gt;0,
     COUNTIFS($AH$2:$AH$200,$G303)&gt;0,
     COUNTIFS($AI$2:$AI$200,$G303)&gt;0,
     COUNTIFS($AJ$2:$AJ$200,$G303)&gt;0,
     COUNTIFS($AK$2:$AK$200,$G303)&gt;0,
     COUNTIFS($AL$2:$AL$200,$G303)&gt;0,
     COUNTIFS($AM$2:$AM$200,$G303)&gt;0,
     COUNTIFS($AN$2:$AN$200,$G303)&gt;0,
     COUNTIFS($AO$2:$AO$200,$G303)&gt;0,
     COUNTIFS($AP$2:$AP$200,$G303)&gt;0,
     COUNTIFS($AQ$2:$AQ$200,$G303)&gt;0,
     COUNTIFS($AR$2:$AR$200,$G303)&gt;0,
     COUNTIFS($AS$2:$AS$200,$G303)&gt;0,
     COUNTIFS($AT$2:$AT$200,$G303)&gt;0,
     COUNTIFS($AU$2:$AU$200,$G303)&gt;0,
     COUNTIFS($AV$2:$AV$200,$G303)&gt;0,
     COUNTIFS($AW$2:$AW$200,$G303)&gt;0,
     COUNTIFS($AX$2:$AX$200,$G303)&gt;0
   )),
  ),
  3
 ),
"")</f>
        <v>Kumena</v>
      </c>
      <c r="F303" s="3" t="str" cm="1">
        <f t="array" aca="1" ref="F303" ca="1">IFERROR(
 INDEX(
  _xlfn._xlws.FILTER($U$1:$AX$1,
   TRANSPOSE(
    CHOOSE({1;2;3;4;5;6;7;8;9;10;11;12;13;14;15;16;17;18;19;20;21;22;23;24;25;26;27;28;29;30},
     COUNTIFS($U$2:$U$200,$G303)&gt;0,
     COUNTIFS($V$2:$V$200,$G303)&gt;0,
     COUNTIFS($W$2:$W$200,$G303)&gt;0,
     COUNTIFS($X$2:$X$200,$G303)&gt;0,
     COUNTIFS($Y$2:$Y$200,$G303)&gt;0,
     COUNTIFS($Z$2:$Z$200,$G303)&gt;0,
     COUNTIFS($AA$2:$AA$200,$G303)&gt;0,
     COUNTIFS($AB$2:$AB$200,$G303)&gt;0,
     COUNTIFS($AC$2:$AC$200,$G303)&gt;0,
     COUNTIFS($AD$2:$AD$200,$G303)&gt;0,
     COUNTIFS($AE$2:$AE$200,$G303)&gt;0,
     COUNTIFS($AF$2:$AF$200,$G303)&gt;0,
     COUNTIFS($AG$2:$AG$200,$G303)&gt;0,
     COUNTIFS($AH$2:$AH$200,$G303)&gt;0,
     COUNTIFS($AI$2:$AI$200,$G303)&gt;0,
     COUNTIFS($AJ$2:$AJ$200,$G303)&gt;0,
     COUNTIFS($AK$2:$AK$200,$G303)&gt;0,
     COUNTIFS($AL$2:$AL$200,$G303)&gt;0,
     COUNTIFS($AM$2:$AM$200,$G303)&gt;0,
     COUNTIFS($AN$2:$AN$200,$G303)&gt;0,
     COUNTIFS($AO$2:$AO$200,$G303)&gt;0,
     COUNTIFS($AP$2:$AP$200,$G303)&gt;0,
     COUNTIFS($AQ$2:$AQ$200,$G303)&gt;0,
     COUNTIFS($AR$2:$AR$200,$G303)&gt;0,
     COUNTIFS($AS$2:$AS$200,$G303)&gt;0,
     COUNTIFS($AT$2:$AT$200,$G303)&gt;0,
     COUNTIFS($AU$2:$AU$200,$G303)&gt;0,
     COUNTIFS($AV$2:$AV$200,$G303)&gt;0,
     COUNTIFS($AW$2:$AW$200,$G303)&gt;0,
     COUNTIFS($AX$2:$AX$200,$G303)&gt;0
   )),
  ),
  4
 ),
"")</f>
        <v>Modular</v>
      </c>
      <c r="G303" t="str">
        <f ca="1"/>
        <v>Sol Ring</v>
      </c>
    </row>
    <row r="304" spans="1:7" x14ac:dyDescent="0.25">
      <c r="A304" s="3" t="str">
        <f t="shared" ca="1" si="10"/>
        <v>1</v>
      </c>
      <c r="B304" s="3">
        <f t="shared" ca="1" si="11"/>
        <v>1</v>
      </c>
      <c r="C304" s="3" t="str">
        <f ca="1">IFERROR(
 INDEX($U$1:$AX$1,
  MATCH(TRUE,
   CHOOSE({1;2;3;4;5;6;7;8;9;10;11;12;13;14;15;16;17;18;19;20;21;22;23;24;25;26;27;28;29;30;31;32},
    COUNTIFS($U$2:$U$200,$G304)&gt;0,
    COUNTIFS($V$2:$V$200,$G304)&gt;0,
    COUNTIFS($W$2:$W$200,$G304)&gt;0,
    COUNTIFS($X$2:$X$200,$G304)&gt;0,
    COUNTIFS($Y$2:$Y$200,$G304)&gt;0,
    COUNTIFS($Z$2:$Z$200,$G304)&gt;0,
    COUNTIFS($AA$2:$AA$200,$G304)&gt;0,
    COUNTIFS($AB$2:$AB$200,$G304)&gt;0,
    COUNTIFS($AC$2:$AC$200,$G304)&gt;0,
    COUNTIFS($AD$2:$AD$200,$G304)&gt;0,
    COUNTIFS($AE$2:$AE$200,$G304)&gt;0,
    COUNTIFS($AF$2:$AF$200,$G304)&gt;0,
    COUNTIFS($AG$2:$AG$200,$G304)&gt;0,
    COUNTIFS($AH$2:$AH$200,$G304)&gt;0,
    COUNTIFS($AI$2:$AI$200,$G304)&gt;0,
    COUNTIFS($AJ$2:$AJ$200,$G304)&gt;0,
    COUNTIFS($AK$2:$AK$200,$G304)&gt;0,
    COUNTIFS($AL$2:$AL$200,$G304)&gt;0,
    COUNTIFS($AM$2:$AM$200,$G304)&gt;0,
    COUNTIFS($AN$2:$AN$200,$G304)&gt;0,
    COUNTIFS($AO$2:$AO$200,$G304)&gt;0,
    COUNTIFS($AP$2:$AP$200,$G304)&gt;0,
    COUNTIFS($AQ$2:$AQ$200,$G304)&gt;0,
    COUNTIFS($AR$2:$AR$200,$G304)&gt;0,
    COUNTIFS($AS$2:$AS$200,$G304)&gt;0,
    COUNTIFS($AT$2:$AT$200,$G304)&gt;0,
    COUNTIFS($AU$2:$AU$200,$G304)&gt;0,
    COUNTIFS($AV$2:$AV$200,$G304)&gt;0,
    COUNTIFS($AW$2:$AW$200,$G304)&gt;0,
    COUNTIFS($AX$2:$AX$200,$G304)&gt;0
   ),
  0)
 ),
"")</f>
        <v>Modular</v>
      </c>
      <c r="D304" s="3" t="str" cm="1">
        <f t="array" aca="1" ref="D304" ca="1">IFERROR(
 INDEX(
  _xlfn._xlws.FILTER($U$1:$AX$1,
   TRANSPOSE(
    CHOOSE({1;2;3;4;5;6;7;8;9;10;11;12;13;14;15;16;17;18;19;20;21;22;23;24;25;26;27;28;29;30},
     COUNTIFS($U$2:$U$200,$G304)&gt;0,
     COUNTIFS($V$2:$V$200,$G304)&gt;0,
     COUNTIFS($W$2:$W$200,$G304)&gt;0,
     COUNTIFS($X$2:$X$200,$G304)&gt;0,
     COUNTIFS($Y$2:$Y$200,$G304)&gt;0,
     COUNTIFS($Z$2:$Z$200,$G304)&gt;0,
     COUNTIFS($AA$2:$AA$200,$G304)&gt;0,
     COUNTIFS($AB$2:$AB$200,$G304)&gt;0,
     COUNTIFS($AC$2:$AC$200,$G304)&gt;0,
     COUNTIFS($AD$2:$AD$200,$G304)&gt;0,
     COUNTIFS($AE$2:$AE$200,$G304)&gt;0,
     COUNTIFS($AF$2:$AF$200,$G304)&gt;0,
     COUNTIFS($AG$2:$AG$200,$G304)&gt;0,
     COUNTIFS($AH$2:$AH$200,$G304)&gt;0,
     COUNTIFS($AI$2:$AI$200,$G304)&gt;0,
     COUNTIFS($AJ$2:$AJ$200,$G304)&gt;0,
     COUNTIFS($AK$2:$AK$200,$G304)&gt;0,
     COUNTIFS($AL$2:$AL$200,$G304)&gt;0,
     COUNTIFS($AM$2:$AM$200,$G304)&gt;0,
     COUNTIFS($AN$2:$AN$200,$G304)&gt;0,
     COUNTIFS($AO$2:$AO$200,$G304)&gt;0,
     COUNTIFS($AP$2:$AP$200,$G304)&gt;0,
     COUNTIFS($AQ$2:$AQ$200,$G304)&gt;0,
     COUNTIFS($AR$2:$AR$200,$G304)&gt;0,
     COUNTIFS($AS$2:$AS$200,$G304)&gt;0,
     COUNTIFS($AT$2:$AT$200,$G304)&gt;0,
     COUNTIFS($AU$2:$AU$200,$G304)&gt;0,
     COUNTIFS($AV$2:$AV$200,$G304)&gt;0,
     COUNTIFS($AW$2:$AW$200,$G304)&gt;0,
     COUNTIFS($AX$2:$AX$200,$G304)&gt;0
   )),
  ),
  2
 ),
"")</f>
        <v/>
      </c>
      <c r="E304" s="3" t="str" cm="1">
        <f t="array" aca="1" ref="E304" ca="1">IFERROR(
 INDEX(
  _xlfn._xlws.FILTER($U$1:$AX$1,
   TRANSPOSE(
    CHOOSE({1;2;3;4;5;6;7;8;9;10;11;12;13;14;15;16;17;18;19;20;21;22;23;24;25;26;27;28;29;30},
     COUNTIFS($U$2:$U$200,$G304)&gt;0,
     COUNTIFS($V$2:$V$200,$G304)&gt;0,
     COUNTIFS($W$2:$W$200,$G304)&gt;0,
     COUNTIFS($X$2:$X$200,$G304)&gt;0,
     COUNTIFS($Y$2:$Y$200,$G304)&gt;0,
     COUNTIFS($Z$2:$Z$200,$G304)&gt;0,
     COUNTIFS($AA$2:$AA$200,$G304)&gt;0,
     COUNTIFS($AB$2:$AB$200,$G304)&gt;0,
     COUNTIFS($AC$2:$AC$200,$G304)&gt;0,
     COUNTIFS($AD$2:$AD$200,$G304)&gt;0,
     COUNTIFS($AE$2:$AE$200,$G304)&gt;0,
     COUNTIFS($AF$2:$AF$200,$G304)&gt;0,
     COUNTIFS($AG$2:$AG$200,$G304)&gt;0,
     COUNTIFS($AH$2:$AH$200,$G304)&gt;0,
     COUNTIFS($AI$2:$AI$200,$G304)&gt;0,
     COUNTIFS($AJ$2:$AJ$200,$G304)&gt;0,
     COUNTIFS($AK$2:$AK$200,$G304)&gt;0,
     COUNTIFS($AL$2:$AL$200,$G304)&gt;0,
     COUNTIFS($AM$2:$AM$200,$G304)&gt;0,
     COUNTIFS($AN$2:$AN$200,$G304)&gt;0,
     COUNTIFS($AO$2:$AO$200,$G304)&gt;0,
     COUNTIFS($AP$2:$AP$200,$G304)&gt;0,
     COUNTIFS($AQ$2:$AQ$200,$G304)&gt;0,
     COUNTIFS($AR$2:$AR$200,$G304)&gt;0,
     COUNTIFS($AS$2:$AS$200,$G304)&gt;0,
     COUNTIFS($AT$2:$AT$200,$G304)&gt;0,
     COUNTIFS($AU$2:$AU$200,$G304)&gt;0,
     COUNTIFS($AV$2:$AV$200,$G304)&gt;0,
     COUNTIFS($AW$2:$AW$200,$G304)&gt;0,
     COUNTIFS($AX$2:$AX$200,$G304)&gt;0
   )),
  ),
  3
 ),
"")</f>
        <v/>
      </c>
      <c r="F304" s="3" t="str" cm="1">
        <f t="array" aca="1" ref="F304" ca="1">IFERROR(
 INDEX(
  _xlfn._xlws.FILTER($U$1:$AX$1,
   TRANSPOSE(
    CHOOSE({1;2;3;4;5;6;7;8;9;10;11;12;13;14;15;16;17;18;19;20;21;22;23;24;25;26;27;28;29;30},
     COUNTIFS($U$2:$U$200,$G304)&gt;0,
     COUNTIFS($V$2:$V$200,$G304)&gt;0,
     COUNTIFS($W$2:$W$200,$G304)&gt;0,
     COUNTIFS($X$2:$X$200,$G304)&gt;0,
     COUNTIFS($Y$2:$Y$200,$G304)&gt;0,
     COUNTIFS($Z$2:$Z$200,$G304)&gt;0,
     COUNTIFS($AA$2:$AA$200,$G304)&gt;0,
     COUNTIFS($AB$2:$AB$200,$G304)&gt;0,
     COUNTIFS($AC$2:$AC$200,$G304)&gt;0,
     COUNTIFS($AD$2:$AD$200,$G304)&gt;0,
     COUNTIFS($AE$2:$AE$200,$G304)&gt;0,
     COUNTIFS($AF$2:$AF$200,$G304)&gt;0,
     COUNTIFS($AG$2:$AG$200,$G304)&gt;0,
     COUNTIFS($AH$2:$AH$200,$G304)&gt;0,
     COUNTIFS($AI$2:$AI$200,$G304)&gt;0,
     COUNTIFS($AJ$2:$AJ$200,$G304)&gt;0,
     COUNTIFS($AK$2:$AK$200,$G304)&gt;0,
     COUNTIFS($AL$2:$AL$200,$G304)&gt;0,
     COUNTIFS($AM$2:$AM$200,$G304)&gt;0,
     COUNTIFS($AN$2:$AN$200,$G304)&gt;0,
     COUNTIFS($AO$2:$AO$200,$G304)&gt;0,
     COUNTIFS($AP$2:$AP$200,$G304)&gt;0,
     COUNTIFS($AQ$2:$AQ$200,$G304)&gt;0,
     COUNTIFS($AR$2:$AR$200,$G304)&gt;0,
     COUNTIFS($AS$2:$AS$200,$G304)&gt;0,
     COUNTIFS($AT$2:$AT$200,$G304)&gt;0,
     COUNTIFS($AU$2:$AU$200,$G304)&gt;0,
     COUNTIFS($AV$2:$AV$200,$G304)&gt;0,
     COUNTIFS($AW$2:$AW$200,$G304)&gt;0,
     COUNTIFS($AX$2:$AX$200,$G304)&gt;0
   )),
  ),
  4
 ),
"")</f>
        <v/>
      </c>
      <c r="G304" t="str">
        <f ca="1"/>
        <v>Solemn Simulacrum</v>
      </c>
    </row>
    <row r="305" spans="1:7" x14ac:dyDescent="0.25">
      <c r="A305" s="3" t="str">
        <f t="shared" ca="1" si="10"/>
        <v>1</v>
      </c>
      <c r="B305" s="3">
        <f t="shared" ca="1" si="11"/>
        <v>1</v>
      </c>
      <c r="C305" s="3" t="str">
        <f ca="1">IFERROR(
 INDEX($U$1:$AX$1,
  MATCH(TRUE,
   CHOOSE({1;2;3;4;5;6;7;8;9;10;11;12;13;14;15;16;17;18;19;20;21;22;23;24;25;26;27;28;29;30;31;32},
    COUNTIFS($U$2:$U$200,$G305)&gt;0,
    COUNTIFS($V$2:$V$200,$G305)&gt;0,
    COUNTIFS($W$2:$W$200,$G305)&gt;0,
    COUNTIFS($X$2:$X$200,$G305)&gt;0,
    COUNTIFS($Y$2:$Y$200,$G305)&gt;0,
    COUNTIFS($Z$2:$Z$200,$G305)&gt;0,
    COUNTIFS($AA$2:$AA$200,$G305)&gt;0,
    COUNTIFS($AB$2:$AB$200,$G305)&gt;0,
    COUNTIFS($AC$2:$AC$200,$G305)&gt;0,
    COUNTIFS($AD$2:$AD$200,$G305)&gt;0,
    COUNTIFS($AE$2:$AE$200,$G305)&gt;0,
    COUNTIFS($AF$2:$AF$200,$G305)&gt;0,
    COUNTIFS($AG$2:$AG$200,$G305)&gt;0,
    COUNTIFS($AH$2:$AH$200,$G305)&gt;0,
    COUNTIFS($AI$2:$AI$200,$G305)&gt;0,
    COUNTIFS($AJ$2:$AJ$200,$G305)&gt;0,
    COUNTIFS($AK$2:$AK$200,$G305)&gt;0,
    COUNTIFS($AL$2:$AL$200,$G305)&gt;0,
    COUNTIFS($AM$2:$AM$200,$G305)&gt;0,
    COUNTIFS($AN$2:$AN$200,$G305)&gt;0,
    COUNTIFS($AO$2:$AO$200,$G305)&gt;0,
    COUNTIFS($AP$2:$AP$200,$G305)&gt;0,
    COUNTIFS($AQ$2:$AQ$200,$G305)&gt;0,
    COUNTIFS($AR$2:$AR$200,$G305)&gt;0,
    COUNTIFS($AS$2:$AS$200,$G305)&gt;0,
    COUNTIFS($AT$2:$AT$200,$G305)&gt;0,
    COUNTIFS($AU$2:$AU$200,$G305)&gt;0,
    COUNTIFS($AV$2:$AV$200,$G305)&gt;0,
    COUNTIFS($AW$2:$AW$200,$G305)&gt;0,
    COUNTIFS($AX$2:$AX$200,$G305)&gt;0
   ),
  0)
 ),
"")</f>
        <v>Tayam</v>
      </c>
      <c r="D305" s="3" t="str" cm="1">
        <f t="array" aca="1" ref="D305" ca="1">IFERROR(
 INDEX(
  _xlfn._xlws.FILTER($U$1:$AX$1,
   TRANSPOSE(
    CHOOSE({1;2;3;4;5;6;7;8;9;10;11;12;13;14;15;16;17;18;19;20;21;22;23;24;25;26;27;28;29;30},
     COUNTIFS($U$2:$U$200,$G305)&gt;0,
     COUNTIFS($V$2:$V$200,$G305)&gt;0,
     COUNTIFS($W$2:$W$200,$G305)&gt;0,
     COUNTIFS($X$2:$X$200,$G305)&gt;0,
     COUNTIFS($Y$2:$Y$200,$G305)&gt;0,
     COUNTIFS($Z$2:$Z$200,$G305)&gt;0,
     COUNTIFS($AA$2:$AA$200,$G305)&gt;0,
     COUNTIFS($AB$2:$AB$200,$G305)&gt;0,
     COUNTIFS($AC$2:$AC$200,$G305)&gt;0,
     COUNTIFS($AD$2:$AD$200,$G305)&gt;0,
     COUNTIFS($AE$2:$AE$200,$G305)&gt;0,
     COUNTIFS($AF$2:$AF$200,$G305)&gt;0,
     COUNTIFS($AG$2:$AG$200,$G305)&gt;0,
     COUNTIFS($AH$2:$AH$200,$G305)&gt;0,
     COUNTIFS($AI$2:$AI$200,$G305)&gt;0,
     COUNTIFS($AJ$2:$AJ$200,$G305)&gt;0,
     COUNTIFS($AK$2:$AK$200,$G305)&gt;0,
     COUNTIFS($AL$2:$AL$200,$G305)&gt;0,
     COUNTIFS($AM$2:$AM$200,$G305)&gt;0,
     COUNTIFS($AN$2:$AN$200,$G305)&gt;0,
     COUNTIFS($AO$2:$AO$200,$G305)&gt;0,
     COUNTIFS($AP$2:$AP$200,$G305)&gt;0,
     COUNTIFS($AQ$2:$AQ$200,$G305)&gt;0,
     COUNTIFS($AR$2:$AR$200,$G305)&gt;0,
     COUNTIFS($AS$2:$AS$200,$G305)&gt;0,
     COUNTIFS($AT$2:$AT$200,$G305)&gt;0,
     COUNTIFS($AU$2:$AU$200,$G305)&gt;0,
     COUNTIFS($AV$2:$AV$200,$G305)&gt;0,
     COUNTIFS($AW$2:$AW$200,$G305)&gt;0,
     COUNTIFS($AX$2:$AX$200,$G305)&gt;0
   )),
  ),
  2
 ),
"")</f>
        <v/>
      </c>
      <c r="E305" s="3" t="str" cm="1">
        <f t="array" aca="1" ref="E305" ca="1">IFERROR(
 INDEX(
  _xlfn._xlws.FILTER($U$1:$AX$1,
   TRANSPOSE(
    CHOOSE({1;2;3;4;5;6;7;8;9;10;11;12;13;14;15;16;17;18;19;20;21;22;23;24;25;26;27;28;29;30},
     COUNTIFS($U$2:$U$200,$G305)&gt;0,
     COUNTIFS($V$2:$V$200,$G305)&gt;0,
     COUNTIFS($W$2:$W$200,$G305)&gt;0,
     COUNTIFS($X$2:$X$200,$G305)&gt;0,
     COUNTIFS($Y$2:$Y$200,$G305)&gt;0,
     COUNTIFS($Z$2:$Z$200,$G305)&gt;0,
     COUNTIFS($AA$2:$AA$200,$G305)&gt;0,
     COUNTIFS($AB$2:$AB$200,$G305)&gt;0,
     COUNTIFS($AC$2:$AC$200,$G305)&gt;0,
     COUNTIFS($AD$2:$AD$200,$G305)&gt;0,
     COUNTIFS($AE$2:$AE$200,$G305)&gt;0,
     COUNTIFS($AF$2:$AF$200,$G305)&gt;0,
     COUNTIFS($AG$2:$AG$200,$G305)&gt;0,
     COUNTIFS($AH$2:$AH$200,$G305)&gt;0,
     COUNTIFS($AI$2:$AI$200,$G305)&gt;0,
     COUNTIFS($AJ$2:$AJ$200,$G305)&gt;0,
     COUNTIFS($AK$2:$AK$200,$G305)&gt;0,
     COUNTIFS($AL$2:$AL$200,$G305)&gt;0,
     COUNTIFS($AM$2:$AM$200,$G305)&gt;0,
     COUNTIFS($AN$2:$AN$200,$G305)&gt;0,
     COUNTIFS($AO$2:$AO$200,$G305)&gt;0,
     COUNTIFS($AP$2:$AP$200,$G305)&gt;0,
     COUNTIFS($AQ$2:$AQ$200,$G305)&gt;0,
     COUNTIFS($AR$2:$AR$200,$G305)&gt;0,
     COUNTIFS($AS$2:$AS$200,$G305)&gt;0,
     COUNTIFS($AT$2:$AT$200,$G305)&gt;0,
     COUNTIFS($AU$2:$AU$200,$G305)&gt;0,
     COUNTIFS($AV$2:$AV$200,$G305)&gt;0,
     COUNTIFS($AW$2:$AW$200,$G305)&gt;0,
     COUNTIFS($AX$2:$AX$200,$G305)&gt;0
   )),
  ),
  3
 ),
"")</f>
        <v/>
      </c>
      <c r="F305" s="3" t="str" cm="1">
        <f t="array" aca="1" ref="F305" ca="1">IFERROR(
 INDEX(
  _xlfn._xlws.FILTER($U$1:$AX$1,
   TRANSPOSE(
    CHOOSE({1;2;3;4;5;6;7;8;9;10;11;12;13;14;15;16;17;18;19;20;21;22;23;24;25;26;27;28;29;30},
     COUNTIFS($U$2:$U$200,$G305)&gt;0,
     COUNTIFS($V$2:$V$200,$G305)&gt;0,
     COUNTIFS($W$2:$W$200,$G305)&gt;0,
     COUNTIFS($X$2:$X$200,$G305)&gt;0,
     COUNTIFS($Y$2:$Y$200,$G305)&gt;0,
     COUNTIFS($Z$2:$Z$200,$G305)&gt;0,
     COUNTIFS($AA$2:$AA$200,$G305)&gt;0,
     COUNTIFS($AB$2:$AB$200,$G305)&gt;0,
     COUNTIFS($AC$2:$AC$200,$G305)&gt;0,
     COUNTIFS($AD$2:$AD$200,$G305)&gt;0,
     COUNTIFS($AE$2:$AE$200,$G305)&gt;0,
     COUNTIFS($AF$2:$AF$200,$G305)&gt;0,
     COUNTIFS($AG$2:$AG$200,$G305)&gt;0,
     COUNTIFS($AH$2:$AH$200,$G305)&gt;0,
     COUNTIFS($AI$2:$AI$200,$G305)&gt;0,
     COUNTIFS($AJ$2:$AJ$200,$G305)&gt;0,
     COUNTIFS($AK$2:$AK$200,$G305)&gt;0,
     COUNTIFS($AL$2:$AL$200,$G305)&gt;0,
     COUNTIFS($AM$2:$AM$200,$G305)&gt;0,
     COUNTIFS($AN$2:$AN$200,$G305)&gt;0,
     COUNTIFS($AO$2:$AO$200,$G305)&gt;0,
     COUNTIFS($AP$2:$AP$200,$G305)&gt;0,
     COUNTIFS($AQ$2:$AQ$200,$G305)&gt;0,
     COUNTIFS($AR$2:$AR$200,$G305)&gt;0,
     COUNTIFS($AS$2:$AS$200,$G305)&gt;0,
     COUNTIFS($AT$2:$AT$200,$G305)&gt;0,
     COUNTIFS($AU$2:$AU$200,$G305)&gt;0,
     COUNTIFS($AV$2:$AV$200,$G305)&gt;0,
     COUNTIFS($AW$2:$AW$200,$G305)&gt;0,
     COUNTIFS($AX$2:$AX$200,$G305)&gt;0
   )),
  ),
  4
 ),
"")</f>
        <v/>
      </c>
      <c r="G305" t="str">
        <f ca="1"/>
        <v>Song of Freyalise</v>
      </c>
    </row>
    <row r="306" spans="1:7" x14ac:dyDescent="0.25">
      <c r="A306" s="3" t="str">
        <f t="shared" ca="1" si="10"/>
        <v>3</v>
      </c>
      <c r="B306" s="3">
        <f t="shared" ca="1" si="11"/>
        <v>2</v>
      </c>
      <c r="C306" s="3" t="str">
        <f ca="1">IFERROR(
 INDEX($U$1:$AX$1,
  MATCH(TRUE,
   CHOOSE({1;2;3;4;5;6;7;8;9;10;11;12;13;14;15;16;17;18;19;20;21;22;23;24;25;26;27;28;29;30;31;32},
    COUNTIFS($U$2:$U$200,$G306)&gt;0,
    COUNTIFS($V$2:$V$200,$G306)&gt;0,
    COUNTIFS($W$2:$W$200,$G306)&gt;0,
    COUNTIFS($X$2:$X$200,$G306)&gt;0,
    COUNTIFS($Y$2:$Y$200,$G306)&gt;0,
    COUNTIFS($Z$2:$Z$200,$G306)&gt;0,
    COUNTIFS($AA$2:$AA$200,$G306)&gt;0,
    COUNTIFS($AB$2:$AB$200,$G306)&gt;0,
    COUNTIFS($AC$2:$AC$200,$G306)&gt;0,
    COUNTIFS($AD$2:$AD$200,$G306)&gt;0,
    COUNTIFS($AE$2:$AE$200,$G306)&gt;0,
    COUNTIFS($AF$2:$AF$200,$G306)&gt;0,
    COUNTIFS($AG$2:$AG$200,$G306)&gt;0,
    COUNTIFS($AH$2:$AH$200,$G306)&gt;0,
    COUNTIFS($AI$2:$AI$200,$G306)&gt;0,
    COUNTIFS($AJ$2:$AJ$200,$G306)&gt;0,
    COUNTIFS($AK$2:$AK$200,$G306)&gt;0,
    COUNTIFS($AL$2:$AL$200,$G306)&gt;0,
    COUNTIFS($AM$2:$AM$200,$G306)&gt;0,
    COUNTIFS($AN$2:$AN$200,$G306)&gt;0,
    COUNTIFS($AO$2:$AO$200,$G306)&gt;0,
    COUNTIFS($AP$2:$AP$200,$G306)&gt;0,
    COUNTIFS($AQ$2:$AQ$200,$G306)&gt;0,
    COUNTIFS($AR$2:$AR$200,$G306)&gt;0,
    COUNTIFS($AS$2:$AS$200,$G306)&gt;0,
    COUNTIFS($AT$2:$AT$200,$G306)&gt;0,
    COUNTIFS($AU$2:$AU$200,$G306)&gt;0,
    COUNTIFS($AV$2:$AV$200,$G306)&gt;0,
    COUNTIFS($AW$2:$AW$200,$G306)&gt;0,
    COUNTIFS($AX$2:$AX$200,$G306)&gt;0
   ),
  0)
 ),
"")</f>
        <v>Muzzio</v>
      </c>
      <c r="D306" s="3" t="str" cm="1">
        <f t="array" aca="1" ref="D306" ca="1">IFERROR(
 INDEX(
  _xlfn._xlws.FILTER($U$1:$AX$1,
   TRANSPOSE(
    CHOOSE({1;2;3;4;5;6;7;8;9;10;11;12;13;14;15;16;17;18;19;20;21;22;23;24;25;26;27;28;29;30},
     COUNTIFS($U$2:$U$200,$G306)&gt;0,
     COUNTIFS($V$2:$V$200,$G306)&gt;0,
     COUNTIFS($W$2:$W$200,$G306)&gt;0,
     COUNTIFS($X$2:$X$200,$G306)&gt;0,
     COUNTIFS($Y$2:$Y$200,$G306)&gt;0,
     COUNTIFS($Z$2:$Z$200,$G306)&gt;0,
     COUNTIFS($AA$2:$AA$200,$G306)&gt;0,
     COUNTIFS($AB$2:$AB$200,$G306)&gt;0,
     COUNTIFS($AC$2:$AC$200,$G306)&gt;0,
     COUNTIFS($AD$2:$AD$200,$G306)&gt;0,
     COUNTIFS($AE$2:$AE$200,$G306)&gt;0,
     COUNTIFS($AF$2:$AF$200,$G306)&gt;0,
     COUNTIFS($AG$2:$AG$200,$G306)&gt;0,
     COUNTIFS($AH$2:$AH$200,$G306)&gt;0,
     COUNTIFS($AI$2:$AI$200,$G306)&gt;0,
     COUNTIFS($AJ$2:$AJ$200,$G306)&gt;0,
     COUNTIFS($AK$2:$AK$200,$G306)&gt;0,
     COUNTIFS($AL$2:$AL$200,$G306)&gt;0,
     COUNTIFS($AM$2:$AM$200,$G306)&gt;0,
     COUNTIFS($AN$2:$AN$200,$G306)&gt;0,
     COUNTIFS($AO$2:$AO$200,$G306)&gt;0,
     COUNTIFS($AP$2:$AP$200,$G306)&gt;0,
     COUNTIFS($AQ$2:$AQ$200,$G306)&gt;0,
     COUNTIFS($AR$2:$AR$200,$G306)&gt;0,
     COUNTIFS($AS$2:$AS$200,$G306)&gt;0,
     COUNTIFS($AT$2:$AT$200,$G306)&gt;0,
     COUNTIFS($AU$2:$AU$200,$G306)&gt;0,
     COUNTIFS($AV$2:$AV$200,$G306)&gt;0,
     COUNTIFS($AW$2:$AW$200,$G306)&gt;0,
     COUNTIFS($AX$2:$AX$200,$G306)&gt;0
   )),
  ),
  2
 ),
"")</f>
        <v>Oona</v>
      </c>
      <c r="E306" s="3" t="str" cm="1">
        <f t="array" aca="1" ref="E306" ca="1">IFERROR(
 INDEX(
  _xlfn._xlws.FILTER($U$1:$AX$1,
   TRANSPOSE(
    CHOOSE({1;2;3;4;5;6;7;8;9;10;11;12;13;14;15;16;17;18;19;20;21;22;23;24;25;26;27;28;29;30},
     COUNTIFS($U$2:$U$200,$G306)&gt;0,
     COUNTIFS($V$2:$V$200,$G306)&gt;0,
     COUNTIFS($W$2:$W$200,$G306)&gt;0,
     COUNTIFS($X$2:$X$200,$G306)&gt;0,
     COUNTIFS($Y$2:$Y$200,$G306)&gt;0,
     COUNTIFS($Z$2:$Z$200,$G306)&gt;0,
     COUNTIFS($AA$2:$AA$200,$G306)&gt;0,
     COUNTIFS($AB$2:$AB$200,$G306)&gt;0,
     COUNTIFS($AC$2:$AC$200,$G306)&gt;0,
     COUNTIFS($AD$2:$AD$200,$G306)&gt;0,
     COUNTIFS($AE$2:$AE$200,$G306)&gt;0,
     COUNTIFS($AF$2:$AF$200,$G306)&gt;0,
     COUNTIFS($AG$2:$AG$200,$G306)&gt;0,
     COUNTIFS($AH$2:$AH$200,$G306)&gt;0,
     COUNTIFS($AI$2:$AI$200,$G306)&gt;0,
     COUNTIFS($AJ$2:$AJ$200,$G306)&gt;0,
     COUNTIFS($AK$2:$AK$200,$G306)&gt;0,
     COUNTIFS($AL$2:$AL$200,$G306)&gt;0,
     COUNTIFS($AM$2:$AM$200,$G306)&gt;0,
     COUNTIFS($AN$2:$AN$200,$G306)&gt;0,
     COUNTIFS($AO$2:$AO$200,$G306)&gt;0,
     COUNTIFS($AP$2:$AP$200,$G306)&gt;0,
     COUNTIFS($AQ$2:$AQ$200,$G306)&gt;0,
     COUNTIFS($AR$2:$AR$200,$G306)&gt;0,
     COUNTIFS($AS$2:$AS$200,$G306)&gt;0,
     COUNTIFS($AT$2:$AT$200,$G306)&gt;0,
     COUNTIFS($AU$2:$AU$200,$G306)&gt;0,
     COUNTIFS($AV$2:$AV$200,$G306)&gt;0,
     COUNTIFS($AW$2:$AW$200,$G306)&gt;0,
     COUNTIFS($AX$2:$AX$200,$G306)&gt;0
   )),
  ),
  3
 ),
"")</f>
        <v/>
      </c>
      <c r="F306" s="3" t="str" cm="1">
        <f t="array" aca="1" ref="F306" ca="1">IFERROR(
 INDEX(
  _xlfn._xlws.FILTER($U$1:$AX$1,
   TRANSPOSE(
    CHOOSE({1;2;3;4;5;6;7;8;9;10;11;12;13;14;15;16;17;18;19;20;21;22;23;24;25;26;27;28;29;30},
     COUNTIFS($U$2:$U$200,$G306)&gt;0,
     COUNTIFS($V$2:$V$200,$G306)&gt;0,
     COUNTIFS($W$2:$W$200,$G306)&gt;0,
     COUNTIFS($X$2:$X$200,$G306)&gt;0,
     COUNTIFS($Y$2:$Y$200,$G306)&gt;0,
     COUNTIFS($Z$2:$Z$200,$G306)&gt;0,
     COUNTIFS($AA$2:$AA$200,$G306)&gt;0,
     COUNTIFS($AB$2:$AB$200,$G306)&gt;0,
     COUNTIFS($AC$2:$AC$200,$G306)&gt;0,
     COUNTIFS($AD$2:$AD$200,$G306)&gt;0,
     COUNTIFS($AE$2:$AE$200,$G306)&gt;0,
     COUNTIFS($AF$2:$AF$200,$G306)&gt;0,
     COUNTIFS($AG$2:$AG$200,$G306)&gt;0,
     COUNTIFS($AH$2:$AH$200,$G306)&gt;0,
     COUNTIFS($AI$2:$AI$200,$G306)&gt;0,
     COUNTIFS($AJ$2:$AJ$200,$G306)&gt;0,
     COUNTIFS($AK$2:$AK$200,$G306)&gt;0,
     COUNTIFS($AL$2:$AL$200,$G306)&gt;0,
     COUNTIFS($AM$2:$AM$200,$G306)&gt;0,
     COUNTIFS($AN$2:$AN$200,$G306)&gt;0,
     COUNTIFS($AO$2:$AO$200,$G306)&gt;0,
     COUNTIFS($AP$2:$AP$200,$G306)&gt;0,
     COUNTIFS($AQ$2:$AQ$200,$G306)&gt;0,
     COUNTIFS($AR$2:$AR$200,$G306)&gt;0,
     COUNTIFS($AS$2:$AS$200,$G306)&gt;0,
     COUNTIFS($AT$2:$AT$200,$G306)&gt;0,
     COUNTIFS($AU$2:$AU$200,$G306)&gt;0,
     COUNTIFS($AV$2:$AV$200,$G306)&gt;0,
     COUNTIFS($AW$2:$AW$200,$G306)&gt;0,
     COUNTIFS($AX$2:$AX$200,$G306)&gt;0
   )),
  ),
  4
 ),
"")</f>
        <v/>
      </c>
      <c r="G306" t="str">
        <f ca="1"/>
        <v>Sonic Screwdriver</v>
      </c>
    </row>
    <row r="307" spans="1:7" x14ac:dyDescent="0.25">
      <c r="A307" s="3" t="str">
        <f t="shared" ca="1" si="10"/>
        <v>3</v>
      </c>
      <c r="B307" s="3">
        <f t="shared" ca="1" si="11"/>
        <v>1</v>
      </c>
      <c r="C307" s="3" t="str">
        <f ca="1">IFERROR(
 INDEX($U$1:$AX$1,
  MATCH(TRUE,
   CHOOSE({1;2;3;4;5;6;7;8;9;10;11;12;13;14;15;16;17;18;19;20;21;22;23;24;25;26;27;28;29;30;31;32},
    COUNTIFS($U$2:$U$200,$G307)&gt;0,
    COUNTIFS($V$2:$V$200,$G307)&gt;0,
    COUNTIFS($W$2:$W$200,$G307)&gt;0,
    COUNTIFS($X$2:$X$200,$G307)&gt;0,
    COUNTIFS($Y$2:$Y$200,$G307)&gt;0,
    COUNTIFS($Z$2:$Z$200,$G307)&gt;0,
    COUNTIFS($AA$2:$AA$200,$G307)&gt;0,
    COUNTIFS($AB$2:$AB$200,$G307)&gt;0,
    COUNTIFS($AC$2:$AC$200,$G307)&gt;0,
    COUNTIFS($AD$2:$AD$200,$G307)&gt;0,
    COUNTIFS($AE$2:$AE$200,$G307)&gt;0,
    COUNTIFS($AF$2:$AF$200,$G307)&gt;0,
    COUNTIFS($AG$2:$AG$200,$G307)&gt;0,
    COUNTIFS($AH$2:$AH$200,$G307)&gt;0,
    COUNTIFS($AI$2:$AI$200,$G307)&gt;0,
    COUNTIFS($AJ$2:$AJ$200,$G307)&gt;0,
    COUNTIFS($AK$2:$AK$200,$G307)&gt;0,
    COUNTIFS($AL$2:$AL$200,$G307)&gt;0,
    COUNTIFS($AM$2:$AM$200,$G307)&gt;0,
    COUNTIFS($AN$2:$AN$200,$G307)&gt;0,
    COUNTIFS($AO$2:$AO$200,$G307)&gt;0,
    COUNTIFS($AP$2:$AP$200,$G307)&gt;0,
    COUNTIFS($AQ$2:$AQ$200,$G307)&gt;0,
    COUNTIFS($AR$2:$AR$200,$G307)&gt;0,
    COUNTIFS($AS$2:$AS$200,$G307)&gt;0,
    COUNTIFS($AT$2:$AT$200,$G307)&gt;0,
    COUNTIFS($AU$2:$AU$200,$G307)&gt;0,
    COUNTIFS($AV$2:$AV$200,$G307)&gt;0,
    COUNTIFS($AW$2:$AW$200,$G307)&gt;0,
    COUNTIFS($AX$2:$AX$200,$G307)&gt;0
   ),
  0)
 ),
"")</f>
        <v>Carlos</v>
      </c>
      <c r="D307" s="3" t="str" cm="1">
        <f t="array" aca="1" ref="D307" ca="1">IFERROR(
 INDEX(
  _xlfn._xlws.FILTER($U$1:$AX$1,
   TRANSPOSE(
    CHOOSE({1;2;3;4;5;6;7;8;9;10;11;12;13;14;15;16;17;18;19;20;21;22;23;24;25;26;27;28;29;30},
     COUNTIFS($U$2:$U$200,$G307)&gt;0,
     COUNTIFS($V$2:$V$200,$G307)&gt;0,
     COUNTIFS($W$2:$W$200,$G307)&gt;0,
     COUNTIFS($X$2:$X$200,$G307)&gt;0,
     COUNTIFS($Y$2:$Y$200,$G307)&gt;0,
     COUNTIFS($Z$2:$Z$200,$G307)&gt;0,
     COUNTIFS($AA$2:$AA$200,$G307)&gt;0,
     COUNTIFS($AB$2:$AB$200,$G307)&gt;0,
     COUNTIFS($AC$2:$AC$200,$G307)&gt;0,
     COUNTIFS($AD$2:$AD$200,$G307)&gt;0,
     COUNTIFS($AE$2:$AE$200,$G307)&gt;0,
     COUNTIFS($AF$2:$AF$200,$G307)&gt;0,
     COUNTIFS($AG$2:$AG$200,$G307)&gt;0,
     COUNTIFS($AH$2:$AH$200,$G307)&gt;0,
     COUNTIFS($AI$2:$AI$200,$G307)&gt;0,
     COUNTIFS($AJ$2:$AJ$200,$G307)&gt;0,
     COUNTIFS($AK$2:$AK$200,$G307)&gt;0,
     COUNTIFS($AL$2:$AL$200,$G307)&gt;0,
     COUNTIFS($AM$2:$AM$200,$G307)&gt;0,
     COUNTIFS($AN$2:$AN$200,$G307)&gt;0,
     COUNTIFS($AO$2:$AO$200,$G307)&gt;0,
     COUNTIFS($AP$2:$AP$200,$G307)&gt;0,
     COUNTIFS($AQ$2:$AQ$200,$G307)&gt;0,
     COUNTIFS($AR$2:$AR$200,$G307)&gt;0,
     COUNTIFS($AS$2:$AS$200,$G307)&gt;0,
     COUNTIFS($AT$2:$AT$200,$G307)&gt;0,
     COUNTIFS($AU$2:$AU$200,$G307)&gt;0,
     COUNTIFS($AV$2:$AV$200,$G307)&gt;0,
     COUNTIFS($AW$2:$AW$200,$G307)&gt;0,
     COUNTIFS($AX$2:$AX$200,$G307)&gt;0
   )),
  ),
  2
 ),
"")</f>
        <v/>
      </c>
      <c r="E307" s="3" t="str" cm="1">
        <f t="array" aca="1" ref="E307" ca="1">IFERROR(
 INDEX(
  _xlfn._xlws.FILTER($U$1:$AX$1,
   TRANSPOSE(
    CHOOSE({1;2;3;4;5;6;7;8;9;10;11;12;13;14;15;16;17;18;19;20;21;22;23;24;25;26;27;28;29;30},
     COUNTIFS($U$2:$U$200,$G307)&gt;0,
     COUNTIFS($V$2:$V$200,$G307)&gt;0,
     COUNTIFS($W$2:$W$200,$G307)&gt;0,
     COUNTIFS($X$2:$X$200,$G307)&gt;0,
     COUNTIFS($Y$2:$Y$200,$G307)&gt;0,
     COUNTIFS($Z$2:$Z$200,$G307)&gt;0,
     COUNTIFS($AA$2:$AA$200,$G307)&gt;0,
     COUNTIFS($AB$2:$AB$200,$G307)&gt;0,
     COUNTIFS($AC$2:$AC$200,$G307)&gt;0,
     COUNTIFS($AD$2:$AD$200,$G307)&gt;0,
     COUNTIFS($AE$2:$AE$200,$G307)&gt;0,
     COUNTIFS($AF$2:$AF$200,$G307)&gt;0,
     COUNTIFS($AG$2:$AG$200,$G307)&gt;0,
     COUNTIFS($AH$2:$AH$200,$G307)&gt;0,
     COUNTIFS($AI$2:$AI$200,$G307)&gt;0,
     COUNTIFS($AJ$2:$AJ$200,$G307)&gt;0,
     COUNTIFS($AK$2:$AK$200,$G307)&gt;0,
     COUNTIFS($AL$2:$AL$200,$G307)&gt;0,
     COUNTIFS($AM$2:$AM$200,$G307)&gt;0,
     COUNTIFS($AN$2:$AN$200,$G307)&gt;0,
     COUNTIFS($AO$2:$AO$200,$G307)&gt;0,
     COUNTIFS($AP$2:$AP$200,$G307)&gt;0,
     COUNTIFS($AQ$2:$AQ$200,$G307)&gt;0,
     COUNTIFS($AR$2:$AR$200,$G307)&gt;0,
     COUNTIFS($AS$2:$AS$200,$G307)&gt;0,
     COUNTIFS($AT$2:$AT$200,$G307)&gt;0,
     COUNTIFS($AU$2:$AU$200,$G307)&gt;0,
     COUNTIFS($AV$2:$AV$200,$G307)&gt;0,
     COUNTIFS($AW$2:$AW$200,$G307)&gt;0,
     COUNTIFS($AX$2:$AX$200,$G307)&gt;0
   )),
  ),
  3
 ),
"")</f>
        <v/>
      </c>
      <c r="F307" s="3" t="str" cm="1">
        <f t="array" aca="1" ref="F307" ca="1">IFERROR(
 INDEX(
  _xlfn._xlws.FILTER($U$1:$AX$1,
   TRANSPOSE(
    CHOOSE({1;2;3;4;5;6;7;8;9;10;11;12;13;14;15;16;17;18;19;20;21;22;23;24;25;26;27;28;29;30},
     COUNTIFS($U$2:$U$200,$G307)&gt;0,
     COUNTIFS($V$2:$V$200,$G307)&gt;0,
     COUNTIFS($W$2:$W$200,$G307)&gt;0,
     COUNTIFS($X$2:$X$200,$G307)&gt;0,
     COUNTIFS($Y$2:$Y$200,$G307)&gt;0,
     COUNTIFS($Z$2:$Z$200,$G307)&gt;0,
     COUNTIFS($AA$2:$AA$200,$G307)&gt;0,
     COUNTIFS($AB$2:$AB$200,$G307)&gt;0,
     COUNTIFS($AC$2:$AC$200,$G307)&gt;0,
     COUNTIFS($AD$2:$AD$200,$G307)&gt;0,
     COUNTIFS($AE$2:$AE$200,$G307)&gt;0,
     COUNTIFS($AF$2:$AF$200,$G307)&gt;0,
     COUNTIFS($AG$2:$AG$200,$G307)&gt;0,
     COUNTIFS($AH$2:$AH$200,$G307)&gt;0,
     COUNTIFS($AI$2:$AI$200,$G307)&gt;0,
     COUNTIFS($AJ$2:$AJ$200,$G307)&gt;0,
     COUNTIFS($AK$2:$AK$200,$G307)&gt;0,
     COUNTIFS($AL$2:$AL$200,$G307)&gt;0,
     COUNTIFS($AM$2:$AM$200,$G307)&gt;0,
     COUNTIFS($AN$2:$AN$200,$G307)&gt;0,
     COUNTIFS($AO$2:$AO$200,$G307)&gt;0,
     COUNTIFS($AP$2:$AP$200,$G307)&gt;0,
     COUNTIFS($AQ$2:$AQ$200,$G307)&gt;0,
     COUNTIFS($AR$2:$AR$200,$G307)&gt;0,
     COUNTIFS($AS$2:$AS$200,$G307)&gt;0,
     COUNTIFS($AT$2:$AT$200,$G307)&gt;0,
     COUNTIFS($AU$2:$AU$200,$G307)&gt;0,
     COUNTIFS($AV$2:$AV$200,$G307)&gt;0,
     COUNTIFS($AW$2:$AW$200,$G307)&gt;0,
     COUNTIFS($AX$2:$AX$200,$G307)&gt;0
   )),
  ),
  4
 ),
"")</f>
        <v/>
      </c>
      <c r="G307" t="str">
        <f ca="1"/>
        <v>Sorin da Casa Markov</v>
      </c>
    </row>
    <row r="308" spans="1:7" x14ac:dyDescent="0.25">
      <c r="A308" s="3" t="str">
        <f t="shared" ca="1" si="10"/>
        <v>3</v>
      </c>
      <c r="B308" s="3">
        <f t="shared" ca="1" si="11"/>
        <v>1</v>
      </c>
      <c r="C308" s="3" t="str">
        <f ca="1">IFERROR(
 INDEX($U$1:$AX$1,
  MATCH(TRUE,
   CHOOSE({1;2;3;4;5;6;7;8;9;10;11;12;13;14;15;16;17;18;19;20;21;22;23;24;25;26;27;28;29;30;31;32},
    COUNTIFS($U$2:$U$200,$G308)&gt;0,
    COUNTIFS($V$2:$V$200,$G308)&gt;0,
    COUNTIFS($W$2:$W$200,$G308)&gt;0,
    COUNTIFS($X$2:$X$200,$G308)&gt;0,
    COUNTIFS($Y$2:$Y$200,$G308)&gt;0,
    COUNTIFS($Z$2:$Z$200,$G308)&gt;0,
    COUNTIFS($AA$2:$AA$200,$G308)&gt;0,
    COUNTIFS($AB$2:$AB$200,$G308)&gt;0,
    COUNTIFS($AC$2:$AC$200,$G308)&gt;0,
    COUNTIFS($AD$2:$AD$200,$G308)&gt;0,
    COUNTIFS($AE$2:$AE$200,$G308)&gt;0,
    COUNTIFS($AF$2:$AF$200,$G308)&gt;0,
    COUNTIFS($AG$2:$AG$200,$G308)&gt;0,
    COUNTIFS($AH$2:$AH$200,$G308)&gt;0,
    COUNTIFS($AI$2:$AI$200,$G308)&gt;0,
    COUNTIFS($AJ$2:$AJ$200,$G308)&gt;0,
    COUNTIFS($AK$2:$AK$200,$G308)&gt;0,
    COUNTIFS($AL$2:$AL$200,$G308)&gt;0,
    COUNTIFS($AM$2:$AM$200,$G308)&gt;0,
    COUNTIFS($AN$2:$AN$200,$G308)&gt;0,
    COUNTIFS($AO$2:$AO$200,$G308)&gt;0,
    COUNTIFS($AP$2:$AP$200,$G308)&gt;0,
    COUNTIFS($AQ$2:$AQ$200,$G308)&gt;0,
    COUNTIFS($AR$2:$AR$200,$G308)&gt;0,
    COUNTIFS($AS$2:$AS$200,$G308)&gt;0,
    COUNTIFS($AT$2:$AT$200,$G308)&gt;0,
    COUNTIFS($AU$2:$AU$200,$G308)&gt;0,
    COUNTIFS($AV$2:$AV$200,$G308)&gt;0,
    COUNTIFS($AW$2:$AW$200,$G308)&gt;0,
    COUNTIFS($AX$2:$AX$200,$G308)&gt;0
   ),
  0)
 ),
"")</f>
        <v>Zimone</v>
      </c>
      <c r="D308" s="3" t="str" cm="1">
        <f t="array" aca="1" ref="D308" ca="1">IFERROR(
 INDEX(
  _xlfn._xlws.FILTER($U$1:$AX$1,
   TRANSPOSE(
    CHOOSE({1;2;3;4;5;6;7;8;9;10;11;12;13;14;15;16;17;18;19;20;21;22;23;24;25;26;27;28;29;30},
     COUNTIFS($U$2:$U$200,$G308)&gt;0,
     COUNTIFS($V$2:$V$200,$G308)&gt;0,
     COUNTIFS($W$2:$W$200,$G308)&gt;0,
     COUNTIFS($X$2:$X$200,$G308)&gt;0,
     COUNTIFS($Y$2:$Y$200,$G308)&gt;0,
     COUNTIFS($Z$2:$Z$200,$G308)&gt;0,
     COUNTIFS($AA$2:$AA$200,$G308)&gt;0,
     COUNTIFS($AB$2:$AB$200,$G308)&gt;0,
     COUNTIFS($AC$2:$AC$200,$G308)&gt;0,
     COUNTIFS($AD$2:$AD$200,$G308)&gt;0,
     COUNTIFS($AE$2:$AE$200,$G308)&gt;0,
     COUNTIFS($AF$2:$AF$200,$G308)&gt;0,
     COUNTIFS($AG$2:$AG$200,$G308)&gt;0,
     COUNTIFS($AH$2:$AH$200,$G308)&gt;0,
     COUNTIFS($AI$2:$AI$200,$G308)&gt;0,
     COUNTIFS($AJ$2:$AJ$200,$G308)&gt;0,
     COUNTIFS($AK$2:$AK$200,$G308)&gt;0,
     COUNTIFS($AL$2:$AL$200,$G308)&gt;0,
     COUNTIFS($AM$2:$AM$200,$G308)&gt;0,
     COUNTIFS($AN$2:$AN$200,$G308)&gt;0,
     COUNTIFS($AO$2:$AO$200,$G308)&gt;0,
     COUNTIFS($AP$2:$AP$200,$G308)&gt;0,
     COUNTIFS($AQ$2:$AQ$200,$G308)&gt;0,
     COUNTIFS($AR$2:$AR$200,$G308)&gt;0,
     COUNTIFS($AS$2:$AS$200,$G308)&gt;0,
     COUNTIFS($AT$2:$AT$200,$G308)&gt;0,
     COUNTIFS($AU$2:$AU$200,$G308)&gt;0,
     COUNTIFS($AV$2:$AV$200,$G308)&gt;0,
     COUNTIFS($AW$2:$AW$200,$G308)&gt;0,
     COUNTIFS($AX$2:$AX$200,$G308)&gt;0
   )),
  ),
  2
 ),
"")</f>
        <v/>
      </c>
      <c r="E308" s="3" t="str" cm="1">
        <f t="array" aca="1" ref="E308" ca="1">IFERROR(
 INDEX(
  _xlfn._xlws.FILTER($U$1:$AX$1,
   TRANSPOSE(
    CHOOSE({1;2;3;4;5;6;7;8;9;10;11;12;13;14;15;16;17;18;19;20;21;22;23;24;25;26;27;28;29;30},
     COUNTIFS($U$2:$U$200,$G308)&gt;0,
     COUNTIFS($V$2:$V$200,$G308)&gt;0,
     COUNTIFS($W$2:$W$200,$G308)&gt;0,
     COUNTIFS($X$2:$X$200,$G308)&gt;0,
     COUNTIFS($Y$2:$Y$200,$G308)&gt;0,
     COUNTIFS($Z$2:$Z$200,$G308)&gt;0,
     COUNTIFS($AA$2:$AA$200,$G308)&gt;0,
     COUNTIFS($AB$2:$AB$200,$G308)&gt;0,
     COUNTIFS($AC$2:$AC$200,$G308)&gt;0,
     COUNTIFS($AD$2:$AD$200,$G308)&gt;0,
     COUNTIFS($AE$2:$AE$200,$G308)&gt;0,
     COUNTIFS($AF$2:$AF$200,$G308)&gt;0,
     COUNTIFS($AG$2:$AG$200,$G308)&gt;0,
     COUNTIFS($AH$2:$AH$200,$G308)&gt;0,
     COUNTIFS($AI$2:$AI$200,$G308)&gt;0,
     COUNTIFS($AJ$2:$AJ$200,$G308)&gt;0,
     COUNTIFS($AK$2:$AK$200,$G308)&gt;0,
     COUNTIFS($AL$2:$AL$200,$G308)&gt;0,
     COUNTIFS($AM$2:$AM$200,$G308)&gt;0,
     COUNTIFS($AN$2:$AN$200,$G308)&gt;0,
     COUNTIFS($AO$2:$AO$200,$G308)&gt;0,
     COUNTIFS($AP$2:$AP$200,$G308)&gt;0,
     COUNTIFS($AQ$2:$AQ$200,$G308)&gt;0,
     COUNTIFS($AR$2:$AR$200,$G308)&gt;0,
     COUNTIFS($AS$2:$AS$200,$G308)&gt;0,
     COUNTIFS($AT$2:$AT$200,$G308)&gt;0,
     COUNTIFS($AU$2:$AU$200,$G308)&gt;0,
     COUNTIFS($AV$2:$AV$200,$G308)&gt;0,
     COUNTIFS($AW$2:$AW$200,$G308)&gt;0,
     COUNTIFS($AX$2:$AX$200,$G308)&gt;0
   )),
  ),
  3
 ),
"")</f>
        <v/>
      </c>
      <c r="F308" s="3" t="str" cm="1">
        <f t="array" aca="1" ref="F308" ca="1">IFERROR(
 INDEX(
  _xlfn._xlws.FILTER($U$1:$AX$1,
   TRANSPOSE(
    CHOOSE({1;2;3;4;5;6;7;8;9;10;11;12;13;14;15;16;17;18;19;20;21;22;23;24;25;26;27;28;29;30},
     COUNTIFS($U$2:$U$200,$G308)&gt;0,
     COUNTIFS($V$2:$V$200,$G308)&gt;0,
     COUNTIFS($W$2:$W$200,$G308)&gt;0,
     COUNTIFS($X$2:$X$200,$G308)&gt;0,
     COUNTIFS($Y$2:$Y$200,$G308)&gt;0,
     COUNTIFS($Z$2:$Z$200,$G308)&gt;0,
     COUNTIFS($AA$2:$AA$200,$G308)&gt;0,
     COUNTIFS($AB$2:$AB$200,$G308)&gt;0,
     COUNTIFS($AC$2:$AC$200,$G308)&gt;0,
     COUNTIFS($AD$2:$AD$200,$G308)&gt;0,
     COUNTIFS($AE$2:$AE$200,$G308)&gt;0,
     COUNTIFS($AF$2:$AF$200,$G308)&gt;0,
     COUNTIFS($AG$2:$AG$200,$G308)&gt;0,
     COUNTIFS($AH$2:$AH$200,$G308)&gt;0,
     COUNTIFS($AI$2:$AI$200,$G308)&gt;0,
     COUNTIFS($AJ$2:$AJ$200,$G308)&gt;0,
     COUNTIFS($AK$2:$AK$200,$G308)&gt;0,
     COUNTIFS($AL$2:$AL$200,$G308)&gt;0,
     COUNTIFS($AM$2:$AM$200,$G308)&gt;0,
     COUNTIFS($AN$2:$AN$200,$G308)&gt;0,
     COUNTIFS($AO$2:$AO$200,$G308)&gt;0,
     COUNTIFS($AP$2:$AP$200,$G308)&gt;0,
     COUNTIFS($AQ$2:$AQ$200,$G308)&gt;0,
     COUNTIFS($AR$2:$AR$200,$G308)&gt;0,
     COUNTIFS($AS$2:$AS$200,$G308)&gt;0,
     COUNTIFS($AT$2:$AT$200,$G308)&gt;0,
     COUNTIFS($AU$2:$AU$200,$G308)&gt;0,
     COUNTIFS($AV$2:$AV$200,$G308)&gt;0,
     COUNTIFS($AW$2:$AW$200,$G308)&gt;0,
     COUNTIFS($AX$2:$AX$200,$G308)&gt;0
   )),
  ),
  4
 ),
"")</f>
        <v/>
      </c>
      <c r="G308" t="str">
        <f ca="1"/>
        <v>Sothera, the Supervoid</v>
      </c>
    </row>
    <row r="309" spans="1:7" x14ac:dyDescent="0.25">
      <c r="A309" s="3" t="str">
        <f t="shared" ca="1" si="10"/>
        <v>2</v>
      </c>
      <c r="B309" s="3">
        <f t="shared" ca="1" si="11"/>
        <v>1</v>
      </c>
      <c r="C309" s="3" t="str">
        <f ca="1">IFERROR(
 INDEX($U$1:$AX$1,
  MATCH(TRUE,
   CHOOSE({1;2;3;4;5;6;7;8;9;10;11;12;13;14;15;16;17;18;19;20;21;22;23;24;25;26;27;28;29;30;31;32},
    COUNTIFS($U$2:$U$200,$G309)&gt;0,
    COUNTIFS($V$2:$V$200,$G309)&gt;0,
    COUNTIFS($W$2:$W$200,$G309)&gt;0,
    COUNTIFS($X$2:$X$200,$G309)&gt;0,
    COUNTIFS($Y$2:$Y$200,$G309)&gt;0,
    COUNTIFS($Z$2:$Z$200,$G309)&gt;0,
    COUNTIFS($AA$2:$AA$200,$G309)&gt;0,
    COUNTIFS($AB$2:$AB$200,$G309)&gt;0,
    COUNTIFS($AC$2:$AC$200,$G309)&gt;0,
    COUNTIFS($AD$2:$AD$200,$G309)&gt;0,
    COUNTIFS($AE$2:$AE$200,$G309)&gt;0,
    COUNTIFS($AF$2:$AF$200,$G309)&gt;0,
    COUNTIFS($AG$2:$AG$200,$G309)&gt;0,
    COUNTIFS($AH$2:$AH$200,$G309)&gt;0,
    COUNTIFS($AI$2:$AI$200,$G309)&gt;0,
    COUNTIFS($AJ$2:$AJ$200,$G309)&gt;0,
    COUNTIFS($AK$2:$AK$200,$G309)&gt;0,
    COUNTIFS($AL$2:$AL$200,$G309)&gt;0,
    COUNTIFS($AM$2:$AM$200,$G309)&gt;0,
    COUNTIFS($AN$2:$AN$200,$G309)&gt;0,
    COUNTIFS($AO$2:$AO$200,$G309)&gt;0,
    COUNTIFS($AP$2:$AP$200,$G309)&gt;0,
    COUNTIFS($AQ$2:$AQ$200,$G309)&gt;0,
    COUNTIFS($AR$2:$AR$200,$G309)&gt;0,
    COUNTIFS($AS$2:$AS$200,$G309)&gt;0,
    COUNTIFS($AT$2:$AT$200,$G309)&gt;0,
    COUNTIFS($AU$2:$AU$200,$G309)&gt;0,
    COUNTIFS($AV$2:$AV$200,$G309)&gt;0,
    COUNTIFS($AW$2:$AW$200,$G309)&gt;0,
    COUNTIFS($AX$2:$AX$200,$G309)&gt;0
   ),
  0)
 ),
"")</f>
        <v>Narset</v>
      </c>
      <c r="D309" s="3" t="str" cm="1">
        <f t="array" aca="1" ref="D309" ca="1">IFERROR(
 INDEX(
  _xlfn._xlws.FILTER($U$1:$AX$1,
   TRANSPOSE(
    CHOOSE({1;2;3;4;5;6;7;8;9;10;11;12;13;14;15;16;17;18;19;20;21;22;23;24;25;26;27;28;29;30},
     COUNTIFS($U$2:$U$200,$G309)&gt;0,
     COUNTIFS($V$2:$V$200,$G309)&gt;0,
     COUNTIFS($W$2:$W$200,$G309)&gt;0,
     COUNTIFS($X$2:$X$200,$G309)&gt;0,
     COUNTIFS($Y$2:$Y$200,$G309)&gt;0,
     COUNTIFS($Z$2:$Z$200,$G309)&gt;0,
     COUNTIFS($AA$2:$AA$200,$G309)&gt;0,
     COUNTIFS($AB$2:$AB$200,$G309)&gt;0,
     COUNTIFS($AC$2:$AC$200,$G309)&gt;0,
     COUNTIFS($AD$2:$AD$200,$G309)&gt;0,
     COUNTIFS($AE$2:$AE$200,$G309)&gt;0,
     COUNTIFS($AF$2:$AF$200,$G309)&gt;0,
     COUNTIFS($AG$2:$AG$200,$G309)&gt;0,
     COUNTIFS($AH$2:$AH$200,$G309)&gt;0,
     COUNTIFS($AI$2:$AI$200,$G309)&gt;0,
     COUNTIFS($AJ$2:$AJ$200,$G309)&gt;0,
     COUNTIFS($AK$2:$AK$200,$G309)&gt;0,
     COUNTIFS($AL$2:$AL$200,$G309)&gt;0,
     COUNTIFS($AM$2:$AM$200,$G309)&gt;0,
     COUNTIFS($AN$2:$AN$200,$G309)&gt;0,
     COUNTIFS($AO$2:$AO$200,$G309)&gt;0,
     COUNTIFS($AP$2:$AP$200,$G309)&gt;0,
     COUNTIFS($AQ$2:$AQ$200,$G309)&gt;0,
     COUNTIFS($AR$2:$AR$200,$G309)&gt;0,
     COUNTIFS($AS$2:$AS$200,$G309)&gt;0,
     COUNTIFS($AT$2:$AT$200,$G309)&gt;0,
     COUNTIFS($AU$2:$AU$200,$G309)&gt;0,
     COUNTIFS($AV$2:$AV$200,$G309)&gt;0,
     COUNTIFS($AW$2:$AW$200,$G309)&gt;0,
     COUNTIFS($AX$2:$AX$200,$G309)&gt;0
   )),
  ),
  2
 ),
"")</f>
        <v/>
      </c>
      <c r="E309" s="3" t="str" cm="1">
        <f t="array" aca="1" ref="E309" ca="1">IFERROR(
 INDEX(
  _xlfn._xlws.FILTER($U$1:$AX$1,
   TRANSPOSE(
    CHOOSE({1;2;3;4;5;6;7;8;9;10;11;12;13;14;15;16;17;18;19;20;21;22;23;24;25;26;27;28;29;30},
     COUNTIFS($U$2:$U$200,$G309)&gt;0,
     COUNTIFS($V$2:$V$200,$G309)&gt;0,
     COUNTIFS($W$2:$W$200,$G309)&gt;0,
     COUNTIFS($X$2:$X$200,$G309)&gt;0,
     COUNTIFS($Y$2:$Y$200,$G309)&gt;0,
     COUNTIFS($Z$2:$Z$200,$G309)&gt;0,
     COUNTIFS($AA$2:$AA$200,$G309)&gt;0,
     COUNTIFS($AB$2:$AB$200,$G309)&gt;0,
     COUNTIFS($AC$2:$AC$200,$G309)&gt;0,
     COUNTIFS($AD$2:$AD$200,$G309)&gt;0,
     COUNTIFS($AE$2:$AE$200,$G309)&gt;0,
     COUNTIFS($AF$2:$AF$200,$G309)&gt;0,
     COUNTIFS($AG$2:$AG$200,$G309)&gt;0,
     COUNTIFS($AH$2:$AH$200,$G309)&gt;0,
     COUNTIFS($AI$2:$AI$200,$G309)&gt;0,
     COUNTIFS($AJ$2:$AJ$200,$G309)&gt;0,
     COUNTIFS($AK$2:$AK$200,$G309)&gt;0,
     COUNTIFS($AL$2:$AL$200,$G309)&gt;0,
     COUNTIFS($AM$2:$AM$200,$G309)&gt;0,
     COUNTIFS($AN$2:$AN$200,$G309)&gt;0,
     COUNTIFS($AO$2:$AO$200,$G309)&gt;0,
     COUNTIFS($AP$2:$AP$200,$G309)&gt;0,
     COUNTIFS($AQ$2:$AQ$200,$G309)&gt;0,
     COUNTIFS($AR$2:$AR$200,$G309)&gt;0,
     COUNTIFS($AS$2:$AS$200,$G309)&gt;0,
     COUNTIFS($AT$2:$AT$200,$G309)&gt;0,
     COUNTIFS($AU$2:$AU$200,$G309)&gt;0,
     COUNTIFS($AV$2:$AV$200,$G309)&gt;0,
     COUNTIFS($AW$2:$AW$200,$G309)&gt;0,
     COUNTIFS($AX$2:$AX$200,$G309)&gt;0
   )),
  ),
  3
 ),
"")</f>
        <v/>
      </c>
      <c r="F309" s="3" t="str" cm="1">
        <f t="array" aca="1" ref="F309" ca="1">IFERROR(
 INDEX(
  _xlfn._xlws.FILTER($U$1:$AX$1,
   TRANSPOSE(
    CHOOSE({1;2;3;4;5;6;7;8;9;10;11;12;13;14;15;16;17;18;19;20;21;22;23;24;25;26;27;28;29;30},
     COUNTIFS($U$2:$U$200,$G309)&gt;0,
     COUNTIFS($V$2:$V$200,$G309)&gt;0,
     COUNTIFS($W$2:$W$200,$G309)&gt;0,
     COUNTIFS($X$2:$X$200,$G309)&gt;0,
     COUNTIFS($Y$2:$Y$200,$G309)&gt;0,
     COUNTIFS($Z$2:$Z$200,$G309)&gt;0,
     COUNTIFS($AA$2:$AA$200,$G309)&gt;0,
     COUNTIFS($AB$2:$AB$200,$G309)&gt;0,
     COUNTIFS($AC$2:$AC$200,$G309)&gt;0,
     COUNTIFS($AD$2:$AD$200,$G309)&gt;0,
     COUNTIFS($AE$2:$AE$200,$G309)&gt;0,
     COUNTIFS($AF$2:$AF$200,$G309)&gt;0,
     COUNTIFS($AG$2:$AG$200,$G309)&gt;0,
     COUNTIFS($AH$2:$AH$200,$G309)&gt;0,
     COUNTIFS($AI$2:$AI$200,$G309)&gt;0,
     COUNTIFS($AJ$2:$AJ$200,$G309)&gt;0,
     COUNTIFS($AK$2:$AK$200,$G309)&gt;0,
     COUNTIFS($AL$2:$AL$200,$G309)&gt;0,
     COUNTIFS($AM$2:$AM$200,$G309)&gt;0,
     COUNTIFS($AN$2:$AN$200,$G309)&gt;0,
     COUNTIFS($AO$2:$AO$200,$G309)&gt;0,
     COUNTIFS($AP$2:$AP$200,$G309)&gt;0,
     COUNTIFS($AQ$2:$AQ$200,$G309)&gt;0,
     COUNTIFS($AR$2:$AR$200,$G309)&gt;0,
     COUNTIFS($AS$2:$AS$200,$G309)&gt;0,
     COUNTIFS($AT$2:$AT$200,$G309)&gt;0,
     COUNTIFS($AU$2:$AU$200,$G309)&gt;0,
     COUNTIFS($AV$2:$AV$200,$G309)&gt;0,
     COUNTIFS($AW$2:$AW$200,$G309)&gt;0,
     COUNTIFS($AX$2:$AX$200,$G309)&gt;0
   )),
  ),
  4
 ),
"")</f>
        <v/>
      </c>
      <c r="G309" t="str">
        <f ca="1"/>
        <v>Spark Double</v>
      </c>
    </row>
    <row r="310" spans="1:7" x14ac:dyDescent="0.25">
      <c r="A310" s="3" t="str">
        <f t="shared" ca="1" si="10"/>
        <v>2</v>
      </c>
      <c r="B310" s="3">
        <f t="shared" ca="1" si="11"/>
        <v>2</v>
      </c>
      <c r="C310" s="3" t="str">
        <f ca="1">IFERROR(
 INDEX($U$1:$AX$1,
  MATCH(TRUE,
   CHOOSE({1;2;3;4;5;6;7;8;9;10;11;12;13;14;15;16;17;18;19;20;21;22;23;24;25;26;27;28;29;30;31;32},
    COUNTIFS($U$2:$U$200,$G310)&gt;0,
    COUNTIFS($V$2:$V$200,$G310)&gt;0,
    COUNTIFS($W$2:$W$200,$G310)&gt;0,
    COUNTIFS($X$2:$X$200,$G310)&gt;0,
    COUNTIFS($Y$2:$Y$200,$G310)&gt;0,
    COUNTIFS($Z$2:$Z$200,$G310)&gt;0,
    COUNTIFS($AA$2:$AA$200,$G310)&gt;0,
    COUNTIFS($AB$2:$AB$200,$G310)&gt;0,
    COUNTIFS($AC$2:$AC$200,$G310)&gt;0,
    COUNTIFS($AD$2:$AD$200,$G310)&gt;0,
    COUNTIFS($AE$2:$AE$200,$G310)&gt;0,
    COUNTIFS($AF$2:$AF$200,$G310)&gt;0,
    COUNTIFS($AG$2:$AG$200,$G310)&gt;0,
    COUNTIFS($AH$2:$AH$200,$G310)&gt;0,
    COUNTIFS($AI$2:$AI$200,$G310)&gt;0,
    COUNTIFS($AJ$2:$AJ$200,$G310)&gt;0,
    COUNTIFS($AK$2:$AK$200,$G310)&gt;0,
    COUNTIFS($AL$2:$AL$200,$G310)&gt;0,
    COUNTIFS($AM$2:$AM$200,$G310)&gt;0,
    COUNTIFS($AN$2:$AN$200,$G310)&gt;0,
    COUNTIFS($AO$2:$AO$200,$G310)&gt;0,
    COUNTIFS($AP$2:$AP$200,$G310)&gt;0,
    COUNTIFS($AQ$2:$AQ$200,$G310)&gt;0,
    COUNTIFS($AR$2:$AR$200,$G310)&gt;0,
    COUNTIFS($AS$2:$AS$200,$G310)&gt;0,
    COUNTIFS($AT$2:$AT$200,$G310)&gt;0,
    COUNTIFS($AU$2:$AU$200,$G310)&gt;0,
    COUNTIFS($AV$2:$AV$200,$G310)&gt;0,
    COUNTIFS($AW$2:$AW$200,$G310)&gt;0,
    COUNTIFS($AX$2:$AX$200,$G310)&gt;0
   ),
  0)
 ),
"")</f>
        <v>Narset</v>
      </c>
      <c r="D310" s="3" t="str" cm="1">
        <f t="array" aca="1" ref="D310" ca="1">IFERROR(
 INDEX(
  _xlfn._xlws.FILTER($U$1:$AX$1,
   TRANSPOSE(
    CHOOSE({1;2;3;4;5;6;7;8;9;10;11;12;13;14;15;16;17;18;19;20;21;22;23;24;25;26;27;28;29;30},
     COUNTIFS($U$2:$U$200,$G310)&gt;0,
     COUNTIFS($V$2:$V$200,$G310)&gt;0,
     COUNTIFS($W$2:$W$200,$G310)&gt;0,
     COUNTIFS($X$2:$X$200,$G310)&gt;0,
     COUNTIFS($Y$2:$Y$200,$G310)&gt;0,
     COUNTIFS($Z$2:$Z$200,$G310)&gt;0,
     COUNTIFS($AA$2:$AA$200,$G310)&gt;0,
     COUNTIFS($AB$2:$AB$200,$G310)&gt;0,
     COUNTIFS($AC$2:$AC$200,$G310)&gt;0,
     COUNTIFS($AD$2:$AD$200,$G310)&gt;0,
     COUNTIFS($AE$2:$AE$200,$G310)&gt;0,
     COUNTIFS($AF$2:$AF$200,$G310)&gt;0,
     COUNTIFS($AG$2:$AG$200,$G310)&gt;0,
     COUNTIFS($AH$2:$AH$200,$G310)&gt;0,
     COUNTIFS($AI$2:$AI$200,$G310)&gt;0,
     COUNTIFS($AJ$2:$AJ$200,$G310)&gt;0,
     COUNTIFS($AK$2:$AK$200,$G310)&gt;0,
     COUNTIFS($AL$2:$AL$200,$G310)&gt;0,
     COUNTIFS($AM$2:$AM$200,$G310)&gt;0,
     COUNTIFS($AN$2:$AN$200,$G310)&gt;0,
     COUNTIFS($AO$2:$AO$200,$G310)&gt;0,
     COUNTIFS($AP$2:$AP$200,$G310)&gt;0,
     COUNTIFS($AQ$2:$AQ$200,$G310)&gt;0,
     COUNTIFS($AR$2:$AR$200,$G310)&gt;0,
     COUNTIFS($AS$2:$AS$200,$G310)&gt;0,
     COUNTIFS($AT$2:$AT$200,$G310)&gt;0,
     COUNTIFS($AU$2:$AU$200,$G310)&gt;0,
     COUNTIFS($AV$2:$AV$200,$G310)&gt;0,
     COUNTIFS($AW$2:$AW$200,$G310)&gt;0,
     COUNTIFS($AX$2:$AX$200,$G310)&gt;0
   )),
  ),
  2
 ),
"")</f>
        <v>VialIshai</v>
      </c>
      <c r="E310" s="3" t="str" cm="1">
        <f t="array" aca="1" ref="E310" ca="1">IFERROR(
 INDEX(
  _xlfn._xlws.FILTER($U$1:$AX$1,
   TRANSPOSE(
    CHOOSE({1;2;3;4;5;6;7;8;9;10;11;12;13;14;15;16;17;18;19;20;21;22;23;24;25;26;27;28;29;30},
     COUNTIFS($U$2:$U$200,$G310)&gt;0,
     COUNTIFS($V$2:$V$200,$G310)&gt;0,
     COUNTIFS($W$2:$W$200,$G310)&gt;0,
     COUNTIFS($X$2:$X$200,$G310)&gt;0,
     COUNTIFS($Y$2:$Y$200,$G310)&gt;0,
     COUNTIFS($Z$2:$Z$200,$G310)&gt;0,
     COUNTIFS($AA$2:$AA$200,$G310)&gt;0,
     COUNTIFS($AB$2:$AB$200,$G310)&gt;0,
     COUNTIFS($AC$2:$AC$200,$G310)&gt;0,
     COUNTIFS($AD$2:$AD$200,$G310)&gt;0,
     COUNTIFS($AE$2:$AE$200,$G310)&gt;0,
     COUNTIFS($AF$2:$AF$200,$G310)&gt;0,
     COUNTIFS($AG$2:$AG$200,$G310)&gt;0,
     COUNTIFS($AH$2:$AH$200,$G310)&gt;0,
     COUNTIFS($AI$2:$AI$200,$G310)&gt;0,
     COUNTIFS($AJ$2:$AJ$200,$G310)&gt;0,
     COUNTIFS($AK$2:$AK$200,$G310)&gt;0,
     COUNTIFS($AL$2:$AL$200,$G310)&gt;0,
     COUNTIFS($AM$2:$AM$200,$G310)&gt;0,
     COUNTIFS($AN$2:$AN$200,$G310)&gt;0,
     COUNTIFS($AO$2:$AO$200,$G310)&gt;0,
     COUNTIFS($AP$2:$AP$200,$G310)&gt;0,
     COUNTIFS($AQ$2:$AQ$200,$G310)&gt;0,
     COUNTIFS($AR$2:$AR$200,$G310)&gt;0,
     COUNTIFS($AS$2:$AS$200,$G310)&gt;0,
     COUNTIFS($AT$2:$AT$200,$G310)&gt;0,
     COUNTIFS($AU$2:$AU$200,$G310)&gt;0,
     COUNTIFS($AV$2:$AV$200,$G310)&gt;0,
     COUNTIFS($AW$2:$AW$200,$G310)&gt;0,
     COUNTIFS($AX$2:$AX$200,$G310)&gt;0
   )),
  ),
  3
 ),
"")</f>
        <v/>
      </c>
      <c r="F310" s="3" t="str" cm="1">
        <f t="array" aca="1" ref="F310" ca="1">IFERROR(
 INDEX(
  _xlfn._xlws.FILTER($U$1:$AX$1,
   TRANSPOSE(
    CHOOSE({1;2;3;4;5;6;7;8;9;10;11;12;13;14;15;16;17;18;19;20;21;22;23;24;25;26;27;28;29;30},
     COUNTIFS($U$2:$U$200,$G310)&gt;0,
     COUNTIFS($V$2:$V$200,$G310)&gt;0,
     COUNTIFS($W$2:$W$200,$G310)&gt;0,
     COUNTIFS($X$2:$X$200,$G310)&gt;0,
     COUNTIFS($Y$2:$Y$200,$G310)&gt;0,
     COUNTIFS($Z$2:$Z$200,$G310)&gt;0,
     COUNTIFS($AA$2:$AA$200,$G310)&gt;0,
     COUNTIFS($AB$2:$AB$200,$G310)&gt;0,
     COUNTIFS($AC$2:$AC$200,$G310)&gt;0,
     COUNTIFS($AD$2:$AD$200,$G310)&gt;0,
     COUNTIFS($AE$2:$AE$200,$G310)&gt;0,
     COUNTIFS($AF$2:$AF$200,$G310)&gt;0,
     COUNTIFS($AG$2:$AG$200,$G310)&gt;0,
     COUNTIFS($AH$2:$AH$200,$G310)&gt;0,
     COUNTIFS($AI$2:$AI$200,$G310)&gt;0,
     COUNTIFS($AJ$2:$AJ$200,$G310)&gt;0,
     COUNTIFS($AK$2:$AK$200,$G310)&gt;0,
     COUNTIFS($AL$2:$AL$200,$G310)&gt;0,
     COUNTIFS($AM$2:$AM$200,$G310)&gt;0,
     COUNTIFS($AN$2:$AN$200,$G310)&gt;0,
     COUNTIFS($AO$2:$AO$200,$G310)&gt;0,
     COUNTIFS($AP$2:$AP$200,$G310)&gt;0,
     COUNTIFS($AQ$2:$AQ$200,$G310)&gt;0,
     COUNTIFS($AR$2:$AR$200,$G310)&gt;0,
     COUNTIFS($AS$2:$AS$200,$G310)&gt;0,
     COUNTIFS($AT$2:$AT$200,$G310)&gt;0,
     COUNTIFS($AU$2:$AU$200,$G310)&gt;0,
     COUNTIFS($AV$2:$AV$200,$G310)&gt;0,
     COUNTIFS($AW$2:$AW$200,$G310)&gt;0,
     COUNTIFS($AX$2:$AX$200,$G310)&gt;0
   )),
  ),
  4
 ),
"")</f>
        <v/>
      </c>
      <c r="G310" t="str">
        <f ca="1"/>
        <v>Spectator Seating</v>
      </c>
    </row>
    <row r="311" spans="1:7" x14ac:dyDescent="0.25">
      <c r="A311" s="3" t="str">
        <f t="shared" ca="1" si="10"/>
        <v>1</v>
      </c>
      <c r="B311" s="3">
        <f t="shared" ca="1" si="11"/>
        <v>1</v>
      </c>
      <c r="C311" s="3" t="str">
        <f ca="1">IFERROR(
 INDEX($U$1:$AX$1,
  MATCH(TRUE,
   CHOOSE({1;2;3;4;5;6;7;8;9;10;11;12;13;14;15;16;17;18;19;20;21;22;23;24;25;26;27;28;29;30;31;32},
    COUNTIFS($U$2:$U$200,$G311)&gt;0,
    COUNTIFS($V$2:$V$200,$G311)&gt;0,
    COUNTIFS($W$2:$W$200,$G311)&gt;0,
    COUNTIFS($X$2:$X$200,$G311)&gt;0,
    COUNTIFS($Y$2:$Y$200,$G311)&gt;0,
    COUNTIFS($Z$2:$Z$200,$G311)&gt;0,
    COUNTIFS($AA$2:$AA$200,$G311)&gt;0,
    COUNTIFS($AB$2:$AB$200,$G311)&gt;0,
    COUNTIFS($AC$2:$AC$200,$G311)&gt;0,
    COUNTIFS($AD$2:$AD$200,$G311)&gt;0,
    COUNTIFS($AE$2:$AE$200,$G311)&gt;0,
    COUNTIFS($AF$2:$AF$200,$G311)&gt;0,
    COUNTIFS($AG$2:$AG$200,$G311)&gt;0,
    COUNTIFS($AH$2:$AH$200,$G311)&gt;0,
    COUNTIFS($AI$2:$AI$200,$G311)&gt;0,
    COUNTIFS($AJ$2:$AJ$200,$G311)&gt;0,
    COUNTIFS($AK$2:$AK$200,$G311)&gt;0,
    COUNTIFS($AL$2:$AL$200,$G311)&gt;0,
    COUNTIFS($AM$2:$AM$200,$G311)&gt;0,
    COUNTIFS($AN$2:$AN$200,$G311)&gt;0,
    COUNTIFS($AO$2:$AO$200,$G311)&gt;0,
    COUNTIFS($AP$2:$AP$200,$G311)&gt;0,
    COUNTIFS($AQ$2:$AQ$200,$G311)&gt;0,
    COUNTIFS($AR$2:$AR$200,$G311)&gt;0,
    COUNTIFS($AS$2:$AS$200,$G311)&gt;0,
    COUNTIFS($AT$2:$AT$200,$G311)&gt;0,
    COUNTIFS($AU$2:$AU$200,$G311)&gt;0,
    COUNTIFS($AV$2:$AV$200,$G311)&gt;0,
    COUNTIFS($AW$2:$AW$200,$G311)&gt;0,
    COUNTIFS($AX$2:$AX$200,$G311)&gt;0
   ),
  0)
 ),
"")</f>
        <v>Tayam</v>
      </c>
      <c r="D311" s="3" t="str" cm="1">
        <f t="array" aca="1" ref="D311" ca="1">IFERROR(
 INDEX(
  _xlfn._xlws.FILTER($U$1:$AX$1,
   TRANSPOSE(
    CHOOSE({1;2;3;4;5;6;7;8;9;10;11;12;13;14;15;16;17;18;19;20;21;22;23;24;25;26;27;28;29;30},
     COUNTIFS($U$2:$U$200,$G311)&gt;0,
     COUNTIFS($V$2:$V$200,$G311)&gt;0,
     COUNTIFS($W$2:$W$200,$G311)&gt;0,
     COUNTIFS($X$2:$X$200,$G311)&gt;0,
     COUNTIFS($Y$2:$Y$200,$G311)&gt;0,
     COUNTIFS($Z$2:$Z$200,$G311)&gt;0,
     COUNTIFS($AA$2:$AA$200,$G311)&gt;0,
     COUNTIFS($AB$2:$AB$200,$G311)&gt;0,
     COUNTIFS($AC$2:$AC$200,$G311)&gt;0,
     COUNTIFS($AD$2:$AD$200,$G311)&gt;0,
     COUNTIFS($AE$2:$AE$200,$G311)&gt;0,
     COUNTIFS($AF$2:$AF$200,$G311)&gt;0,
     COUNTIFS($AG$2:$AG$200,$G311)&gt;0,
     COUNTIFS($AH$2:$AH$200,$G311)&gt;0,
     COUNTIFS($AI$2:$AI$200,$G311)&gt;0,
     COUNTIFS($AJ$2:$AJ$200,$G311)&gt;0,
     COUNTIFS($AK$2:$AK$200,$G311)&gt;0,
     COUNTIFS($AL$2:$AL$200,$G311)&gt;0,
     COUNTIFS($AM$2:$AM$200,$G311)&gt;0,
     COUNTIFS($AN$2:$AN$200,$G311)&gt;0,
     COUNTIFS($AO$2:$AO$200,$G311)&gt;0,
     COUNTIFS($AP$2:$AP$200,$G311)&gt;0,
     COUNTIFS($AQ$2:$AQ$200,$G311)&gt;0,
     COUNTIFS($AR$2:$AR$200,$G311)&gt;0,
     COUNTIFS($AS$2:$AS$200,$G311)&gt;0,
     COUNTIFS($AT$2:$AT$200,$G311)&gt;0,
     COUNTIFS($AU$2:$AU$200,$G311)&gt;0,
     COUNTIFS($AV$2:$AV$200,$G311)&gt;0,
     COUNTIFS($AW$2:$AW$200,$G311)&gt;0,
     COUNTIFS($AX$2:$AX$200,$G311)&gt;0
   )),
  ),
  2
 ),
"")</f>
        <v/>
      </c>
      <c r="E311" s="3" t="str" cm="1">
        <f t="array" aca="1" ref="E311" ca="1">IFERROR(
 INDEX(
  _xlfn._xlws.FILTER($U$1:$AX$1,
   TRANSPOSE(
    CHOOSE({1;2;3;4;5;6;7;8;9;10;11;12;13;14;15;16;17;18;19;20;21;22;23;24;25;26;27;28;29;30},
     COUNTIFS($U$2:$U$200,$G311)&gt;0,
     COUNTIFS($V$2:$V$200,$G311)&gt;0,
     COUNTIFS($W$2:$W$200,$G311)&gt;0,
     COUNTIFS($X$2:$X$200,$G311)&gt;0,
     COUNTIFS($Y$2:$Y$200,$G311)&gt;0,
     COUNTIFS($Z$2:$Z$200,$G311)&gt;0,
     COUNTIFS($AA$2:$AA$200,$G311)&gt;0,
     COUNTIFS($AB$2:$AB$200,$G311)&gt;0,
     COUNTIFS($AC$2:$AC$200,$G311)&gt;0,
     COUNTIFS($AD$2:$AD$200,$G311)&gt;0,
     COUNTIFS($AE$2:$AE$200,$G311)&gt;0,
     COUNTIFS($AF$2:$AF$200,$G311)&gt;0,
     COUNTIFS($AG$2:$AG$200,$G311)&gt;0,
     COUNTIFS($AH$2:$AH$200,$G311)&gt;0,
     COUNTIFS($AI$2:$AI$200,$G311)&gt;0,
     COUNTIFS($AJ$2:$AJ$200,$G311)&gt;0,
     COUNTIFS($AK$2:$AK$200,$G311)&gt;0,
     COUNTIFS($AL$2:$AL$200,$G311)&gt;0,
     COUNTIFS($AM$2:$AM$200,$G311)&gt;0,
     COUNTIFS($AN$2:$AN$200,$G311)&gt;0,
     COUNTIFS($AO$2:$AO$200,$G311)&gt;0,
     COUNTIFS($AP$2:$AP$200,$G311)&gt;0,
     COUNTIFS($AQ$2:$AQ$200,$G311)&gt;0,
     COUNTIFS($AR$2:$AR$200,$G311)&gt;0,
     COUNTIFS($AS$2:$AS$200,$G311)&gt;0,
     COUNTIFS($AT$2:$AT$200,$G311)&gt;0,
     COUNTIFS($AU$2:$AU$200,$G311)&gt;0,
     COUNTIFS($AV$2:$AV$200,$G311)&gt;0,
     COUNTIFS($AW$2:$AW$200,$G311)&gt;0,
     COUNTIFS($AX$2:$AX$200,$G311)&gt;0
   )),
  ),
  3
 ),
"")</f>
        <v/>
      </c>
      <c r="F311" s="3" t="str" cm="1">
        <f t="array" aca="1" ref="F311" ca="1">IFERROR(
 INDEX(
  _xlfn._xlws.FILTER($U$1:$AX$1,
   TRANSPOSE(
    CHOOSE({1;2;3;4;5;6;7;8;9;10;11;12;13;14;15;16;17;18;19;20;21;22;23;24;25;26;27;28;29;30},
     COUNTIFS($U$2:$U$200,$G311)&gt;0,
     COUNTIFS($V$2:$V$200,$G311)&gt;0,
     COUNTIFS($W$2:$W$200,$G311)&gt;0,
     COUNTIFS($X$2:$X$200,$G311)&gt;0,
     COUNTIFS($Y$2:$Y$200,$G311)&gt;0,
     COUNTIFS($Z$2:$Z$200,$G311)&gt;0,
     COUNTIFS($AA$2:$AA$200,$G311)&gt;0,
     COUNTIFS($AB$2:$AB$200,$G311)&gt;0,
     COUNTIFS($AC$2:$AC$200,$G311)&gt;0,
     COUNTIFS($AD$2:$AD$200,$G311)&gt;0,
     COUNTIFS($AE$2:$AE$200,$G311)&gt;0,
     COUNTIFS($AF$2:$AF$200,$G311)&gt;0,
     COUNTIFS($AG$2:$AG$200,$G311)&gt;0,
     COUNTIFS($AH$2:$AH$200,$G311)&gt;0,
     COUNTIFS($AI$2:$AI$200,$G311)&gt;0,
     COUNTIFS($AJ$2:$AJ$200,$G311)&gt;0,
     COUNTIFS($AK$2:$AK$200,$G311)&gt;0,
     COUNTIFS($AL$2:$AL$200,$G311)&gt;0,
     COUNTIFS($AM$2:$AM$200,$G311)&gt;0,
     COUNTIFS($AN$2:$AN$200,$G311)&gt;0,
     COUNTIFS($AO$2:$AO$200,$G311)&gt;0,
     COUNTIFS($AP$2:$AP$200,$G311)&gt;0,
     COUNTIFS($AQ$2:$AQ$200,$G311)&gt;0,
     COUNTIFS($AR$2:$AR$200,$G311)&gt;0,
     COUNTIFS($AS$2:$AS$200,$G311)&gt;0,
     COUNTIFS($AT$2:$AT$200,$G311)&gt;0,
     COUNTIFS($AU$2:$AU$200,$G311)&gt;0,
     COUNTIFS($AV$2:$AV$200,$G311)&gt;0,
     COUNTIFS($AW$2:$AW$200,$G311)&gt;0,
     COUNTIFS($AX$2:$AX$200,$G311)&gt;0
   )),
  ),
  4
 ),
"")</f>
        <v/>
      </c>
      <c r="G311" t="str">
        <f ca="1"/>
        <v>Sphere Grid</v>
      </c>
    </row>
    <row r="312" spans="1:7" x14ac:dyDescent="0.25">
      <c r="A312" s="3" t="str">
        <f t="shared" ca="1" si="10"/>
        <v>2</v>
      </c>
      <c r="B312" s="3">
        <f t="shared" ca="1" si="11"/>
        <v>1</v>
      </c>
      <c r="C312" s="3" t="str">
        <f ca="1">IFERROR(
 INDEX($U$1:$AX$1,
  MATCH(TRUE,
   CHOOSE({1;2;3;4;5;6;7;8;9;10;11;12;13;14;15;16;17;18;19;20;21;22;23;24;25;26;27;28;29;30;31;32},
    COUNTIFS($U$2:$U$200,$G312)&gt;0,
    COUNTIFS($V$2:$V$200,$G312)&gt;0,
    COUNTIFS($W$2:$W$200,$G312)&gt;0,
    COUNTIFS($X$2:$X$200,$G312)&gt;0,
    COUNTIFS($Y$2:$Y$200,$G312)&gt;0,
    COUNTIFS($Z$2:$Z$200,$G312)&gt;0,
    COUNTIFS($AA$2:$AA$200,$G312)&gt;0,
    COUNTIFS($AB$2:$AB$200,$G312)&gt;0,
    COUNTIFS($AC$2:$AC$200,$G312)&gt;0,
    COUNTIFS($AD$2:$AD$200,$G312)&gt;0,
    COUNTIFS($AE$2:$AE$200,$G312)&gt;0,
    COUNTIFS($AF$2:$AF$200,$G312)&gt;0,
    COUNTIFS($AG$2:$AG$200,$G312)&gt;0,
    COUNTIFS($AH$2:$AH$200,$G312)&gt;0,
    COUNTIFS($AI$2:$AI$200,$G312)&gt;0,
    COUNTIFS($AJ$2:$AJ$200,$G312)&gt;0,
    COUNTIFS($AK$2:$AK$200,$G312)&gt;0,
    COUNTIFS($AL$2:$AL$200,$G312)&gt;0,
    COUNTIFS($AM$2:$AM$200,$G312)&gt;0,
    COUNTIFS($AN$2:$AN$200,$G312)&gt;0,
    COUNTIFS($AO$2:$AO$200,$G312)&gt;0,
    COUNTIFS($AP$2:$AP$200,$G312)&gt;0,
    COUNTIFS($AQ$2:$AQ$200,$G312)&gt;0,
    COUNTIFS($AR$2:$AR$200,$G312)&gt;0,
    COUNTIFS($AS$2:$AS$200,$G312)&gt;0,
    COUNTIFS($AT$2:$AT$200,$G312)&gt;0,
    COUNTIFS($AU$2:$AU$200,$G312)&gt;0,
    COUNTIFS($AV$2:$AV$200,$G312)&gt;0,
    COUNTIFS($AW$2:$AW$200,$G312)&gt;0,
    COUNTIFS($AX$2:$AX$200,$G312)&gt;0
   ),
  0)
 ),
"")</f>
        <v>Piratas</v>
      </c>
      <c r="D312" s="3" t="str" cm="1">
        <f t="array" aca="1" ref="D312" ca="1">IFERROR(
 INDEX(
  _xlfn._xlws.FILTER($U$1:$AX$1,
   TRANSPOSE(
    CHOOSE({1;2;3;4;5;6;7;8;9;10;11;12;13;14;15;16;17;18;19;20;21;22;23;24;25;26;27;28;29;30},
     COUNTIFS($U$2:$U$200,$G312)&gt;0,
     COUNTIFS($V$2:$V$200,$G312)&gt;0,
     COUNTIFS($W$2:$W$200,$G312)&gt;0,
     COUNTIFS($X$2:$X$200,$G312)&gt;0,
     COUNTIFS($Y$2:$Y$200,$G312)&gt;0,
     COUNTIFS($Z$2:$Z$200,$G312)&gt;0,
     COUNTIFS($AA$2:$AA$200,$G312)&gt;0,
     COUNTIFS($AB$2:$AB$200,$G312)&gt;0,
     COUNTIFS($AC$2:$AC$200,$G312)&gt;0,
     COUNTIFS($AD$2:$AD$200,$G312)&gt;0,
     COUNTIFS($AE$2:$AE$200,$G312)&gt;0,
     COUNTIFS($AF$2:$AF$200,$G312)&gt;0,
     COUNTIFS($AG$2:$AG$200,$G312)&gt;0,
     COUNTIFS($AH$2:$AH$200,$G312)&gt;0,
     COUNTIFS($AI$2:$AI$200,$G312)&gt;0,
     COUNTIFS($AJ$2:$AJ$200,$G312)&gt;0,
     COUNTIFS($AK$2:$AK$200,$G312)&gt;0,
     COUNTIFS($AL$2:$AL$200,$G312)&gt;0,
     COUNTIFS($AM$2:$AM$200,$G312)&gt;0,
     COUNTIFS($AN$2:$AN$200,$G312)&gt;0,
     COUNTIFS($AO$2:$AO$200,$G312)&gt;0,
     COUNTIFS($AP$2:$AP$200,$G312)&gt;0,
     COUNTIFS($AQ$2:$AQ$200,$G312)&gt;0,
     COUNTIFS($AR$2:$AR$200,$G312)&gt;0,
     COUNTIFS($AS$2:$AS$200,$G312)&gt;0,
     COUNTIFS($AT$2:$AT$200,$G312)&gt;0,
     COUNTIFS($AU$2:$AU$200,$G312)&gt;0,
     COUNTIFS($AV$2:$AV$200,$G312)&gt;0,
     COUNTIFS($AW$2:$AW$200,$G312)&gt;0,
     COUNTIFS($AX$2:$AX$200,$G312)&gt;0
   )),
  ),
  2
 ),
"")</f>
        <v/>
      </c>
      <c r="E312" s="3" t="str" cm="1">
        <f t="array" aca="1" ref="E312" ca="1">IFERROR(
 INDEX(
  _xlfn._xlws.FILTER($U$1:$AX$1,
   TRANSPOSE(
    CHOOSE({1;2;3;4;5;6;7;8;9;10;11;12;13;14;15;16;17;18;19;20;21;22;23;24;25;26;27;28;29;30},
     COUNTIFS($U$2:$U$200,$G312)&gt;0,
     COUNTIFS($V$2:$V$200,$G312)&gt;0,
     COUNTIFS($W$2:$W$200,$G312)&gt;0,
     COUNTIFS($X$2:$X$200,$G312)&gt;0,
     COUNTIFS($Y$2:$Y$200,$G312)&gt;0,
     COUNTIFS($Z$2:$Z$200,$G312)&gt;0,
     COUNTIFS($AA$2:$AA$200,$G312)&gt;0,
     COUNTIFS($AB$2:$AB$200,$G312)&gt;0,
     COUNTIFS($AC$2:$AC$200,$G312)&gt;0,
     COUNTIFS($AD$2:$AD$200,$G312)&gt;0,
     COUNTIFS($AE$2:$AE$200,$G312)&gt;0,
     COUNTIFS($AF$2:$AF$200,$G312)&gt;0,
     COUNTIFS($AG$2:$AG$200,$G312)&gt;0,
     COUNTIFS($AH$2:$AH$200,$G312)&gt;0,
     COUNTIFS($AI$2:$AI$200,$G312)&gt;0,
     COUNTIFS($AJ$2:$AJ$200,$G312)&gt;0,
     COUNTIFS($AK$2:$AK$200,$G312)&gt;0,
     COUNTIFS($AL$2:$AL$200,$G312)&gt;0,
     COUNTIFS($AM$2:$AM$200,$G312)&gt;0,
     COUNTIFS($AN$2:$AN$200,$G312)&gt;0,
     COUNTIFS($AO$2:$AO$200,$G312)&gt;0,
     COUNTIFS($AP$2:$AP$200,$G312)&gt;0,
     COUNTIFS($AQ$2:$AQ$200,$G312)&gt;0,
     COUNTIFS($AR$2:$AR$200,$G312)&gt;0,
     COUNTIFS($AS$2:$AS$200,$G312)&gt;0,
     COUNTIFS($AT$2:$AT$200,$G312)&gt;0,
     COUNTIFS($AU$2:$AU$200,$G312)&gt;0,
     COUNTIFS($AV$2:$AV$200,$G312)&gt;0,
     COUNTIFS($AW$2:$AW$200,$G312)&gt;0,
     COUNTIFS($AX$2:$AX$200,$G312)&gt;0
   )),
  ),
  3
 ),
"")</f>
        <v/>
      </c>
      <c r="F312" s="3" t="str" cm="1">
        <f t="array" aca="1" ref="F312" ca="1">IFERROR(
 INDEX(
  _xlfn._xlws.FILTER($U$1:$AX$1,
   TRANSPOSE(
    CHOOSE({1;2;3;4;5;6;7;8;9;10;11;12;13;14;15;16;17;18;19;20;21;22;23;24;25;26;27;28;29;30},
     COUNTIFS($U$2:$U$200,$G312)&gt;0,
     COUNTIFS($V$2:$V$200,$G312)&gt;0,
     COUNTIFS($W$2:$W$200,$G312)&gt;0,
     COUNTIFS($X$2:$X$200,$G312)&gt;0,
     COUNTIFS($Y$2:$Y$200,$G312)&gt;0,
     COUNTIFS($Z$2:$Z$200,$G312)&gt;0,
     COUNTIFS($AA$2:$AA$200,$G312)&gt;0,
     COUNTIFS($AB$2:$AB$200,$G312)&gt;0,
     COUNTIFS($AC$2:$AC$200,$G312)&gt;0,
     COUNTIFS($AD$2:$AD$200,$G312)&gt;0,
     COUNTIFS($AE$2:$AE$200,$G312)&gt;0,
     COUNTIFS($AF$2:$AF$200,$G312)&gt;0,
     COUNTIFS($AG$2:$AG$200,$G312)&gt;0,
     COUNTIFS($AH$2:$AH$200,$G312)&gt;0,
     COUNTIFS($AI$2:$AI$200,$G312)&gt;0,
     COUNTIFS($AJ$2:$AJ$200,$G312)&gt;0,
     COUNTIFS($AK$2:$AK$200,$G312)&gt;0,
     COUNTIFS($AL$2:$AL$200,$G312)&gt;0,
     COUNTIFS($AM$2:$AM$200,$G312)&gt;0,
     COUNTIFS($AN$2:$AN$200,$G312)&gt;0,
     COUNTIFS($AO$2:$AO$200,$G312)&gt;0,
     COUNTIFS($AP$2:$AP$200,$G312)&gt;0,
     COUNTIFS($AQ$2:$AQ$200,$G312)&gt;0,
     COUNTIFS($AR$2:$AR$200,$G312)&gt;0,
     COUNTIFS($AS$2:$AS$200,$G312)&gt;0,
     COUNTIFS($AT$2:$AT$200,$G312)&gt;0,
     COUNTIFS($AU$2:$AU$200,$G312)&gt;0,
     COUNTIFS($AV$2:$AV$200,$G312)&gt;0,
     COUNTIFS($AW$2:$AW$200,$G312)&gt;0,
     COUNTIFS($AX$2:$AX$200,$G312)&gt;0
   )),
  ),
  4
 ),
"")</f>
        <v/>
      </c>
      <c r="G312" t="str">
        <f ca="1"/>
        <v>Spyglass Siren</v>
      </c>
    </row>
    <row r="313" spans="1:7" x14ac:dyDescent="0.25">
      <c r="A313" s="3" t="str">
        <f t="shared" ca="1" si="10"/>
        <v>1</v>
      </c>
      <c r="B313" s="3">
        <f t="shared" ca="1" si="11"/>
        <v>1</v>
      </c>
      <c r="C313" s="3" t="str">
        <f ca="1">IFERROR(
 INDEX($U$1:$AX$1,
  MATCH(TRUE,
   CHOOSE({1;2;3;4;5;6;7;8;9;10;11;12;13;14;15;16;17;18;19;20;21;22;23;24;25;26;27;28;29;30;31;32},
    COUNTIFS($U$2:$U$200,$G313)&gt;0,
    COUNTIFS($V$2:$V$200,$G313)&gt;0,
    COUNTIFS($W$2:$W$200,$G313)&gt;0,
    COUNTIFS($X$2:$X$200,$G313)&gt;0,
    COUNTIFS($Y$2:$Y$200,$G313)&gt;0,
    COUNTIFS($Z$2:$Z$200,$G313)&gt;0,
    COUNTIFS($AA$2:$AA$200,$G313)&gt;0,
    COUNTIFS($AB$2:$AB$200,$G313)&gt;0,
    COUNTIFS($AC$2:$AC$200,$G313)&gt;0,
    COUNTIFS($AD$2:$AD$200,$G313)&gt;0,
    COUNTIFS($AE$2:$AE$200,$G313)&gt;0,
    COUNTIFS($AF$2:$AF$200,$G313)&gt;0,
    COUNTIFS($AG$2:$AG$200,$G313)&gt;0,
    COUNTIFS($AH$2:$AH$200,$G313)&gt;0,
    COUNTIFS($AI$2:$AI$200,$G313)&gt;0,
    COUNTIFS($AJ$2:$AJ$200,$G313)&gt;0,
    COUNTIFS($AK$2:$AK$200,$G313)&gt;0,
    COUNTIFS($AL$2:$AL$200,$G313)&gt;0,
    COUNTIFS($AM$2:$AM$200,$G313)&gt;0,
    COUNTIFS($AN$2:$AN$200,$G313)&gt;0,
    COUNTIFS($AO$2:$AO$200,$G313)&gt;0,
    COUNTIFS($AP$2:$AP$200,$G313)&gt;0,
    COUNTIFS($AQ$2:$AQ$200,$G313)&gt;0,
    COUNTIFS($AR$2:$AR$200,$G313)&gt;0,
    COUNTIFS($AS$2:$AS$200,$G313)&gt;0,
    COUNTIFS($AT$2:$AT$200,$G313)&gt;0,
    COUNTIFS($AU$2:$AU$200,$G313)&gt;0,
    COUNTIFS($AV$2:$AV$200,$G313)&gt;0,
    COUNTIFS($AW$2:$AW$200,$G313)&gt;0,
    COUNTIFS($AX$2:$AX$200,$G313)&gt;0
   ),
  0)
 ),
"")</f>
        <v>Modular</v>
      </c>
      <c r="D313" s="3" t="str" cm="1">
        <f t="array" aca="1" ref="D313" ca="1">IFERROR(
 INDEX(
  _xlfn._xlws.FILTER($U$1:$AX$1,
   TRANSPOSE(
    CHOOSE({1;2;3;4;5;6;7;8;9;10;11;12;13;14;15;16;17;18;19;20;21;22;23;24;25;26;27;28;29;30},
     COUNTIFS($U$2:$U$200,$G313)&gt;0,
     COUNTIFS($V$2:$V$200,$G313)&gt;0,
     COUNTIFS($W$2:$W$200,$G313)&gt;0,
     COUNTIFS($X$2:$X$200,$G313)&gt;0,
     COUNTIFS($Y$2:$Y$200,$G313)&gt;0,
     COUNTIFS($Z$2:$Z$200,$G313)&gt;0,
     COUNTIFS($AA$2:$AA$200,$G313)&gt;0,
     COUNTIFS($AB$2:$AB$200,$G313)&gt;0,
     COUNTIFS($AC$2:$AC$200,$G313)&gt;0,
     COUNTIFS($AD$2:$AD$200,$G313)&gt;0,
     COUNTIFS($AE$2:$AE$200,$G313)&gt;0,
     COUNTIFS($AF$2:$AF$200,$G313)&gt;0,
     COUNTIFS($AG$2:$AG$200,$G313)&gt;0,
     COUNTIFS($AH$2:$AH$200,$G313)&gt;0,
     COUNTIFS($AI$2:$AI$200,$G313)&gt;0,
     COUNTIFS($AJ$2:$AJ$200,$G313)&gt;0,
     COUNTIFS($AK$2:$AK$200,$G313)&gt;0,
     COUNTIFS($AL$2:$AL$200,$G313)&gt;0,
     COUNTIFS($AM$2:$AM$200,$G313)&gt;0,
     COUNTIFS($AN$2:$AN$200,$G313)&gt;0,
     COUNTIFS($AO$2:$AO$200,$G313)&gt;0,
     COUNTIFS($AP$2:$AP$200,$G313)&gt;0,
     COUNTIFS($AQ$2:$AQ$200,$G313)&gt;0,
     COUNTIFS($AR$2:$AR$200,$G313)&gt;0,
     COUNTIFS($AS$2:$AS$200,$G313)&gt;0,
     COUNTIFS($AT$2:$AT$200,$G313)&gt;0,
     COUNTIFS($AU$2:$AU$200,$G313)&gt;0,
     COUNTIFS($AV$2:$AV$200,$G313)&gt;0,
     COUNTIFS($AW$2:$AW$200,$G313)&gt;0,
     COUNTIFS($AX$2:$AX$200,$G313)&gt;0
   )),
  ),
  2
 ),
"")</f>
        <v/>
      </c>
      <c r="E313" s="3" t="str" cm="1">
        <f t="array" aca="1" ref="E313" ca="1">IFERROR(
 INDEX(
  _xlfn._xlws.FILTER($U$1:$AX$1,
   TRANSPOSE(
    CHOOSE({1;2;3;4;5;6;7;8;9;10;11;12;13;14;15;16;17;18;19;20;21;22;23;24;25;26;27;28;29;30},
     COUNTIFS($U$2:$U$200,$G313)&gt;0,
     COUNTIFS($V$2:$V$200,$G313)&gt;0,
     COUNTIFS($W$2:$W$200,$G313)&gt;0,
     COUNTIFS($X$2:$X$200,$G313)&gt;0,
     COUNTIFS($Y$2:$Y$200,$G313)&gt;0,
     COUNTIFS($Z$2:$Z$200,$G313)&gt;0,
     COUNTIFS($AA$2:$AA$200,$G313)&gt;0,
     COUNTIFS($AB$2:$AB$200,$G313)&gt;0,
     COUNTIFS($AC$2:$AC$200,$G313)&gt;0,
     COUNTIFS($AD$2:$AD$200,$G313)&gt;0,
     COUNTIFS($AE$2:$AE$200,$G313)&gt;0,
     COUNTIFS($AF$2:$AF$200,$G313)&gt;0,
     COUNTIFS($AG$2:$AG$200,$G313)&gt;0,
     COUNTIFS($AH$2:$AH$200,$G313)&gt;0,
     COUNTIFS($AI$2:$AI$200,$G313)&gt;0,
     COUNTIFS($AJ$2:$AJ$200,$G313)&gt;0,
     COUNTIFS($AK$2:$AK$200,$G313)&gt;0,
     COUNTIFS($AL$2:$AL$200,$G313)&gt;0,
     COUNTIFS($AM$2:$AM$200,$G313)&gt;0,
     COUNTIFS($AN$2:$AN$200,$G313)&gt;0,
     COUNTIFS($AO$2:$AO$200,$G313)&gt;0,
     COUNTIFS($AP$2:$AP$200,$G313)&gt;0,
     COUNTIFS($AQ$2:$AQ$200,$G313)&gt;0,
     COUNTIFS($AR$2:$AR$200,$G313)&gt;0,
     COUNTIFS($AS$2:$AS$200,$G313)&gt;0,
     COUNTIFS($AT$2:$AT$200,$G313)&gt;0,
     COUNTIFS($AU$2:$AU$200,$G313)&gt;0,
     COUNTIFS($AV$2:$AV$200,$G313)&gt;0,
     COUNTIFS($AW$2:$AW$200,$G313)&gt;0,
     COUNTIFS($AX$2:$AX$200,$G313)&gt;0
   )),
  ),
  3
 ),
"")</f>
        <v/>
      </c>
      <c r="F313" s="3" t="str" cm="1">
        <f t="array" aca="1" ref="F313" ca="1">IFERROR(
 INDEX(
  _xlfn._xlws.FILTER($U$1:$AX$1,
   TRANSPOSE(
    CHOOSE({1;2;3;4;5;6;7;8;9;10;11;12;13;14;15;16;17;18;19;20;21;22;23;24;25;26;27;28;29;30},
     COUNTIFS($U$2:$U$200,$G313)&gt;0,
     COUNTIFS($V$2:$V$200,$G313)&gt;0,
     COUNTIFS($W$2:$W$200,$G313)&gt;0,
     COUNTIFS($X$2:$X$200,$G313)&gt;0,
     COUNTIFS($Y$2:$Y$200,$G313)&gt;0,
     COUNTIFS($Z$2:$Z$200,$G313)&gt;0,
     COUNTIFS($AA$2:$AA$200,$G313)&gt;0,
     COUNTIFS($AB$2:$AB$200,$G313)&gt;0,
     COUNTIFS($AC$2:$AC$200,$G313)&gt;0,
     COUNTIFS($AD$2:$AD$200,$G313)&gt;0,
     COUNTIFS($AE$2:$AE$200,$G313)&gt;0,
     COUNTIFS($AF$2:$AF$200,$G313)&gt;0,
     COUNTIFS($AG$2:$AG$200,$G313)&gt;0,
     COUNTIFS($AH$2:$AH$200,$G313)&gt;0,
     COUNTIFS($AI$2:$AI$200,$G313)&gt;0,
     COUNTIFS($AJ$2:$AJ$200,$G313)&gt;0,
     COUNTIFS($AK$2:$AK$200,$G313)&gt;0,
     COUNTIFS($AL$2:$AL$200,$G313)&gt;0,
     COUNTIFS($AM$2:$AM$200,$G313)&gt;0,
     COUNTIFS($AN$2:$AN$200,$G313)&gt;0,
     COUNTIFS($AO$2:$AO$200,$G313)&gt;0,
     COUNTIFS($AP$2:$AP$200,$G313)&gt;0,
     COUNTIFS($AQ$2:$AQ$200,$G313)&gt;0,
     COUNTIFS($AR$2:$AR$200,$G313)&gt;0,
     COUNTIFS($AS$2:$AS$200,$G313)&gt;0,
     COUNTIFS($AT$2:$AT$200,$G313)&gt;0,
     COUNTIFS($AU$2:$AU$200,$G313)&gt;0,
     COUNTIFS($AV$2:$AV$200,$G313)&gt;0,
     COUNTIFS($AW$2:$AW$200,$G313)&gt;0,
     COUNTIFS($AX$2:$AX$200,$G313)&gt;0
   )),
  ),
  4
 ),
"")</f>
        <v/>
      </c>
      <c r="G313" t="str">
        <f ca="1"/>
        <v>Steel Overseer</v>
      </c>
    </row>
    <row r="314" spans="1:7" x14ac:dyDescent="0.25">
      <c r="A314" s="3" t="str">
        <f t="shared" ca="1" si="10"/>
        <v>1</v>
      </c>
      <c r="B314" s="3">
        <f t="shared" ca="1" si="11"/>
        <v>1</v>
      </c>
      <c r="C314" s="3" t="str">
        <f ca="1">IFERROR(
 INDEX($U$1:$AX$1,
  MATCH(TRUE,
   CHOOSE({1;2;3;4;5;6;7;8;9;10;11;12;13;14;15;16;17;18;19;20;21;22;23;24;25;26;27;28;29;30;31;32},
    COUNTIFS($U$2:$U$200,$G314)&gt;0,
    COUNTIFS($V$2:$V$200,$G314)&gt;0,
    COUNTIFS($W$2:$W$200,$G314)&gt;0,
    COUNTIFS($X$2:$X$200,$G314)&gt;0,
    COUNTIFS($Y$2:$Y$200,$G314)&gt;0,
    COUNTIFS($Z$2:$Z$200,$G314)&gt;0,
    COUNTIFS($AA$2:$AA$200,$G314)&gt;0,
    COUNTIFS($AB$2:$AB$200,$G314)&gt;0,
    COUNTIFS($AC$2:$AC$200,$G314)&gt;0,
    COUNTIFS($AD$2:$AD$200,$G314)&gt;0,
    COUNTIFS($AE$2:$AE$200,$G314)&gt;0,
    COUNTIFS($AF$2:$AF$200,$G314)&gt;0,
    COUNTIFS($AG$2:$AG$200,$G314)&gt;0,
    COUNTIFS($AH$2:$AH$200,$G314)&gt;0,
    COUNTIFS($AI$2:$AI$200,$G314)&gt;0,
    COUNTIFS($AJ$2:$AJ$200,$G314)&gt;0,
    COUNTIFS($AK$2:$AK$200,$G314)&gt;0,
    COUNTIFS($AL$2:$AL$200,$G314)&gt;0,
    COUNTIFS($AM$2:$AM$200,$G314)&gt;0,
    COUNTIFS($AN$2:$AN$200,$G314)&gt;0,
    COUNTIFS($AO$2:$AO$200,$G314)&gt;0,
    COUNTIFS($AP$2:$AP$200,$G314)&gt;0,
    COUNTIFS($AQ$2:$AQ$200,$G314)&gt;0,
    COUNTIFS($AR$2:$AR$200,$G314)&gt;0,
    COUNTIFS($AS$2:$AS$200,$G314)&gt;0,
    COUNTIFS($AT$2:$AT$200,$G314)&gt;0,
    COUNTIFS($AU$2:$AU$200,$G314)&gt;0,
    COUNTIFS($AV$2:$AV$200,$G314)&gt;0,
    COUNTIFS($AW$2:$AW$200,$G314)&gt;0,
    COUNTIFS($AX$2:$AX$200,$G314)&gt;0
   ),
  0)
 ),
"")</f>
        <v>Tayam</v>
      </c>
      <c r="D314" s="3" t="str" cm="1">
        <f t="array" aca="1" ref="D314" ca="1">IFERROR(
 INDEX(
  _xlfn._xlws.FILTER($U$1:$AX$1,
   TRANSPOSE(
    CHOOSE({1;2;3;4;5;6;7;8;9;10;11;12;13;14;15;16;17;18;19;20;21;22;23;24;25;26;27;28;29;30},
     COUNTIFS($U$2:$U$200,$G314)&gt;0,
     COUNTIFS($V$2:$V$200,$G314)&gt;0,
     COUNTIFS($W$2:$W$200,$G314)&gt;0,
     COUNTIFS($X$2:$X$200,$G314)&gt;0,
     COUNTIFS($Y$2:$Y$200,$G314)&gt;0,
     COUNTIFS($Z$2:$Z$200,$G314)&gt;0,
     COUNTIFS($AA$2:$AA$200,$G314)&gt;0,
     COUNTIFS($AB$2:$AB$200,$G314)&gt;0,
     COUNTIFS($AC$2:$AC$200,$G314)&gt;0,
     COUNTIFS($AD$2:$AD$200,$G314)&gt;0,
     COUNTIFS($AE$2:$AE$200,$G314)&gt;0,
     COUNTIFS($AF$2:$AF$200,$G314)&gt;0,
     COUNTIFS($AG$2:$AG$200,$G314)&gt;0,
     COUNTIFS($AH$2:$AH$200,$G314)&gt;0,
     COUNTIFS($AI$2:$AI$200,$G314)&gt;0,
     COUNTIFS($AJ$2:$AJ$200,$G314)&gt;0,
     COUNTIFS($AK$2:$AK$200,$G314)&gt;0,
     COUNTIFS($AL$2:$AL$200,$G314)&gt;0,
     COUNTIFS($AM$2:$AM$200,$G314)&gt;0,
     COUNTIFS($AN$2:$AN$200,$G314)&gt;0,
     COUNTIFS($AO$2:$AO$200,$G314)&gt;0,
     COUNTIFS($AP$2:$AP$200,$G314)&gt;0,
     COUNTIFS($AQ$2:$AQ$200,$G314)&gt;0,
     COUNTIFS($AR$2:$AR$200,$G314)&gt;0,
     COUNTIFS($AS$2:$AS$200,$G314)&gt;0,
     COUNTIFS($AT$2:$AT$200,$G314)&gt;0,
     COUNTIFS($AU$2:$AU$200,$G314)&gt;0,
     COUNTIFS($AV$2:$AV$200,$G314)&gt;0,
     COUNTIFS($AW$2:$AW$200,$G314)&gt;0,
     COUNTIFS($AX$2:$AX$200,$G314)&gt;0
   )),
  ),
  2
 ),
"")</f>
        <v/>
      </c>
      <c r="E314" s="3" t="str" cm="1">
        <f t="array" aca="1" ref="E314" ca="1">IFERROR(
 INDEX(
  _xlfn._xlws.FILTER($U$1:$AX$1,
   TRANSPOSE(
    CHOOSE({1;2;3;4;5;6;7;8;9;10;11;12;13;14;15;16;17;18;19;20;21;22;23;24;25;26;27;28;29;30},
     COUNTIFS($U$2:$U$200,$G314)&gt;0,
     COUNTIFS($V$2:$V$200,$G314)&gt;0,
     COUNTIFS($W$2:$W$200,$G314)&gt;0,
     COUNTIFS($X$2:$X$200,$G314)&gt;0,
     COUNTIFS($Y$2:$Y$200,$G314)&gt;0,
     COUNTIFS($Z$2:$Z$200,$G314)&gt;0,
     COUNTIFS($AA$2:$AA$200,$G314)&gt;0,
     COUNTIFS($AB$2:$AB$200,$G314)&gt;0,
     COUNTIFS($AC$2:$AC$200,$G314)&gt;0,
     COUNTIFS($AD$2:$AD$200,$G314)&gt;0,
     COUNTIFS($AE$2:$AE$200,$G314)&gt;0,
     COUNTIFS($AF$2:$AF$200,$G314)&gt;0,
     COUNTIFS($AG$2:$AG$200,$G314)&gt;0,
     COUNTIFS($AH$2:$AH$200,$G314)&gt;0,
     COUNTIFS($AI$2:$AI$200,$G314)&gt;0,
     COUNTIFS($AJ$2:$AJ$200,$G314)&gt;0,
     COUNTIFS($AK$2:$AK$200,$G314)&gt;0,
     COUNTIFS($AL$2:$AL$200,$G314)&gt;0,
     COUNTIFS($AM$2:$AM$200,$G314)&gt;0,
     COUNTIFS($AN$2:$AN$200,$G314)&gt;0,
     COUNTIFS($AO$2:$AO$200,$G314)&gt;0,
     COUNTIFS($AP$2:$AP$200,$G314)&gt;0,
     COUNTIFS($AQ$2:$AQ$200,$G314)&gt;0,
     COUNTIFS($AR$2:$AR$200,$G314)&gt;0,
     COUNTIFS($AS$2:$AS$200,$G314)&gt;0,
     COUNTIFS($AT$2:$AT$200,$G314)&gt;0,
     COUNTIFS($AU$2:$AU$200,$G314)&gt;0,
     COUNTIFS($AV$2:$AV$200,$G314)&gt;0,
     COUNTIFS($AW$2:$AW$200,$G314)&gt;0,
     COUNTIFS($AX$2:$AX$200,$G314)&gt;0
   )),
  ),
  3
 ),
"")</f>
        <v/>
      </c>
      <c r="F314" s="3" t="str" cm="1">
        <f t="array" aca="1" ref="F314" ca="1">IFERROR(
 INDEX(
  _xlfn._xlws.FILTER($U$1:$AX$1,
   TRANSPOSE(
    CHOOSE({1;2;3;4;5;6;7;8;9;10;11;12;13;14;15;16;17;18;19;20;21;22;23;24;25;26;27;28;29;30},
     COUNTIFS($U$2:$U$200,$G314)&gt;0,
     COUNTIFS($V$2:$V$200,$G314)&gt;0,
     COUNTIFS($W$2:$W$200,$G314)&gt;0,
     COUNTIFS($X$2:$X$200,$G314)&gt;0,
     COUNTIFS($Y$2:$Y$200,$G314)&gt;0,
     COUNTIFS($Z$2:$Z$200,$G314)&gt;0,
     COUNTIFS($AA$2:$AA$200,$G314)&gt;0,
     COUNTIFS($AB$2:$AB$200,$G314)&gt;0,
     COUNTIFS($AC$2:$AC$200,$G314)&gt;0,
     COUNTIFS($AD$2:$AD$200,$G314)&gt;0,
     COUNTIFS($AE$2:$AE$200,$G314)&gt;0,
     COUNTIFS($AF$2:$AF$200,$G314)&gt;0,
     COUNTIFS($AG$2:$AG$200,$G314)&gt;0,
     COUNTIFS($AH$2:$AH$200,$G314)&gt;0,
     COUNTIFS($AI$2:$AI$200,$G314)&gt;0,
     COUNTIFS($AJ$2:$AJ$200,$G314)&gt;0,
     COUNTIFS($AK$2:$AK$200,$G314)&gt;0,
     COUNTIFS($AL$2:$AL$200,$G314)&gt;0,
     COUNTIFS($AM$2:$AM$200,$G314)&gt;0,
     COUNTIFS($AN$2:$AN$200,$G314)&gt;0,
     COUNTIFS($AO$2:$AO$200,$G314)&gt;0,
     COUNTIFS($AP$2:$AP$200,$G314)&gt;0,
     COUNTIFS($AQ$2:$AQ$200,$G314)&gt;0,
     COUNTIFS($AR$2:$AR$200,$G314)&gt;0,
     COUNTIFS($AS$2:$AS$200,$G314)&gt;0,
     COUNTIFS($AT$2:$AT$200,$G314)&gt;0,
     COUNTIFS($AU$2:$AU$200,$G314)&gt;0,
     COUNTIFS($AV$2:$AV$200,$G314)&gt;0,
     COUNTIFS($AW$2:$AW$200,$G314)&gt;0,
     COUNTIFS($AX$2:$AX$200,$G314)&gt;0
   )),
  ),
  4
 ),
"")</f>
        <v/>
      </c>
      <c r="G314" t="str">
        <f ca="1"/>
        <v>Stocking the Pantry</v>
      </c>
    </row>
    <row r="315" spans="1:7" x14ac:dyDescent="0.25">
      <c r="A315" s="3" t="str">
        <f t="shared" ca="1" si="10"/>
        <v>3</v>
      </c>
      <c r="B315" s="3">
        <f t="shared" ca="1" si="11"/>
        <v>1</v>
      </c>
      <c r="C315" s="3" t="str">
        <f ca="1">IFERROR(
 INDEX($U$1:$AX$1,
  MATCH(TRUE,
   CHOOSE({1;2;3;4;5;6;7;8;9;10;11;12;13;14;15;16;17;18;19;20;21;22;23;24;25;26;27;28;29;30;31;32},
    COUNTIFS($U$2:$U$200,$G315)&gt;0,
    COUNTIFS($V$2:$V$200,$G315)&gt;0,
    COUNTIFS($W$2:$W$200,$G315)&gt;0,
    COUNTIFS($X$2:$X$200,$G315)&gt;0,
    COUNTIFS($Y$2:$Y$200,$G315)&gt;0,
    COUNTIFS($Z$2:$Z$200,$G315)&gt;0,
    COUNTIFS($AA$2:$AA$200,$G315)&gt;0,
    COUNTIFS($AB$2:$AB$200,$G315)&gt;0,
    COUNTIFS($AC$2:$AC$200,$G315)&gt;0,
    COUNTIFS($AD$2:$AD$200,$G315)&gt;0,
    COUNTIFS($AE$2:$AE$200,$G315)&gt;0,
    COUNTIFS($AF$2:$AF$200,$G315)&gt;0,
    COUNTIFS($AG$2:$AG$200,$G315)&gt;0,
    COUNTIFS($AH$2:$AH$200,$G315)&gt;0,
    COUNTIFS($AI$2:$AI$200,$G315)&gt;0,
    COUNTIFS($AJ$2:$AJ$200,$G315)&gt;0,
    COUNTIFS($AK$2:$AK$200,$G315)&gt;0,
    COUNTIFS($AL$2:$AL$200,$G315)&gt;0,
    COUNTIFS($AM$2:$AM$200,$G315)&gt;0,
    COUNTIFS($AN$2:$AN$200,$G315)&gt;0,
    COUNTIFS($AO$2:$AO$200,$G315)&gt;0,
    COUNTIFS($AP$2:$AP$200,$G315)&gt;0,
    COUNTIFS($AQ$2:$AQ$200,$G315)&gt;0,
    COUNTIFS($AR$2:$AR$200,$G315)&gt;0,
    COUNTIFS($AS$2:$AS$200,$G315)&gt;0,
    COUNTIFS($AT$2:$AT$200,$G315)&gt;0,
    COUNTIFS($AU$2:$AU$200,$G315)&gt;0,
    COUNTIFS($AV$2:$AV$200,$G315)&gt;0,
    COUNTIFS($AW$2:$AW$200,$G315)&gt;0,
    COUNTIFS($AX$2:$AX$200,$G315)&gt;0
   ),
  0)
 ),
"")</f>
        <v>Akiri</v>
      </c>
      <c r="D315" s="3" t="str" cm="1">
        <f t="array" aca="1" ref="D315" ca="1">IFERROR(
 INDEX(
  _xlfn._xlws.FILTER($U$1:$AX$1,
   TRANSPOSE(
    CHOOSE({1;2;3;4;5;6;7;8;9;10;11;12;13;14;15;16;17;18;19;20;21;22;23;24;25;26;27;28;29;30},
     COUNTIFS($U$2:$U$200,$G315)&gt;0,
     COUNTIFS($V$2:$V$200,$G315)&gt;0,
     COUNTIFS($W$2:$W$200,$G315)&gt;0,
     COUNTIFS($X$2:$X$200,$G315)&gt;0,
     COUNTIFS($Y$2:$Y$200,$G315)&gt;0,
     COUNTIFS($Z$2:$Z$200,$G315)&gt;0,
     COUNTIFS($AA$2:$AA$200,$G315)&gt;0,
     COUNTIFS($AB$2:$AB$200,$G315)&gt;0,
     COUNTIFS($AC$2:$AC$200,$G315)&gt;0,
     COUNTIFS($AD$2:$AD$200,$G315)&gt;0,
     COUNTIFS($AE$2:$AE$200,$G315)&gt;0,
     COUNTIFS($AF$2:$AF$200,$G315)&gt;0,
     COUNTIFS($AG$2:$AG$200,$G315)&gt;0,
     COUNTIFS($AH$2:$AH$200,$G315)&gt;0,
     COUNTIFS($AI$2:$AI$200,$G315)&gt;0,
     COUNTIFS($AJ$2:$AJ$200,$G315)&gt;0,
     COUNTIFS($AK$2:$AK$200,$G315)&gt;0,
     COUNTIFS($AL$2:$AL$200,$G315)&gt;0,
     COUNTIFS($AM$2:$AM$200,$G315)&gt;0,
     COUNTIFS($AN$2:$AN$200,$G315)&gt;0,
     COUNTIFS($AO$2:$AO$200,$G315)&gt;0,
     COUNTIFS($AP$2:$AP$200,$G315)&gt;0,
     COUNTIFS($AQ$2:$AQ$200,$G315)&gt;0,
     COUNTIFS($AR$2:$AR$200,$G315)&gt;0,
     COUNTIFS($AS$2:$AS$200,$G315)&gt;0,
     COUNTIFS($AT$2:$AT$200,$G315)&gt;0,
     COUNTIFS($AU$2:$AU$200,$G315)&gt;0,
     COUNTIFS($AV$2:$AV$200,$G315)&gt;0,
     COUNTIFS($AW$2:$AW$200,$G315)&gt;0,
     COUNTIFS($AX$2:$AX$200,$G315)&gt;0
   )),
  ),
  2
 ),
"")</f>
        <v/>
      </c>
      <c r="E315" s="3" t="str" cm="1">
        <f t="array" aca="1" ref="E315" ca="1">IFERROR(
 INDEX(
  _xlfn._xlws.FILTER($U$1:$AX$1,
   TRANSPOSE(
    CHOOSE({1;2;3;4;5;6;7;8;9;10;11;12;13;14;15;16;17;18;19;20;21;22;23;24;25;26;27;28;29;30},
     COUNTIFS($U$2:$U$200,$G315)&gt;0,
     COUNTIFS($V$2:$V$200,$G315)&gt;0,
     COUNTIFS($W$2:$W$200,$G315)&gt;0,
     COUNTIFS($X$2:$X$200,$G315)&gt;0,
     COUNTIFS($Y$2:$Y$200,$G315)&gt;0,
     COUNTIFS($Z$2:$Z$200,$G315)&gt;0,
     COUNTIFS($AA$2:$AA$200,$G315)&gt;0,
     COUNTIFS($AB$2:$AB$200,$G315)&gt;0,
     COUNTIFS($AC$2:$AC$200,$G315)&gt;0,
     COUNTIFS($AD$2:$AD$200,$G315)&gt;0,
     COUNTIFS($AE$2:$AE$200,$G315)&gt;0,
     COUNTIFS($AF$2:$AF$200,$G315)&gt;0,
     COUNTIFS($AG$2:$AG$200,$G315)&gt;0,
     COUNTIFS($AH$2:$AH$200,$G315)&gt;0,
     COUNTIFS($AI$2:$AI$200,$G315)&gt;0,
     COUNTIFS($AJ$2:$AJ$200,$G315)&gt;0,
     COUNTIFS($AK$2:$AK$200,$G315)&gt;0,
     COUNTIFS($AL$2:$AL$200,$G315)&gt;0,
     COUNTIFS($AM$2:$AM$200,$G315)&gt;0,
     COUNTIFS($AN$2:$AN$200,$G315)&gt;0,
     COUNTIFS($AO$2:$AO$200,$G315)&gt;0,
     COUNTIFS($AP$2:$AP$200,$G315)&gt;0,
     COUNTIFS($AQ$2:$AQ$200,$G315)&gt;0,
     COUNTIFS($AR$2:$AR$200,$G315)&gt;0,
     COUNTIFS($AS$2:$AS$200,$G315)&gt;0,
     COUNTIFS($AT$2:$AT$200,$G315)&gt;0,
     COUNTIFS($AU$2:$AU$200,$G315)&gt;0,
     COUNTIFS($AV$2:$AV$200,$G315)&gt;0,
     COUNTIFS($AW$2:$AW$200,$G315)&gt;0,
     COUNTIFS($AX$2:$AX$200,$G315)&gt;0
   )),
  ),
  3
 ),
"")</f>
        <v/>
      </c>
      <c r="F315" s="3" t="str" cm="1">
        <f t="array" aca="1" ref="F315" ca="1">IFERROR(
 INDEX(
  _xlfn._xlws.FILTER($U$1:$AX$1,
   TRANSPOSE(
    CHOOSE({1;2;3;4;5;6;7;8;9;10;11;12;13;14;15;16;17;18;19;20;21;22;23;24;25;26;27;28;29;30},
     COUNTIFS($U$2:$U$200,$G315)&gt;0,
     COUNTIFS($V$2:$V$200,$G315)&gt;0,
     COUNTIFS($W$2:$W$200,$G315)&gt;0,
     COUNTIFS($X$2:$X$200,$G315)&gt;0,
     COUNTIFS($Y$2:$Y$200,$G315)&gt;0,
     COUNTIFS($Z$2:$Z$200,$G315)&gt;0,
     COUNTIFS($AA$2:$AA$200,$G315)&gt;0,
     COUNTIFS($AB$2:$AB$200,$G315)&gt;0,
     COUNTIFS($AC$2:$AC$200,$G315)&gt;0,
     COUNTIFS($AD$2:$AD$200,$G315)&gt;0,
     COUNTIFS($AE$2:$AE$200,$G315)&gt;0,
     COUNTIFS($AF$2:$AF$200,$G315)&gt;0,
     COUNTIFS($AG$2:$AG$200,$G315)&gt;0,
     COUNTIFS($AH$2:$AH$200,$G315)&gt;0,
     COUNTIFS($AI$2:$AI$200,$G315)&gt;0,
     COUNTIFS($AJ$2:$AJ$200,$G315)&gt;0,
     COUNTIFS($AK$2:$AK$200,$G315)&gt;0,
     COUNTIFS($AL$2:$AL$200,$G315)&gt;0,
     COUNTIFS($AM$2:$AM$200,$G315)&gt;0,
     COUNTIFS($AN$2:$AN$200,$G315)&gt;0,
     COUNTIFS($AO$2:$AO$200,$G315)&gt;0,
     COUNTIFS($AP$2:$AP$200,$G315)&gt;0,
     COUNTIFS($AQ$2:$AQ$200,$G315)&gt;0,
     COUNTIFS($AR$2:$AR$200,$G315)&gt;0,
     COUNTIFS($AS$2:$AS$200,$G315)&gt;0,
     COUNTIFS($AT$2:$AT$200,$G315)&gt;0,
     COUNTIFS($AU$2:$AU$200,$G315)&gt;0,
     COUNTIFS($AV$2:$AV$200,$G315)&gt;0,
     COUNTIFS($AW$2:$AW$200,$G315)&gt;0,
     COUNTIFS($AX$2:$AX$200,$G315)&gt;0
   )),
  ),
  4
 ),
"")</f>
        <v/>
      </c>
      <c r="G315" t="str">
        <f ca="1"/>
        <v>Stoneforge Mystic</v>
      </c>
    </row>
    <row r="316" spans="1:7" x14ac:dyDescent="0.25">
      <c r="A316" s="3" t="str">
        <f t="shared" ca="1" si="10"/>
        <v>2</v>
      </c>
      <c r="B316" s="3">
        <f t="shared" ca="1" si="11"/>
        <v>1</v>
      </c>
      <c r="C316" s="3" t="str">
        <f ca="1">IFERROR(
 INDEX($U$1:$AX$1,
  MATCH(TRUE,
   CHOOSE({1;2;3;4;5;6;7;8;9;10;11;12;13;14;15;16;17;18;19;20;21;22;23;24;25;26;27;28;29;30;31;32},
    COUNTIFS($U$2:$U$200,$G316)&gt;0,
    COUNTIFS($V$2:$V$200,$G316)&gt;0,
    COUNTIFS($W$2:$W$200,$G316)&gt;0,
    COUNTIFS($X$2:$X$200,$G316)&gt;0,
    COUNTIFS($Y$2:$Y$200,$G316)&gt;0,
    COUNTIFS($Z$2:$Z$200,$G316)&gt;0,
    COUNTIFS($AA$2:$AA$200,$G316)&gt;0,
    COUNTIFS($AB$2:$AB$200,$G316)&gt;0,
    COUNTIFS($AC$2:$AC$200,$G316)&gt;0,
    COUNTIFS($AD$2:$AD$200,$G316)&gt;0,
    COUNTIFS($AE$2:$AE$200,$G316)&gt;0,
    COUNTIFS($AF$2:$AF$200,$G316)&gt;0,
    COUNTIFS($AG$2:$AG$200,$G316)&gt;0,
    COUNTIFS($AH$2:$AH$200,$G316)&gt;0,
    COUNTIFS($AI$2:$AI$200,$G316)&gt;0,
    COUNTIFS($AJ$2:$AJ$200,$G316)&gt;0,
    COUNTIFS($AK$2:$AK$200,$G316)&gt;0,
    COUNTIFS($AL$2:$AL$200,$G316)&gt;0,
    COUNTIFS($AM$2:$AM$200,$G316)&gt;0,
    COUNTIFS($AN$2:$AN$200,$G316)&gt;0,
    COUNTIFS($AO$2:$AO$200,$G316)&gt;0,
    COUNTIFS($AP$2:$AP$200,$G316)&gt;0,
    COUNTIFS($AQ$2:$AQ$200,$G316)&gt;0,
    COUNTIFS($AR$2:$AR$200,$G316)&gt;0,
    COUNTIFS($AS$2:$AS$200,$G316)&gt;0,
    COUNTIFS($AT$2:$AT$200,$G316)&gt;0,
    COUNTIFS($AU$2:$AU$200,$G316)&gt;0,
    COUNTIFS($AV$2:$AV$200,$G316)&gt;0,
    COUNTIFS($AW$2:$AW$200,$G316)&gt;0,
    COUNTIFS($AX$2:$AX$200,$G316)&gt;0
   ),
  0)
 ),
"")</f>
        <v>Kumena</v>
      </c>
      <c r="D316" s="3" t="str" cm="1">
        <f t="array" aca="1" ref="D316" ca="1">IFERROR(
 INDEX(
  _xlfn._xlws.FILTER($U$1:$AX$1,
   TRANSPOSE(
    CHOOSE({1;2;3;4;5;6;7;8;9;10;11;12;13;14;15;16;17;18;19;20;21;22;23;24;25;26;27;28;29;30},
     COUNTIFS($U$2:$U$200,$G316)&gt;0,
     COUNTIFS($V$2:$V$200,$G316)&gt;0,
     COUNTIFS($W$2:$W$200,$G316)&gt;0,
     COUNTIFS($X$2:$X$200,$G316)&gt;0,
     COUNTIFS($Y$2:$Y$200,$G316)&gt;0,
     COUNTIFS($Z$2:$Z$200,$G316)&gt;0,
     COUNTIFS($AA$2:$AA$200,$G316)&gt;0,
     COUNTIFS($AB$2:$AB$200,$G316)&gt;0,
     COUNTIFS($AC$2:$AC$200,$G316)&gt;0,
     COUNTIFS($AD$2:$AD$200,$G316)&gt;0,
     COUNTIFS($AE$2:$AE$200,$G316)&gt;0,
     COUNTIFS($AF$2:$AF$200,$G316)&gt;0,
     COUNTIFS($AG$2:$AG$200,$G316)&gt;0,
     COUNTIFS($AH$2:$AH$200,$G316)&gt;0,
     COUNTIFS($AI$2:$AI$200,$G316)&gt;0,
     COUNTIFS($AJ$2:$AJ$200,$G316)&gt;0,
     COUNTIFS($AK$2:$AK$200,$G316)&gt;0,
     COUNTIFS($AL$2:$AL$200,$G316)&gt;0,
     COUNTIFS($AM$2:$AM$200,$G316)&gt;0,
     COUNTIFS($AN$2:$AN$200,$G316)&gt;0,
     COUNTIFS($AO$2:$AO$200,$G316)&gt;0,
     COUNTIFS($AP$2:$AP$200,$G316)&gt;0,
     COUNTIFS($AQ$2:$AQ$200,$G316)&gt;0,
     COUNTIFS($AR$2:$AR$200,$G316)&gt;0,
     COUNTIFS($AS$2:$AS$200,$G316)&gt;0,
     COUNTIFS($AT$2:$AT$200,$G316)&gt;0,
     COUNTIFS($AU$2:$AU$200,$G316)&gt;0,
     COUNTIFS($AV$2:$AV$200,$G316)&gt;0,
     COUNTIFS($AW$2:$AW$200,$G316)&gt;0,
     COUNTIFS($AX$2:$AX$200,$G316)&gt;0
   )),
  ),
  2
 ),
"")</f>
        <v/>
      </c>
      <c r="E316" s="3" t="str" cm="1">
        <f t="array" aca="1" ref="E316" ca="1">IFERROR(
 INDEX(
  _xlfn._xlws.FILTER($U$1:$AX$1,
   TRANSPOSE(
    CHOOSE({1;2;3;4;5;6;7;8;9;10;11;12;13;14;15;16;17;18;19;20;21;22;23;24;25;26;27;28;29;30},
     COUNTIFS($U$2:$U$200,$G316)&gt;0,
     COUNTIFS($V$2:$V$200,$G316)&gt;0,
     COUNTIFS($W$2:$W$200,$G316)&gt;0,
     COUNTIFS($X$2:$X$200,$G316)&gt;0,
     COUNTIFS($Y$2:$Y$200,$G316)&gt;0,
     COUNTIFS($Z$2:$Z$200,$G316)&gt;0,
     COUNTIFS($AA$2:$AA$200,$G316)&gt;0,
     COUNTIFS($AB$2:$AB$200,$G316)&gt;0,
     COUNTIFS($AC$2:$AC$200,$G316)&gt;0,
     COUNTIFS($AD$2:$AD$200,$G316)&gt;0,
     COUNTIFS($AE$2:$AE$200,$G316)&gt;0,
     COUNTIFS($AF$2:$AF$200,$G316)&gt;0,
     COUNTIFS($AG$2:$AG$200,$G316)&gt;0,
     COUNTIFS($AH$2:$AH$200,$G316)&gt;0,
     COUNTIFS($AI$2:$AI$200,$G316)&gt;0,
     COUNTIFS($AJ$2:$AJ$200,$G316)&gt;0,
     COUNTIFS($AK$2:$AK$200,$G316)&gt;0,
     COUNTIFS($AL$2:$AL$200,$G316)&gt;0,
     COUNTIFS($AM$2:$AM$200,$G316)&gt;0,
     COUNTIFS($AN$2:$AN$200,$G316)&gt;0,
     COUNTIFS($AO$2:$AO$200,$G316)&gt;0,
     COUNTIFS($AP$2:$AP$200,$G316)&gt;0,
     COUNTIFS($AQ$2:$AQ$200,$G316)&gt;0,
     COUNTIFS($AR$2:$AR$200,$G316)&gt;0,
     COUNTIFS($AS$2:$AS$200,$G316)&gt;0,
     COUNTIFS($AT$2:$AT$200,$G316)&gt;0,
     COUNTIFS($AU$2:$AU$200,$G316)&gt;0,
     COUNTIFS($AV$2:$AV$200,$G316)&gt;0,
     COUNTIFS($AW$2:$AW$200,$G316)&gt;0,
     COUNTIFS($AX$2:$AX$200,$G316)&gt;0
   )),
  ),
  3
 ),
"")</f>
        <v/>
      </c>
      <c r="F316" s="3" t="str" cm="1">
        <f t="array" aca="1" ref="F316" ca="1">IFERROR(
 INDEX(
  _xlfn._xlws.FILTER($U$1:$AX$1,
   TRANSPOSE(
    CHOOSE({1;2;3;4;5;6;7;8;9;10;11;12;13;14;15;16;17;18;19;20;21;22;23;24;25;26;27;28;29;30},
     COUNTIFS($U$2:$U$200,$G316)&gt;0,
     COUNTIFS($V$2:$V$200,$G316)&gt;0,
     COUNTIFS($W$2:$W$200,$G316)&gt;0,
     COUNTIFS($X$2:$X$200,$G316)&gt;0,
     COUNTIFS($Y$2:$Y$200,$G316)&gt;0,
     COUNTIFS($Z$2:$Z$200,$G316)&gt;0,
     COUNTIFS($AA$2:$AA$200,$G316)&gt;0,
     COUNTIFS($AB$2:$AB$200,$G316)&gt;0,
     COUNTIFS($AC$2:$AC$200,$G316)&gt;0,
     COUNTIFS($AD$2:$AD$200,$G316)&gt;0,
     COUNTIFS($AE$2:$AE$200,$G316)&gt;0,
     COUNTIFS($AF$2:$AF$200,$G316)&gt;0,
     COUNTIFS($AG$2:$AG$200,$G316)&gt;0,
     COUNTIFS($AH$2:$AH$200,$G316)&gt;0,
     COUNTIFS($AI$2:$AI$200,$G316)&gt;0,
     COUNTIFS($AJ$2:$AJ$200,$G316)&gt;0,
     COUNTIFS($AK$2:$AK$200,$G316)&gt;0,
     COUNTIFS($AL$2:$AL$200,$G316)&gt;0,
     COUNTIFS($AM$2:$AM$200,$G316)&gt;0,
     COUNTIFS($AN$2:$AN$200,$G316)&gt;0,
     COUNTIFS($AO$2:$AO$200,$G316)&gt;0,
     COUNTIFS($AP$2:$AP$200,$G316)&gt;0,
     COUNTIFS($AQ$2:$AQ$200,$G316)&gt;0,
     COUNTIFS($AR$2:$AR$200,$G316)&gt;0,
     COUNTIFS($AS$2:$AS$200,$G316)&gt;0,
     COUNTIFS($AT$2:$AT$200,$G316)&gt;0,
     COUNTIFS($AU$2:$AU$200,$G316)&gt;0,
     COUNTIFS($AV$2:$AV$200,$G316)&gt;0,
     COUNTIFS($AW$2:$AW$200,$G316)&gt;0,
     COUNTIFS($AX$2:$AX$200,$G316)&gt;0
   )),
  ),
  4
 ),
"")</f>
        <v/>
      </c>
      <c r="G316" t="str">
        <f ca="1"/>
        <v>Stonybrook Banneret</v>
      </c>
    </row>
    <row r="317" spans="1:7" x14ac:dyDescent="0.25">
      <c r="A317" s="3" t="str">
        <f t="shared" ca="1" si="10"/>
        <v>2</v>
      </c>
      <c r="B317" s="3">
        <f t="shared" ca="1" si="11"/>
        <v>1</v>
      </c>
      <c r="C317" s="3" t="str">
        <f ca="1">IFERROR(
 INDEX($U$1:$AX$1,
  MATCH(TRUE,
   CHOOSE({1;2;3;4;5;6;7;8;9;10;11;12;13;14;15;16;17;18;19;20;21;22;23;24;25;26;27;28;29;30;31;32},
    COUNTIFS($U$2:$U$200,$G317)&gt;0,
    COUNTIFS($V$2:$V$200,$G317)&gt;0,
    COUNTIFS($W$2:$W$200,$G317)&gt;0,
    COUNTIFS($X$2:$X$200,$G317)&gt;0,
    COUNTIFS($Y$2:$Y$200,$G317)&gt;0,
    COUNTIFS($Z$2:$Z$200,$G317)&gt;0,
    COUNTIFS($AA$2:$AA$200,$G317)&gt;0,
    COUNTIFS($AB$2:$AB$200,$G317)&gt;0,
    COUNTIFS($AC$2:$AC$200,$G317)&gt;0,
    COUNTIFS($AD$2:$AD$200,$G317)&gt;0,
    COUNTIFS($AE$2:$AE$200,$G317)&gt;0,
    COUNTIFS($AF$2:$AF$200,$G317)&gt;0,
    COUNTIFS($AG$2:$AG$200,$G317)&gt;0,
    COUNTIFS($AH$2:$AH$200,$G317)&gt;0,
    COUNTIFS($AI$2:$AI$200,$G317)&gt;0,
    COUNTIFS($AJ$2:$AJ$200,$G317)&gt;0,
    COUNTIFS($AK$2:$AK$200,$G317)&gt;0,
    COUNTIFS($AL$2:$AL$200,$G317)&gt;0,
    COUNTIFS($AM$2:$AM$200,$G317)&gt;0,
    COUNTIFS($AN$2:$AN$200,$G317)&gt;0,
    COUNTIFS($AO$2:$AO$200,$G317)&gt;0,
    COUNTIFS($AP$2:$AP$200,$G317)&gt;0,
    COUNTIFS($AQ$2:$AQ$200,$G317)&gt;0,
    COUNTIFS($AR$2:$AR$200,$G317)&gt;0,
    COUNTIFS($AS$2:$AS$200,$G317)&gt;0,
    COUNTIFS($AT$2:$AT$200,$G317)&gt;0,
    COUNTIFS($AU$2:$AU$200,$G317)&gt;0,
    COUNTIFS($AV$2:$AV$200,$G317)&gt;0,
    COUNTIFS($AW$2:$AW$200,$G317)&gt;0,
    COUNTIFS($AX$2:$AX$200,$G317)&gt;0
   ),
  0)
 ),
"")</f>
        <v>Piratas</v>
      </c>
      <c r="D317" s="3" t="str" cm="1">
        <f t="array" aca="1" ref="D317" ca="1">IFERROR(
 INDEX(
  _xlfn._xlws.FILTER($U$1:$AX$1,
   TRANSPOSE(
    CHOOSE({1;2;3;4;5;6;7;8;9;10;11;12;13;14;15;16;17;18;19;20;21;22;23;24;25;26;27;28;29;30},
     COUNTIFS($U$2:$U$200,$G317)&gt;0,
     COUNTIFS($V$2:$V$200,$G317)&gt;0,
     COUNTIFS($W$2:$W$200,$G317)&gt;0,
     COUNTIFS($X$2:$X$200,$G317)&gt;0,
     COUNTIFS($Y$2:$Y$200,$G317)&gt;0,
     COUNTIFS($Z$2:$Z$200,$G317)&gt;0,
     COUNTIFS($AA$2:$AA$200,$G317)&gt;0,
     COUNTIFS($AB$2:$AB$200,$G317)&gt;0,
     COUNTIFS($AC$2:$AC$200,$G317)&gt;0,
     COUNTIFS($AD$2:$AD$200,$G317)&gt;0,
     COUNTIFS($AE$2:$AE$200,$G317)&gt;0,
     COUNTIFS($AF$2:$AF$200,$G317)&gt;0,
     COUNTIFS($AG$2:$AG$200,$G317)&gt;0,
     COUNTIFS($AH$2:$AH$200,$G317)&gt;0,
     COUNTIFS($AI$2:$AI$200,$G317)&gt;0,
     COUNTIFS($AJ$2:$AJ$200,$G317)&gt;0,
     COUNTIFS($AK$2:$AK$200,$G317)&gt;0,
     COUNTIFS($AL$2:$AL$200,$G317)&gt;0,
     COUNTIFS($AM$2:$AM$200,$G317)&gt;0,
     COUNTIFS($AN$2:$AN$200,$G317)&gt;0,
     COUNTIFS($AO$2:$AO$200,$G317)&gt;0,
     COUNTIFS($AP$2:$AP$200,$G317)&gt;0,
     COUNTIFS($AQ$2:$AQ$200,$G317)&gt;0,
     COUNTIFS($AR$2:$AR$200,$G317)&gt;0,
     COUNTIFS($AS$2:$AS$200,$G317)&gt;0,
     COUNTIFS($AT$2:$AT$200,$G317)&gt;0,
     COUNTIFS($AU$2:$AU$200,$G317)&gt;0,
     COUNTIFS($AV$2:$AV$200,$G317)&gt;0,
     COUNTIFS($AW$2:$AW$200,$G317)&gt;0,
     COUNTIFS($AX$2:$AX$200,$G317)&gt;0
   )),
  ),
  2
 ),
"")</f>
        <v/>
      </c>
      <c r="E317" s="3" t="str" cm="1">
        <f t="array" aca="1" ref="E317" ca="1">IFERROR(
 INDEX(
  _xlfn._xlws.FILTER($U$1:$AX$1,
   TRANSPOSE(
    CHOOSE({1;2;3;4;5;6;7;8;9;10;11;12;13;14;15;16;17;18;19;20;21;22;23;24;25;26;27;28;29;30},
     COUNTIFS($U$2:$U$200,$G317)&gt;0,
     COUNTIFS($V$2:$V$200,$G317)&gt;0,
     COUNTIFS($W$2:$W$200,$G317)&gt;0,
     COUNTIFS($X$2:$X$200,$G317)&gt;0,
     COUNTIFS($Y$2:$Y$200,$G317)&gt;0,
     COUNTIFS($Z$2:$Z$200,$G317)&gt;0,
     COUNTIFS($AA$2:$AA$200,$G317)&gt;0,
     COUNTIFS($AB$2:$AB$200,$G317)&gt;0,
     COUNTIFS($AC$2:$AC$200,$G317)&gt;0,
     COUNTIFS($AD$2:$AD$200,$G317)&gt;0,
     COUNTIFS($AE$2:$AE$200,$G317)&gt;0,
     COUNTIFS($AF$2:$AF$200,$G317)&gt;0,
     COUNTIFS($AG$2:$AG$200,$G317)&gt;0,
     COUNTIFS($AH$2:$AH$200,$G317)&gt;0,
     COUNTIFS($AI$2:$AI$200,$G317)&gt;0,
     COUNTIFS($AJ$2:$AJ$200,$G317)&gt;0,
     COUNTIFS($AK$2:$AK$200,$G317)&gt;0,
     COUNTIFS($AL$2:$AL$200,$G317)&gt;0,
     COUNTIFS($AM$2:$AM$200,$G317)&gt;0,
     COUNTIFS($AN$2:$AN$200,$G317)&gt;0,
     COUNTIFS($AO$2:$AO$200,$G317)&gt;0,
     COUNTIFS($AP$2:$AP$200,$G317)&gt;0,
     COUNTIFS($AQ$2:$AQ$200,$G317)&gt;0,
     COUNTIFS($AR$2:$AR$200,$G317)&gt;0,
     COUNTIFS($AS$2:$AS$200,$G317)&gt;0,
     COUNTIFS($AT$2:$AT$200,$G317)&gt;0,
     COUNTIFS($AU$2:$AU$200,$G317)&gt;0,
     COUNTIFS($AV$2:$AV$200,$G317)&gt;0,
     COUNTIFS($AW$2:$AW$200,$G317)&gt;0,
     COUNTIFS($AX$2:$AX$200,$G317)&gt;0
   )),
  ),
  3
 ),
"")</f>
        <v/>
      </c>
      <c r="F317" s="3" t="str" cm="1">
        <f t="array" aca="1" ref="F317" ca="1">IFERROR(
 INDEX(
  _xlfn._xlws.FILTER($U$1:$AX$1,
   TRANSPOSE(
    CHOOSE({1;2;3;4;5;6;7;8;9;10;11;12;13;14;15;16;17;18;19;20;21;22;23;24;25;26;27;28;29;30},
     COUNTIFS($U$2:$U$200,$G317)&gt;0,
     COUNTIFS($V$2:$V$200,$G317)&gt;0,
     COUNTIFS($W$2:$W$200,$G317)&gt;0,
     COUNTIFS($X$2:$X$200,$G317)&gt;0,
     COUNTIFS($Y$2:$Y$200,$G317)&gt;0,
     COUNTIFS($Z$2:$Z$200,$G317)&gt;0,
     COUNTIFS($AA$2:$AA$200,$G317)&gt;0,
     COUNTIFS($AB$2:$AB$200,$G317)&gt;0,
     COUNTIFS($AC$2:$AC$200,$G317)&gt;0,
     COUNTIFS($AD$2:$AD$200,$G317)&gt;0,
     COUNTIFS($AE$2:$AE$200,$G317)&gt;0,
     COUNTIFS($AF$2:$AF$200,$G317)&gt;0,
     COUNTIFS($AG$2:$AG$200,$G317)&gt;0,
     COUNTIFS($AH$2:$AH$200,$G317)&gt;0,
     COUNTIFS($AI$2:$AI$200,$G317)&gt;0,
     COUNTIFS($AJ$2:$AJ$200,$G317)&gt;0,
     COUNTIFS($AK$2:$AK$200,$G317)&gt;0,
     COUNTIFS($AL$2:$AL$200,$G317)&gt;0,
     COUNTIFS($AM$2:$AM$200,$G317)&gt;0,
     COUNTIFS($AN$2:$AN$200,$G317)&gt;0,
     COUNTIFS($AO$2:$AO$200,$G317)&gt;0,
     COUNTIFS($AP$2:$AP$200,$G317)&gt;0,
     COUNTIFS($AQ$2:$AQ$200,$G317)&gt;0,
     COUNTIFS($AR$2:$AR$200,$G317)&gt;0,
     COUNTIFS($AS$2:$AS$200,$G317)&gt;0,
     COUNTIFS($AT$2:$AT$200,$G317)&gt;0,
     COUNTIFS($AU$2:$AU$200,$G317)&gt;0,
     COUNTIFS($AV$2:$AV$200,$G317)&gt;0,
     COUNTIFS($AW$2:$AW$200,$G317)&gt;0,
     COUNTIFS($AX$2:$AX$200,$G317)&gt;0
   )),
  ),
  4
 ),
"")</f>
        <v/>
      </c>
      <c r="G317" t="str">
        <f ca="1"/>
        <v>Storm the Vault</v>
      </c>
    </row>
    <row r="318" spans="1:7" x14ac:dyDescent="0.25">
      <c r="A318" s="3" t="str">
        <f t="shared" ca="1" si="10"/>
        <v>4</v>
      </c>
      <c r="B318" s="3">
        <f t="shared" ca="1" si="11"/>
        <v>1</v>
      </c>
      <c r="C318" s="3" t="str">
        <f ca="1">IFERROR(
 INDEX($U$1:$AX$1,
  MATCH(TRUE,
   CHOOSE({1;2;3;4;5;6;7;8;9;10;11;12;13;14;15;16;17;18;19;20;21;22;23;24;25;26;27;28;29;30;31;32},
    COUNTIFS($U$2:$U$200,$G318)&gt;0,
    COUNTIFS($V$2:$V$200,$G318)&gt;0,
    COUNTIFS($W$2:$W$200,$G318)&gt;0,
    COUNTIFS($X$2:$X$200,$G318)&gt;0,
    COUNTIFS($Y$2:$Y$200,$G318)&gt;0,
    COUNTIFS($Z$2:$Z$200,$G318)&gt;0,
    COUNTIFS($AA$2:$AA$200,$G318)&gt;0,
    COUNTIFS($AB$2:$AB$200,$G318)&gt;0,
    COUNTIFS($AC$2:$AC$200,$G318)&gt;0,
    COUNTIFS($AD$2:$AD$200,$G318)&gt;0,
    COUNTIFS($AE$2:$AE$200,$G318)&gt;0,
    COUNTIFS($AF$2:$AF$200,$G318)&gt;0,
    COUNTIFS($AG$2:$AG$200,$G318)&gt;0,
    COUNTIFS($AH$2:$AH$200,$G318)&gt;0,
    COUNTIFS($AI$2:$AI$200,$G318)&gt;0,
    COUNTIFS($AJ$2:$AJ$200,$G318)&gt;0,
    COUNTIFS($AK$2:$AK$200,$G318)&gt;0,
    COUNTIFS($AL$2:$AL$200,$G318)&gt;0,
    COUNTIFS($AM$2:$AM$200,$G318)&gt;0,
    COUNTIFS($AN$2:$AN$200,$G318)&gt;0,
    COUNTIFS($AO$2:$AO$200,$G318)&gt;0,
    COUNTIFS($AP$2:$AP$200,$G318)&gt;0,
    COUNTIFS($AQ$2:$AQ$200,$G318)&gt;0,
    COUNTIFS($AR$2:$AR$200,$G318)&gt;0,
    COUNTIFS($AS$2:$AS$200,$G318)&gt;0,
    COUNTIFS($AT$2:$AT$200,$G318)&gt;0,
    COUNTIFS($AU$2:$AU$200,$G318)&gt;0,
    COUNTIFS($AV$2:$AV$200,$G318)&gt;0,
    COUNTIFS($AW$2:$AW$200,$G318)&gt;0,
    COUNTIFS($AX$2:$AX$200,$G318)&gt;0
   ),
  0)
 ),
"")</f>
        <v>OWA</v>
      </c>
      <c r="D318" s="3" t="str" cm="1">
        <f t="array" aca="1" ref="D318" ca="1">IFERROR(
 INDEX(
  _xlfn._xlws.FILTER($U$1:$AX$1,
   TRANSPOSE(
    CHOOSE({1;2;3;4;5;6;7;8;9;10;11;12;13;14;15;16;17;18;19;20;21;22;23;24;25;26;27;28;29;30},
     COUNTIFS($U$2:$U$200,$G318)&gt;0,
     COUNTIFS($V$2:$V$200,$G318)&gt;0,
     COUNTIFS($W$2:$W$200,$G318)&gt;0,
     COUNTIFS($X$2:$X$200,$G318)&gt;0,
     COUNTIFS($Y$2:$Y$200,$G318)&gt;0,
     COUNTIFS($Z$2:$Z$200,$G318)&gt;0,
     COUNTIFS($AA$2:$AA$200,$G318)&gt;0,
     COUNTIFS($AB$2:$AB$200,$G318)&gt;0,
     COUNTIFS($AC$2:$AC$200,$G318)&gt;0,
     COUNTIFS($AD$2:$AD$200,$G318)&gt;0,
     COUNTIFS($AE$2:$AE$200,$G318)&gt;0,
     COUNTIFS($AF$2:$AF$200,$G318)&gt;0,
     COUNTIFS($AG$2:$AG$200,$G318)&gt;0,
     COUNTIFS($AH$2:$AH$200,$G318)&gt;0,
     COUNTIFS($AI$2:$AI$200,$G318)&gt;0,
     COUNTIFS($AJ$2:$AJ$200,$G318)&gt;0,
     COUNTIFS($AK$2:$AK$200,$G318)&gt;0,
     COUNTIFS($AL$2:$AL$200,$G318)&gt;0,
     COUNTIFS($AM$2:$AM$200,$G318)&gt;0,
     COUNTIFS($AN$2:$AN$200,$G318)&gt;0,
     COUNTIFS($AO$2:$AO$200,$G318)&gt;0,
     COUNTIFS($AP$2:$AP$200,$G318)&gt;0,
     COUNTIFS($AQ$2:$AQ$200,$G318)&gt;0,
     COUNTIFS($AR$2:$AR$200,$G318)&gt;0,
     COUNTIFS($AS$2:$AS$200,$G318)&gt;0,
     COUNTIFS($AT$2:$AT$200,$G318)&gt;0,
     COUNTIFS($AU$2:$AU$200,$G318)&gt;0,
     COUNTIFS($AV$2:$AV$200,$G318)&gt;0,
     COUNTIFS($AW$2:$AW$200,$G318)&gt;0,
     COUNTIFS($AX$2:$AX$200,$G318)&gt;0
   )),
  ),
  2
 ),
"")</f>
        <v/>
      </c>
      <c r="E318" s="3" t="str" cm="1">
        <f t="array" aca="1" ref="E318" ca="1">IFERROR(
 INDEX(
  _xlfn._xlws.FILTER($U$1:$AX$1,
   TRANSPOSE(
    CHOOSE({1;2;3;4;5;6;7;8;9;10;11;12;13;14;15;16;17;18;19;20;21;22;23;24;25;26;27;28;29;30},
     COUNTIFS($U$2:$U$200,$G318)&gt;0,
     COUNTIFS($V$2:$V$200,$G318)&gt;0,
     COUNTIFS($W$2:$W$200,$G318)&gt;0,
     COUNTIFS($X$2:$X$200,$G318)&gt;0,
     COUNTIFS($Y$2:$Y$200,$G318)&gt;0,
     COUNTIFS($Z$2:$Z$200,$G318)&gt;0,
     COUNTIFS($AA$2:$AA$200,$G318)&gt;0,
     COUNTIFS($AB$2:$AB$200,$G318)&gt;0,
     COUNTIFS($AC$2:$AC$200,$G318)&gt;0,
     COUNTIFS($AD$2:$AD$200,$G318)&gt;0,
     COUNTIFS($AE$2:$AE$200,$G318)&gt;0,
     COUNTIFS($AF$2:$AF$200,$G318)&gt;0,
     COUNTIFS($AG$2:$AG$200,$G318)&gt;0,
     COUNTIFS($AH$2:$AH$200,$G318)&gt;0,
     COUNTIFS($AI$2:$AI$200,$G318)&gt;0,
     COUNTIFS($AJ$2:$AJ$200,$G318)&gt;0,
     COUNTIFS($AK$2:$AK$200,$G318)&gt;0,
     COUNTIFS($AL$2:$AL$200,$G318)&gt;0,
     COUNTIFS($AM$2:$AM$200,$G318)&gt;0,
     COUNTIFS($AN$2:$AN$200,$G318)&gt;0,
     COUNTIFS($AO$2:$AO$200,$G318)&gt;0,
     COUNTIFS($AP$2:$AP$200,$G318)&gt;0,
     COUNTIFS($AQ$2:$AQ$200,$G318)&gt;0,
     COUNTIFS($AR$2:$AR$200,$G318)&gt;0,
     COUNTIFS($AS$2:$AS$200,$G318)&gt;0,
     COUNTIFS($AT$2:$AT$200,$G318)&gt;0,
     COUNTIFS($AU$2:$AU$200,$G318)&gt;0,
     COUNTIFS($AV$2:$AV$200,$G318)&gt;0,
     COUNTIFS($AW$2:$AW$200,$G318)&gt;0,
     COUNTIFS($AX$2:$AX$200,$G318)&gt;0
   )),
  ),
  3
 ),
"")</f>
        <v/>
      </c>
      <c r="F318" s="3" t="str" cm="1">
        <f t="array" aca="1" ref="F318" ca="1">IFERROR(
 INDEX(
  _xlfn._xlws.FILTER($U$1:$AX$1,
   TRANSPOSE(
    CHOOSE({1;2;3;4;5;6;7;8;9;10;11;12;13;14;15;16;17;18;19;20;21;22;23;24;25;26;27;28;29;30},
     COUNTIFS($U$2:$U$200,$G318)&gt;0,
     COUNTIFS($V$2:$V$200,$G318)&gt;0,
     COUNTIFS($W$2:$W$200,$G318)&gt;0,
     COUNTIFS($X$2:$X$200,$G318)&gt;0,
     COUNTIFS($Y$2:$Y$200,$G318)&gt;0,
     COUNTIFS($Z$2:$Z$200,$G318)&gt;0,
     COUNTIFS($AA$2:$AA$200,$G318)&gt;0,
     COUNTIFS($AB$2:$AB$200,$G318)&gt;0,
     COUNTIFS($AC$2:$AC$200,$G318)&gt;0,
     COUNTIFS($AD$2:$AD$200,$G318)&gt;0,
     COUNTIFS($AE$2:$AE$200,$G318)&gt;0,
     COUNTIFS($AF$2:$AF$200,$G318)&gt;0,
     COUNTIFS($AG$2:$AG$200,$G318)&gt;0,
     COUNTIFS($AH$2:$AH$200,$G318)&gt;0,
     COUNTIFS($AI$2:$AI$200,$G318)&gt;0,
     COUNTIFS($AJ$2:$AJ$200,$G318)&gt;0,
     COUNTIFS($AK$2:$AK$200,$G318)&gt;0,
     COUNTIFS($AL$2:$AL$200,$G318)&gt;0,
     COUNTIFS($AM$2:$AM$200,$G318)&gt;0,
     COUNTIFS($AN$2:$AN$200,$G318)&gt;0,
     COUNTIFS($AO$2:$AO$200,$G318)&gt;0,
     COUNTIFS($AP$2:$AP$200,$G318)&gt;0,
     COUNTIFS($AQ$2:$AQ$200,$G318)&gt;0,
     COUNTIFS($AR$2:$AR$200,$G318)&gt;0,
     COUNTIFS($AS$2:$AS$200,$G318)&gt;0,
     COUNTIFS($AT$2:$AT$200,$G318)&gt;0,
     COUNTIFS($AU$2:$AU$200,$G318)&gt;0,
     COUNTIFS($AV$2:$AV$200,$G318)&gt;0,
     COUNTIFS($AW$2:$AW$200,$G318)&gt;0,
     COUNTIFS($AX$2:$AX$200,$G318)&gt;0
   )),
  ),
  4
 ),
"")</f>
        <v/>
      </c>
      <c r="G318" t="str">
        <f ca="1"/>
        <v>Stridehangar Automaton</v>
      </c>
    </row>
    <row r="319" spans="1:7" x14ac:dyDescent="0.25">
      <c r="A319" s="3" t="str">
        <f t="shared" ca="1" si="10"/>
        <v>1</v>
      </c>
      <c r="B319" s="3">
        <f t="shared" ca="1" si="11"/>
        <v>1</v>
      </c>
      <c r="C319" s="3" t="str">
        <f ca="1">IFERROR(
 INDEX($U$1:$AX$1,
  MATCH(TRUE,
   CHOOSE({1;2;3;4;5;6;7;8;9;10;11;12;13;14;15;16;17;18;19;20;21;22;23;24;25;26;27;28;29;30;31;32},
    COUNTIFS($U$2:$U$200,$G319)&gt;0,
    COUNTIFS($V$2:$V$200,$G319)&gt;0,
    COUNTIFS($W$2:$W$200,$G319)&gt;0,
    COUNTIFS($X$2:$X$200,$G319)&gt;0,
    COUNTIFS($Y$2:$Y$200,$G319)&gt;0,
    COUNTIFS($Z$2:$Z$200,$G319)&gt;0,
    COUNTIFS($AA$2:$AA$200,$G319)&gt;0,
    COUNTIFS($AB$2:$AB$200,$G319)&gt;0,
    COUNTIFS($AC$2:$AC$200,$G319)&gt;0,
    COUNTIFS($AD$2:$AD$200,$G319)&gt;0,
    COUNTIFS($AE$2:$AE$200,$G319)&gt;0,
    COUNTIFS($AF$2:$AF$200,$G319)&gt;0,
    COUNTIFS($AG$2:$AG$200,$G319)&gt;0,
    COUNTIFS($AH$2:$AH$200,$G319)&gt;0,
    COUNTIFS($AI$2:$AI$200,$G319)&gt;0,
    COUNTIFS($AJ$2:$AJ$200,$G319)&gt;0,
    COUNTIFS($AK$2:$AK$200,$G319)&gt;0,
    COUNTIFS($AL$2:$AL$200,$G319)&gt;0,
    COUNTIFS($AM$2:$AM$200,$G319)&gt;0,
    COUNTIFS($AN$2:$AN$200,$G319)&gt;0,
    COUNTIFS($AO$2:$AO$200,$G319)&gt;0,
    COUNTIFS($AP$2:$AP$200,$G319)&gt;0,
    COUNTIFS($AQ$2:$AQ$200,$G319)&gt;0,
    COUNTIFS($AR$2:$AR$200,$G319)&gt;0,
    COUNTIFS($AS$2:$AS$200,$G319)&gt;0,
    COUNTIFS($AT$2:$AT$200,$G319)&gt;0,
    COUNTIFS($AU$2:$AU$200,$G319)&gt;0,
    COUNTIFS($AV$2:$AV$200,$G319)&gt;0,
    COUNTIFS($AW$2:$AW$200,$G319)&gt;0,
    COUNTIFS($AX$2:$AX$200,$G319)&gt;0
   ),
  0)
 ),
"")</f>
        <v>Modular</v>
      </c>
      <c r="D319" s="3" t="str" cm="1">
        <f t="array" aca="1" ref="D319" ca="1">IFERROR(
 INDEX(
  _xlfn._xlws.FILTER($U$1:$AX$1,
   TRANSPOSE(
    CHOOSE({1;2;3;4;5;6;7;8;9;10;11;12;13;14;15;16;17;18;19;20;21;22;23;24;25;26;27;28;29;30},
     COUNTIFS($U$2:$U$200,$G319)&gt;0,
     COUNTIFS($V$2:$V$200,$G319)&gt;0,
     COUNTIFS($W$2:$W$200,$G319)&gt;0,
     COUNTIFS($X$2:$X$200,$G319)&gt;0,
     COUNTIFS($Y$2:$Y$200,$G319)&gt;0,
     COUNTIFS($Z$2:$Z$200,$G319)&gt;0,
     COUNTIFS($AA$2:$AA$200,$G319)&gt;0,
     COUNTIFS($AB$2:$AB$200,$G319)&gt;0,
     COUNTIFS($AC$2:$AC$200,$G319)&gt;0,
     COUNTIFS($AD$2:$AD$200,$G319)&gt;0,
     COUNTIFS($AE$2:$AE$200,$G319)&gt;0,
     COUNTIFS($AF$2:$AF$200,$G319)&gt;0,
     COUNTIFS($AG$2:$AG$200,$G319)&gt;0,
     COUNTIFS($AH$2:$AH$200,$G319)&gt;0,
     COUNTIFS($AI$2:$AI$200,$G319)&gt;0,
     COUNTIFS($AJ$2:$AJ$200,$G319)&gt;0,
     COUNTIFS($AK$2:$AK$200,$G319)&gt;0,
     COUNTIFS($AL$2:$AL$200,$G319)&gt;0,
     COUNTIFS($AM$2:$AM$200,$G319)&gt;0,
     COUNTIFS($AN$2:$AN$200,$G319)&gt;0,
     COUNTIFS($AO$2:$AO$200,$G319)&gt;0,
     COUNTIFS($AP$2:$AP$200,$G319)&gt;0,
     COUNTIFS($AQ$2:$AQ$200,$G319)&gt;0,
     COUNTIFS($AR$2:$AR$200,$G319)&gt;0,
     COUNTIFS($AS$2:$AS$200,$G319)&gt;0,
     COUNTIFS($AT$2:$AT$200,$G319)&gt;0,
     COUNTIFS($AU$2:$AU$200,$G319)&gt;0,
     COUNTIFS($AV$2:$AV$200,$G319)&gt;0,
     COUNTIFS($AW$2:$AW$200,$G319)&gt;0,
     COUNTIFS($AX$2:$AX$200,$G319)&gt;0
   )),
  ),
  2
 ),
"")</f>
        <v/>
      </c>
      <c r="E319" s="3" t="str" cm="1">
        <f t="array" aca="1" ref="E319" ca="1">IFERROR(
 INDEX(
  _xlfn._xlws.FILTER($U$1:$AX$1,
   TRANSPOSE(
    CHOOSE({1;2;3;4;5;6;7;8;9;10;11;12;13;14;15;16;17;18;19;20;21;22;23;24;25;26;27;28;29;30},
     COUNTIFS($U$2:$U$200,$G319)&gt;0,
     COUNTIFS($V$2:$V$200,$G319)&gt;0,
     COUNTIFS($W$2:$W$200,$G319)&gt;0,
     COUNTIFS($X$2:$X$200,$G319)&gt;0,
     COUNTIFS($Y$2:$Y$200,$G319)&gt;0,
     COUNTIFS($Z$2:$Z$200,$G319)&gt;0,
     COUNTIFS($AA$2:$AA$200,$G319)&gt;0,
     COUNTIFS($AB$2:$AB$200,$G319)&gt;0,
     COUNTIFS($AC$2:$AC$200,$G319)&gt;0,
     COUNTIFS($AD$2:$AD$200,$G319)&gt;0,
     COUNTIFS($AE$2:$AE$200,$G319)&gt;0,
     COUNTIFS($AF$2:$AF$200,$G319)&gt;0,
     COUNTIFS($AG$2:$AG$200,$G319)&gt;0,
     COUNTIFS($AH$2:$AH$200,$G319)&gt;0,
     COUNTIFS($AI$2:$AI$200,$G319)&gt;0,
     COUNTIFS($AJ$2:$AJ$200,$G319)&gt;0,
     COUNTIFS($AK$2:$AK$200,$G319)&gt;0,
     COUNTIFS($AL$2:$AL$200,$G319)&gt;0,
     COUNTIFS($AM$2:$AM$200,$G319)&gt;0,
     COUNTIFS($AN$2:$AN$200,$G319)&gt;0,
     COUNTIFS($AO$2:$AO$200,$G319)&gt;0,
     COUNTIFS($AP$2:$AP$200,$G319)&gt;0,
     COUNTIFS($AQ$2:$AQ$200,$G319)&gt;0,
     COUNTIFS($AR$2:$AR$200,$G319)&gt;0,
     COUNTIFS($AS$2:$AS$200,$G319)&gt;0,
     COUNTIFS($AT$2:$AT$200,$G319)&gt;0,
     COUNTIFS($AU$2:$AU$200,$G319)&gt;0,
     COUNTIFS($AV$2:$AV$200,$G319)&gt;0,
     COUNTIFS($AW$2:$AW$200,$G319)&gt;0,
     COUNTIFS($AX$2:$AX$200,$G319)&gt;0
   )),
  ),
  3
 ),
"")</f>
        <v/>
      </c>
      <c r="F319" s="3" t="str" cm="1">
        <f t="array" aca="1" ref="F319" ca="1">IFERROR(
 INDEX(
  _xlfn._xlws.FILTER($U$1:$AX$1,
   TRANSPOSE(
    CHOOSE({1;2;3;4;5;6;7;8;9;10;11;12;13;14;15;16;17;18;19;20;21;22;23;24;25;26;27;28;29;30},
     COUNTIFS($U$2:$U$200,$G319)&gt;0,
     COUNTIFS($V$2:$V$200,$G319)&gt;0,
     COUNTIFS($W$2:$W$200,$G319)&gt;0,
     COUNTIFS($X$2:$X$200,$G319)&gt;0,
     COUNTIFS($Y$2:$Y$200,$G319)&gt;0,
     COUNTIFS($Z$2:$Z$200,$G319)&gt;0,
     COUNTIFS($AA$2:$AA$200,$G319)&gt;0,
     COUNTIFS($AB$2:$AB$200,$G319)&gt;0,
     COUNTIFS($AC$2:$AC$200,$G319)&gt;0,
     COUNTIFS($AD$2:$AD$200,$G319)&gt;0,
     COUNTIFS($AE$2:$AE$200,$G319)&gt;0,
     COUNTIFS($AF$2:$AF$200,$G319)&gt;0,
     COUNTIFS($AG$2:$AG$200,$G319)&gt;0,
     COUNTIFS($AH$2:$AH$200,$G319)&gt;0,
     COUNTIFS($AI$2:$AI$200,$G319)&gt;0,
     COUNTIFS($AJ$2:$AJ$200,$G319)&gt;0,
     COUNTIFS($AK$2:$AK$200,$G319)&gt;0,
     COUNTIFS($AL$2:$AL$200,$G319)&gt;0,
     COUNTIFS($AM$2:$AM$200,$G319)&gt;0,
     COUNTIFS($AN$2:$AN$200,$G319)&gt;0,
     COUNTIFS($AO$2:$AO$200,$G319)&gt;0,
     COUNTIFS($AP$2:$AP$200,$G319)&gt;0,
     COUNTIFS($AQ$2:$AQ$200,$G319)&gt;0,
     COUNTIFS($AR$2:$AR$200,$G319)&gt;0,
     COUNTIFS($AS$2:$AS$200,$G319)&gt;0,
     COUNTIFS($AT$2:$AT$200,$G319)&gt;0,
     COUNTIFS($AU$2:$AU$200,$G319)&gt;0,
     COUNTIFS($AV$2:$AV$200,$G319)&gt;0,
     COUNTIFS($AW$2:$AW$200,$G319)&gt;0,
     COUNTIFS($AX$2:$AX$200,$G319)&gt;0
   )),
  ),
  4
 ),
"")</f>
        <v/>
      </c>
      <c r="G319" t="str">
        <f ca="1"/>
        <v>Strionic Resonator</v>
      </c>
    </row>
    <row r="320" spans="1:7" x14ac:dyDescent="0.25">
      <c r="A320" s="3" t="str">
        <f t="shared" ca="1" si="10"/>
        <v>2</v>
      </c>
      <c r="B320" s="3">
        <f t="shared" ca="1" si="11"/>
        <v>1</v>
      </c>
      <c r="C320" s="3" t="str">
        <f ca="1">IFERROR(
 INDEX($U$1:$AX$1,
  MATCH(TRUE,
   CHOOSE({1;2;3;4;5;6;7;8;9;10;11;12;13;14;15;16;17;18;19;20;21;22;23;24;25;26;27;28;29;30;31;32},
    COUNTIFS($U$2:$U$200,$G320)&gt;0,
    COUNTIFS($V$2:$V$200,$G320)&gt;0,
    COUNTIFS($W$2:$W$200,$G320)&gt;0,
    COUNTIFS($X$2:$X$200,$G320)&gt;0,
    COUNTIFS($Y$2:$Y$200,$G320)&gt;0,
    COUNTIFS($Z$2:$Z$200,$G320)&gt;0,
    COUNTIFS($AA$2:$AA$200,$G320)&gt;0,
    COUNTIFS($AB$2:$AB$200,$G320)&gt;0,
    COUNTIFS($AC$2:$AC$200,$G320)&gt;0,
    COUNTIFS($AD$2:$AD$200,$G320)&gt;0,
    COUNTIFS($AE$2:$AE$200,$G320)&gt;0,
    COUNTIFS($AF$2:$AF$200,$G320)&gt;0,
    COUNTIFS($AG$2:$AG$200,$G320)&gt;0,
    COUNTIFS($AH$2:$AH$200,$G320)&gt;0,
    COUNTIFS($AI$2:$AI$200,$G320)&gt;0,
    COUNTIFS($AJ$2:$AJ$200,$G320)&gt;0,
    COUNTIFS($AK$2:$AK$200,$G320)&gt;0,
    COUNTIFS($AL$2:$AL$200,$G320)&gt;0,
    COUNTIFS($AM$2:$AM$200,$G320)&gt;0,
    COUNTIFS($AN$2:$AN$200,$G320)&gt;0,
    COUNTIFS($AO$2:$AO$200,$G320)&gt;0,
    COUNTIFS($AP$2:$AP$200,$G320)&gt;0,
    COUNTIFS($AQ$2:$AQ$200,$G320)&gt;0,
    COUNTIFS($AR$2:$AR$200,$G320)&gt;0,
    COUNTIFS($AS$2:$AS$200,$G320)&gt;0,
    COUNTIFS($AT$2:$AT$200,$G320)&gt;0,
    COUNTIFS($AU$2:$AU$200,$G320)&gt;0,
    COUNTIFS($AV$2:$AV$200,$G320)&gt;0,
    COUNTIFS($AW$2:$AW$200,$G320)&gt;0,
    COUNTIFS($AX$2:$AX$200,$G320)&gt;0
   ),
  0)
 ),
"")</f>
        <v>Rani</v>
      </c>
      <c r="D320" s="3" t="str" cm="1">
        <f t="array" aca="1" ref="D320" ca="1">IFERROR(
 INDEX(
  _xlfn._xlws.FILTER($U$1:$AX$1,
   TRANSPOSE(
    CHOOSE({1;2;3;4;5;6;7;8;9;10;11;12;13;14;15;16;17;18;19;20;21;22;23;24;25;26;27;28;29;30},
     COUNTIFS($U$2:$U$200,$G320)&gt;0,
     COUNTIFS($V$2:$V$200,$G320)&gt;0,
     COUNTIFS($W$2:$W$200,$G320)&gt;0,
     COUNTIFS($X$2:$X$200,$G320)&gt;0,
     COUNTIFS($Y$2:$Y$200,$G320)&gt;0,
     COUNTIFS($Z$2:$Z$200,$G320)&gt;0,
     COUNTIFS($AA$2:$AA$200,$G320)&gt;0,
     COUNTIFS($AB$2:$AB$200,$G320)&gt;0,
     COUNTIFS($AC$2:$AC$200,$G320)&gt;0,
     COUNTIFS($AD$2:$AD$200,$G320)&gt;0,
     COUNTIFS($AE$2:$AE$200,$G320)&gt;0,
     COUNTIFS($AF$2:$AF$200,$G320)&gt;0,
     COUNTIFS($AG$2:$AG$200,$G320)&gt;0,
     COUNTIFS($AH$2:$AH$200,$G320)&gt;0,
     COUNTIFS($AI$2:$AI$200,$G320)&gt;0,
     COUNTIFS($AJ$2:$AJ$200,$G320)&gt;0,
     COUNTIFS($AK$2:$AK$200,$G320)&gt;0,
     COUNTIFS($AL$2:$AL$200,$G320)&gt;0,
     COUNTIFS($AM$2:$AM$200,$G320)&gt;0,
     COUNTIFS($AN$2:$AN$200,$G320)&gt;0,
     COUNTIFS($AO$2:$AO$200,$G320)&gt;0,
     COUNTIFS($AP$2:$AP$200,$G320)&gt;0,
     COUNTIFS($AQ$2:$AQ$200,$G320)&gt;0,
     COUNTIFS($AR$2:$AR$200,$G320)&gt;0,
     COUNTIFS($AS$2:$AS$200,$G320)&gt;0,
     COUNTIFS($AT$2:$AT$200,$G320)&gt;0,
     COUNTIFS($AU$2:$AU$200,$G320)&gt;0,
     COUNTIFS($AV$2:$AV$200,$G320)&gt;0,
     COUNTIFS($AW$2:$AW$200,$G320)&gt;0,
     COUNTIFS($AX$2:$AX$200,$G320)&gt;0
   )),
  ),
  2
 ),
"")</f>
        <v/>
      </c>
      <c r="E320" s="3" t="str" cm="1">
        <f t="array" aca="1" ref="E320" ca="1">IFERROR(
 INDEX(
  _xlfn._xlws.FILTER($U$1:$AX$1,
   TRANSPOSE(
    CHOOSE({1;2;3;4;5;6;7;8;9;10;11;12;13;14;15;16;17;18;19;20;21;22;23;24;25;26;27;28;29;30},
     COUNTIFS($U$2:$U$200,$G320)&gt;0,
     COUNTIFS($V$2:$V$200,$G320)&gt;0,
     COUNTIFS($W$2:$W$200,$G320)&gt;0,
     COUNTIFS($X$2:$X$200,$G320)&gt;0,
     COUNTIFS($Y$2:$Y$200,$G320)&gt;0,
     COUNTIFS($Z$2:$Z$200,$G320)&gt;0,
     COUNTIFS($AA$2:$AA$200,$G320)&gt;0,
     COUNTIFS($AB$2:$AB$200,$G320)&gt;0,
     COUNTIFS($AC$2:$AC$200,$G320)&gt;0,
     COUNTIFS($AD$2:$AD$200,$G320)&gt;0,
     COUNTIFS($AE$2:$AE$200,$G320)&gt;0,
     COUNTIFS($AF$2:$AF$200,$G320)&gt;0,
     COUNTIFS($AG$2:$AG$200,$G320)&gt;0,
     COUNTIFS($AH$2:$AH$200,$G320)&gt;0,
     COUNTIFS($AI$2:$AI$200,$G320)&gt;0,
     COUNTIFS($AJ$2:$AJ$200,$G320)&gt;0,
     COUNTIFS($AK$2:$AK$200,$G320)&gt;0,
     COUNTIFS($AL$2:$AL$200,$G320)&gt;0,
     COUNTIFS($AM$2:$AM$200,$G320)&gt;0,
     COUNTIFS($AN$2:$AN$200,$G320)&gt;0,
     COUNTIFS($AO$2:$AO$200,$G320)&gt;0,
     COUNTIFS($AP$2:$AP$200,$G320)&gt;0,
     COUNTIFS($AQ$2:$AQ$200,$G320)&gt;0,
     COUNTIFS($AR$2:$AR$200,$G320)&gt;0,
     COUNTIFS($AS$2:$AS$200,$G320)&gt;0,
     COUNTIFS($AT$2:$AT$200,$G320)&gt;0,
     COUNTIFS($AU$2:$AU$200,$G320)&gt;0,
     COUNTIFS($AV$2:$AV$200,$G320)&gt;0,
     COUNTIFS($AW$2:$AW$200,$G320)&gt;0,
     COUNTIFS($AX$2:$AX$200,$G320)&gt;0
   )),
  ),
  3
 ),
"")</f>
        <v/>
      </c>
      <c r="F320" s="3" t="str" cm="1">
        <f t="array" aca="1" ref="F320" ca="1">IFERROR(
 INDEX(
  _xlfn._xlws.FILTER($U$1:$AX$1,
   TRANSPOSE(
    CHOOSE({1;2;3;4;5;6;7;8;9;10;11;12;13;14;15;16;17;18;19;20;21;22;23;24;25;26;27;28;29;30},
     COUNTIFS($U$2:$U$200,$G320)&gt;0,
     COUNTIFS($V$2:$V$200,$G320)&gt;0,
     COUNTIFS($W$2:$W$200,$G320)&gt;0,
     COUNTIFS($X$2:$X$200,$G320)&gt;0,
     COUNTIFS($Y$2:$Y$200,$G320)&gt;0,
     COUNTIFS($Z$2:$Z$200,$G320)&gt;0,
     COUNTIFS($AA$2:$AA$200,$G320)&gt;0,
     COUNTIFS($AB$2:$AB$200,$G320)&gt;0,
     COUNTIFS($AC$2:$AC$200,$G320)&gt;0,
     COUNTIFS($AD$2:$AD$200,$G320)&gt;0,
     COUNTIFS($AE$2:$AE$200,$G320)&gt;0,
     COUNTIFS($AF$2:$AF$200,$G320)&gt;0,
     COUNTIFS($AG$2:$AG$200,$G320)&gt;0,
     COUNTIFS($AH$2:$AH$200,$G320)&gt;0,
     COUNTIFS($AI$2:$AI$200,$G320)&gt;0,
     COUNTIFS($AJ$2:$AJ$200,$G320)&gt;0,
     COUNTIFS($AK$2:$AK$200,$G320)&gt;0,
     COUNTIFS($AL$2:$AL$200,$G320)&gt;0,
     COUNTIFS($AM$2:$AM$200,$G320)&gt;0,
     COUNTIFS($AN$2:$AN$200,$G320)&gt;0,
     COUNTIFS($AO$2:$AO$200,$G320)&gt;0,
     COUNTIFS($AP$2:$AP$200,$G320)&gt;0,
     COUNTIFS($AQ$2:$AQ$200,$G320)&gt;0,
     COUNTIFS($AR$2:$AR$200,$G320)&gt;0,
     COUNTIFS($AS$2:$AS$200,$G320)&gt;0,
     COUNTIFS($AT$2:$AT$200,$G320)&gt;0,
     COUNTIFS($AU$2:$AU$200,$G320)&gt;0,
     COUNTIFS($AV$2:$AV$200,$G320)&gt;0,
     COUNTIFS($AW$2:$AW$200,$G320)&gt;0,
     COUNTIFS($AX$2:$AX$200,$G320)&gt;0
   )),
  ),
  4
 ),
"")</f>
        <v/>
      </c>
      <c r="G320" t="str">
        <f ca="1"/>
        <v>Sulfur Falls</v>
      </c>
    </row>
    <row r="321" spans="1:7" x14ac:dyDescent="0.25">
      <c r="A321" s="3" t="str">
        <f t="shared" ca="1" si="10"/>
        <v>1</v>
      </c>
      <c r="B321" s="3">
        <f t="shared" ca="1" si="11"/>
        <v>1</v>
      </c>
      <c r="C321" s="3" t="str">
        <f ca="1">IFERROR(
 INDEX($U$1:$AX$1,
  MATCH(TRUE,
   CHOOSE({1;2;3;4;5;6;7;8;9;10;11;12;13;14;15;16;17;18;19;20;21;22;23;24;25;26;27;28;29;30;31;32},
    COUNTIFS($U$2:$U$200,$G321)&gt;0,
    COUNTIFS($V$2:$V$200,$G321)&gt;0,
    COUNTIFS($W$2:$W$200,$G321)&gt;0,
    COUNTIFS($X$2:$X$200,$G321)&gt;0,
    COUNTIFS($Y$2:$Y$200,$G321)&gt;0,
    COUNTIFS($Z$2:$Z$200,$G321)&gt;0,
    COUNTIFS($AA$2:$AA$200,$G321)&gt;0,
    COUNTIFS($AB$2:$AB$200,$G321)&gt;0,
    COUNTIFS($AC$2:$AC$200,$G321)&gt;0,
    COUNTIFS($AD$2:$AD$200,$G321)&gt;0,
    COUNTIFS($AE$2:$AE$200,$G321)&gt;0,
    COUNTIFS($AF$2:$AF$200,$G321)&gt;0,
    COUNTIFS($AG$2:$AG$200,$G321)&gt;0,
    COUNTIFS($AH$2:$AH$200,$G321)&gt;0,
    COUNTIFS($AI$2:$AI$200,$G321)&gt;0,
    COUNTIFS($AJ$2:$AJ$200,$G321)&gt;0,
    COUNTIFS($AK$2:$AK$200,$G321)&gt;0,
    COUNTIFS($AL$2:$AL$200,$G321)&gt;0,
    COUNTIFS($AM$2:$AM$200,$G321)&gt;0,
    COUNTIFS($AN$2:$AN$200,$G321)&gt;0,
    COUNTIFS($AO$2:$AO$200,$G321)&gt;0,
    COUNTIFS($AP$2:$AP$200,$G321)&gt;0,
    COUNTIFS($AQ$2:$AQ$200,$G321)&gt;0,
    COUNTIFS($AR$2:$AR$200,$G321)&gt;0,
    COUNTIFS($AS$2:$AS$200,$G321)&gt;0,
    COUNTIFS($AT$2:$AT$200,$G321)&gt;0,
    COUNTIFS($AU$2:$AU$200,$G321)&gt;0,
    COUNTIFS($AV$2:$AV$200,$G321)&gt;0,
    COUNTIFS($AW$2:$AW$200,$G321)&gt;0,
    COUNTIFS($AX$2:$AX$200,$G321)&gt;0
   ),
  0)
 ),
"")</f>
        <v>Tayam</v>
      </c>
      <c r="D321" s="3" t="str" cm="1">
        <f t="array" aca="1" ref="D321" ca="1">IFERROR(
 INDEX(
  _xlfn._xlws.FILTER($U$1:$AX$1,
   TRANSPOSE(
    CHOOSE({1;2;3;4;5;6;7;8;9;10;11;12;13;14;15;16;17;18;19;20;21;22;23;24;25;26;27;28;29;30},
     COUNTIFS($U$2:$U$200,$G321)&gt;0,
     COUNTIFS($V$2:$V$200,$G321)&gt;0,
     COUNTIFS($W$2:$W$200,$G321)&gt;0,
     COUNTIFS($X$2:$X$200,$G321)&gt;0,
     COUNTIFS($Y$2:$Y$200,$G321)&gt;0,
     COUNTIFS($Z$2:$Z$200,$G321)&gt;0,
     COUNTIFS($AA$2:$AA$200,$G321)&gt;0,
     COUNTIFS($AB$2:$AB$200,$G321)&gt;0,
     COUNTIFS($AC$2:$AC$200,$G321)&gt;0,
     COUNTIFS($AD$2:$AD$200,$G321)&gt;0,
     COUNTIFS($AE$2:$AE$200,$G321)&gt;0,
     COUNTIFS($AF$2:$AF$200,$G321)&gt;0,
     COUNTIFS($AG$2:$AG$200,$G321)&gt;0,
     COUNTIFS($AH$2:$AH$200,$G321)&gt;0,
     COUNTIFS($AI$2:$AI$200,$G321)&gt;0,
     COUNTIFS($AJ$2:$AJ$200,$G321)&gt;0,
     COUNTIFS($AK$2:$AK$200,$G321)&gt;0,
     COUNTIFS($AL$2:$AL$200,$G321)&gt;0,
     COUNTIFS($AM$2:$AM$200,$G321)&gt;0,
     COUNTIFS($AN$2:$AN$200,$G321)&gt;0,
     COUNTIFS($AO$2:$AO$200,$G321)&gt;0,
     COUNTIFS($AP$2:$AP$200,$G321)&gt;0,
     COUNTIFS($AQ$2:$AQ$200,$G321)&gt;0,
     COUNTIFS($AR$2:$AR$200,$G321)&gt;0,
     COUNTIFS($AS$2:$AS$200,$G321)&gt;0,
     COUNTIFS($AT$2:$AT$200,$G321)&gt;0,
     COUNTIFS($AU$2:$AU$200,$G321)&gt;0,
     COUNTIFS($AV$2:$AV$200,$G321)&gt;0,
     COUNTIFS($AW$2:$AW$200,$G321)&gt;0,
     COUNTIFS($AX$2:$AX$200,$G321)&gt;0
   )),
  ),
  2
 ),
"")</f>
        <v/>
      </c>
      <c r="E321" s="3" t="str" cm="1">
        <f t="array" aca="1" ref="E321" ca="1">IFERROR(
 INDEX(
  _xlfn._xlws.FILTER($U$1:$AX$1,
   TRANSPOSE(
    CHOOSE({1;2;3;4;5;6;7;8;9;10;11;12;13;14;15;16;17;18;19;20;21;22;23;24;25;26;27;28;29;30},
     COUNTIFS($U$2:$U$200,$G321)&gt;0,
     COUNTIFS($V$2:$V$200,$G321)&gt;0,
     COUNTIFS($W$2:$W$200,$G321)&gt;0,
     COUNTIFS($X$2:$X$200,$G321)&gt;0,
     COUNTIFS($Y$2:$Y$200,$G321)&gt;0,
     COUNTIFS($Z$2:$Z$200,$G321)&gt;0,
     COUNTIFS($AA$2:$AA$200,$G321)&gt;0,
     COUNTIFS($AB$2:$AB$200,$G321)&gt;0,
     COUNTIFS($AC$2:$AC$200,$G321)&gt;0,
     COUNTIFS($AD$2:$AD$200,$G321)&gt;0,
     COUNTIFS($AE$2:$AE$200,$G321)&gt;0,
     COUNTIFS($AF$2:$AF$200,$G321)&gt;0,
     COUNTIFS($AG$2:$AG$200,$G321)&gt;0,
     COUNTIFS($AH$2:$AH$200,$G321)&gt;0,
     COUNTIFS($AI$2:$AI$200,$G321)&gt;0,
     COUNTIFS($AJ$2:$AJ$200,$G321)&gt;0,
     COUNTIFS($AK$2:$AK$200,$G321)&gt;0,
     COUNTIFS($AL$2:$AL$200,$G321)&gt;0,
     COUNTIFS($AM$2:$AM$200,$G321)&gt;0,
     COUNTIFS($AN$2:$AN$200,$G321)&gt;0,
     COUNTIFS($AO$2:$AO$200,$G321)&gt;0,
     COUNTIFS($AP$2:$AP$200,$G321)&gt;0,
     COUNTIFS($AQ$2:$AQ$200,$G321)&gt;0,
     COUNTIFS($AR$2:$AR$200,$G321)&gt;0,
     COUNTIFS($AS$2:$AS$200,$G321)&gt;0,
     COUNTIFS($AT$2:$AT$200,$G321)&gt;0,
     COUNTIFS($AU$2:$AU$200,$G321)&gt;0,
     COUNTIFS($AV$2:$AV$200,$G321)&gt;0,
     COUNTIFS($AW$2:$AW$200,$G321)&gt;0,
     COUNTIFS($AX$2:$AX$200,$G321)&gt;0
   )),
  ),
  3
 ),
"")</f>
        <v/>
      </c>
      <c r="F321" s="3" t="str" cm="1">
        <f t="array" aca="1" ref="F321" ca="1">IFERROR(
 INDEX(
  _xlfn._xlws.FILTER($U$1:$AX$1,
   TRANSPOSE(
    CHOOSE({1;2;3;4;5;6;7;8;9;10;11;12;13;14;15;16;17;18;19;20;21;22;23;24;25;26;27;28;29;30},
     COUNTIFS($U$2:$U$200,$G321)&gt;0,
     COUNTIFS($V$2:$V$200,$G321)&gt;0,
     COUNTIFS($W$2:$W$200,$G321)&gt;0,
     COUNTIFS($X$2:$X$200,$G321)&gt;0,
     COUNTIFS($Y$2:$Y$200,$G321)&gt;0,
     COUNTIFS($Z$2:$Z$200,$G321)&gt;0,
     COUNTIFS($AA$2:$AA$200,$G321)&gt;0,
     COUNTIFS($AB$2:$AB$200,$G321)&gt;0,
     COUNTIFS($AC$2:$AC$200,$G321)&gt;0,
     COUNTIFS($AD$2:$AD$200,$G321)&gt;0,
     COUNTIFS($AE$2:$AE$200,$G321)&gt;0,
     COUNTIFS($AF$2:$AF$200,$G321)&gt;0,
     COUNTIFS($AG$2:$AG$200,$G321)&gt;0,
     COUNTIFS($AH$2:$AH$200,$G321)&gt;0,
     COUNTIFS($AI$2:$AI$200,$G321)&gt;0,
     COUNTIFS($AJ$2:$AJ$200,$G321)&gt;0,
     COUNTIFS($AK$2:$AK$200,$G321)&gt;0,
     COUNTIFS($AL$2:$AL$200,$G321)&gt;0,
     COUNTIFS($AM$2:$AM$200,$G321)&gt;0,
     COUNTIFS($AN$2:$AN$200,$G321)&gt;0,
     COUNTIFS($AO$2:$AO$200,$G321)&gt;0,
     COUNTIFS($AP$2:$AP$200,$G321)&gt;0,
     COUNTIFS($AQ$2:$AQ$200,$G321)&gt;0,
     COUNTIFS($AR$2:$AR$200,$G321)&gt;0,
     COUNTIFS($AS$2:$AS$200,$G321)&gt;0,
     COUNTIFS($AT$2:$AT$200,$G321)&gt;0,
     COUNTIFS($AU$2:$AU$200,$G321)&gt;0,
     COUNTIFS($AV$2:$AV$200,$G321)&gt;0,
     COUNTIFS($AW$2:$AW$200,$G321)&gt;0,
     COUNTIFS($AX$2:$AX$200,$G321)&gt;0
   )),
  ),
  4
 ),
"")</f>
        <v/>
      </c>
      <c r="G321" t="str">
        <f ca="1"/>
        <v>Summon: Fenrir</v>
      </c>
    </row>
    <row r="322" spans="1:7" x14ac:dyDescent="0.25">
      <c r="A322" s="3" t="str">
        <f t="shared" ca="1" si="10"/>
        <v>1</v>
      </c>
      <c r="B322" s="3">
        <f t="shared" ca="1" si="11"/>
        <v>1</v>
      </c>
      <c r="C322" s="3" t="str">
        <f ca="1">IFERROR(
 INDEX($U$1:$AX$1,
  MATCH(TRUE,
   CHOOSE({1;2;3;4;5;6;7;8;9;10;11;12;13;14;15;16;17;18;19;20;21;22;23;24;25;26;27;28;29;30;31;32},
    COUNTIFS($U$2:$U$200,$G322)&gt;0,
    COUNTIFS($V$2:$V$200,$G322)&gt;0,
    COUNTIFS($W$2:$W$200,$G322)&gt;0,
    COUNTIFS($X$2:$X$200,$G322)&gt;0,
    COUNTIFS($Y$2:$Y$200,$G322)&gt;0,
    COUNTIFS($Z$2:$Z$200,$G322)&gt;0,
    COUNTIFS($AA$2:$AA$200,$G322)&gt;0,
    COUNTIFS($AB$2:$AB$200,$G322)&gt;0,
    COUNTIFS($AC$2:$AC$200,$G322)&gt;0,
    COUNTIFS($AD$2:$AD$200,$G322)&gt;0,
    COUNTIFS($AE$2:$AE$200,$G322)&gt;0,
    COUNTIFS($AF$2:$AF$200,$G322)&gt;0,
    COUNTIFS($AG$2:$AG$200,$G322)&gt;0,
    COUNTIFS($AH$2:$AH$200,$G322)&gt;0,
    COUNTIFS($AI$2:$AI$200,$G322)&gt;0,
    COUNTIFS($AJ$2:$AJ$200,$G322)&gt;0,
    COUNTIFS($AK$2:$AK$200,$G322)&gt;0,
    COUNTIFS($AL$2:$AL$200,$G322)&gt;0,
    COUNTIFS($AM$2:$AM$200,$G322)&gt;0,
    COUNTIFS($AN$2:$AN$200,$G322)&gt;0,
    COUNTIFS($AO$2:$AO$200,$G322)&gt;0,
    COUNTIFS($AP$2:$AP$200,$G322)&gt;0,
    COUNTIFS($AQ$2:$AQ$200,$G322)&gt;0,
    COUNTIFS($AR$2:$AR$200,$G322)&gt;0,
    COUNTIFS($AS$2:$AS$200,$G322)&gt;0,
    COUNTIFS($AT$2:$AT$200,$G322)&gt;0,
    COUNTIFS($AU$2:$AU$200,$G322)&gt;0,
    COUNTIFS($AV$2:$AV$200,$G322)&gt;0,
    COUNTIFS($AW$2:$AW$200,$G322)&gt;0,
    COUNTIFS($AX$2:$AX$200,$G322)&gt;0
   ),
  0)
 ),
"")</f>
        <v>Tayam</v>
      </c>
      <c r="D322" s="3" t="str" cm="1">
        <f t="array" aca="1" ref="D322" ca="1">IFERROR(
 INDEX(
  _xlfn._xlws.FILTER($U$1:$AX$1,
   TRANSPOSE(
    CHOOSE({1;2;3;4;5;6;7;8;9;10;11;12;13;14;15;16;17;18;19;20;21;22;23;24;25;26;27;28;29;30},
     COUNTIFS($U$2:$U$200,$G322)&gt;0,
     COUNTIFS($V$2:$V$200,$G322)&gt;0,
     COUNTIFS($W$2:$W$200,$G322)&gt;0,
     COUNTIFS($X$2:$X$200,$G322)&gt;0,
     COUNTIFS($Y$2:$Y$200,$G322)&gt;0,
     COUNTIFS($Z$2:$Z$200,$G322)&gt;0,
     COUNTIFS($AA$2:$AA$200,$G322)&gt;0,
     COUNTIFS($AB$2:$AB$200,$G322)&gt;0,
     COUNTIFS($AC$2:$AC$200,$G322)&gt;0,
     COUNTIFS($AD$2:$AD$200,$G322)&gt;0,
     COUNTIFS($AE$2:$AE$200,$G322)&gt;0,
     COUNTIFS($AF$2:$AF$200,$G322)&gt;0,
     COUNTIFS($AG$2:$AG$200,$G322)&gt;0,
     COUNTIFS($AH$2:$AH$200,$G322)&gt;0,
     COUNTIFS($AI$2:$AI$200,$G322)&gt;0,
     COUNTIFS($AJ$2:$AJ$200,$G322)&gt;0,
     COUNTIFS($AK$2:$AK$200,$G322)&gt;0,
     COUNTIFS($AL$2:$AL$200,$G322)&gt;0,
     COUNTIFS($AM$2:$AM$200,$G322)&gt;0,
     COUNTIFS($AN$2:$AN$200,$G322)&gt;0,
     COUNTIFS($AO$2:$AO$200,$G322)&gt;0,
     COUNTIFS($AP$2:$AP$200,$G322)&gt;0,
     COUNTIFS($AQ$2:$AQ$200,$G322)&gt;0,
     COUNTIFS($AR$2:$AR$200,$G322)&gt;0,
     COUNTIFS($AS$2:$AS$200,$G322)&gt;0,
     COUNTIFS($AT$2:$AT$200,$G322)&gt;0,
     COUNTIFS($AU$2:$AU$200,$G322)&gt;0,
     COUNTIFS($AV$2:$AV$200,$G322)&gt;0,
     COUNTIFS($AW$2:$AW$200,$G322)&gt;0,
     COUNTIFS($AX$2:$AX$200,$G322)&gt;0
   )),
  ),
  2
 ),
"")</f>
        <v/>
      </c>
      <c r="E322" s="3" t="str" cm="1">
        <f t="array" aca="1" ref="E322" ca="1">IFERROR(
 INDEX(
  _xlfn._xlws.FILTER($U$1:$AX$1,
   TRANSPOSE(
    CHOOSE({1;2;3;4;5;6;7;8;9;10;11;12;13;14;15;16;17;18;19;20;21;22;23;24;25;26;27;28;29;30},
     COUNTIFS($U$2:$U$200,$G322)&gt;0,
     COUNTIFS($V$2:$V$200,$G322)&gt;0,
     COUNTIFS($W$2:$W$200,$G322)&gt;0,
     COUNTIFS($X$2:$X$200,$G322)&gt;0,
     COUNTIFS($Y$2:$Y$200,$G322)&gt;0,
     COUNTIFS($Z$2:$Z$200,$G322)&gt;0,
     COUNTIFS($AA$2:$AA$200,$G322)&gt;0,
     COUNTIFS($AB$2:$AB$200,$G322)&gt;0,
     COUNTIFS($AC$2:$AC$200,$G322)&gt;0,
     COUNTIFS($AD$2:$AD$200,$G322)&gt;0,
     COUNTIFS($AE$2:$AE$200,$G322)&gt;0,
     COUNTIFS($AF$2:$AF$200,$G322)&gt;0,
     COUNTIFS($AG$2:$AG$200,$G322)&gt;0,
     COUNTIFS($AH$2:$AH$200,$G322)&gt;0,
     COUNTIFS($AI$2:$AI$200,$G322)&gt;0,
     COUNTIFS($AJ$2:$AJ$200,$G322)&gt;0,
     COUNTIFS($AK$2:$AK$200,$G322)&gt;0,
     COUNTIFS($AL$2:$AL$200,$G322)&gt;0,
     COUNTIFS($AM$2:$AM$200,$G322)&gt;0,
     COUNTIFS($AN$2:$AN$200,$G322)&gt;0,
     COUNTIFS($AO$2:$AO$200,$G322)&gt;0,
     COUNTIFS($AP$2:$AP$200,$G322)&gt;0,
     COUNTIFS($AQ$2:$AQ$200,$G322)&gt;0,
     COUNTIFS($AR$2:$AR$200,$G322)&gt;0,
     COUNTIFS($AS$2:$AS$200,$G322)&gt;0,
     COUNTIFS($AT$2:$AT$200,$G322)&gt;0,
     COUNTIFS($AU$2:$AU$200,$G322)&gt;0,
     COUNTIFS($AV$2:$AV$200,$G322)&gt;0,
     COUNTIFS($AW$2:$AW$200,$G322)&gt;0,
     COUNTIFS($AX$2:$AX$200,$G322)&gt;0
   )),
  ),
  3
 ),
"")</f>
        <v/>
      </c>
      <c r="F322" s="3" t="str" cm="1">
        <f t="array" aca="1" ref="F322" ca="1">IFERROR(
 INDEX(
  _xlfn._xlws.FILTER($U$1:$AX$1,
   TRANSPOSE(
    CHOOSE({1;2;3;4;5;6;7;8;9;10;11;12;13;14;15;16;17;18;19;20;21;22;23;24;25;26;27;28;29;30},
     COUNTIFS($U$2:$U$200,$G322)&gt;0,
     COUNTIFS($V$2:$V$200,$G322)&gt;0,
     COUNTIFS($W$2:$W$200,$G322)&gt;0,
     COUNTIFS($X$2:$X$200,$G322)&gt;0,
     COUNTIFS($Y$2:$Y$200,$G322)&gt;0,
     COUNTIFS($Z$2:$Z$200,$G322)&gt;0,
     COUNTIFS($AA$2:$AA$200,$G322)&gt;0,
     COUNTIFS($AB$2:$AB$200,$G322)&gt;0,
     COUNTIFS($AC$2:$AC$200,$G322)&gt;0,
     COUNTIFS($AD$2:$AD$200,$G322)&gt;0,
     COUNTIFS($AE$2:$AE$200,$G322)&gt;0,
     COUNTIFS($AF$2:$AF$200,$G322)&gt;0,
     COUNTIFS($AG$2:$AG$200,$G322)&gt;0,
     COUNTIFS($AH$2:$AH$200,$G322)&gt;0,
     COUNTIFS($AI$2:$AI$200,$G322)&gt;0,
     COUNTIFS($AJ$2:$AJ$200,$G322)&gt;0,
     COUNTIFS($AK$2:$AK$200,$G322)&gt;0,
     COUNTIFS($AL$2:$AL$200,$G322)&gt;0,
     COUNTIFS($AM$2:$AM$200,$G322)&gt;0,
     COUNTIFS($AN$2:$AN$200,$G322)&gt;0,
     COUNTIFS($AO$2:$AO$200,$G322)&gt;0,
     COUNTIFS($AP$2:$AP$200,$G322)&gt;0,
     COUNTIFS($AQ$2:$AQ$200,$G322)&gt;0,
     COUNTIFS($AR$2:$AR$200,$G322)&gt;0,
     COUNTIFS($AS$2:$AS$200,$G322)&gt;0,
     COUNTIFS($AT$2:$AT$200,$G322)&gt;0,
     COUNTIFS($AU$2:$AU$200,$G322)&gt;0,
     COUNTIFS($AV$2:$AV$200,$G322)&gt;0,
     COUNTIFS($AW$2:$AW$200,$G322)&gt;0,
     COUNTIFS($AX$2:$AX$200,$G322)&gt;0
   )),
  ),
  4
 ),
"")</f>
        <v/>
      </c>
      <c r="G322" t="str">
        <f ca="1"/>
        <v>Summon: Ixion</v>
      </c>
    </row>
    <row r="323" spans="1:7" x14ac:dyDescent="0.25">
      <c r="A323" s="3" t="str">
        <f t="shared" ref="A323:A386" ca="1" si="12">IFERROR(INDEX($S$3:$S$200, MATCH($C323, $I$3:$I$200, 0)), "")</f>
        <v>2</v>
      </c>
      <c r="B323" s="3">
        <f t="shared" ref="B323:B386" ca="1" si="13">COUNTIF(U:AX,G323)</f>
        <v>1</v>
      </c>
      <c r="C323" s="3" t="str">
        <f ca="1">IFERROR(
 INDEX($U$1:$AX$1,
  MATCH(TRUE,
   CHOOSE({1;2;3;4;5;6;7;8;9;10;11;12;13;14;15;16;17;18;19;20;21;22;23;24;25;26;27;28;29;30;31;32},
    COUNTIFS($U$2:$U$200,$G323)&gt;0,
    COUNTIFS($V$2:$V$200,$G323)&gt;0,
    COUNTIFS($W$2:$W$200,$G323)&gt;0,
    COUNTIFS($X$2:$X$200,$G323)&gt;0,
    COUNTIFS($Y$2:$Y$200,$G323)&gt;0,
    COUNTIFS($Z$2:$Z$200,$G323)&gt;0,
    COUNTIFS($AA$2:$AA$200,$G323)&gt;0,
    COUNTIFS($AB$2:$AB$200,$G323)&gt;0,
    COUNTIFS($AC$2:$AC$200,$G323)&gt;0,
    COUNTIFS($AD$2:$AD$200,$G323)&gt;0,
    COUNTIFS($AE$2:$AE$200,$G323)&gt;0,
    COUNTIFS($AF$2:$AF$200,$G323)&gt;0,
    COUNTIFS($AG$2:$AG$200,$G323)&gt;0,
    COUNTIFS($AH$2:$AH$200,$G323)&gt;0,
    COUNTIFS($AI$2:$AI$200,$G323)&gt;0,
    COUNTIFS($AJ$2:$AJ$200,$G323)&gt;0,
    COUNTIFS($AK$2:$AK$200,$G323)&gt;0,
    COUNTIFS($AL$2:$AL$200,$G323)&gt;0,
    COUNTIFS($AM$2:$AM$200,$G323)&gt;0,
    COUNTIFS($AN$2:$AN$200,$G323)&gt;0,
    COUNTIFS($AO$2:$AO$200,$G323)&gt;0,
    COUNTIFS($AP$2:$AP$200,$G323)&gt;0,
    COUNTIFS($AQ$2:$AQ$200,$G323)&gt;0,
    COUNTIFS($AR$2:$AR$200,$G323)&gt;0,
    COUNTIFS($AS$2:$AS$200,$G323)&gt;0,
    COUNTIFS($AT$2:$AT$200,$G323)&gt;0,
    COUNTIFS($AU$2:$AU$200,$G323)&gt;0,
    COUNTIFS($AV$2:$AV$200,$G323)&gt;0,
    COUNTIFS($AW$2:$AW$200,$G323)&gt;0,
    COUNTIFS($AX$2:$AX$200,$G323)&gt;0
   ),
  0)
 ),
"")</f>
        <v>Kumena</v>
      </c>
      <c r="D323" s="3" t="str" cm="1">
        <f t="array" aca="1" ref="D323" ca="1">IFERROR(
 INDEX(
  _xlfn._xlws.FILTER($U$1:$AX$1,
   TRANSPOSE(
    CHOOSE({1;2;3;4;5;6;7;8;9;10;11;12;13;14;15;16;17;18;19;20;21;22;23;24;25;26;27;28;29;30},
     COUNTIFS($U$2:$U$200,$G323)&gt;0,
     COUNTIFS($V$2:$V$200,$G323)&gt;0,
     COUNTIFS($W$2:$W$200,$G323)&gt;0,
     COUNTIFS($X$2:$X$200,$G323)&gt;0,
     COUNTIFS($Y$2:$Y$200,$G323)&gt;0,
     COUNTIFS($Z$2:$Z$200,$G323)&gt;0,
     COUNTIFS($AA$2:$AA$200,$G323)&gt;0,
     COUNTIFS($AB$2:$AB$200,$G323)&gt;0,
     COUNTIFS($AC$2:$AC$200,$G323)&gt;0,
     COUNTIFS($AD$2:$AD$200,$G323)&gt;0,
     COUNTIFS($AE$2:$AE$200,$G323)&gt;0,
     COUNTIFS($AF$2:$AF$200,$G323)&gt;0,
     COUNTIFS($AG$2:$AG$200,$G323)&gt;0,
     COUNTIFS($AH$2:$AH$200,$G323)&gt;0,
     COUNTIFS($AI$2:$AI$200,$G323)&gt;0,
     COUNTIFS($AJ$2:$AJ$200,$G323)&gt;0,
     COUNTIFS($AK$2:$AK$200,$G323)&gt;0,
     COUNTIFS($AL$2:$AL$200,$G323)&gt;0,
     COUNTIFS($AM$2:$AM$200,$G323)&gt;0,
     COUNTIFS($AN$2:$AN$200,$G323)&gt;0,
     COUNTIFS($AO$2:$AO$200,$G323)&gt;0,
     COUNTIFS($AP$2:$AP$200,$G323)&gt;0,
     COUNTIFS($AQ$2:$AQ$200,$G323)&gt;0,
     COUNTIFS($AR$2:$AR$200,$G323)&gt;0,
     COUNTIFS($AS$2:$AS$200,$G323)&gt;0,
     COUNTIFS($AT$2:$AT$200,$G323)&gt;0,
     COUNTIFS($AU$2:$AU$200,$G323)&gt;0,
     COUNTIFS($AV$2:$AV$200,$G323)&gt;0,
     COUNTIFS($AW$2:$AW$200,$G323)&gt;0,
     COUNTIFS($AX$2:$AX$200,$G323)&gt;0
   )),
  ),
  2
 ),
"")</f>
        <v/>
      </c>
      <c r="E323" s="3" t="str" cm="1">
        <f t="array" aca="1" ref="E323" ca="1">IFERROR(
 INDEX(
  _xlfn._xlws.FILTER($U$1:$AX$1,
   TRANSPOSE(
    CHOOSE({1;2;3;4;5;6;7;8;9;10;11;12;13;14;15;16;17;18;19;20;21;22;23;24;25;26;27;28;29;30},
     COUNTIFS($U$2:$U$200,$G323)&gt;0,
     COUNTIFS($V$2:$V$200,$G323)&gt;0,
     COUNTIFS($W$2:$W$200,$G323)&gt;0,
     COUNTIFS($X$2:$X$200,$G323)&gt;0,
     COUNTIFS($Y$2:$Y$200,$G323)&gt;0,
     COUNTIFS($Z$2:$Z$200,$G323)&gt;0,
     COUNTIFS($AA$2:$AA$200,$G323)&gt;0,
     COUNTIFS($AB$2:$AB$200,$G323)&gt;0,
     COUNTIFS($AC$2:$AC$200,$G323)&gt;0,
     COUNTIFS($AD$2:$AD$200,$G323)&gt;0,
     COUNTIFS($AE$2:$AE$200,$G323)&gt;0,
     COUNTIFS($AF$2:$AF$200,$G323)&gt;0,
     COUNTIFS($AG$2:$AG$200,$G323)&gt;0,
     COUNTIFS($AH$2:$AH$200,$G323)&gt;0,
     COUNTIFS($AI$2:$AI$200,$G323)&gt;0,
     COUNTIFS($AJ$2:$AJ$200,$G323)&gt;0,
     COUNTIFS($AK$2:$AK$200,$G323)&gt;0,
     COUNTIFS($AL$2:$AL$200,$G323)&gt;0,
     COUNTIFS($AM$2:$AM$200,$G323)&gt;0,
     COUNTIFS($AN$2:$AN$200,$G323)&gt;0,
     COUNTIFS($AO$2:$AO$200,$G323)&gt;0,
     COUNTIFS($AP$2:$AP$200,$G323)&gt;0,
     COUNTIFS($AQ$2:$AQ$200,$G323)&gt;0,
     COUNTIFS($AR$2:$AR$200,$G323)&gt;0,
     COUNTIFS($AS$2:$AS$200,$G323)&gt;0,
     COUNTIFS($AT$2:$AT$200,$G323)&gt;0,
     COUNTIFS($AU$2:$AU$200,$G323)&gt;0,
     COUNTIFS($AV$2:$AV$200,$G323)&gt;0,
     COUNTIFS($AW$2:$AW$200,$G323)&gt;0,
     COUNTIFS($AX$2:$AX$200,$G323)&gt;0
   )),
  ),
  3
 ),
"")</f>
        <v/>
      </c>
      <c r="F323" s="3" t="str" cm="1">
        <f t="array" aca="1" ref="F323" ca="1">IFERROR(
 INDEX(
  _xlfn._xlws.FILTER($U$1:$AX$1,
   TRANSPOSE(
    CHOOSE({1;2;3;4;5;6;7;8;9;10;11;12;13;14;15;16;17;18;19;20;21;22;23;24;25;26;27;28;29;30},
     COUNTIFS($U$2:$U$200,$G323)&gt;0,
     COUNTIFS($V$2:$V$200,$G323)&gt;0,
     COUNTIFS($W$2:$W$200,$G323)&gt;0,
     COUNTIFS($X$2:$X$200,$G323)&gt;0,
     COUNTIFS($Y$2:$Y$200,$G323)&gt;0,
     COUNTIFS($Z$2:$Z$200,$G323)&gt;0,
     COUNTIFS($AA$2:$AA$200,$G323)&gt;0,
     COUNTIFS($AB$2:$AB$200,$G323)&gt;0,
     COUNTIFS($AC$2:$AC$200,$G323)&gt;0,
     COUNTIFS($AD$2:$AD$200,$G323)&gt;0,
     COUNTIFS($AE$2:$AE$200,$G323)&gt;0,
     COUNTIFS($AF$2:$AF$200,$G323)&gt;0,
     COUNTIFS($AG$2:$AG$200,$G323)&gt;0,
     COUNTIFS($AH$2:$AH$200,$G323)&gt;0,
     COUNTIFS($AI$2:$AI$200,$G323)&gt;0,
     COUNTIFS($AJ$2:$AJ$200,$G323)&gt;0,
     COUNTIFS($AK$2:$AK$200,$G323)&gt;0,
     COUNTIFS($AL$2:$AL$200,$G323)&gt;0,
     COUNTIFS($AM$2:$AM$200,$G323)&gt;0,
     COUNTIFS($AN$2:$AN$200,$G323)&gt;0,
     COUNTIFS($AO$2:$AO$200,$G323)&gt;0,
     COUNTIFS($AP$2:$AP$200,$G323)&gt;0,
     COUNTIFS($AQ$2:$AQ$200,$G323)&gt;0,
     COUNTIFS($AR$2:$AR$200,$G323)&gt;0,
     COUNTIFS($AS$2:$AS$200,$G323)&gt;0,
     COUNTIFS($AT$2:$AT$200,$G323)&gt;0,
     COUNTIFS($AU$2:$AU$200,$G323)&gt;0,
     COUNTIFS($AV$2:$AV$200,$G323)&gt;0,
     COUNTIFS($AW$2:$AW$200,$G323)&gt;0,
     COUNTIFS($AX$2:$AX$200,$G323)&gt;0
   )),
  ),
  4
 ),
"")</f>
        <v/>
      </c>
      <c r="G323" t="str">
        <f ca="1"/>
        <v>Summon: Leviathan</v>
      </c>
    </row>
    <row r="324" spans="1:7" x14ac:dyDescent="0.25">
      <c r="A324" s="3" t="str">
        <f t="shared" ca="1" si="12"/>
        <v>1</v>
      </c>
      <c r="B324" s="3">
        <f t="shared" ca="1" si="13"/>
        <v>1</v>
      </c>
      <c r="C324" s="3" t="str">
        <f ca="1">IFERROR(
 INDEX($U$1:$AX$1,
  MATCH(TRUE,
   CHOOSE({1;2;3;4;5;6;7;8;9;10;11;12;13;14;15;16;17;18;19;20;21;22;23;24;25;26;27;28;29;30;31;32},
    COUNTIFS($U$2:$U$200,$G324)&gt;0,
    COUNTIFS($V$2:$V$200,$G324)&gt;0,
    COUNTIFS($W$2:$W$200,$G324)&gt;0,
    COUNTIFS($X$2:$X$200,$G324)&gt;0,
    COUNTIFS($Y$2:$Y$200,$G324)&gt;0,
    COUNTIFS($Z$2:$Z$200,$G324)&gt;0,
    COUNTIFS($AA$2:$AA$200,$G324)&gt;0,
    COUNTIFS($AB$2:$AB$200,$G324)&gt;0,
    COUNTIFS($AC$2:$AC$200,$G324)&gt;0,
    COUNTIFS($AD$2:$AD$200,$G324)&gt;0,
    COUNTIFS($AE$2:$AE$200,$G324)&gt;0,
    COUNTIFS($AF$2:$AF$200,$G324)&gt;0,
    COUNTIFS($AG$2:$AG$200,$G324)&gt;0,
    COUNTIFS($AH$2:$AH$200,$G324)&gt;0,
    COUNTIFS($AI$2:$AI$200,$G324)&gt;0,
    COUNTIFS($AJ$2:$AJ$200,$G324)&gt;0,
    COUNTIFS($AK$2:$AK$200,$G324)&gt;0,
    COUNTIFS($AL$2:$AL$200,$G324)&gt;0,
    COUNTIFS($AM$2:$AM$200,$G324)&gt;0,
    COUNTIFS($AN$2:$AN$200,$G324)&gt;0,
    COUNTIFS($AO$2:$AO$200,$G324)&gt;0,
    COUNTIFS($AP$2:$AP$200,$G324)&gt;0,
    COUNTIFS($AQ$2:$AQ$200,$G324)&gt;0,
    COUNTIFS($AR$2:$AR$200,$G324)&gt;0,
    COUNTIFS($AS$2:$AS$200,$G324)&gt;0,
    COUNTIFS($AT$2:$AT$200,$G324)&gt;0,
    COUNTIFS($AU$2:$AU$200,$G324)&gt;0,
    COUNTIFS($AV$2:$AV$200,$G324)&gt;0,
    COUNTIFS($AW$2:$AW$200,$G324)&gt;0,
    COUNTIFS($AX$2:$AX$200,$G324)&gt;0
   ),
  0)
 ),
"")</f>
        <v>Modular</v>
      </c>
      <c r="D324" s="3" t="str" cm="1">
        <f t="array" aca="1" ref="D324" ca="1">IFERROR(
 INDEX(
  _xlfn._xlws.FILTER($U$1:$AX$1,
   TRANSPOSE(
    CHOOSE({1;2;3;4;5;6;7;8;9;10;11;12;13;14;15;16;17;18;19;20;21;22;23;24;25;26;27;28;29;30},
     COUNTIFS($U$2:$U$200,$G324)&gt;0,
     COUNTIFS($V$2:$V$200,$G324)&gt;0,
     COUNTIFS($W$2:$W$200,$G324)&gt;0,
     COUNTIFS($X$2:$X$200,$G324)&gt;0,
     COUNTIFS($Y$2:$Y$200,$G324)&gt;0,
     COUNTIFS($Z$2:$Z$200,$G324)&gt;0,
     COUNTIFS($AA$2:$AA$200,$G324)&gt;0,
     COUNTIFS($AB$2:$AB$200,$G324)&gt;0,
     COUNTIFS($AC$2:$AC$200,$G324)&gt;0,
     COUNTIFS($AD$2:$AD$200,$G324)&gt;0,
     COUNTIFS($AE$2:$AE$200,$G324)&gt;0,
     COUNTIFS($AF$2:$AF$200,$G324)&gt;0,
     COUNTIFS($AG$2:$AG$200,$G324)&gt;0,
     COUNTIFS($AH$2:$AH$200,$G324)&gt;0,
     COUNTIFS($AI$2:$AI$200,$G324)&gt;0,
     COUNTIFS($AJ$2:$AJ$200,$G324)&gt;0,
     COUNTIFS($AK$2:$AK$200,$G324)&gt;0,
     COUNTIFS($AL$2:$AL$200,$G324)&gt;0,
     COUNTIFS($AM$2:$AM$200,$G324)&gt;0,
     COUNTIFS($AN$2:$AN$200,$G324)&gt;0,
     COUNTIFS($AO$2:$AO$200,$G324)&gt;0,
     COUNTIFS($AP$2:$AP$200,$G324)&gt;0,
     COUNTIFS($AQ$2:$AQ$200,$G324)&gt;0,
     COUNTIFS($AR$2:$AR$200,$G324)&gt;0,
     COUNTIFS($AS$2:$AS$200,$G324)&gt;0,
     COUNTIFS($AT$2:$AT$200,$G324)&gt;0,
     COUNTIFS($AU$2:$AU$200,$G324)&gt;0,
     COUNTIFS($AV$2:$AV$200,$G324)&gt;0,
     COUNTIFS($AW$2:$AW$200,$G324)&gt;0,
     COUNTIFS($AX$2:$AX$200,$G324)&gt;0
   )),
  ),
  2
 ),
"")</f>
        <v/>
      </c>
      <c r="E324" s="3" t="str" cm="1">
        <f t="array" aca="1" ref="E324" ca="1">IFERROR(
 INDEX(
  _xlfn._xlws.FILTER($U$1:$AX$1,
   TRANSPOSE(
    CHOOSE({1;2;3;4;5;6;7;8;9;10;11;12;13;14;15;16;17;18;19;20;21;22;23;24;25;26;27;28;29;30},
     COUNTIFS($U$2:$U$200,$G324)&gt;0,
     COUNTIFS($V$2:$V$200,$G324)&gt;0,
     COUNTIFS($W$2:$W$200,$G324)&gt;0,
     COUNTIFS($X$2:$X$200,$G324)&gt;0,
     COUNTIFS($Y$2:$Y$200,$G324)&gt;0,
     COUNTIFS($Z$2:$Z$200,$G324)&gt;0,
     COUNTIFS($AA$2:$AA$200,$G324)&gt;0,
     COUNTIFS($AB$2:$AB$200,$G324)&gt;0,
     COUNTIFS($AC$2:$AC$200,$G324)&gt;0,
     COUNTIFS($AD$2:$AD$200,$G324)&gt;0,
     COUNTIFS($AE$2:$AE$200,$G324)&gt;0,
     COUNTIFS($AF$2:$AF$200,$G324)&gt;0,
     COUNTIFS($AG$2:$AG$200,$G324)&gt;0,
     COUNTIFS($AH$2:$AH$200,$G324)&gt;0,
     COUNTIFS($AI$2:$AI$200,$G324)&gt;0,
     COUNTIFS($AJ$2:$AJ$200,$G324)&gt;0,
     COUNTIFS($AK$2:$AK$200,$G324)&gt;0,
     COUNTIFS($AL$2:$AL$200,$G324)&gt;0,
     COUNTIFS($AM$2:$AM$200,$G324)&gt;0,
     COUNTIFS($AN$2:$AN$200,$G324)&gt;0,
     COUNTIFS($AO$2:$AO$200,$G324)&gt;0,
     COUNTIFS($AP$2:$AP$200,$G324)&gt;0,
     COUNTIFS($AQ$2:$AQ$200,$G324)&gt;0,
     COUNTIFS($AR$2:$AR$200,$G324)&gt;0,
     COUNTIFS($AS$2:$AS$200,$G324)&gt;0,
     COUNTIFS($AT$2:$AT$200,$G324)&gt;0,
     COUNTIFS($AU$2:$AU$200,$G324)&gt;0,
     COUNTIFS($AV$2:$AV$200,$G324)&gt;0,
     COUNTIFS($AW$2:$AW$200,$G324)&gt;0,
     COUNTIFS($AX$2:$AX$200,$G324)&gt;0
   )),
  ),
  3
 ),
"")</f>
        <v/>
      </c>
      <c r="F324" s="3" t="str" cm="1">
        <f t="array" aca="1" ref="F324" ca="1">IFERROR(
 INDEX(
  _xlfn._xlws.FILTER($U$1:$AX$1,
   TRANSPOSE(
    CHOOSE({1;2;3;4;5;6;7;8;9;10;11;12;13;14;15;16;17;18;19;20;21;22;23;24;25;26;27;28;29;30},
     COUNTIFS($U$2:$U$200,$G324)&gt;0,
     COUNTIFS($V$2:$V$200,$G324)&gt;0,
     COUNTIFS($W$2:$W$200,$G324)&gt;0,
     COUNTIFS($X$2:$X$200,$G324)&gt;0,
     COUNTIFS($Y$2:$Y$200,$G324)&gt;0,
     COUNTIFS($Z$2:$Z$200,$G324)&gt;0,
     COUNTIFS($AA$2:$AA$200,$G324)&gt;0,
     COUNTIFS($AB$2:$AB$200,$G324)&gt;0,
     COUNTIFS($AC$2:$AC$200,$G324)&gt;0,
     COUNTIFS($AD$2:$AD$200,$G324)&gt;0,
     COUNTIFS($AE$2:$AE$200,$G324)&gt;0,
     COUNTIFS($AF$2:$AF$200,$G324)&gt;0,
     COUNTIFS($AG$2:$AG$200,$G324)&gt;0,
     COUNTIFS($AH$2:$AH$200,$G324)&gt;0,
     COUNTIFS($AI$2:$AI$200,$G324)&gt;0,
     COUNTIFS($AJ$2:$AJ$200,$G324)&gt;0,
     COUNTIFS($AK$2:$AK$200,$G324)&gt;0,
     COUNTIFS($AL$2:$AL$200,$G324)&gt;0,
     COUNTIFS($AM$2:$AM$200,$G324)&gt;0,
     COUNTIFS($AN$2:$AN$200,$G324)&gt;0,
     COUNTIFS($AO$2:$AO$200,$G324)&gt;0,
     COUNTIFS($AP$2:$AP$200,$G324)&gt;0,
     COUNTIFS($AQ$2:$AQ$200,$G324)&gt;0,
     COUNTIFS($AR$2:$AR$200,$G324)&gt;0,
     COUNTIFS($AS$2:$AS$200,$G324)&gt;0,
     COUNTIFS($AT$2:$AT$200,$G324)&gt;0,
     COUNTIFS($AU$2:$AU$200,$G324)&gt;0,
     COUNTIFS($AV$2:$AV$200,$G324)&gt;0,
     COUNTIFS($AW$2:$AW$200,$G324)&gt;0,
     COUNTIFS($AX$2:$AX$200,$G324)&gt;0
   )),
  ),
  4
 ),
"")</f>
        <v/>
      </c>
      <c r="G324" t="str">
        <f ca="1"/>
        <v>Sunhome, Fortress of the Legion</v>
      </c>
    </row>
    <row r="325" spans="1:7" x14ac:dyDescent="0.25">
      <c r="A325" s="3" t="str">
        <f t="shared" ca="1" si="12"/>
        <v>1</v>
      </c>
      <c r="B325" s="3">
        <f t="shared" ca="1" si="13"/>
        <v>1</v>
      </c>
      <c r="C325" s="3" t="str">
        <f ca="1">IFERROR(
 INDEX($U$1:$AX$1,
  MATCH(TRUE,
   CHOOSE({1;2;3;4;5;6;7;8;9;10;11;12;13;14;15;16;17;18;19;20;21;22;23;24;25;26;27;28;29;30;31;32},
    COUNTIFS($U$2:$U$200,$G325)&gt;0,
    COUNTIFS($V$2:$V$200,$G325)&gt;0,
    COUNTIFS($W$2:$W$200,$G325)&gt;0,
    COUNTIFS($X$2:$X$200,$G325)&gt;0,
    COUNTIFS($Y$2:$Y$200,$G325)&gt;0,
    COUNTIFS($Z$2:$Z$200,$G325)&gt;0,
    COUNTIFS($AA$2:$AA$200,$G325)&gt;0,
    COUNTIFS($AB$2:$AB$200,$G325)&gt;0,
    COUNTIFS($AC$2:$AC$200,$G325)&gt;0,
    COUNTIFS($AD$2:$AD$200,$G325)&gt;0,
    COUNTIFS($AE$2:$AE$200,$G325)&gt;0,
    COUNTIFS($AF$2:$AF$200,$G325)&gt;0,
    COUNTIFS($AG$2:$AG$200,$G325)&gt;0,
    COUNTIFS($AH$2:$AH$200,$G325)&gt;0,
    COUNTIFS($AI$2:$AI$200,$G325)&gt;0,
    COUNTIFS($AJ$2:$AJ$200,$G325)&gt;0,
    COUNTIFS($AK$2:$AK$200,$G325)&gt;0,
    COUNTIFS($AL$2:$AL$200,$G325)&gt;0,
    COUNTIFS($AM$2:$AM$200,$G325)&gt;0,
    COUNTIFS($AN$2:$AN$200,$G325)&gt;0,
    COUNTIFS($AO$2:$AO$200,$G325)&gt;0,
    COUNTIFS($AP$2:$AP$200,$G325)&gt;0,
    COUNTIFS($AQ$2:$AQ$200,$G325)&gt;0,
    COUNTIFS($AR$2:$AR$200,$G325)&gt;0,
    COUNTIFS($AS$2:$AS$200,$G325)&gt;0,
    COUNTIFS($AT$2:$AT$200,$G325)&gt;0,
    COUNTIFS($AU$2:$AU$200,$G325)&gt;0,
    COUNTIFS($AV$2:$AV$200,$G325)&gt;0,
    COUNTIFS($AW$2:$AW$200,$G325)&gt;0,
    COUNTIFS($AX$2:$AX$200,$G325)&gt;0
   ),
  0)
 ),
"")</f>
        <v>Baylen</v>
      </c>
      <c r="D325" s="3" t="str" cm="1">
        <f t="array" aca="1" ref="D325" ca="1">IFERROR(
 INDEX(
  _xlfn._xlws.FILTER($U$1:$AX$1,
   TRANSPOSE(
    CHOOSE({1;2;3;4;5;6;7;8;9;10;11;12;13;14;15;16;17;18;19;20;21;22;23;24;25;26;27;28;29;30},
     COUNTIFS($U$2:$U$200,$G325)&gt;0,
     COUNTIFS($V$2:$V$200,$G325)&gt;0,
     COUNTIFS($W$2:$W$200,$G325)&gt;0,
     COUNTIFS($X$2:$X$200,$G325)&gt;0,
     COUNTIFS($Y$2:$Y$200,$G325)&gt;0,
     COUNTIFS($Z$2:$Z$200,$G325)&gt;0,
     COUNTIFS($AA$2:$AA$200,$G325)&gt;0,
     COUNTIFS($AB$2:$AB$200,$G325)&gt;0,
     COUNTIFS($AC$2:$AC$200,$G325)&gt;0,
     COUNTIFS($AD$2:$AD$200,$G325)&gt;0,
     COUNTIFS($AE$2:$AE$200,$G325)&gt;0,
     COUNTIFS($AF$2:$AF$200,$G325)&gt;0,
     COUNTIFS($AG$2:$AG$200,$G325)&gt;0,
     COUNTIFS($AH$2:$AH$200,$G325)&gt;0,
     COUNTIFS($AI$2:$AI$200,$G325)&gt;0,
     COUNTIFS($AJ$2:$AJ$200,$G325)&gt;0,
     COUNTIFS($AK$2:$AK$200,$G325)&gt;0,
     COUNTIFS($AL$2:$AL$200,$G325)&gt;0,
     COUNTIFS($AM$2:$AM$200,$G325)&gt;0,
     COUNTIFS($AN$2:$AN$200,$G325)&gt;0,
     COUNTIFS($AO$2:$AO$200,$G325)&gt;0,
     COUNTIFS($AP$2:$AP$200,$G325)&gt;0,
     COUNTIFS($AQ$2:$AQ$200,$G325)&gt;0,
     COUNTIFS($AR$2:$AR$200,$G325)&gt;0,
     COUNTIFS($AS$2:$AS$200,$G325)&gt;0,
     COUNTIFS($AT$2:$AT$200,$G325)&gt;0,
     COUNTIFS($AU$2:$AU$200,$G325)&gt;0,
     COUNTIFS($AV$2:$AV$200,$G325)&gt;0,
     COUNTIFS($AW$2:$AW$200,$G325)&gt;0,
     COUNTIFS($AX$2:$AX$200,$G325)&gt;0
   )),
  ),
  2
 ),
"")</f>
        <v/>
      </c>
      <c r="E325" s="3" t="str" cm="1">
        <f t="array" aca="1" ref="E325" ca="1">IFERROR(
 INDEX(
  _xlfn._xlws.FILTER($U$1:$AX$1,
   TRANSPOSE(
    CHOOSE({1;2;3;4;5;6;7;8;9;10;11;12;13;14;15;16;17;18;19;20;21;22;23;24;25;26;27;28;29;30},
     COUNTIFS($U$2:$U$200,$G325)&gt;0,
     COUNTIFS($V$2:$V$200,$G325)&gt;0,
     COUNTIFS($W$2:$W$200,$G325)&gt;0,
     COUNTIFS($X$2:$X$200,$G325)&gt;0,
     COUNTIFS($Y$2:$Y$200,$G325)&gt;0,
     COUNTIFS($Z$2:$Z$200,$G325)&gt;0,
     COUNTIFS($AA$2:$AA$200,$G325)&gt;0,
     COUNTIFS($AB$2:$AB$200,$G325)&gt;0,
     COUNTIFS($AC$2:$AC$200,$G325)&gt;0,
     COUNTIFS($AD$2:$AD$200,$G325)&gt;0,
     COUNTIFS($AE$2:$AE$200,$G325)&gt;0,
     COUNTIFS($AF$2:$AF$200,$G325)&gt;0,
     COUNTIFS($AG$2:$AG$200,$G325)&gt;0,
     COUNTIFS($AH$2:$AH$200,$G325)&gt;0,
     COUNTIFS($AI$2:$AI$200,$G325)&gt;0,
     COUNTIFS($AJ$2:$AJ$200,$G325)&gt;0,
     COUNTIFS($AK$2:$AK$200,$G325)&gt;0,
     COUNTIFS($AL$2:$AL$200,$G325)&gt;0,
     COUNTIFS($AM$2:$AM$200,$G325)&gt;0,
     COUNTIFS($AN$2:$AN$200,$G325)&gt;0,
     COUNTIFS($AO$2:$AO$200,$G325)&gt;0,
     COUNTIFS($AP$2:$AP$200,$G325)&gt;0,
     COUNTIFS($AQ$2:$AQ$200,$G325)&gt;0,
     COUNTIFS($AR$2:$AR$200,$G325)&gt;0,
     COUNTIFS($AS$2:$AS$200,$G325)&gt;0,
     COUNTIFS($AT$2:$AT$200,$G325)&gt;0,
     COUNTIFS($AU$2:$AU$200,$G325)&gt;0,
     COUNTIFS($AV$2:$AV$200,$G325)&gt;0,
     COUNTIFS($AW$2:$AW$200,$G325)&gt;0,
     COUNTIFS($AX$2:$AX$200,$G325)&gt;0
   )),
  ),
  3
 ),
"")</f>
        <v/>
      </c>
      <c r="F325" s="3" t="str" cm="1">
        <f t="array" aca="1" ref="F325" ca="1">IFERROR(
 INDEX(
  _xlfn._xlws.FILTER($U$1:$AX$1,
   TRANSPOSE(
    CHOOSE({1;2;3;4;5;6;7;8;9;10;11;12;13;14;15;16;17;18;19;20;21;22;23;24;25;26;27;28;29;30},
     COUNTIFS($U$2:$U$200,$G325)&gt;0,
     COUNTIFS($V$2:$V$200,$G325)&gt;0,
     COUNTIFS($W$2:$W$200,$G325)&gt;0,
     COUNTIFS($X$2:$X$200,$G325)&gt;0,
     COUNTIFS($Y$2:$Y$200,$G325)&gt;0,
     COUNTIFS($Z$2:$Z$200,$G325)&gt;0,
     COUNTIFS($AA$2:$AA$200,$G325)&gt;0,
     COUNTIFS($AB$2:$AB$200,$G325)&gt;0,
     COUNTIFS($AC$2:$AC$200,$G325)&gt;0,
     COUNTIFS($AD$2:$AD$200,$G325)&gt;0,
     COUNTIFS($AE$2:$AE$200,$G325)&gt;0,
     COUNTIFS($AF$2:$AF$200,$G325)&gt;0,
     COUNTIFS($AG$2:$AG$200,$G325)&gt;0,
     COUNTIFS($AH$2:$AH$200,$G325)&gt;0,
     COUNTIFS($AI$2:$AI$200,$G325)&gt;0,
     COUNTIFS($AJ$2:$AJ$200,$G325)&gt;0,
     COUNTIFS($AK$2:$AK$200,$G325)&gt;0,
     COUNTIFS($AL$2:$AL$200,$G325)&gt;0,
     COUNTIFS($AM$2:$AM$200,$G325)&gt;0,
     COUNTIFS($AN$2:$AN$200,$G325)&gt;0,
     COUNTIFS($AO$2:$AO$200,$G325)&gt;0,
     COUNTIFS($AP$2:$AP$200,$G325)&gt;0,
     COUNTIFS($AQ$2:$AQ$200,$G325)&gt;0,
     COUNTIFS($AR$2:$AR$200,$G325)&gt;0,
     COUNTIFS($AS$2:$AS$200,$G325)&gt;0,
     COUNTIFS($AT$2:$AT$200,$G325)&gt;0,
     COUNTIFS($AU$2:$AU$200,$G325)&gt;0,
     COUNTIFS($AV$2:$AV$200,$G325)&gt;0,
     COUNTIFS($AW$2:$AW$200,$G325)&gt;0,
     COUNTIFS($AX$2:$AX$200,$G325)&gt;0
   )),
  ),
  4
 ),
"")</f>
        <v/>
      </c>
      <c r="G325" t="str">
        <f ca="1"/>
        <v>Sunscorched Divide</v>
      </c>
    </row>
    <row r="326" spans="1:7" x14ac:dyDescent="0.25">
      <c r="A326" s="3" t="str">
        <f t="shared" ca="1" si="12"/>
        <v>1</v>
      </c>
      <c r="B326" s="3">
        <f t="shared" ca="1" si="13"/>
        <v>1</v>
      </c>
      <c r="C326" s="3" t="str">
        <f ca="1">IFERROR(
 INDEX($U$1:$AX$1,
  MATCH(TRUE,
   CHOOSE({1;2;3;4;5;6;7;8;9;10;11;12;13;14;15;16;17;18;19;20;21;22;23;24;25;26;27;28;29;30;31;32},
    COUNTIFS($U$2:$U$200,$G326)&gt;0,
    COUNTIFS($V$2:$V$200,$G326)&gt;0,
    COUNTIFS($W$2:$W$200,$G326)&gt;0,
    COUNTIFS($X$2:$X$200,$G326)&gt;0,
    COUNTIFS($Y$2:$Y$200,$G326)&gt;0,
    COUNTIFS($Z$2:$Z$200,$G326)&gt;0,
    COUNTIFS($AA$2:$AA$200,$G326)&gt;0,
    COUNTIFS($AB$2:$AB$200,$G326)&gt;0,
    COUNTIFS($AC$2:$AC$200,$G326)&gt;0,
    COUNTIFS($AD$2:$AD$200,$G326)&gt;0,
    COUNTIFS($AE$2:$AE$200,$G326)&gt;0,
    COUNTIFS($AF$2:$AF$200,$G326)&gt;0,
    COUNTIFS($AG$2:$AG$200,$G326)&gt;0,
    COUNTIFS($AH$2:$AH$200,$G326)&gt;0,
    COUNTIFS($AI$2:$AI$200,$G326)&gt;0,
    COUNTIFS($AJ$2:$AJ$200,$G326)&gt;0,
    COUNTIFS($AK$2:$AK$200,$G326)&gt;0,
    COUNTIFS($AL$2:$AL$200,$G326)&gt;0,
    COUNTIFS($AM$2:$AM$200,$G326)&gt;0,
    COUNTIFS($AN$2:$AN$200,$G326)&gt;0,
    COUNTIFS($AO$2:$AO$200,$G326)&gt;0,
    COUNTIFS($AP$2:$AP$200,$G326)&gt;0,
    COUNTIFS($AQ$2:$AQ$200,$G326)&gt;0,
    COUNTIFS($AR$2:$AR$200,$G326)&gt;0,
    COUNTIFS($AS$2:$AS$200,$G326)&gt;0,
    COUNTIFS($AT$2:$AT$200,$G326)&gt;0,
    COUNTIFS($AU$2:$AU$200,$G326)&gt;0,
    COUNTIFS($AV$2:$AV$200,$G326)&gt;0,
    COUNTIFS($AW$2:$AW$200,$G326)&gt;0,
    COUNTIFS($AX$2:$AX$200,$G326)&gt;0
   ),
  0)
 ),
"")</f>
        <v>Modular</v>
      </c>
      <c r="D326" s="3" t="str" cm="1">
        <f t="array" aca="1" ref="D326" ca="1">IFERROR(
 INDEX(
  _xlfn._xlws.FILTER($U$1:$AX$1,
   TRANSPOSE(
    CHOOSE({1;2;3;4;5;6;7;8;9;10;11;12;13;14;15;16;17;18;19;20;21;22;23;24;25;26;27;28;29;30},
     COUNTIFS($U$2:$U$200,$G326)&gt;0,
     COUNTIFS($V$2:$V$200,$G326)&gt;0,
     COUNTIFS($W$2:$W$200,$G326)&gt;0,
     COUNTIFS($X$2:$X$200,$G326)&gt;0,
     COUNTIFS($Y$2:$Y$200,$G326)&gt;0,
     COUNTIFS($Z$2:$Z$200,$G326)&gt;0,
     COUNTIFS($AA$2:$AA$200,$G326)&gt;0,
     COUNTIFS($AB$2:$AB$200,$G326)&gt;0,
     COUNTIFS($AC$2:$AC$200,$G326)&gt;0,
     COUNTIFS($AD$2:$AD$200,$G326)&gt;0,
     COUNTIFS($AE$2:$AE$200,$G326)&gt;0,
     COUNTIFS($AF$2:$AF$200,$G326)&gt;0,
     COUNTIFS($AG$2:$AG$200,$G326)&gt;0,
     COUNTIFS($AH$2:$AH$200,$G326)&gt;0,
     COUNTIFS($AI$2:$AI$200,$G326)&gt;0,
     COUNTIFS($AJ$2:$AJ$200,$G326)&gt;0,
     COUNTIFS($AK$2:$AK$200,$G326)&gt;0,
     COUNTIFS($AL$2:$AL$200,$G326)&gt;0,
     COUNTIFS($AM$2:$AM$200,$G326)&gt;0,
     COUNTIFS($AN$2:$AN$200,$G326)&gt;0,
     COUNTIFS($AO$2:$AO$200,$G326)&gt;0,
     COUNTIFS($AP$2:$AP$200,$G326)&gt;0,
     COUNTIFS($AQ$2:$AQ$200,$G326)&gt;0,
     COUNTIFS($AR$2:$AR$200,$G326)&gt;0,
     COUNTIFS($AS$2:$AS$200,$G326)&gt;0,
     COUNTIFS($AT$2:$AT$200,$G326)&gt;0,
     COUNTIFS($AU$2:$AU$200,$G326)&gt;0,
     COUNTIFS($AV$2:$AV$200,$G326)&gt;0,
     COUNTIFS($AW$2:$AW$200,$G326)&gt;0,
     COUNTIFS($AX$2:$AX$200,$G326)&gt;0
   )),
  ),
  2
 ),
"")</f>
        <v/>
      </c>
      <c r="E326" s="3" t="str" cm="1">
        <f t="array" aca="1" ref="E326" ca="1">IFERROR(
 INDEX(
  _xlfn._xlws.FILTER($U$1:$AX$1,
   TRANSPOSE(
    CHOOSE({1;2;3;4;5;6;7;8;9;10;11;12;13;14;15;16;17;18;19;20;21;22;23;24;25;26;27;28;29;30},
     COUNTIFS($U$2:$U$200,$G326)&gt;0,
     COUNTIFS($V$2:$V$200,$G326)&gt;0,
     COUNTIFS($W$2:$W$200,$G326)&gt;0,
     COUNTIFS($X$2:$X$200,$G326)&gt;0,
     COUNTIFS($Y$2:$Y$200,$G326)&gt;0,
     COUNTIFS($Z$2:$Z$200,$G326)&gt;0,
     COUNTIFS($AA$2:$AA$200,$G326)&gt;0,
     COUNTIFS($AB$2:$AB$200,$G326)&gt;0,
     COUNTIFS($AC$2:$AC$200,$G326)&gt;0,
     COUNTIFS($AD$2:$AD$200,$G326)&gt;0,
     COUNTIFS($AE$2:$AE$200,$G326)&gt;0,
     COUNTIFS($AF$2:$AF$200,$G326)&gt;0,
     COUNTIFS($AG$2:$AG$200,$G326)&gt;0,
     COUNTIFS($AH$2:$AH$200,$G326)&gt;0,
     COUNTIFS($AI$2:$AI$200,$G326)&gt;0,
     COUNTIFS($AJ$2:$AJ$200,$G326)&gt;0,
     COUNTIFS($AK$2:$AK$200,$G326)&gt;0,
     COUNTIFS($AL$2:$AL$200,$G326)&gt;0,
     COUNTIFS($AM$2:$AM$200,$G326)&gt;0,
     COUNTIFS($AN$2:$AN$200,$G326)&gt;0,
     COUNTIFS($AO$2:$AO$200,$G326)&gt;0,
     COUNTIFS($AP$2:$AP$200,$G326)&gt;0,
     COUNTIFS($AQ$2:$AQ$200,$G326)&gt;0,
     COUNTIFS($AR$2:$AR$200,$G326)&gt;0,
     COUNTIFS($AS$2:$AS$200,$G326)&gt;0,
     COUNTIFS($AT$2:$AT$200,$G326)&gt;0,
     COUNTIFS($AU$2:$AU$200,$G326)&gt;0,
     COUNTIFS($AV$2:$AV$200,$G326)&gt;0,
     COUNTIFS($AW$2:$AW$200,$G326)&gt;0,
     COUNTIFS($AX$2:$AX$200,$G326)&gt;0
   )),
  ),
  3
 ),
"")</f>
        <v/>
      </c>
      <c r="F326" s="3" t="str" cm="1">
        <f t="array" aca="1" ref="F326" ca="1">IFERROR(
 INDEX(
  _xlfn._xlws.FILTER($U$1:$AX$1,
   TRANSPOSE(
    CHOOSE({1;2;3;4;5;6;7;8;9;10;11;12;13;14;15;16;17;18;19;20;21;22;23;24;25;26;27;28;29;30},
     COUNTIFS($U$2:$U$200,$G326)&gt;0,
     COUNTIFS($V$2:$V$200,$G326)&gt;0,
     COUNTIFS($W$2:$W$200,$G326)&gt;0,
     COUNTIFS($X$2:$X$200,$G326)&gt;0,
     COUNTIFS($Y$2:$Y$200,$G326)&gt;0,
     COUNTIFS($Z$2:$Z$200,$G326)&gt;0,
     COUNTIFS($AA$2:$AA$200,$G326)&gt;0,
     COUNTIFS($AB$2:$AB$200,$G326)&gt;0,
     COUNTIFS($AC$2:$AC$200,$G326)&gt;0,
     COUNTIFS($AD$2:$AD$200,$G326)&gt;0,
     COUNTIFS($AE$2:$AE$200,$G326)&gt;0,
     COUNTIFS($AF$2:$AF$200,$G326)&gt;0,
     COUNTIFS($AG$2:$AG$200,$G326)&gt;0,
     COUNTIFS($AH$2:$AH$200,$G326)&gt;0,
     COUNTIFS($AI$2:$AI$200,$G326)&gt;0,
     COUNTIFS($AJ$2:$AJ$200,$G326)&gt;0,
     COUNTIFS($AK$2:$AK$200,$G326)&gt;0,
     COUNTIFS($AL$2:$AL$200,$G326)&gt;0,
     COUNTIFS($AM$2:$AM$200,$G326)&gt;0,
     COUNTIFS($AN$2:$AN$200,$G326)&gt;0,
     COUNTIFS($AO$2:$AO$200,$G326)&gt;0,
     COUNTIFS($AP$2:$AP$200,$G326)&gt;0,
     COUNTIFS($AQ$2:$AQ$200,$G326)&gt;0,
     COUNTIFS($AR$2:$AR$200,$G326)&gt;0,
     COUNTIFS($AS$2:$AS$200,$G326)&gt;0,
     COUNTIFS($AT$2:$AT$200,$G326)&gt;0,
     COUNTIFS($AU$2:$AU$200,$G326)&gt;0,
     COUNTIFS($AV$2:$AV$200,$G326)&gt;0,
     COUNTIFS($AW$2:$AW$200,$G326)&gt;0,
     COUNTIFS($AX$2:$AX$200,$G326)&gt;0
   )),
  ),
  4
 ),
"")</f>
        <v/>
      </c>
      <c r="G326" t="str">
        <f ca="1"/>
        <v>Surge Conductor</v>
      </c>
    </row>
    <row r="327" spans="1:7" x14ac:dyDescent="0.25">
      <c r="A327" s="3" t="str">
        <f t="shared" ca="1" si="12"/>
        <v>2</v>
      </c>
      <c r="B327" s="3">
        <f t="shared" ca="1" si="13"/>
        <v>1</v>
      </c>
      <c r="C327" s="3" t="str">
        <f ca="1">IFERROR(
 INDEX($U$1:$AX$1,
  MATCH(TRUE,
   CHOOSE({1;2;3;4;5;6;7;8;9;10;11;12;13;14;15;16;17;18;19;20;21;22;23;24;25;26;27;28;29;30;31;32},
    COUNTIFS($U$2:$U$200,$G327)&gt;0,
    COUNTIFS($V$2:$V$200,$G327)&gt;0,
    COUNTIFS($W$2:$W$200,$G327)&gt;0,
    COUNTIFS($X$2:$X$200,$G327)&gt;0,
    COUNTIFS($Y$2:$Y$200,$G327)&gt;0,
    COUNTIFS($Z$2:$Z$200,$G327)&gt;0,
    COUNTIFS($AA$2:$AA$200,$G327)&gt;0,
    COUNTIFS($AB$2:$AB$200,$G327)&gt;0,
    COUNTIFS($AC$2:$AC$200,$G327)&gt;0,
    COUNTIFS($AD$2:$AD$200,$G327)&gt;0,
    COUNTIFS($AE$2:$AE$200,$G327)&gt;0,
    COUNTIFS($AF$2:$AF$200,$G327)&gt;0,
    COUNTIFS($AG$2:$AG$200,$G327)&gt;0,
    COUNTIFS($AH$2:$AH$200,$G327)&gt;0,
    COUNTIFS($AI$2:$AI$200,$G327)&gt;0,
    COUNTIFS($AJ$2:$AJ$200,$G327)&gt;0,
    COUNTIFS($AK$2:$AK$200,$G327)&gt;0,
    COUNTIFS($AL$2:$AL$200,$G327)&gt;0,
    COUNTIFS($AM$2:$AM$200,$G327)&gt;0,
    COUNTIFS($AN$2:$AN$200,$G327)&gt;0,
    COUNTIFS($AO$2:$AO$200,$G327)&gt;0,
    COUNTIFS($AP$2:$AP$200,$G327)&gt;0,
    COUNTIFS($AQ$2:$AQ$200,$G327)&gt;0,
    COUNTIFS($AR$2:$AR$200,$G327)&gt;0,
    COUNTIFS($AS$2:$AS$200,$G327)&gt;0,
    COUNTIFS($AT$2:$AT$200,$G327)&gt;0,
    COUNTIFS($AU$2:$AU$200,$G327)&gt;0,
    COUNTIFS($AV$2:$AV$200,$G327)&gt;0,
    COUNTIFS($AW$2:$AW$200,$G327)&gt;0,
    COUNTIFS($AX$2:$AX$200,$G327)&gt;0
   ),
  0)
 ),
"")</f>
        <v>Kumena</v>
      </c>
      <c r="D327" s="3" t="str" cm="1">
        <f t="array" aca="1" ref="D327" ca="1">IFERROR(
 INDEX(
  _xlfn._xlws.FILTER($U$1:$AX$1,
   TRANSPOSE(
    CHOOSE({1;2;3;4;5;6;7;8;9;10;11;12;13;14;15;16;17;18;19;20;21;22;23;24;25;26;27;28;29;30},
     COUNTIFS($U$2:$U$200,$G327)&gt;0,
     COUNTIFS($V$2:$V$200,$G327)&gt;0,
     COUNTIFS($W$2:$W$200,$G327)&gt;0,
     COUNTIFS($X$2:$X$200,$G327)&gt;0,
     COUNTIFS($Y$2:$Y$200,$G327)&gt;0,
     COUNTIFS($Z$2:$Z$200,$G327)&gt;0,
     COUNTIFS($AA$2:$AA$200,$G327)&gt;0,
     COUNTIFS($AB$2:$AB$200,$G327)&gt;0,
     COUNTIFS($AC$2:$AC$200,$G327)&gt;0,
     COUNTIFS($AD$2:$AD$200,$G327)&gt;0,
     COUNTIFS($AE$2:$AE$200,$G327)&gt;0,
     COUNTIFS($AF$2:$AF$200,$G327)&gt;0,
     COUNTIFS($AG$2:$AG$200,$G327)&gt;0,
     COUNTIFS($AH$2:$AH$200,$G327)&gt;0,
     COUNTIFS($AI$2:$AI$200,$G327)&gt;0,
     COUNTIFS($AJ$2:$AJ$200,$G327)&gt;0,
     COUNTIFS($AK$2:$AK$200,$G327)&gt;0,
     COUNTIFS($AL$2:$AL$200,$G327)&gt;0,
     COUNTIFS($AM$2:$AM$200,$G327)&gt;0,
     COUNTIFS($AN$2:$AN$200,$G327)&gt;0,
     COUNTIFS($AO$2:$AO$200,$G327)&gt;0,
     COUNTIFS($AP$2:$AP$200,$G327)&gt;0,
     COUNTIFS($AQ$2:$AQ$200,$G327)&gt;0,
     COUNTIFS($AR$2:$AR$200,$G327)&gt;0,
     COUNTIFS($AS$2:$AS$200,$G327)&gt;0,
     COUNTIFS($AT$2:$AT$200,$G327)&gt;0,
     COUNTIFS($AU$2:$AU$200,$G327)&gt;0,
     COUNTIFS($AV$2:$AV$200,$G327)&gt;0,
     COUNTIFS($AW$2:$AW$200,$G327)&gt;0,
     COUNTIFS($AX$2:$AX$200,$G327)&gt;0
   )),
  ),
  2
 ),
"")</f>
        <v/>
      </c>
      <c r="E327" s="3" t="str" cm="1">
        <f t="array" aca="1" ref="E327" ca="1">IFERROR(
 INDEX(
  _xlfn._xlws.FILTER($U$1:$AX$1,
   TRANSPOSE(
    CHOOSE({1;2;3;4;5;6;7;8;9;10;11;12;13;14;15;16;17;18;19;20;21;22;23;24;25;26;27;28;29;30},
     COUNTIFS($U$2:$U$200,$G327)&gt;0,
     COUNTIFS($V$2:$V$200,$G327)&gt;0,
     COUNTIFS($W$2:$W$200,$G327)&gt;0,
     COUNTIFS($X$2:$X$200,$G327)&gt;0,
     COUNTIFS($Y$2:$Y$200,$G327)&gt;0,
     COUNTIFS($Z$2:$Z$200,$G327)&gt;0,
     COUNTIFS($AA$2:$AA$200,$G327)&gt;0,
     COUNTIFS($AB$2:$AB$200,$G327)&gt;0,
     COUNTIFS($AC$2:$AC$200,$G327)&gt;0,
     COUNTIFS($AD$2:$AD$200,$G327)&gt;0,
     COUNTIFS($AE$2:$AE$200,$G327)&gt;0,
     COUNTIFS($AF$2:$AF$200,$G327)&gt;0,
     COUNTIFS($AG$2:$AG$200,$G327)&gt;0,
     COUNTIFS($AH$2:$AH$200,$G327)&gt;0,
     COUNTIFS($AI$2:$AI$200,$G327)&gt;0,
     COUNTIFS($AJ$2:$AJ$200,$G327)&gt;0,
     COUNTIFS($AK$2:$AK$200,$G327)&gt;0,
     COUNTIFS($AL$2:$AL$200,$G327)&gt;0,
     COUNTIFS($AM$2:$AM$200,$G327)&gt;0,
     COUNTIFS($AN$2:$AN$200,$G327)&gt;0,
     COUNTIFS($AO$2:$AO$200,$G327)&gt;0,
     COUNTIFS($AP$2:$AP$200,$G327)&gt;0,
     COUNTIFS($AQ$2:$AQ$200,$G327)&gt;0,
     COUNTIFS($AR$2:$AR$200,$G327)&gt;0,
     COUNTIFS($AS$2:$AS$200,$G327)&gt;0,
     COUNTIFS($AT$2:$AT$200,$G327)&gt;0,
     COUNTIFS($AU$2:$AU$200,$G327)&gt;0,
     COUNTIFS($AV$2:$AV$200,$G327)&gt;0,
     COUNTIFS($AW$2:$AW$200,$G327)&gt;0,
     COUNTIFS($AX$2:$AX$200,$G327)&gt;0
   )),
  ),
  3
 ),
"")</f>
        <v/>
      </c>
      <c r="F327" s="3" t="str" cm="1">
        <f t="array" aca="1" ref="F327" ca="1">IFERROR(
 INDEX(
  _xlfn._xlws.FILTER($U$1:$AX$1,
   TRANSPOSE(
    CHOOSE({1;2;3;4;5;6;7;8;9;10;11;12;13;14;15;16;17;18;19;20;21;22;23;24;25;26;27;28;29;30},
     COUNTIFS($U$2:$U$200,$G327)&gt;0,
     COUNTIFS($V$2:$V$200,$G327)&gt;0,
     COUNTIFS($W$2:$W$200,$G327)&gt;0,
     COUNTIFS($X$2:$X$200,$G327)&gt;0,
     COUNTIFS($Y$2:$Y$200,$G327)&gt;0,
     COUNTIFS($Z$2:$Z$200,$G327)&gt;0,
     COUNTIFS($AA$2:$AA$200,$G327)&gt;0,
     COUNTIFS($AB$2:$AB$200,$G327)&gt;0,
     COUNTIFS($AC$2:$AC$200,$G327)&gt;0,
     COUNTIFS($AD$2:$AD$200,$G327)&gt;0,
     COUNTIFS($AE$2:$AE$200,$G327)&gt;0,
     COUNTIFS($AF$2:$AF$200,$G327)&gt;0,
     COUNTIFS($AG$2:$AG$200,$G327)&gt;0,
     COUNTIFS($AH$2:$AH$200,$G327)&gt;0,
     COUNTIFS($AI$2:$AI$200,$G327)&gt;0,
     COUNTIFS($AJ$2:$AJ$200,$G327)&gt;0,
     COUNTIFS($AK$2:$AK$200,$G327)&gt;0,
     COUNTIFS($AL$2:$AL$200,$G327)&gt;0,
     COUNTIFS($AM$2:$AM$200,$G327)&gt;0,
     COUNTIFS($AN$2:$AN$200,$G327)&gt;0,
     COUNTIFS($AO$2:$AO$200,$G327)&gt;0,
     COUNTIFS($AP$2:$AP$200,$G327)&gt;0,
     COUNTIFS($AQ$2:$AQ$200,$G327)&gt;0,
     COUNTIFS($AR$2:$AR$200,$G327)&gt;0,
     COUNTIFS($AS$2:$AS$200,$G327)&gt;0,
     COUNTIFS($AT$2:$AT$200,$G327)&gt;0,
     COUNTIFS($AU$2:$AU$200,$G327)&gt;0,
     COUNTIFS($AV$2:$AV$200,$G327)&gt;0,
     COUNTIFS($AW$2:$AW$200,$G327)&gt;0,
     COUNTIFS($AX$2:$AX$200,$G327)&gt;0
   )),
  ),
  4
 ),
"")</f>
        <v/>
      </c>
      <c r="G327" t="str">
        <f ca="1"/>
        <v>Surgespanner</v>
      </c>
    </row>
    <row r="328" spans="1:7" x14ac:dyDescent="0.25">
      <c r="A328" s="3" t="str">
        <f t="shared" ca="1" si="12"/>
        <v>4</v>
      </c>
      <c r="B328" s="3">
        <f t="shared" ca="1" si="13"/>
        <v>1</v>
      </c>
      <c r="C328" s="3" t="str">
        <f ca="1">IFERROR(
 INDEX($U$1:$AX$1,
  MATCH(TRUE,
   CHOOSE({1;2;3;4;5;6;7;8;9;10;11;12;13;14;15;16;17;18;19;20;21;22;23;24;25;26;27;28;29;30;31;32},
    COUNTIFS($U$2:$U$200,$G328)&gt;0,
    COUNTIFS($V$2:$V$200,$G328)&gt;0,
    COUNTIFS($W$2:$W$200,$G328)&gt;0,
    COUNTIFS($X$2:$X$200,$G328)&gt;0,
    COUNTIFS($Y$2:$Y$200,$G328)&gt;0,
    COUNTIFS($Z$2:$Z$200,$G328)&gt;0,
    COUNTIFS($AA$2:$AA$200,$G328)&gt;0,
    COUNTIFS($AB$2:$AB$200,$G328)&gt;0,
    COUNTIFS($AC$2:$AC$200,$G328)&gt;0,
    COUNTIFS($AD$2:$AD$200,$G328)&gt;0,
    COUNTIFS($AE$2:$AE$200,$G328)&gt;0,
    COUNTIFS($AF$2:$AF$200,$G328)&gt;0,
    COUNTIFS($AG$2:$AG$200,$G328)&gt;0,
    COUNTIFS($AH$2:$AH$200,$G328)&gt;0,
    COUNTIFS($AI$2:$AI$200,$G328)&gt;0,
    COUNTIFS($AJ$2:$AJ$200,$G328)&gt;0,
    COUNTIFS($AK$2:$AK$200,$G328)&gt;0,
    COUNTIFS($AL$2:$AL$200,$G328)&gt;0,
    COUNTIFS($AM$2:$AM$200,$G328)&gt;0,
    COUNTIFS($AN$2:$AN$200,$G328)&gt;0,
    COUNTIFS($AO$2:$AO$200,$G328)&gt;0,
    COUNTIFS($AP$2:$AP$200,$G328)&gt;0,
    COUNTIFS($AQ$2:$AQ$200,$G328)&gt;0,
    COUNTIFS($AR$2:$AR$200,$G328)&gt;0,
    COUNTIFS($AS$2:$AS$200,$G328)&gt;0,
    COUNTIFS($AT$2:$AT$200,$G328)&gt;0,
    COUNTIFS($AU$2:$AU$200,$G328)&gt;0,
    COUNTIFS($AV$2:$AV$200,$G328)&gt;0,
    COUNTIFS($AW$2:$AW$200,$G328)&gt;0,
    COUNTIFS($AX$2:$AX$200,$G328)&gt;0
   ),
  0)
 ),
"")</f>
        <v>OWA</v>
      </c>
      <c r="D328" s="3" t="str" cm="1">
        <f t="array" aca="1" ref="D328" ca="1">IFERROR(
 INDEX(
  _xlfn._xlws.FILTER($U$1:$AX$1,
   TRANSPOSE(
    CHOOSE({1;2;3;4;5;6;7;8;9;10;11;12;13;14;15;16;17;18;19;20;21;22;23;24;25;26;27;28;29;30},
     COUNTIFS($U$2:$U$200,$G328)&gt;0,
     COUNTIFS($V$2:$V$200,$G328)&gt;0,
     COUNTIFS($W$2:$W$200,$G328)&gt;0,
     COUNTIFS($X$2:$X$200,$G328)&gt;0,
     COUNTIFS($Y$2:$Y$200,$G328)&gt;0,
     COUNTIFS($Z$2:$Z$200,$G328)&gt;0,
     COUNTIFS($AA$2:$AA$200,$G328)&gt;0,
     COUNTIFS($AB$2:$AB$200,$G328)&gt;0,
     COUNTIFS($AC$2:$AC$200,$G328)&gt;0,
     COUNTIFS($AD$2:$AD$200,$G328)&gt;0,
     COUNTIFS($AE$2:$AE$200,$G328)&gt;0,
     COUNTIFS($AF$2:$AF$200,$G328)&gt;0,
     COUNTIFS($AG$2:$AG$200,$G328)&gt;0,
     COUNTIFS($AH$2:$AH$200,$G328)&gt;0,
     COUNTIFS($AI$2:$AI$200,$G328)&gt;0,
     COUNTIFS($AJ$2:$AJ$200,$G328)&gt;0,
     COUNTIFS($AK$2:$AK$200,$G328)&gt;0,
     COUNTIFS($AL$2:$AL$200,$G328)&gt;0,
     COUNTIFS($AM$2:$AM$200,$G328)&gt;0,
     COUNTIFS($AN$2:$AN$200,$G328)&gt;0,
     COUNTIFS($AO$2:$AO$200,$G328)&gt;0,
     COUNTIFS($AP$2:$AP$200,$G328)&gt;0,
     COUNTIFS($AQ$2:$AQ$200,$G328)&gt;0,
     COUNTIFS($AR$2:$AR$200,$G328)&gt;0,
     COUNTIFS($AS$2:$AS$200,$G328)&gt;0,
     COUNTIFS($AT$2:$AT$200,$G328)&gt;0,
     COUNTIFS($AU$2:$AU$200,$G328)&gt;0,
     COUNTIFS($AV$2:$AV$200,$G328)&gt;0,
     COUNTIFS($AW$2:$AW$200,$G328)&gt;0,
     COUNTIFS($AX$2:$AX$200,$G328)&gt;0
   )),
  ),
  2
 ),
"")</f>
        <v/>
      </c>
      <c r="E328" s="3" t="str" cm="1">
        <f t="array" aca="1" ref="E328" ca="1">IFERROR(
 INDEX(
  _xlfn._xlws.FILTER($U$1:$AX$1,
   TRANSPOSE(
    CHOOSE({1;2;3;4;5;6;7;8;9;10;11;12;13;14;15;16;17;18;19;20;21;22;23;24;25;26;27;28;29;30},
     COUNTIFS($U$2:$U$200,$G328)&gt;0,
     COUNTIFS($V$2:$V$200,$G328)&gt;0,
     COUNTIFS($W$2:$W$200,$G328)&gt;0,
     COUNTIFS($X$2:$X$200,$G328)&gt;0,
     COUNTIFS($Y$2:$Y$200,$G328)&gt;0,
     COUNTIFS($Z$2:$Z$200,$G328)&gt;0,
     COUNTIFS($AA$2:$AA$200,$G328)&gt;0,
     COUNTIFS($AB$2:$AB$200,$G328)&gt;0,
     COUNTIFS($AC$2:$AC$200,$G328)&gt;0,
     COUNTIFS($AD$2:$AD$200,$G328)&gt;0,
     COUNTIFS($AE$2:$AE$200,$G328)&gt;0,
     COUNTIFS($AF$2:$AF$200,$G328)&gt;0,
     COUNTIFS($AG$2:$AG$200,$G328)&gt;0,
     COUNTIFS($AH$2:$AH$200,$G328)&gt;0,
     COUNTIFS($AI$2:$AI$200,$G328)&gt;0,
     COUNTIFS($AJ$2:$AJ$200,$G328)&gt;0,
     COUNTIFS($AK$2:$AK$200,$G328)&gt;0,
     COUNTIFS($AL$2:$AL$200,$G328)&gt;0,
     COUNTIFS($AM$2:$AM$200,$G328)&gt;0,
     COUNTIFS($AN$2:$AN$200,$G328)&gt;0,
     COUNTIFS($AO$2:$AO$200,$G328)&gt;0,
     COUNTIFS($AP$2:$AP$200,$G328)&gt;0,
     COUNTIFS($AQ$2:$AQ$200,$G328)&gt;0,
     COUNTIFS($AR$2:$AR$200,$G328)&gt;0,
     COUNTIFS($AS$2:$AS$200,$G328)&gt;0,
     COUNTIFS($AT$2:$AT$200,$G328)&gt;0,
     COUNTIFS($AU$2:$AU$200,$G328)&gt;0,
     COUNTIFS($AV$2:$AV$200,$G328)&gt;0,
     COUNTIFS($AW$2:$AW$200,$G328)&gt;0,
     COUNTIFS($AX$2:$AX$200,$G328)&gt;0
   )),
  ),
  3
 ),
"")</f>
        <v/>
      </c>
      <c r="F328" s="3" t="str" cm="1">
        <f t="array" aca="1" ref="F328" ca="1">IFERROR(
 INDEX(
  _xlfn._xlws.FILTER($U$1:$AX$1,
   TRANSPOSE(
    CHOOSE({1;2;3;4;5;6;7;8;9;10;11;12;13;14;15;16;17;18;19;20;21;22;23;24;25;26;27;28;29;30},
     COUNTIFS($U$2:$U$200,$G328)&gt;0,
     COUNTIFS($V$2:$V$200,$G328)&gt;0,
     COUNTIFS($W$2:$W$200,$G328)&gt;0,
     COUNTIFS($X$2:$X$200,$G328)&gt;0,
     COUNTIFS($Y$2:$Y$200,$G328)&gt;0,
     COUNTIFS($Z$2:$Z$200,$G328)&gt;0,
     COUNTIFS($AA$2:$AA$200,$G328)&gt;0,
     COUNTIFS($AB$2:$AB$200,$G328)&gt;0,
     COUNTIFS($AC$2:$AC$200,$G328)&gt;0,
     COUNTIFS($AD$2:$AD$200,$G328)&gt;0,
     COUNTIFS($AE$2:$AE$200,$G328)&gt;0,
     COUNTIFS($AF$2:$AF$200,$G328)&gt;0,
     COUNTIFS($AG$2:$AG$200,$G328)&gt;0,
     COUNTIFS($AH$2:$AH$200,$G328)&gt;0,
     COUNTIFS($AI$2:$AI$200,$G328)&gt;0,
     COUNTIFS($AJ$2:$AJ$200,$G328)&gt;0,
     COUNTIFS($AK$2:$AK$200,$G328)&gt;0,
     COUNTIFS($AL$2:$AL$200,$G328)&gt;0,
     COUNTIFS($AM$2:$AM$200,$G328)&gt;0,
     COUNTIFS($AN$2:$AN$200,$G328)&gt;0,
     COUNTIFS($AO$2:$AO$200,$G328)&gt;0,
     COUNTIFS($AP$2:$AP$200,$G328)&gt;0,
     COUNTIFS($AQ$2:$AQ$200,$G328)&gt;0,
     COUNTIFS($AR$2:$AR$200,$G328)&gt;0,
     COUNTIFS($AS$2:$AS$200,$G328)&gt;0,
     COUNTIFS($AT$2:$AT$200,$G328)&gt;0,
     COUNTIFS($AU$2:$AU$200,$G328)&gt;0,
     COUNTIFS($AV$2:$AV$200,$G328)&gt;0,
     COUNTIFS($AW$2:$AW$200,$G328)&gt;0,
     COUNTIFS($AX$2:$AX$200,$G328)&gt;0
   )),
  ),
  4
 ),
"")</f>
        <v/>
      </c>
      <c r="G328" t="str">
        <f ca="1"/>
        <v>Susur Secundi, Void Altar</v>
      </c>
    </row>
    <row r="329" spans="1:7" x14ac:dyDescent="0.25">
      <c r="A329" s="3" t="str">
        <f t="shared" ca="1" si="12"/>
        <v>1</v>
      </c>
      <c r="B329" s="3">
        <f t="shared" ca="1" si="13"/>
        <v>1</v>
      </c>
      <c r="C329" s="3" t="str">
        <f ca="1">IFERROR(
 INDEX($U$1:$AX$1,
  MATCH(TRUE,
   CHOOSE({1;2;3;4;5;6;7;8;9;10;11;12;13;14;15;16;17;18;19;20;21;22;23;24;25;26;27;28;29;30;31;32},
    COUNTIFS($U$2:$U$200,$G329)&gt;0,
    COUNTIFS($V$2:$V$200,$G329)&gt;0,
    COUNTIFS($W$2:$W$200,$G329)&gt;0,
    COUNTIFS($X$2:$X$200,$G329)&gt;0,
    COUNTIFS($Y$2:$Y$200,$G329)&gt;0,
    COUNTIFS($Z$2:$Z$200,$G329)&gt;0,
    COUNTIFS($AA$2:$AA$200,$G329)&gt;0,
    COUNTIFS($AB$2:$AB$200,$G329)&gt;0,
    COUNTIFS($AC$2:$AC$200,$G329)&gt;0,
    COUNTIFS($AD$2:$AD$200,$G329)&gt;0,
    COUNTIFS($AE$2:$AE$200,$G329)&gt;0,
    COUNTIFS($AF$2:$AF$200,$G329)&gt;0,
    COUNTIFS($AG$2:$AG$200,$G329)&gt;0,
    COUNTIFS($AH$2:$AH$200,$G329)&gt;0,
    COUNTIFS($AI$2:$AI$200,$G329)&gt;0,
    COUNTIFS($AJ$2:$AJ$200,$G329)&gt;0,
    COUNTIFS($AK$2:$AK$200,$G329)&gt;0,
    COUNTIFS($AL$2:$AL$200,$G329)&gt;0,
    COUNTIFS($AM$2:$AM$200,$G329)&gt;0,
    COUNTIFS($AN$2:$AN$200,$G329)&gt;0,
    COUNTIFS($AO$2:$AO$200,$G329)&gt;0,
    COUNTIFS($AP$2:$AP$200,$G329)&gt;0,
    COUNTIFS($AQ$2:$AQ$200,$G329)&gt;0,
    COUNTIFS($AR$2:$AR$200,$G329)&gt;0,
    COUNTIFS($AS$2:$AS$200,$G329)&gt;0,
    COUNTIFS($AT$2:$AT$200,$G329)&gt;0,
    COUNTIFS($AU$2:$AU$200,$G329)&gt;0,
    COUNTIFS($AV$2:$AV$200,$G329)&gt;0,
    COUNTIFS($AW$2:$AW$200,$G329)&gt;0,
    COUNTIFS($AX$2:$AX$200,$G329)&gt;0
   ),
  0)
 ),
"")</f>
        <v>Modular</v>
      </c>
      <c r="D329" s="3" t="str" cm="1">
        <f t="array" aca="1" ref="D329" ca="1">IFERROR(
 INDEX(
  _xlfn._xlws.FILTER($U$1:$AX$1,
   TRANSPOSE(
    CHOOSE({1;2;3;4;5;6;7;8;9;10;11;12;13;14;15;16;17;18;19;20;21;22;23;24;25;26;27;28;29;30},
     COUNTIFS($U$2:$U$200,$G329)&gt;0,
     COUNTIFS($V$2:$V$200,$G329)&gt;0,
     COUNTIFS($W$2:$W$200,$G329)&gt;0,
     COUNTIFS($X$2:$X$200,$G329)&gt;0,
     COUNTIFS($Y$2:$Y$200,$G329)&gt;0,
     COUNTIFS($Z$2:$Z$200,$G329)&gt;0,
     COUNTIFS($AA$2:$AA$200,$G329)&gt;0,
     COUNTIFS($AB$2:$AB$200,$G329)&gt;0,
     COUNTIFS($AC$2:$AC$200,$G329)&gt;0,
     COUNTIFS($AD$2:$AD$200,$G329)&gt;0,
     COUNTIFS($AE$2:$AE$200,$G329)&gt;0,
     COUNTIFS($AF$2:$AF$200,$G329)&gt;0,
     COUNTIFS($AG$2:$AG$200,$G329)&gt;0,
     COUNTIFS($AH$2:$AH$200,$G329)&gt;0,
     COUNTIFS($AI$2:$AI$200,$G329)&gt;0,
     COUNTIFS($AJ$2:$AJ$200,$G329)&gt;0,
     COUNTIFS($AK$2:$AK$200,$G329)&gt;0,
     COUNTIFS($AL$2:$AL$200,$G329)&gt;0,
     COUNTIFS($AM$2:$AM$200,$G329)&gt;0,
     COUNTIFS($AN$2:$AN$200,$G329)&gt;0,
     COUNTIFS($AO$2:$AO$200,$G329)&gt;0,
     COUNTIFS($AP$2:$AP$200,$G329)&gt;0,
     COUNTIFS($AQ$2:$AQ$200,$G329)&gt;0,
     COUNTIFS($AR$2:$AR$200,$G329)&gt;0,
     COUNTIFS($AS$2:$AS$200,$G329)&gt;0,
     COUNTIFS($AT$2:$AT$200,$G329)&gt;0,
     COUNTIFS($AU$2:$AU$200,$G329)&gt;0,
     COUNTIFS($AV$2:$AV$200,$G329)&gt;0,
     COUNTIFS($AW$2:$AW$200,$G329)&gt;0,
     COUNTIFS($AX$2:$AX$200,$G329)&gt;0
   )),
  ),
  2
 ),
"")</f>
        <v/>
      </c>
      <c r="E329" s="3" t="str" cm="1">
        <f t="array" aca="1" ref="E329" ca="1">IFERROR(
 INDEX(
  _xlfn._xlws.FILTER($U$1:$AX$1,
   TRANSPOSE(
    CHOOSE({1;2;3;4;5;6;7;8;9;10;11;12;13;14;15;16;17;18;19;20;21;22;23;24;25;26;27;28;29;30},
     COUNTIFS($U$2:$U$200,$G329)&gt;0,
     COUNTIFS($V$2:$V$200,$G329)&gt;0,
     COUNTIFS($W$2:$W$200,$G329)&gt;0,
     COUNTIFS($X$2:$X$200,$G329)&gt;0,
     COUNTIFS($Y$2:$Y$200,$G329)&gt;0,
     COUNTIFS($Z$2:$Z$200,$G329)&gt;0,
     COUNTIFS($AA$2:$AA$200,$G329)&gt;0,
     COUNTIFS($AB$2:$AB$200,$G329)&gt;0,
     COUNTIFS($AC$2:$AC$200,$G329)&gt;0,
     COUNTIFS($AD$2:$AD$200,$G329)&gt;0,
     COUNTIFS($AE$2:$AE$200,$G329)&gt;0,
     COUNTIFS($AF$2:$AF$200,$G329)&gt;0,
     COUNTIFS($AG$2:$AG$200,$G329)&gt;0,
     COUNTIFS($AH$2:$AH$200,$G329)&gt;0,
     COUNTIFS($AI$2:$AI$200,$G329)&gt;0,
     COUNTIFS($AJ$2:$AJ$200,$G329)&gt;0,
     COUNTIFS($AK$2:$AK$200,$G329)&gt;0,
     COUNTIFS($AL$2:$AL$200,$G329)&gt;0,
     COUNTIFS($AM$2:$AM$200,$G329)&gt;0,
     COUNTIFS($AN$2:$AN$200,$G329)&gt;0,
     COUNTIFS($AO$2:$AO$200,$G329)&gt;0,
     COUNTIFS($AP$2:$AP$200,$G329)&gt;0,
     COUNTIFS($AQ$2:$AQ$200,$G329)&gt;0,
     COUNTIFS($AR$2:$AR$200,$G329)&gt;0,
     COUNTIFS($AS$2:$AS$200,$G329)&gt;0,
     COUNTIFS($AT$2:$AT$200,$G329)&gt;0,
     COUNTIFS($AU$2:$AU$200,$G329)&gt;0,
     COUNTIFS($AV$2:$AV$200,$G329)&gt;0,
     COUNTIFS($AW$2:$AW$200,$G329)&gt;0,
     COUNTIFS($AX$2:$AX$200,$G329)&gt;0
   )),
  ),
  3
 ),
"")</f>
        <v/>
      </c>
      <c r="F329" s="3" t="str" cm="1">
        <f t="array" aca="1" ref="F329" ca="1">IFERROR(
 INDEX(
  _xlfn._xlws.FILTER($U$1:$AX$1,
   TRANSPOSE(
    CHOOSE({1;2;3;4;5;6;7;8;9;10;11;12;13;14;15;16;17;18;19;20;21;22;23;24;25;26;27;28;29;30},
     COUNTIFS($U$2:$U$200,$G329)&gt;0,
     COUNTIFS($V$2:$V$200,$G329)&gt;0,
     COUNTIFS($W$2:$W$200,$G329)&gt;0,
     COUNTIFS($X$2:$X$200,$G329)&gt;0,
     COUNTIFS($Y$2:$Y$200,$G329)&gt;0,
     COUNTIFS($Z$2:$Z$200,$G329)&gt;0,
     COUNTIFS($AA$2:$AA$200,$G329)&gt;0,
     COUNTIFS($AB$2:$AB$200,$G329)&gt;0,
     COUNTIFS($AC$2:$AC$200,$G329)&gt;0,
     COUNTIFS($AD$2:$AD$200,$G329)&gt;0,
     COUNTIFS($AE$2:$AE$200,$G329)&gt;0,
     COUNTIFS($AF$2:$AF$200,$G329)&gt;0,
     COUNTIFS($AG$2:$AG$200,$G329)&gt;0,
     COUNTIFS($AH$2:$AH$200,$G329)&gt;0,
     COUNTIFS($AI$2:$AI$200,$G329)&gt;0,
     COUNTIFS($AJ$2:$AJ$200,$G329)&gt;0,
     COUNTIFS($AK$2:$AK$200,$G329)&gt;0,
     COUNTIFS($AL$2:$AL$200,$G329)&gt;0,
     COUNTIFS($AM$2:$AM$200,$G329)&gt;0,
     COUNTIFS($AN$2:$AN$200,$G329)&gt;0,
     COUNTIFS($AO$2:$AO$200,$G329)&gt;0,
     COUNTIFS($AP$2:$AP$200,$G329)&gt;0,
     COUNTIFS($AQ$2:$AQ$200,$G329)&gt;0,
     COUNTIFS($AR$2:$AR$200,$G329)&gt;0,
     COUNTIFS($AS$2:$AS$200,$G329)&gt;0,
     COUNTIFS($AT$2:$AT$200,$G329)&gt;0,
     COUNTIFS($AU$2:$AU$200,$G329)&gt;0,
     COUNTIFS($AV$2:$AV$200,$G329)&gt;0,
     COUNTIFS($AW$2:$AW$200,$G329)&gt;0,
     COUNTIFS($AX$2:$AX$200,$G329)&gt;0
   )),
  ),
  4
 ),
"")</f>
        <v/>
      </c>
      <c r="G329" t="str">
        <f ca="1"/>
        <v>Swords to Plowshares</v>
      </c>
    </row>
    <row r="330" spans="1:7" x14ac:dyDescent="0.25">
      <c r="A330" s="3" t="str">
        <f t="shared" ca="1" si="12"/>
        <v>1</v>
      </c>
      <c r="B330" s="3">
        <f t="shared" ca="1" si="13"/>
        <v>1</v>
      </c>
      <c r="C330" s="3" t="str">
        <f ca="1">IFERROR(
 INDEX($U$1:$AX$1,
  MATCH(TRUE,
   CHOOSE({1;2;3;4;5;6;7;8;9;10;11;12;13;14;15;16;17;18;19;20;21;22;23;24;25;26;27;28;29;30;31;32},
    COUNTIFS($U$2:$U$200,$G330)&gt;0,
    COUNTIFS($V$2:$V$200,$G330)&gt;0,
    COUNTIFS($W$2:$W$200,$G330)&gt;0,
    COUNTIFS($X$2:$X$200,$G330)&gt;0,
    COUNTIFS($Y$2:$Y$200,$G330)&gt;0,
    COUNTIFS($Z$2:$Z$200,$G330)&gt;0,
    COUNTIFS($AA$2:$AA$200,$G330)&gt;0,
    COUNTIFS($AB$2:$AB$200,$G330)&gt;0,
    COUNTIFS($AC$2:$AC$200,$G330)&gt;0,
    COUNTIFS($AD$2:$AD$200,$G330)&gt;0,
    COUNTIFS($AE$2:$AE$200,$G330)&gt;0,
    COUNTIFS($AF$2:$AF$200,$G330)&gt;0,
    COUNTIFS($AG$2:$AG$200,$G330)&gt;0,
    COUNTIFS($AH$2:$AH$200,$G330)&gt;0,
    COUNTIFS($AI$2:$AI$200,$G330)&gt;0,
    COUNTIFS($AJ$2:$AJ$200,$G330)&gt;0,
    COUNTIFS($AK$2:$AK$200,$G330)&gt;0,
    COUNTIFS($AL$2:$AL$200,$G330)&gt;0,
    COUNTIFS($AM$2:$AM$200,$G330)&gt;0,
    COUNTIFS($AN$2:$AN$200,$G330)&gt;0,
    COUNTIFS($AO$2:$AO$200,$G330)&gt;0,
    COUNTIFS($AP$2:$AP$200,$G330)&gt;0,
    COUNTIFS($AQ$2:$AQ$200,$G330)&gt;0,
    COUNTIFS($AR$2:$AR$200,$G330)&gt;0,
    COUNTIFS($AS$2:$AS$200,$G330)&gt;0,
    COUNTIFS($AT$2:$AT$200,$G330)&gt;0,
    COUNTIFS($AU$2:$AU$200,$G330)&gt;0,
    COUNTIFS($AV$2:$AV$200,$G330)&gt;0,
    COUNTIFS($AW$2:$AW$200,$G330)&gt;0,
    COUNTIFS($AX$2:$AX$200,$G330)&gt;0
   ),
  0)
 ),
"")</f>
        <v>Tayam</v>
      </c>
      <c r="D330" s="3" t="str" cm="1">
        <f t="array" aca="1" ref="D330" ca="1">IFERROR(
 INDEX(
  _xlfn._xlws.FILTER($U$1:$AX$1,
   TRANSPOSE(
    CHOOSE({1;2;3;4;5;6;7;8;9;10;11;12;13;14;15;16;17;18;19;20;21;22;23;24;25;26;27;28;29;30},
     COUNTIFS($U$2:$U$200,$G330)&gt;0,
     COUNTIFS($V$2:$V$200,$G330)&gt;0,
     COUNTIFS($W$2:$W$200,$G330)&gt;0,
     COUNTIFS($X$2:$X$200,$G330)&gt;0,
     COUNTIFS($Y$2:$Y$200,$G330)&gt;0,
     COUNTIFS($Z$2:$Z$200,$G330)&gt;0,
     COUNTIFS($AA$2:$AA$200,$G330)&gt;0,
     COUNTIFS($AB$2:$AB$200,$G330)&gt;0,
     COUNTIFS($AC$2:$AC$200,$G330)&gt;0,
     COUNTIFS($AD$2:$AD$200,$G330)&gt;0,
     COUNTIFS($AE$2:$AE$200,$G330)&gt;0,
     COUNTIFS($AF$2:$AF$200,$G330)&gt;0,
     COUNTIFS($AG$2:$AG$200,$G330)&gt;0,
     COUNTIFS($AH$2:$AH$200,$G330)&gt;0,
     COUNTIFS($AI$2:$AI$200,$G330)&gt;0,
     COUNTIFS($AJ$2:$AJ$200,$G330)&gt;0,
     COUNTIFS($AK$2:$AK$200,$G330)&gt;0,
     COUNTIFS($AL$2:$AL$200,$G330)&gt;0,
     COUNTIFS($AM$2:$AM$200,$G330)&gt;0,
     COUNTIFS($AN$2:$AN$200,$G330)&gt;0,
     COUNTIFS($AO$2:$AO$200,$G330)&gt;0,
     COUNTIFS($AP$2:$AP$200,$G330)&gt;0,
     COUNTIFS($AQ$2:$AQ$200,$G330)&gt;0,
     COUNTIFS($AR$2:$AR$200,$G330)&gt;0,
     COUNTIFS($AS$2:$AS$200,$G330)&gt;0,
     COUNTIFS($AT$2:$AT$200,$G330)&gt;0,
     COUNTIFS($AU$2:$AU$200,$G330)&gt;0,
     COUNTIFS($AV$2:$AV$200,$G330)&gt;0,
     COUNTIFS($AW$2:$AW$200,$G330)&gt;0,
     COUNTIFS($AX$2:$AX$200,$G330)&gt;0
   )),
  ),
  2
 ),
"")</f>
        <v/>
      </c>
      <c r="E330" s="3" t="str" cm="1">
        <f t="array" aca="1" ref="E330" ca="1">IFERROR(
 INDEX(
  _xlfn._xlws.FILTER($U$1:$AX$1,
   TRANSPOSE(
    CHOOSE({1;2;3;4;5;6;7;8;9;10;11;12;13;14;15;16;17;18;19;20;21;22;23;24;25;26;27;28;29;30},
     COUNTIFS($U$2:$U$200,$G330)&gt;0,
     COUNTIFS($V$2:$V$200,$G330)&gt;0,
     COUNTIFS($W$2:$W$200,$G330)&gt;0,
     COUNTIFS($X$2:$X$200,$G330)&gt;0,
     COUNTIFS($Y$2:$Y$200,$G330)&gt;0,
     COUNTIFS($Z$2:$Z$200,$G330)&gt;0,
     COUNTIFS($AA$2:$AA$200,$G330)&gt;0,
     COUNTIFS($AB$2:$AB$200,$G330)&gt;0,
     COUNTIFS($AC$2:$AC$200,$G330)&gt;0,
     COUNTIFS($AD$2:$AD$200,$G330)&gt;0,
     COUNTIFS($AE$2:$AE$200,$G330)&gt;0,
     COUNTIFS($AF$2:$AF$200,$G330)&gt;0,
     COUNTIFS($AG$2:$AG$200,$G330)&gt;0,
     COUNTIFS($AH$2:$AH$200,$G330)&gt;0,
     COUNTIFS($AI$2:$AI$200,$G330)&gt;0,
     COUNTIFS($AJ$2:$AJ$200,$G330)&gt;0,
     COUNTIFS($AK$2:$AK$200,$G330)&gt;0,
     COUNTIFS($AL$2:$AL$200,$G330)&gt;0,
     COUNTIFS($AM$2:$AM$200,$G330)&gt;0,
     COUNTIFS($AN$2:$AN$200,$G330)&gt;0,
     COUNTIFS($AO$2:$AO$200,$G330)&gt;0,
     COUNTIFS($AP$2:$AP$200,$G330)&gt;0,
     COUNTIFS($AQ$2:$AQ$200,$G330)&gt;0,
     COUNTIFS($AR$2:$AR$200,$G330)&gt;0,
     COUNTIFS($AS$2:$AS$200,$G330)&gt;0,
     COUNTIFS($AT$2:$AT$200,$G330)&gt;0,
     COUNTIFS($AU$2:$AU$200,$G330)&gt;0,
     COUNTIFS($AV$2:$AV$200,$G330)&gt;0,
     COUNTIFS($AW$2:$AW$200,$G330)&gt;0,
     COUNTIFS($AX$2:$AX$200,$G330)&gt;0
   )),
  ),
  3
 ),
"")</f>
        <v/>
      </c>
      <c r="F330" s="3" t="str" cm="1">
        <f t="array" aca="1" ref="F330" ca="1">IFERROR(
 INDEX(
  _xlfn._xlws.FILTER($U$1:$AX$1,
   TRANSPOSE(
    CHOOSE({1;2;3;4;5;6;7;8;9;10;11;12;13;14;15;16;17;18;19;20;21;22;23;24;25;26;27;28;29;30},
     COUNTIFS($U$2:$U$200,$G330)&gt;0,
     COUNTIFS($V$2:$V$200,$G330)&gt;0,
     COUNTIFS($W$2:$W$200,$G330)&gt;0,
     COUNTIFS($X$2:$X$200,$G330)&gt;0,
     COUNTIFS($Y$2:$Y$200,$G330)&gt;0,
     COUNTIFS($Z$2:$Z$200,$G330)&gt;0,
     COUNTIFS($AA$2:$AA$200,$G330)&gt;0,
     COUNTIFS($AB$2:$AB$200,$G330)&gt;0,
     COUNTIFS($AC$2:$AC$200,$G330)&gt;0,
     COUNTIFS($AD$2:$AD$200,$G330)&gt;0,
     COUNTIFS($AE$2:$AE$200,$G330)&gt;0,
     COUNTIFS($AF$2:$AF$200,$G330)&gt;0,
     COUNTIFS($AG$2:$AG$200,$G330)&gt;0,
     COUNTIFS($AH$2:$AH$200,$G330)&gt;0,
     COUNTIFS($AI$2:$AI$200,$G330)&gt;0,
     COUNTIFS($AJ$2:$AJ$200,$G330)&gt;0,
     COUNTIFS($AK$2:$AK$200,$G330)&gt;0,
     COUNTIFS($AL$2:$AL$200,$G330)&gt;0,
     COUNTIFS($AM$2:$AM$200,$G330)&gt;0,
     COUNTIFS($AN$2:$AN$200,$G330)&gt;0,
     COUNTIFS($AO$2:$AO$200,$G330)&gt;0,
     COUNTIFS($AP$2:$AP$200,$G330)&gt;0,
     COUNTIFS($AQ$2:$AQ$200,$G330)&gt;0,
     COUNTIFS($AR$2:$AR$200,$G330)&gt;0,
     COUNTIFS($AS$2:$AS$200,$G330)&gt;0,
     COUNTIFS($AT$2:$AT$200,$G330)&gt;0,
     COUNTIFS($AU$2:$AU$200,$G330)&gt;0,
     COUNTIFS($AV$2:$AV$200,$G330)&gt;0,
     COUNTIFS($AW$2:$AW$200,$G330)&gt;0,
     COUNTIFS($AX$2:$AX$200,$G330)&gt;0
   )),
  ),
  4
 ),
"")</f>
        <v/>
      </c>
      <c r="G330" t="str">
        <f ca="1"/>
        <v>Syr Vondam, Sunstar Exemplar</v>
      </c>
    </row>
    <row r="331" spans="1:7" x14ac:dyDescent="0.25">
      <c r="A331" s="3" t="str">
        <f t="shared" ca="1" si="12"/>
        <v>3</v>
      </c>
      <c r="B331" s="3">
        <f t="shared" ca="1" si="13"/>
        <v>2</v>
      </c>
      <c r="C331" s="3" t="str">
        <f ca="1">IFERROR(
 INDEX($U$1:$AX$1,
  MATCH(TRUE,
   CHOOSE({1;2;3;4;5;6;7;8;9;10;11;12;13;14;15;16;17;18;19;20;21;22;23;24;25;26;27;28;29;30;31;32},
    COUNTIFS($U$2:$U$200,$G331)&gt;0,
    COUNTIFS($V$2:$V$200,$G331)&gt;0,
    COUNTIFS($W$2:$W$200,$G331)&gt;0,
    COUNTIFS($X$2:$X$200,$G331)&gt;0,
    COUNTIFS($Y$2:$Y$200,$G331)&gt;0,
    COUNTIFS($Z$2:$Z$200,$G331)&gt;0,
    COUNTIFS($AA$2:$AA$200,$G331)&gt;0,
    COUNTIFS($AB$2:$AB$200,$G331)&gt;0,
    COUNTIFS($AC$2:$AC$200,$G331)&gt;0,
    COUNTIFS($AD$2:$AD$200,$G331)&gt;0,
    COUNTIFS($AE$2:$AE$200,$G331)&gt;0,
    COUNTIFS($AF$2:$AF$200,$G331)&gt;0,
    COUNTIFS($AG$2:$AG$200,$G331)&gt;0,
    COUNTIFS($AH$2:$AH$200,$G331)&gt;0,
    COUNTIFS($AI$2:$AI$200,$G331)&gt;0,
    COUNTIFS($AJ$2:$AJ$200,$G331)&gt;0,
    COUNTIFS($AK$2:$AK$200,$G331)&gt;0,
    COUNTIFS($AL$2:$AL$200,$G331)&gt;0,
    COUNTIFS($AM$2:$AM$200,$G331)&gt;0,
    COUNTIFS($AN$2:$AN$200,$G331)&gt;0,
    COUNTIFS($AO$2:$AO$200,$G331)&gt;0,
    COUNTIFS($AP$2:$AP$200,$G331)&gt;0,
    COUNTIFS($AQ$2:$AQ$200,$G331)&gt;0,
    COUNTIFS($AR$2:$AR$200,$G331)&gt;0,
    COUNTIFS($AS$2:$AS$200,$G331)&gt;0,
    COUNTIFS($AT$2:$AT$200,$G331)&gt;0,
    COUNTIFS($AU$2:$AU$200,$G331)&gt;0,
    COUNTIFS($AV$2:$AV$200,$G331)&gt;0,
    COUNTIFS($AW$2:$AW$200,$G331)&gt;0,
    COUNTIFS($AX$2:$AX$200,$G331)&gt;0
   ),
  0)
 ),
"")</f>
        <v>Carlos</v>
      </c>
      <c r="D331" s="3" t="str" cm="1">
        <f t="array" aca="1" ref="D331" ca="1">IFERROR(
 INDEX(
  _xlfn._xlws.FILTER($U$1:$AX$1,
   TRANSPOSE(
    CHOOSE({1;2;3;4;5;6;7;8;9;10;11;12;13;14;15;16;17;18;19;20;21;22;23;24;25;26;27;28;29;30},
     COUNTIFS($U$2:$U$200,$G331)&gt;0,
     COUNTIFS($V$2:$V$200,$G331)&gt;0,
     COUNTIFS($W$2:$W$200,$G331)&gt;0,
     COUNTIFS($X$2:$X$200,$G331)&gt;0,
     COUNTIFS($Y$2:$Y$200,$G331)&gt;0,
     COUNTIFS($Z$2:$Z$200,$G331)&gt;0,
     COUNTIFS($AA$2:$AA$200,$G331)&gt;0,
     COUNTIFS($AB$2:$AB$200,$G331)&gt;0,
     COUNTIFS($AC$2:$AC$200,$G331)&gt;0,
     COUNTIFS($AD$2:$AD$200,$G331)&gt;0,
     COUNTIFS($AE$2:$AE$200,$G331)&gt;0,
     COUNTIFS($AF$2:$AF$200,$G331)&gt;0,
     COUNTIFS($AG$2:$AG$200,$G331)&gt;0,
     COUNTIFS($AH$2:$AH$200,$G331)&gt;0,
     COUNTIFS($AI$2:$AI$200,$G331)&gt;0,
     COUNTIFS($AJ$2:$AJ$200,$G331)&gt;0,
     COUNTIFS($AK$2:$AK$200,$G331)&gt;0,
     COUNTIFS($AL$2:$AL$200,$G331)&gt;0,
     COUNTIFS($AM$2:$AM$200,$G331)&gt;0,
     COUNTIFS($AN$2:$AN$200,$G331)&gt;0,
     COUNTIFS($AO$2:$AO$200,$G331)&gt;0,
     COUNTIFS($AP$2:$AP$200,$G331)&gt;0,
     COUNTIFS($AQ$2:$AQ$200,$G331)&gt;0,
     COUNTIFS($AR$2:$AR$200,$G331)&gt;0,
     COUNTIFS($AS$2:$AS$200,$G331)&gt;0,
     COUNTIFS($AT$2:$AT$200,$G331)&gt;0,
     COUNTIFS($AU$2:$AU$200,$G331)&gt;0,
     COUNTIFS($AV$2:$AV$200,$G331)&gt;0,
     COUNTIFS($AW$2:$AW$200,$G331)&gt;0,
     COUNTIFS($AX$2:$AX$200,$G331)&gt;0
   )),
  ),
  2
 ),
"")</f>
        <v>Gritrog</v>
      </c>
      <c r="E331" s="3" t="str" cm="1">
        <f t="array" aca="1" ref="E331" ca="1">IFERROR(
 INDEX(
  _xlfn._xlws.FILTER($U$1:$AX$1,
   TRANSPOSE(
    CHOOSE({1;2;3;4;5;6;7;8;9;10;11;12;13;14;15;16;17;18;19;20;21;22;23;24;25;26;27;28;29;30},
     COUNTIFS($U$2:$U$200,$G331)&gt;0,
     COUNTIFS($V$2:$V$200,$G331)&gt;0,
     COUNTIFS($W$2:$W$200,$G331)&gt;0,
     COUNTIFS($X$2:$X$200,$G331)&gt;0,
     COUNTIFS($Y$2:$Y$200,$G331)&gt;0,
     COUNTIFS($Z$2:$Z$200,$G331)&gt;0,
     COUNTIFS($AA$2:$AA$200,$G331)&gt;0,
     COUNTIFS($AB$2:$AB$200,$G331)&gt;0,
     COUNTIFS($AC$2:$AC$200,$G331)&gt;0,
     COUNTIFS($AD$2:$AD$200,$G331)&gt;0,
     COUNTIFS($AE$2:$AE$200,$G331)&gt;0,
     COUNTIFS($AF$2:$AF$200,$G331)&gt;0,
     COUNTIFS($AG$2:$AG$200,$G331)&gt;0,
     COUNTIFS($AH$2:$AH$200,$G331)&gt;0,
     COUNTIFS($AI$2:$AI$200,$G331)&gt;0,
     COUNTIFS($AJ$2:$AJ$200,$G331)&gt;0,
     COUNTIFS($AK$2:$AK$200,$G331)&gt;0,
     COUNTIFS($AL$2:$AL$200,$G331)&gt;0,
     COUNTIFS($AM$2:$AM$200,$G331)&gt;0,
     COUNTIFS($AN$2:$AN$200,$G331)&gt;0,
     COUNTIFS($AO$2:$AO$200,$G331)&gt;0,
     COUNTIFS($AP$2:$AP$200,$G331)&gt;0,
     COUNTIFS($AQ$2:$AQ$200,$G331)&gt;0,
     COUNTIFS($AR$2:$AR$200,$G331)&gt;0,
     COUNTIFS($AS$2:$AS$200,$G331)&gt;0,
     COUNTIFS($AT$2:$AT$200,$G331)&gt;0,
     COUNTIFS($AU$2:$AU$200,$G331)&gt;0,
     COUNTIFS($AV$2:$AV$200,$G331)&gt;0,
     COUNTIFS($AW$2:$AW$200,$G331)&gt;0,
     COUNTIFS($AX$2:$AX$200,$G331)&gt;0
   )),
  ),
  3
 ),
"")</f>
        <v/>
      </c>
      <c r="F331" s="3" t="str" cm="1">
        <f t="array" aca="1" ref="F331" ca="1">IFERROR(
 INDEX(
  _xlfn._xlws.FILTER($U$1:$AX$1,
   TRANSPOSE(
    CHOOSE({1;2;3;4;5;6;7;8;9;10;11;12;13;14;15;16;17;18;19;20;21;22;23;24;25;26;27;28;29;30},
     COUNTIFS($U$2:$U$200,$G331)&gt;0,
     COUNTIFS($V$2:$V$200,$G331)&gt;0,
     COUNTIFS($W$2:$W$200,$G331)&gt;0,
     COUNTIFS($X$2:$X$200,$G331)&gt;0,
     COUNTIFS($Y$2:$Y$200,$G331)&gt;0,
     COUNTIFS($Z$2:$Z$200,$G331)&gt;0,
     COUNTIFS($AA$2:$AA$200,$G331)&gt;0,
     COUNTIFS($AB$2:$AB$200,$G331)&gt;0,
     COUNTIFS($AC$2:$AC$200,$G331)&gt;0,
     COUNTIFS($AD$2:$AD$200,$G331)&gt;0,
     COUNTIFS($AE$2:$AE$200,$G331)&gt;0,
     COUNTIFS($AF$2:$AF$200,$G331)&gt;0,
     COUNTIFS($AG$2:$AG$200,$G331)&gt;0,
     COUNTIFS($AH$2:$AH$200,$G331)&gt;0,
     COUNTIFS($AI$2:$AI$200,$G331)&gt;0,
     COUNTIFS($AJ$2:$AJ$200,$G331)&gt;0,
     COUNTIFS($AK$2:$AK$200,$G331)&gt;0,
     COUNTIFS($AL$2:$AL$200,$G331)&gt;0,
     COUNTIFS($AM$2:$AM$200,$G331)&gt;0,
     COUNTIFS($AN$2:$AN$200,$G331)&gt;0,
     COUNTIFS($AO$2:$AO$200,$G331)&gt;0,
     COUNTIFS($AP$2:$AP$200,$G331)&gt;0,
     COUNTIFS($AQ$2:$AQ$200,$G331)&gt;0,
     COUNTIFS($AR$2:$AR$200,$G331)&gt;0,
     COUNTIFS($AS$2:$AS$200,$G331)&gt;0,
     COUNTIFS($AT$2:$AT$200,$G331)&gt;0,
     COUNTIFS($AU$2:$AU$200,$G331)&gt;0,
     COUNTIFS($AV$2:$AV$200,$G331)&gt;0,
     COUNTIFS($AW$2:$AW$200,$G331)&gt;0,
     COUNTIFS($AX$2:$AX$200,$G331)&gt;0
   )),
  ),
  4
 ),
"")</f>
        <v/>
      </c>
      <c r="G331" t="str">
        <f ca="1"/>
        <v>Takenuma, Charco Abandonado</v>
      </c>
    </row>
    <row r="332" spans="1:7" x14ac:dyDescent="0.25">
      <c r="A332" s="3" t="str">
        <f t="shared" ca="1" si="12"/>
        <v>1</v>
      </c>
      <c r="B332" s="3">
        <f t="shared" ca="1" si="13"/>
        <v>1</v>
      </c>
      <c r="C332" s="3" t="str">
        <f ca="1">IFERROR(
 INDEX($U$1:$AX$1,
  MATCH(TRUE,
   CHOOSE({1;2;3;4;5;6;7;8;9;10;11;12;13;14;15;16;17;18;19;20;21;22;23;24;25;26;27;28;29;30;31;32},
    COUNTIFS($U$2:$U$200,$G332)&gt;0,
    COUNTIFS($V$2:$V$200,$G332)&gt;0,
    COUNTIFS($W$2:$W$200,$G332)&gt;0,
    COUNTIFS($X$2:$X$200,$G332)&gt;0,
    COUNTIFS($Y$2:$Y$200,$G332)&gt;0,
    COUNTIFS($Z$2:$Z$200,$G332)&gt;0,
    COUNTIFS($AA$2:$AA$200,$G332)&gt;0,
    COUNTIFS($AB$2:$AB$200,$G332)&gt;0,
    COUNTIFS($AC$2:$AC$200,$G332)&gt;0,
    COUNTIFS($AD$2:$AD$200,$G332)&gt;0,
    COUNTIFS($AE$2:$AE$200,$G332)&gt;0,
    COUNTIFS($AF$2:$AF$200,$G332)&gt;0,
    COUNTIFS($AG$2:$AG$200,$G332)&gt;0,
    COUNTIFS($AH$2:$AH$200,$G332)&gt;0,
    COUNTIFS($AI$2:$AI$200,$G332)&gt;0,
    COUNTIFS($AJ$2:$AJ$200,$G332)&gt;0,
    COUNTIFS($AK$2:$AK$200,$G332)&gt;0,
    COUNTIFS($AL$2:$AL$200,$G332)&gt;0,
    COUNTIFS($AM$2:$AM$200,$G332)&gt;0,
    COUNTIFS($AN$2:$AN$200,$G332)&gt;0,
    COUNTIFS($AO$2:$AO$200,$G332)&gt;0,
    COUNTIFS($AP$2:$AP$200,$G332)&gt;0,
    COUNTIFS($AQ$2:$AQ$200,$G332)&gt;0,
    COUNTIFS($AR$2:$AR$200,$G332)&gt;0,
    COUNTIFS($AS$2:$AS$200,$G332)&gt;0,
    COUNTIFS($AT$2:$AT$200,$G332)&gt;0,
    COUNTIFS($AU$2:$AU$200,$G332)&gt;0,
    COUNTIFS($AV$2:$AV$200,$G332)&gt;0,
    COUNTIFS($AW$2:$AW$200,$G332)&gt;0,
    COUNTIFS($AX$2:$AX$200,$G332)&gt;0
   ),
  0)
 ),
"")</f>
        <v>Modular</v>
      </c>
      <c r="D332" s="3" t="str" cm="1">
        <f t="array" aca="1" ref="D332" ca="1">IFERROR(
 INDEX(
  _xlfn._xlws.FILTER($U$1:$AX$1,
   TRANSPOSE(
    CHOOSE({1;2;3;4;5;6;7;8;9;10;11;12;13;14;15;16;17;18;19;20;21;22;23;24;25;26;27;28;29;30},
     COUNTIFS($U$2:$U$200,$G332)&gt;0,
     COUNTIFS($V$2:$V$200,$G332)&gt;0,
     COUNTIFS($W$2:$W$200,$G332)&gt;0,
     COUNTIFS($X$2:$X$200,$G332)&gt;0,
     COUNTIFS($Y$2:$Y$200,$G332)&gt;0,
     COUNTIFS($Z$2:$Z$200,$G332)&gt;0,
     COUNTIFS($AA$2:$AA$200,$G332)&gt;0,
     COUNTIFS($AB$2:$AB$200,$G332)&gt;0,
     COUNTIFS($AC$2:$AC$200,$G332)&gt;0,
     COUNTIFS($AD$2:$AD$200,$G332)&gt;0,
     COUNTIFS($AE$2:$AE$200,$G332)&gt;0,
     COUNTIFS($AF$2:$AF$200,$G332)&gt;0,
     COUNTIFS($AG$2:$AG$200,$G332)&gt;0,
     COUNTIFS($AH$2:$AH$200,$G332)&gt;0,
     COUNTIFS($AI$2:$AI$200,$G332)&gt;0,
     COUNTIFS($AJ$2:$AJ$200,$G332)&gt;0,
     COUNTIFS($AK$2:$AK$200,$G332)&gt;0,
     COUNTIFS($AL$2:$AL$200,$G332)&gt;0,
     COUNTIFS($AM$2:$AM$200,$G332)&gt;0,
     COUNTIFS($AN$2:$AN$200,$G332)&gt;0,
     COUNTIFS($AO$2:$AO$200,$G332)&gt;0,
     COUNTIFS($AP$2:$AP$200,$G332)&gt;0,
     COUNTIFS($AQ$2:$AQ$200,$G332)&gt;0,
     COUNTIFS($AR$2:$AR$200,$G332)&gt;0,
     COUNTIFS($AS$2:$AS$200,$G332)&gt;0,
     COUNTIFS($AT$2:$AT$200,$G332)&gt;0,
     COUNTIFS($AU$2:$AU$200,$G332)&gt;0,
     COUNTIFS($AV$2:$AV$200,$G332)&gt;0,
     COUNTIFS($AW$2:$AW$200,$G332)&gt;0,
     COUNTIFS($AX$2:$AX$200,$G332)&gt;0
   )),
  ),
  2
 ),
"")</f>
        <v/>
      </c>
      <c r="E332" s="3" t="str" cm="1">
        <f t="array" aca="1" ref="E332" ca="1">IFERROR(
 INDEX(
  _xlfn._xlws.FILTER($U$1:$AX$1,
   TRANSPOSE(
    CHOOSE({1;2;3;4;5;6;7;8;9;10;11;12;13;14;15;16;17;18;19;20;21;22;23;24;25;26;27;28;29;30},
     COUNTIFS($U$2:$U$200,$G332)&gt;0,
     COUNTIFS($V$2:$V$200,$G332)&gt;0,
     COUNTIFS($W$2:$W$200,$G332)&gt;0,
     COUNTIFS($X$2:$X$200,$G332)&gt;0,
     COUNTIFS($Y$2:$Y$200,$G332)&gt;0,
     COUNTIFS($Z$2:$Z$200,$G332)&gt;0,
     COUNTIFS($AA$2:$AA$200,$G332)&gt;0,
     COUNTIFS($AB$2:$AB$200,$G332)&gt;0,
     COUNTIFS($AC$2:$AC$200,$G332)&gt;0,
     COUNTIFS($AD$2:$AD$200,$G332)&gt;0,
     COUNTIFS($AE$2:$AE$200,$G332)&gt;0,
     COUNTIFS($AF$2:$AF$200,$G332)&gt;0,
     COUNTIFS($AG$2:$AG$200,$G332)&gt;0,
     COUNTIFS($AH$2:$AH$200,$G332)&gt;0,
     COUNTIFS($AI$2:$AI$200,$G332)&gt;0,
     COUNTIFS($AJ$2:$AJ$200,$G332)&gt;0,
     COUNTIFS($AK$2:$AK$200,$G332)&gt;0,
     COUNTIFS($AL$2:$AL$200,$G332)&gt;0,
     COUNTIFS($AM$2:$AM$200,$G332)&gt;0,
     COUNTIFS($AN$2:$AN$200,$G332)&gt;0,
     COUNTIFS($AO$2:$AO$200,$G332)&gt;0,
     COUNTIFS($AP$2:$AP$200,$G332)&gt;0,
     COUNTIFS($AQ$2:$AQ$200,$G332)&gt;0,
     COUNTIFS($AR$2:$AR$200,$G332)&gt;0,
     COUNTIFS($AS$2:$AS$200,$G332)&gt;0,
     COUNTIFS($AT$2:$AT$200,$G332)&gt;0,
     COUNTIFS($AU$2:$AU$200,$G332)&gt;0,
     COUNTIFS($AV$2:$AV$200,$G332)&gt;0,
     COUNTIFS($AW$2:$AW$200,$G332)&gt;0,
     COUNTIFS($AX$2:$AX$200,$G332)&gt;0
   )),
  ),
  3
 ),
"")</f>
        <v/>
      </c>
      <c r="F332" s="3" t="str" cm="1">
        <f t="array" aca="1" ref="F332" ca="1">IFERROR(
 INDEX(
  _xlfn._xlws.FILTER($U$1:$AX$1,
   TRANSPOSE(
    CHOOSE({1;2;3;4;5;6;7;8;9;10;11;12;13;14;15;16;17;18;19;20;21;22;23;24;25;26;27;28;29;30},
     COUNTIFS($U$2:$U$200,$G332)&gt;0,
     COUNTIFS($V$2:$V$200,$G332)&gt;0,
     COUNTIFS($W$2:$W$200,$G332)&gt;0,
     COUNTIFS($X$2:$X$200,$G332)&gt;0,
     COUNTIFS($Y$2:$Y$200,$G332)&gt;0,
     COUNTIFS($Z$2:$Z$200,$G332)&gt;0,
     COUNTIFS($AA$2:$AA$200,$G332)&gt;0,
     COUNTIFS($AB$2:$AB$200,$G332)&gt;0,
     COUNTIFS($AC$2:$AC$200,$G332)&gt;0,
     COUNTIFS($AD$2:$AD$200,$G332)&gt;0,
     COUNTIFS($AE$2:$AE$200,$G332)&gt;0,
     COUNTIFS($AF$2:$AF$200,$G332)&gt;0,
     COUNTIFS($AG$2:$AG$200,$G332)&gt;0,
     COUNTIFS($AH$2:$AH$200,$G332)&gt;0,
     COUNTIFS($AI$2:$AI$200,$G332)&gt;0,
     COUNTIFS($AJ$2:$AJ$200,$G332)&gt;0,
     COUNTIFS($AK$2:$AK$200,$G332)&gt;0,
     COUNTIFS($AL$2:$AL$200,$G332)&gt;0,
     COUNTIFS($AM$2:$AM$200,$G332)&gt;0,
     COUNTIFS($AN$2:$AN$200,$G332)&gt;0,
     COUNTIFS($AO$2:$AO$200,$G332)&gt;0,
     COUNTIFS($AP$2:$AP$200,$G332)&gt;0,
     COUNTIFS($AQ$2:$AQ$200,$G332)&gt;0,
     COUNTIFS($AR$2:$AR$200,$G332)&gt;0,
     COUNTIFS($AS$2:$AS$200,$G332)&gt;0,
     COUNTIFS($AT$2:$AT$200,$G332)&gt;0,
     COUNTIFS($AU$2:$AU$200,$G332)&gt;0,
     COUNTIFS($AV$2:$AV$200,$G332)&gt;0,
     COUNTIFS($AW$2:$AW$200,$G332)&gt;0,
     COUNTIFS($AX$2:$AX$200,$G332)&gt;0
   )),
  ),
  4
 ),
"")</f>
        <v/>
      </c>
      <c r="G332" t="str">
        <f ca="1"/>
        <v>Tannuk, Memorial Ensign</v>
      </c>
    </row>
    <row r="333" spans="1:7" x14ac:dyDescent="0.25">
      <c r="A333" s="3" t="str">
        <f t="shared" ca="1" si="12"/>
        <v>1</v>
      </c>
      <c r="B333" s="3">
        <f t="shared" ca="1" si="13"/>
        <v>1</v>
      </c>
      <c r="C333" s="3" t="str">
        <f ca="1">IFERROR(
 INDEX($U$1:$AX$1,
  MATCH(TRUE,
   CHOOSE({1;2;3;4;5;6;7;8;9;10;11;12;13;14;15;16;17;18;19;20;21;22;23;24;25;26;27;28;29;30;31;32},
    COUNTIFS($U$2:$U$200,$G333)&gt;0,
    COUNTIFS($V$2:$V$200,$G333)&gt;0,
    COUNTIFS($W$2:$W$200,$G333)&gt;0,
    COUNTIFS($X$2:$X$200,$G333)&gt;0,
    COUNTIFS($Y$2:$Y$200,$G333)&gt;0,
    COUNTIFS($Z$2:$Z$200,$G333)&gt;0,
    COUNTIFS($AA$2:$AA$200,$G333)&gt;0,
    COUNTIFS($AB$2:$AB$200,$G333)&gt;0,
    COUNTIFS($AC$2:$AC$200,$G333)&gt;0,
    COUNTIFS($AD$2:$AD$200,$G333)&gt;0,
    COUNTIFS($AE$2:$AE$200,$G333)&gt;0,
    COUNTIFS($AF$2:$AF$200,$G333)&gt;0,
    COUNTIFS($AG$2:$AG$200,$G333)&gt;0,
    COUNTIFS($AH$2:$AH$200,$G333)&gt;0,
    COUNTIFS($AI$2:$AI$200,$G333)&gt;0,
    COUNTIFS($AJ$2:$AJ$200,$G333)&gt;0,
    COUNTIFS($AK$2:$AK$200,$G333)&gt;0,
    COUNTIFS($AL$2:$AL$200,$G333)&gt;0,
    COUNTIFS($AM$2:$AM$200,$G333)&gt;0,
    COUNTIFS($AN$2:$AN$200,$G333)&gt;0,
    COUNTIFS($AO$2:$AO$200,$G333)&gt;0,
    COUNTIFS($AP$2:$AP$200,$G333)&gt;0,
    COUNTIFS($AQ$2:$AQ$200,$G333)&gt;0,
    COUNTIFS($AR$2:$AR$200,$G333)&gt;0,
    COUNTIFS($AS$2:$AS$200,$G333)&gt;0,
    COUNTIFS($AT$2:$AT$200,$G333)&gt;0,
    COUNTIFS($AU$2:$AU$200,$G333)&gt;0,
    COUNTIFS($AV$2:$AV$200,$G333)&gt;0,
    COUNTIFS($AW$2:$AW$200,$G333)&gt;0,
    COUNTIFS($AX$2:$AX$200,$G333)&gt;0
   ),
  0)
 ),
"")</f>
        <v>Tayam</v>
      </c>
      <c r="D333" s="3" t="str" cm="1">
        <f t="array" aca="1" ref="D333" ca="1">IFERROR(
 INDEX(
  _xlfn._xlws.FILTER($U$1:$AX$1,
   TRANSPOSE(
    CHOOSE({1;2;3;4;5;6;7;8;9;10;11;12;13;14;15;16;17;18;19;20;21;22;23;24;25;26;27;28;29;30},
     COUNTIFS($U$2:$U$200,$G333)&gt;0,
     COUNTIFS($V$2:$V$200,$G333)&gt;0,
     COUNTIFS($W$2:$W$200,$G333)&gt;0,
     COUNTIFS($X$2:$X$200,$G333)&gt;0,
     COUNTIFS($Y$2:$Y$200,$G333)&gt;0,
     COUNTIFS($Z$2:$Z$200,$G333)&gt;0,
     COUNTIFS($AA$2:$AA$200,$G333)&gt;0,
     COUNTIFS($AB$2:$AB$200,$G333)&gt;0,
     COUNTIFS($AC$2:$AC$200,$G333)&gt;0,
     COUNTIFS($AD$2:$AD$200,$G333)&gt;0,
     COUNTIFS($AE$2:$AE$200,$G333)&gt;0,
     COUNTIFS($AF$2:$AF$200,$G333)&gt;0,
     COUNTIFS($AG$2:$AG$200,$G333)&gt;0,
     COUNTIFS($AH$2:$AH$200,$G333)&gt;0,
     COUNTIFS($AI$2:$AI$200,$G333)&gt;0,
     COUNTIFS($AJ$2:$AJ$200,$G333)&gt;0,
     COUNTIFS($AK$2:$AK$200,$G333)&gt;0,
     COUNTIFS($AL$2:$AL$200,$G333)&gt;0,
     COUNTIFS($AM$2:$AM$200,$G333)&gt;0,
     COUNTIFS($AN$2:$AN$200,$G333)&gt;0,
     COUNTIFS($AO$2:$AO$200,$G333)&gt;0,
     COUNTIFS($AP$2:$AP$200,$G333)&gt;0,
     COUNTIFS($AQ$2:$AQ$200,$G333)&gt;0,
     COUNTIFS($AR$2:$AR$200,$G333)&gt;0,
     COUNTIFS($AS$2:$AS$200,$G333)&gt;0,
     COUNTIFS($AT$2:$AT$200,$G333)&gt;0,
     COUNTIFS($AU$2:$AU$200,$G333)&gt;0,
     COUNTIFS($AV$2:$AV$200,$G333)&gt;0,
     COUNTIFS($AW$2:$AW$200,$G333)&gt;0,
     COUNTIFS($AX$2:$AX$200,$G333)&gt;0
   )),
  ),
  2
 ),
"")</f>
        <v/>
      </c>
      <c r="E333" s="3" t="str" cm="1">
        <f t="array" aca="1" ref="E333" ca="1">IFERROR(
 INDEX(
  _xlfn._xlws.FILTER($U$1:$AX$1,
   TRANSPOSE(
    CHOOSE({1;2;3;4;5;6;7;8;9;10;11;12;13;14;15;16;17;18;19;20;21;22;23;24;25;26;27;28;29;30},
     COUNTIFS($U$2:$U$200,$G333)&gt;0,
     COUNTIFS($V$2:$V$200,$G333)&gt;0,
     COUNTIFS($W$2:$W$200,$G333)&gt;0,
     COUNTIFS($X$2:$X$200,$G333)&gt;0,
     COUNTIFS($Y$2:$Y$200,$G333)&gt;0,
     COUNTIFS($Z$2:$Z$200,$G333)&gt;0,
     COUNTIFS($AA$2:$AA$200,$G333)&gt;0,
     COUNTIFS($AB$2:$AB$200,$G333)&gt;0,
     COUNTIFS($AC$2:$AC$200,$G333)&gt;0,
     COUNTIFS($AD$2:$AD$200,$G333)&gt;0,
     COUNTIFS($AE$2:$AE$200,$G333)&gt;0,
     COUNTIFS($AF$2:$AF$200,$G333)&gt;0,
     COUNTIFS($AG$2:$AG$200,$G333)&gt;0,
     COUNTIFS($AH$2:$AH$200,$G333)&gt;0,
     COUNTIFS($AI$2:$AI$200,$G333)&gt;0,
     COUNTIFS($AJ$2:$AJ$200,$G333)&gt;0,
     COUNTIFS($AK$2:$AK$200,$G333)&gt;0,
     COUNTIFS($AL$2:$AL$200,$G333)&gt;0,
     COUNTIFS($AM$2:$AM$200,$G333)&gt;0,
     COUNTIFS($AN$2:$AN$200,$G333)&gt;0,
     COUNTIFS($AO$2:$AO$200,$G333)&gt;0,
     COUNTIFS($AP$2:$AP$200,$G333)&gt;0,
     COUNTIFS($AQ$2:$AQ$200,$G333)&gt;0,
     COUNTIFS($AR$2:$AR$200,$G333)&gt;0,
     COUNTIFS($AS$2:$AS$200,$G333)&gt;0,
     COUNTIFS($AT$2:$AT$200,$G333)&gt;0,
     COUNTIFS($AU$2:$AU$200,$G333)&gt;0,
     COUNTIFS($AV$2:$AV$200,$G333)&gt;0,
     COUNTIFS($AW$2:$AW$200,$G333)&gt;0,
     COUNTIFS($AX$2:$AX$200,$G333)&gt;0
   )),
  ),
  3
 ),
"")</f>
        <v/>
      </c>
      <c r="F333" s="3" t="str" cm="1">
        <f t="array" aca="1" ref="F333" ca="1">IFERROR(
 INDEX(
  _xlfn._xlws.FILTER($U$1:$AX$1,
   TRANSPOSE(
    CHOOSE({1;2;3;4;5;6;7;8;9;10;11;12;13;14;15;16;17;18;19;20;21;22;23;24;25;26;27;28;29;30},
     COUNTIFS($U$2:$U$200,$G333)&gt;0,
     COUNTIFS($V$2:$V$200,$G333)&gt;0,
     COUNTIFS($W$2:$W$200,$G333)&gt;0,
     COUNTIFS($X$2:$X$200,$G333)&gt;0,
     COUNTIFS($Y$2:$Y$200,$G333)&gt;0,
     COUNTIFS($Z$2:$Z$200,$G333)&gt;0,
     COUNTIFS($AA$2:$AA$200,$G333)&gt;0,
     COUNTIFS($AB$2:$AB$200,$G333)&gt;0,
     COUNTIFS($AC$2:$AC$200,$G333)&gt;0,
     COUNTIFS($AD$2:$AD$200,$G333)&gt;0,
     COUNTIFS($AE$2:$AE$200,$G333)&gt;0,
     COUNTIFS($AF$2:$AF$200,$G333)&gt;0,
     COUNTIFS($AG$2:$AG$200,$G333)&gt;0,
     COUNTIFS($AH$2:$AH$200,$G333)&gt;0,
     COUNTIFS($AI$2:$AI$200,$G333)&gt;0,
     COUNTIFS($AJ$2:$AJ$200,$G333)&gt;0,
     COUNTIFS($AK$2:$AK$200,$G333)&gt;0,
     COUNTIFS($AL$2:$AL$200,$G333)&gt;0,
     COUNTIFS($AM$2:$AM$200,$G333)&gt;0,
     COUNTIFS($AN$2:$AN$200,$G333)&gt;0,
     COUNTIFS($AO$2:$AO$200,$G333)&gt;0,
     COUNTIFS($AP$2:$AP$200,$G333)&gt;0,
     COUNTIFS($AQ$2:$AQ$200,$G333)&gt;0,
     COUNTIFS($AR$2:$AR$200,$G333)&gt;0,
     COUNTIFS($AS$2:$AS$200,$G333)&gt;0,
     COUNTIFS($AT$2:$AT$200,$G333)&gt;0,
     COUNTIFS($AU$2:$AU$200,$G333)&gt;0,
     COUNTIFS($AV$2:$AV$200,$G333)&gt;0,
     COUNTIFS($AW$2:$AW$200,$G333)&gt;0,
     COUNTIFS($AX$2:$AX$200,$G333)&gt;0
   )),
  ),
  4
 ),
"")</f>
        <v/>
      </c>
      <c r="G333" t="str">
        <f ca="1"/>
        <v>Tayam, Luminous Enigma</v>
      </c>
    </row>
    <row r="334" spans="1:7" x14ac:dyDescent="0.25">
      <c r="A334" s="3" t="str">
        <f t="shared" ca="1" si="12"/>
        <v>3</v>
      </c>
      <c r="B334" s="3">
        <f t="shared" ca="1" si="13"/>
        <v>1</v>
      </c>
      <c r="C334" s="3" t="str">
        <f ca="1">IFERROR(
 INDEX($U$1:$AX$1,
  MATCH(TRUE,
   CHOOSE({1;2;3;4;5;6;7;8;9;10;11;12;13;14;15;16;17;18;19;20;21;22;23;24;25;26;27;28;29;30;31;32},
    COUNTIFS($U$2:$U$200,$G334)&gt;0,
    COUNTIFS($V$2:$V$200,$G334)&gt;0,
    COUNTIFS($W$2:$W$200,$G334)&gt;0,
    COUNTIFS($X$2:$X$200,$G334)&gt;0,
    COUNTIFS($Y$2:$Y$200,$G334)&gt;0,
    COUNTIFS($Z$2:$Z$200,$G334)&gt;0,
    COUNTIFS($AA$2:$AA$200,$G334)&gt;0,
    COUNTIFS($AB$2:$AB$200,$G334)&gt;0,
    COUNTIFS($AC$2:$AC$200,$G334)&gt;0,
    COUNTIFS($AD$2:$AD$200,$G334)&gt;0,
    COUNTIFS($AE$2:$AE$200,$G334)&gt;0,
    COUNTIFS($AF$2:$AF$200,$G334)&gt;0,
    COUNTIFS($AG$2:$AG$200,$G334)&gt;0,
    COUNTIFS($AH$2:$AH$200,$G334)&gt;0,
    COUNTIFS($AI$2:$AI$200,$G334)&gt;0,
    COUNTIFS($AJ$2:$AJ$200,$G334)&gt;0,
    COUNTIFS($AK$2:$AK$200,$G334)&gt;0,
    COUNTIFS($AL$2:$AL$200,$G334)&gt;0,
    COUNTIFS($AM$2:$AM$200,$G334)&gt;0,
    COUNTIFS($AN$2:$AN$200,$G334)&gt;0,
    COUNTIFS($AO$2:$AO$200,$G334)&gt;0,
    COUNTIFS($AP$2:$AP$200,$G334)&gt;0,
    COUNTIFS($AQ$2:$AQ$200,$G334)&gt;0,
    COUNTIFS($AR$2:$AR$200,$G334)&gt;0,
    COUNTIFS($AS$2:$AS$200,$G334)&gt;0,
    COUNTIFS($AT$2:$AT$200,$G334)&gt;0,
    COUNTIFS($AU$2:$AU$200,$G334)&gt;0,
    COUNTIFS($AV$2:$AV$200,$G334)&gt;0,
    COUNTIFS($AW$2:$AW$200,$G334)&gt;0,
    COUNTIFS($AX$2:$AX$200,$G334)&gt;0
   ),
  0)
 ),
"")</f>
        <v>Zimone</v>
      </c>
      <c r="D334" s="3" t="str" cm="1">
        <f t="array" aca="1" ref="D334" ca="1">IFERROR(
 INDEX(
  _xlfn._xlws.FILTER($U$1:$AX$1,
   TRANSPOSE(
    CHOOSE({1;2;3;4;5;6;7;8;9;10;11;12;13;14;15;16;17;18;19;20;21;22;23;24;25;26;27;28;29;30},
     COUNTIFS($U$2:$U$200,$G334)&gt;0,
     COUNTIFS($V$2:$V$200,$G334)&gt;0,
     COUNTIFS($W$2:$W$200,$G334)&gt;0,
     COUNTIFS($X$2:$X$200,$G334)&gt;0,
     COUNTIFS($Y$2:$Y$200,$G334)&gt;0,
     COUNTIFS($Z$2:$Z$200,$G334)&gt;0,
     COUNTIFS($AA$2:$AA$200,$G334)&gt;0,
     COUNTIFS($AB$2:$AB$200,$G334)&gt;0,
     COUNTIFS($AC$2:$AC$200,$G334)&gt;0,
     COUNTIFS($AD$2:$AD$200,$G334)&gt;0,
     COUNTIFS($AE$2:$AE$200,$G334)&gt;0,
     COUNTIFS($AF$2:$AF$200,$G334)&gt;0,
     COUNTIFS($AG$2:$AG$200,$G334)&gt;0,
     COUNTIFS($AH$2:$AH$200,$G334)&gt;0,
     COUNTIFS($AI$2:$AI$200,$G334)&gt;0,
     COUNTIFS($AJ$2:$AJ$200,$G334)&gt;0,
     COUNTIFS($AK$2:$AK$200,$G334)&gt;0,
     COUNTIFS($AL$2:$AL$200,$G334)&gt;0,
     COUNTIFS($AM$2:$AM$200,$G334)&gt;0,
     COUNTIFS($AN$2:$AN$200,$G334)&gt;0,
     COUNTIFS($AO$2:$AO$200,$G334)&gt;0,
     COUNTIFS($AP$2:$AP$200,$G334)&gt;0,
     COUNTIFS($AQ$2:$AQ$200,$G334)&gt;0,
     COUNTIFS($AR$2:$AR$200,$G334)&gt;0,
     COUNTIFS($AS$2:$AS$200,$G334)&gt;0,
     COUNTIFS($AT$2:$AT$200,$G334)&gt;0,
     COUNTIFS($AU$2:$AU$200,$G334)&gt;0,
     COUNTIFS($AV$2:$AV$200,$G334)&gt;0,
     COUNTIFS($AW$2:$AW$200,$G334)&gt;0,
     COUNTIFS($AX$2:$AX$200,$G334)&gt;0
   )),
  ),
  2
 ),
"")</f>
        <v/>
      </c>
      <c r="E334" s="3" t="str" cm="1">
        <f t="array" aca="1" ref="E334" ca="1">IFERROR(
 INDEX(
  _xlfn._xlws.FILTER($U$1:$AX$1,
   TRANSPOSE(
    CHOOSE({1;2;3;4;5;6;7;8;9;10;11;12;13;14;15;16;17;18;19;20;21;22;23;24;25;26;27;28;29;30},
     COUNTIFS($U$2:$U$200,$G334)&gt;0,
     COUNTIFS($V$2:$V$200,$G334)&gt;0,
     COUNTIFS($W$2:$W$200,$G334)&gt;0,
     COUNTIFS($X$2:$X$200,$G334)&gt;0,
     COUNTIFS($Y$2:$Y$200,$G334)&gt;0,
     COUNTIFS($Z$2:$Z$200,$G334)&gt;0,
     COUNTIFS($AA$2:$AA$200,$G334)&gt;0,
     COUNTIFS($AB$2:$AB$200,$G334)&gt;0,
     COUNTIFS($AC$2:$AC$200,$G334)&gt;0,
     COUNTIFS($AD$2:$AD$200,$G334)&gt;0,
     COUNTIFS($AE$2:$AE$200,$G334)&gt;0,
     COUNTIFS($AF$2:$AF$200,$G334)&gt;0,
     COUNTIFS($AG$2:$AG$200,$G334)&gt;0,
     COUNTIFS($AH$2:$AH$200,$G334)&gt;0,
     COUNTIFS($AI$2:$AI$200,$G334)&gt;0,
     COUNTIFS($AJ$2:$AJ$200,$G334)&gt;0,
     COUNTIFS($AK$2:$AK$200,$G334)&gt;0,
     COUNTIFS($AL$2:$AL$200,$G334)&gt;0,
     COUNTIFS($AM$2:$AM$200,$G334)&gt;0,
     COUNTIFS($AN$2:$AN$200,$G334)&gt;0,
     COUNTIFS($AO$2:$AO$200,$G334)&gt;0,
     COUNTIFS($AP$2:$AP$200,$G334)&gt;0,
     COUNTIFS($AQ$2:$AQ$200,$G334)&gt;0,
     COUNTIFS($AR$2:$AR$200,$G334)&gt;0,
     COUNTIFS($AS$2:$AS$200,$G334)&gt;0,
     COUNTIFS($AT$2:$AT$200,$G334)&gt;0,
     COUNTIFS($AU$2:$AU$200,$G334)&gt;0,
     COUNTIFS($AV$2:$AV$200,$G334)&gt;0,
     COUNTIFS($AW$2:$AW$200,$G334)&gt;0,
     COUNTIFS($AX$2:$AX$200,$G334)&gt;0
   )),
  ),
  3
 ),
"")</f>
        <v/>
      </c>
      <c r="F334" s="3" t="str" cm="1">
        <f t="array" aca="1" ref="F334" ca="1">IFERROR(
 INDEX(
  _xlfn._xlws.FILTER($U$1:$AX$1,
   TRANSPOSE(
    CHOOSE({1;2;3;4;5;6;7;8;9;10;11;12;13;14;15;16;17;18;19;20;21;22;23;24;25;26;27;28;29;30},
     COUNTIFS($U$2:$U$200,$G334)&gt;0,
     COUNTIFS($V$2:$V$200,$G334)&gt;0,
     COUNTIFS($W$2:$W$200,$G334)&gt;0,
     COUNTIFS($X$2:$X$200,$G334)&gt;0,
     COUNTIFS($Y$2:$Y$200,$G334)&gt;0,
     COUNTIFS($Z$2:$Z$200,$G334)&gt;0,
     COUNTIFS($AA$2:$AA$200,$G334)&gt;0,
     COUNTIFS($AB$2:$AB$200,$G334)&gt;0,
     COUNTIFS($AC$2:$AC$200,$G334)&gt;0,
     COUNTIFS($AD$2:$AD$200,$G334)&gt;0,
     COUNTIFS($AE$2:$AE$200,$G334)&gt;0,
     COUNTIFS($AF$2:$AF$200,$G334)&gt;0,
     COUNTIFS($AG$2:$AG$200,$G334)&gt;0,
     COUNTIFS($AH$2:$AH$200,$G334)&gt;0,
     COUNTIFS($AI$2:$AI$200,$G334)&gt;0,
     COUNTIFS($AJ$2:$AJ$200,$G334)&gt;0,
     COUNTIFS($AK$2:$AK$200,$G334)&gt;0,
     COUNTIFS($AL$2:$AL$200,$G334)&gt;0,
     COUNTIFS($AM$2:$AM$200,$G334)&gt;0,
     COUNTIFS($AN$2:$AN$200,$G334)&gt;0,
     COUNTIFS($AO$2:$AO$200,$G334)&gt;0,
     COUNTIFS($AP$2:$AP$200,$G334)&gt;0,
     COUNTIFS($AQ$2:$AQ$200,$G334)&gt;0,
     COUNTIFS($AR$2:$AR$200,$G334)&gt;0,
     COUNTIFS($AS$2:$AS$200,$G334)&gt;0,
     COUNTIFS($AT$2:$AT$200,$G334)&gt;0,
     COUNTIFS($AU$2:$AU$200,$G334)&gt;0,
     COUNTIFS($AV$2:$AV$200,$G334)&gt;0,
     COUNTIFS($AW$2:$AW$200,$G334)&gt;0,
     COUNTIFS($AX$2:$AX$200,$G334)&gt;0
   )),
  ),
  4
 ),
"")</f>
        <v/>
      </c>
      <c r="G334" t="str">
        <f ca="1"/>
        <v>Teferi's Ageless Insight</v>
      </c>
    </row>
    <row r="335" spans="1:7" x14ac:dyDescent="0.25">
      <c r="A335" s="3" t="str">
        <f t="shared" ca="1" si="12"/>
        <v>1</v>
      </c>
      <c r="B335" s="3">
        <f t="shared" ca="1" si="13"/>
        <v>1</v>
      </c>
      <c r="C335" s="3" t="str">
        <f ca="1">IFERROR(
 INDEX($U$1:$AX$1,
  MATCH(TRUE,
   CHOOSE({1;2;3;4;5;6;7;8;9;10;11;12;13;14;15;16;17;18;19;20;21;22;23;24;25;26;27;28;29;30;31;32},
    COUNTIFS($U$2:$U$200,$G335)&gt;0,
    COUNTIFS($V$2:$V$200,$G335)&gt;0,
    COUNTIFS($W$2:$W$200,$G335)&gt;0,
    COUNTIFS($X$2:$X$200,$G335)&gt;0,
    COUNTIFS($Y$2:$Y$200,$G335)&gt;0,
    COUNTIFS($Z$2:$Z$200,$G335)&gt;0,
    COUNTIFS($AA$2:$AA$200,$G335)&gt;0,
    COUNTIFS($AB$2:$AB$200,$G335)&gt;0,
    COUNTIFS($AC$2:$AC$200,$G335)&gt;0,
    COUNTIFS($AD$2:$AD$200,$G335)&gt;0,
    COUNTIFS($AE$2:$AE$200,$G335)&gt;0,
    COUNTIFS($AF$2:$AF$200,$G335)&gt;0,
    COUNTIFS($AG$2:$AG$200,$G335)&gt;0,
    COUNTIFS($AH$2:$AH$200,$G335)&gt;0,
    COUNTIFS($AI$2:$AI$200,$G335)&gt;0,
    COUNTIFS($AJ$2:$AJ$200,$G335)&gt;0,
    COUNTIFS($AK$2:$AK$200,$G335)&gt;0,
    COUNTIFS($AL$2:$AL$200,$G335)&gt;0,
    COUNTIFS($AM$2:$AM$200,$G335)&gt;0,
    COUNTIFS($AN$2:$AN$200,$G335)&gt;0,
    COUNTIFS($AO$2:$AO$200,$G335)&gt;0,
    COUNTIFS($AP$2:$AP$200,$G335)&gt;0,
    COUNTIFS($AQ$2:$AQ$200,$G335)&gt;0,
    COUNTIFS($AR$2:$AR$200,$G335)&gt;0,
    COUNTIFS($AS$2:$AS$200,$G335)&gt;0,
    COUNTIFS($AT$2:$AT$200,$G335)&gt;0,
    COUNTIFS($AU$2:$AU$200,$G335)&gt;0,
    COUNTIFS($AV$2:$AV$200,$G335)&gt;0,
    COUNTIFS($AW$2:$AW$200,$G335)&gt;0,
    COUNTIFS($AX$2:$AX$200,$G335)&gt;0
   ),
  0)
 ),
"")</f>
        <v>Baylen</v>
      </c>
      <c r="D335" s="3" t="str" cm="1">
        <f t="array" aca="1" ref="D335" ca="1">IFERROR(
 INDEX(
  _xlfn._xlws.FILTER($U$1:$AX$1,
   TRANSPOSE(
    CHOOSE({1;2;3;4;5;6;7;8;9;10;11;12;13;14;15;16;17;18;19;20;21;22;23;24;25;26;27;28;29;30},
     COUNTIFS($U$2:$U$200,$G335)&gt;0,
     COUNTIFS($V$2:$V$200,$G335)&gt;0,
     COUNTIFS($W$2:$W$200,$G335)&gt;0,
     COUNTIFS($X$2:$X$200,$G335)&gt;0,
     COUNTIFS($Y$2:$Y$200,$G335)&gt;0,
     COUNTIFS($Z$2:$Z$200,$G335)&gt;0,
     COUNTIFS($AA$2:$AA$200,$G335)&gt;0,
     COUNTIFS($AB$2:$AB$200,$G335)&gt;0,
     COUNTIFS($AC$2:$AC$200,$G335)&gt;0,
     COUNTIFS($AD$2:$AD$200,$G335)&gt;0,
     COUNTIFS($AE$2:$AE$200,$G335)&gt;0,
     COUNTIFS($AF$2:$AF$200,$G335)&gt;0,
     COUNTIFS($AG$2:$AG$200,$G335)&gt;0,
     COUNTIFS($AH$2:$AH$200,$G335)&gt;0,
     COUNTIFS($AI$2:$AI$200,$G335)&gt;0,
     COUNTIFS($AJ$2:$AJ$200,$G335)&gt;0,
     COUNTIFS($AK$2:$AK$200,$G335)&gt;0,
     COUNTIFS($AL$2:$AL$200,$G335)&gt;0,
     COUNTIFS($AM$2:$AM$200,$G335)&gt;0,
     COUNTIFS($AN$2:$AN$200,$G335)&gt;0,
     COUNTIFS($AO$2:$AO$200,$G335)&gt;0,
     COUNTIFS($AP$2:$AP$200,$G335)&gt;0,
     COUNTIFS($AQ$2:$AQ$200,$G335)&gt;0,
     COUNTIFS($AR$2:$AR$200,$G335)&gt;0,
     COUNTIFS($AS$2:$AS$200,$G335)&gt;0,
     COUNTIFS($AT$2:$AT$200,$G335)&gt;0,
     COUNTIFS($AU$2:$AU$200,$G335)&gt;0,
     COUNTIFS($AV$2:$AV$200,$G335)&gt;0,
     COUNTIFS($AW$2:$AW$200,$G335)&gt;0,
     COUNTIFS($AX$2:$AX$200,$G335)&gt;0
   )),
  ),
  2
 ),
"")</f>
        <v/>
      </c>
      <c r="E335" s="3" t="str" cm="1">
        <f t="array" aca="1" ref="E335" ca="1">IFERROR(
 INDEX(
  _xlfn._xlws.FILTER($U$1:$AX$1,
   TRANSPOSE(
    CHOOSE({1;2;3;4;5;6;7;8;9;10;11;12;13;14;15;16;17;18;19;20;21;22;23;24;25;26;27;28;29;30},
     COUNTIFS($U$2:$U$200,$G335)&gt;0,
     COUNTIFS($V$2:$V$200,$G335)&gt;0,
     COUNTIFS($W$2:$W$200,$G335)&gt;0,
     COUNTIFS($X$2:$X$200,$G335)&gt;0,
     COUNTIFS($Y$2:$Y$200,$G335)&gt;0,
     COUNTIFS($Z$2:$Z$200,$G335)&gt;0,
     COUNTIFS($AA$2:$AA$200,$G335)&gt;0,
     COUNTIFS($AB$2:$AB$200,$G335)&gt;0,
     COUNTIFS($AC$2:$AC$200,$G335)&gt;0,
     COUNTIFS($AD$2:$AD$200,$G335)&gt;0,
     COUNTIFS($AE$2:$AE$200,$G335)&gt;0,
     COUNTIFS($AF$2:$AF$200,$G335)&gt;0,
     COUNTIFS($AG$2:$AG$200,$G335)&gt;0,
     COUNTIFS($AH$2:$AH$200,$G335)&gt;0,
     COUNTIFS($AI$2:$AI$200,$G335)&gt;0,
     COUNTIFS($AJ$2:$AJ$200,$G335)&gt;0,
     COUNTIFS($AK$2:$AK$200,$G335)&gt;0,
     COUNTIFS($AL$2:$AL$200,$G335)&gt;0,
     COUNTIFS($AM$2:$AM$200,$G335)&gt;0,
     COUNTIFS($AN$2:$AN$200,$G335)&gt;0,
     COUNTIFS($AO$2:$AO$200,$G335)&gt;0,
     COUNTIFS($AP$2:$AP$200,$G335)&gt;0,
     COUNTIFS($AQ$2:$AQ$200,$G335)&gt;0,
     COUNTIFS($AR$2:$AR$200,$G335)&gt;0,
     COUNTIFS($AS$2:$AS$200,$G335)&gt;0,
     COUNTIFS($AT$2:$AT$200,$G335)&gt;0,
     COUNTIFS($AU$2:$AU$200,$G335)&gt;0,
     COUNTIFS($AV$2:$AV$200,$G335)&gt;0,
     COUNTIFS($AW$2:$AW$200,$G335)&gt;0,
     COUNTIFS($AX$2:$AX$200,$G335)&gt;0
   )),
  ),
  3
 ),
"")</f>
        <v/>
      </c>
      <c r="F335" s="3" t="str" cm="1">
        <f t="array" aca="1" ref="F335" ca="1">IFERROR(
 INDEX(
  _xlfn._xlws.FILTER($U$1:$AX$1,
   TRANSPOSE(
    CHOOSE({1;2;3;4;5;6;7;8;9;10;11;12;13;14;15;16;17;18;19;20;21;22;23;24;25;26;27;28;29;30},
     COUNTIFS($U$2:$U$200,$G335)&gt;0,
     COUNTIFS($V$2:$V$200,$G335)&gt;0,
     COUNTIFS($W$2:$W$200,$G335)&gt;0,
     COUNTIFS($X$2:$X$200,$G335)&gt;0,
     COUNTIFS($Y$2:$Y$200,$G335)&gt;0,
     COUNTIFS($Z$2:$Z$200,$G335)&gt;0,
     COUNTIFS($AA$2:$AA$200,$G335)&gt;0,
     COUNTIFS($AB$2:$AB$200,$G335)&gt;0,
     COUNTIFS($AC$2:$AC$200,$G335)&gt;0,
     COUNTIFS($AD$2:$AD$200,$G335)&gt;0,
     COUNTIFS($AE$2:$AE$200,$G335)&gt;0,
     COUNTIFS($AF$2:$AF$200,$G335)&gt;0,
     COUNTIFS($AG$2:$AG$200,$G335)&gt;0,
     COUNTIFS($AH$2:$AH$200,$G335)&gt;0,
     COUNTIFS($AI$2:$AI$200,$G335)&gt;0,
     COUNTIFS($AJ$2:$AJ$200,$G335)&gt;0,
     COUNTIFS($AK$2:$AK$200,$G335)&gt;0,
     COUNTIFS($AL$2:$AL$200,$G335)&gt;0,
     COUNTIFS($AM$2:$AM$200,$G335)&gt;0,
     COUNTIFS($AN$2:$AN$200,$G335)&gt;0,
     COUNTIFS($AO$2:$AO$200,$G335)&gt;0,
     COUNTIFS($AP$2:$AP$200,$G335)&gt;0,
     COUNTIFS($AQ$2:$AQ$200,$G335)&gt;0,
     COUNTIFS($AR$2:$AR$200,$G335)&gt;0,
     COUNTIFS($AS$2:$AS$200,$G335)&gt;0,
     COUNTIFS($AT$2:$AT$200,$G335)&gt;0,
     COUNTIFS($AU$2:$AU$200,$G335)&gt;0,
     COUNTIFS($AV$2:$AV$200,$G335)&gt;0,
     COUNTIFS($AW$2:$AW$200,$G335)&gt;0,
     COUNTIFS($AX$2:$AX$200,$G335)&gt;0
   )),
  ),
  4
 ),
"")</f>
        <v/>
      </c>
      <c r="G335" t="str">
        <f ca="1"/>
        <v>Teferi's Protection</v>
      </c>
    </row>
    <row r="336" spans="1:7" x14ac:dyDescent="0.25">
      <c r="A336" s="3" t="str">
        <f t="shared" ca="1" si="12"/>
        <v>2</v>
      </c>
      <c r="B336" s="3">
        <f t="shared" ca="1" si="13"/>
        <v>1</v>
      </c>
      <c r="C336" s="3" t="str">
        <f ca="1">IFERROR(
 INDEX($U$1:$AX$1,
  MATCH(TRUE,
   CHOOSE({1;2;3;4;5;6;7;8;9;10;11;12;13;14;15;16;17;18;19;20;21;22;23;24;25;26;27;28;29;30;31;32},
    COUNTIFS($U$2:$U$200,$G336)&gt;0,
    COUNTIFS($V$2:$V$200,$G336)&gt;0,
    COUNTIFS($W$2:$W$200,$G336)&gt;0,
    COUNTIFS($X$2:$X$200,$G336)&gt;0,
    COUNTIFS($Y$2:$Y$200,$G336)&gt;0,
    COUNTIFS($Z$2:$Z$200,$G336)&gt;0,
    COUNTIFS($AA$2:$AA$200,$G336)&gt;0,
    COUNTIFS($AB$2:$AB$200,$G336)&gt;0,
    COUNTIFS($AC$2:$AC$200,$G336)&gt;0,
    COUNTIFS($AD$2:$AD$200,$G336)&gt;0,
    COUNTIFS($AE$2:$AE$200,$G336)&gt;0,
    COUNTIFS($AF$2:$AF$200,$G336)&gt;0,
    COUNTIFS($AG$2:$AG$200,$G336)&gt;0,
    COUNTIFS($AH$2:$AH$200,$G336)&gt;0,
    COUNTIFS($AI$2:$AI$200,$G336)&gt;0,
    COUNTIFS($AJ$2:$AJ$200,$G336)&gt;0,
    COUNTIFS($AK$2:$AK$200,$G336)&gt;0,
    COUNTIFS($AL$2:$AL$200,$G336)&gt;0,
    COUNTIFS($AM$2:$AM$200,$G336)&gt;0,
    COUNTIFS($AN$2:$AN$200,$G336)&gt;0,
    COUNTIFS($AO$2:$AO$200,$G336)&gt;0,
    COUNTIFS($AP$2:$AP$200,$G336)&gt;0,
    COUNTIFS($AQ$2:$AQ$200,$G336)&gt;0,
    COUNTIFS($AR$2:$AR$200,$G336)&gt;0,
    COUNTIFS($AS$2:$AS$200,$G336)&gt;0,
    COUNTIFS($AT$2:$AT$200,$G336)&gt;0,
    COUNTIFS($AU$2:$AU$200,$G336)&gt;0,
    COUNTIFS($AV$2:$AV$200,$G336)&gt;0,
    COUNTIFS($AW$2:$AW$200,$G336)&gt;0,
    COUNTIFS($AX$2:$AX$200,$G336)&gt;0
   ),
  0)
 ),
"")</f>
        <v>Piratas</v>
      </c>
      <c r="D336" s="3" t="str" cm="1">
        <f t="array" aca="1" ref="D336" ca="1">IFERROR(
 INDEX(
  _xlfn._xlws.FILTER($U$1:$AX$1,
   TRANSPOSE(
    CHOOSE({1;2;3;4;5;6;7;8;9;10;11;12;13;14;15;16;17;18;19;20;21;22;23;24;25;26;27;28;29;30},
     COUNTIFS($U$2:$U$200,$G336)&gt;0,
     COUNTIFS($V$2:$V$200,$G336)&gt;0,
     COUNTIFS($W$2:$W$200,$G336)&gt;0,
     COUNTIFS($X$2:$X$200,$G336)&gt;0,
     COUNTIFS($Y$2:$Y$200,$G336)&gt;0,
     COUNTIFS($Z$2:$Z$200,$G336)&gt;0,
     COUNTIFS($AA$2:$AA$200,$G336)&gt;0,
     COUNTIFS($AB$2:$AB$200,$G336)&gt;0,
     COUNTIFS($AC$2:$AC$200,$G336)&gt;0,
     COUNTIFS($AD$2:$AD$200,$G336)&gt;0,
     COUNTIFS($AE$2:$AE$200,$G336)&gt;0,
     COUNTIFS($AF$2:$AF$200,$G336)&gt;0,
     COUNTIFS($AG$2:$AG$200,$G336)&gt;0,
     COUNTIFS($AH$2:$AH$200,$G336)&gt;0,
     COUNTIFS($AI$2:$AI$200,$G336)&gt;0,
     COUNTIFS($AJ$2:$AJ$200,$G336)&gt;0,
     COUNTIFS($AK$2:$AK$200,$G336)&gt;0,
     COUNTIFS($AL$2:$AL$200,$G336)&gt;0,
     COUNTIFS($AM$2:$AM$200,$G336)&gt;0,
     COUNTIFS($AN$2:$AN$200,$G336)&gt;0,
     COUNTIFS($AO$2:$AO$200,$G336)&gt;0,
     COUNTIFS($AP$2:$AP$200,$G336)&gt;0,
     COUNTIFS($AQ$2:$AQ$200,$G336)&gt;0,
     COUNTIFS($AR$2:$AR$200,$G336)&gt;0,
     COUNTIFS($AS$2:$AS$200,$G336)&gt;0,
     COUNTIFS($AT$2:$AT$200,$G336)&gt;0,
     COUNTIFS($AU$2:$AU$200,$G336)&gt;0,
     COUNTIFS($AV$2:$AV$200,$G336)&gt;0,
     COUNTIFS($AW$2:$AW$200,$G336)&gt;0,
     COUNTIFS($AX$2:$AX$200,$G336)&gt;0
   )),
  ),
  2
 ),
"")</f>
        <v/>
      </c>
      <c r="E336" s="3" t="str" cm="1">
        <f t="array" aca="1" ref="E336" ca="1">IFERROR(
 INDEX(
  _xlfn._xlws.FILTER($U$1:$AX$1,
   TRANSPOSE(
    CHOOSE({1;2;3;4;5;6;7;8;9;10;11;12;13;14;15;16;17;18;19;20;21;22;23;24;25;26;27;28;29;30},
     COUNTIFS($U$2:$U$200,$G336)&gt;0,
     COUNTIFS($V$2:$V$200,$G336)&gt;0,
     COUNTIFS($W$2:$W$200,$G336)&gt;0,
     COUNTIFS($X$2:$X$200,$G336)&gt;0,
     COUNTIFS($Y$2:$Y$200,$G336)&gt;0,
     COUNTIFS($Z$2:$Z$200,$G336)&gt;0,
     COUNTIFS($AA$2:$AA$200,$G336)&gt;0,
     COUNTIFS($AB$2:$AB$200,$G336)&gt;0,
     COUNTIFS($AC$2:$AC$200,$G336)&gt;0,
     COUNTIFS($AD$2:$AD$200,$G336)&gt;0,
     COUNTIFS($AE$2:$AE$200,$G336)&gt;0,
     COUNTIFS($AF$2:$AF$200,$G336)&gt;0,
     COUNTIFS($AG$2:$AG$200,$G336)&gt;0,
     COUNTIFS($AH$2:$AH$200,$G336)&gt;0,
     COUNTIFS($AI$2:$AI$200,$G336)&gt;0,
     COUNTIFS($AJ$2:$AJ$200,$G336)&gt;0,
     COUNTIFS($AK$2:$AK$200,$G336)&gt;0,
     COUNTIFS($AL$2:$AL$200,$G336)&gt;0,
     COUNTIFS($AM$2:$AM$200,$G336)&gt;0,
     COUNTIFS($AN$2:$AN$200,$G336)&gt;0,
     COUNTIFS($AO$2:$AO$200,$G336)&gt;0,
     COUNTIFS($AP$2:$AP$200,$G336)&gt;0,
     COUNTIFS($AQ$2:$AQ$200,$G336)&gt;0,
     COUNTIFS($AR$2:$AR$200,$G336)&gt;0,
     COUNTIFS($AS$2:$AS$200,$G336)&gt;0,
     COUNTIFS($AT$2:$AT$200,$G336)&gt;0,
     COUNTIFS($AU$2:$AU$200,$G336)&gt;0,
     COUNTIFS($AV$2:$AV$200,$G336)&gt;0,
     COUNTIFS($AW$2:$AW$200,$G336)&gt;0,
     COUNTIFS($AX$2:$AX$200,$G336)&gt;0
   )),
  ),
  3
 ),
"")</f>
        <v/>
      </c>
      <c r="F336" s="3" t="str" cm="1">
        <f t="array" aca="1" ref="F336" ca="1">IFERROR(
 INDEX(
  _xlfn._xlws.FILTER($U$1:$AX$1,
   TRANSPOSE(
    CHOOSE({1;2;3;4;5;6;7;8;9;10;11;12;13;14;15;16;17;18;19;20;21;22;23;24;25;26;27;28;29;30},
     COUNTIFS($U$2:$U$200,$G336)&gt;0,
     COUNTIFS($V$2:$V$200,$G336)&gt;0,
     COUNTIFS($W$2:$W$200,$G336)&gt;0,
     COUNTIFS($X$2:$X$200,$G336)&gt;0,
     COUNTIFS($Y$2:$Y$200,$G336)&gt;0,
     COUNTIFS($Z$2:$Z$200,$G336)&gt;0,
     COUNTIFS($AA$2:$AA$200,$G336)&gt;0,
     COUNTIFS($AB$2:$AB$200,$G336)&gt;0,
     COUNTIFS($AC$2:$AC$200,$G336)&gt;0,
     COUNTIFS($AD$2:$AD$200,$G336)&gt;0,
     COUNTIFS($AE$2:$AE$200,$G336)&gt;0,
     COUNTIFS($AF$2:$AF$200,$G336)&gt;0,
     COUNTIFS($AG$2:$AG$200,$G336)&gt;0,
     COUNTIFS($AH$2:$AH$200,$G336)&gt;0,
     COUNTIFS($AI$2:$AI$200,$G336)&gt;0,
     COUNTIFS($AJ$2:$AJ$200,$G336)&gt;0,
     COUNTIFS($AK$2:$AK$200,$G336)&gt;0,
     COUNTIFS($AL$2:$AL$200,$G336)&gt;0,
     COUNTIFS($AM$2:$AM$200,$G336)&gt;0,
     COUNTIFS($AN$2:$AN$200,$G336)&gt;0,
     COUNTIFS($AO$2:$AO$200,$G336)&gt;0,
     COUNTIFS($AP$2:$AP$200,$G336)&gt;0,
     COUNTIFS($AQ$2:$AQ$200,$G336)&gt;0,
     COUNTIFS($AR$2:$AR$200,$G336)&gt;0,
     COUNTIFS($AS$2:$AS$200,$G336)&gt;0,
     COUNTIFS($AT$2:$AT$200,$G336)&gt;0,
     COUNTIFS($AU$2:$AU$200,$G336)&gt;0,
     COUNTIFS($AV$2:$AV$200,$G336)&gt;0,
     COUNTIFS($AW$2:$AW$200,$G336)&gt;0,
     COUNTIFS($AX$2:$AX$200,$G336)&gt;0
   )),
  ),
  4
 ),
"")</f>
        <v/>
      </c>
      <c r="G336" t="str">
        <f ca="1"/>
        <v>Temple of Malice</v>
      </c>
    </row>
    <row r="337" spans="1:7" x14ac:dyDescent="0.25">
      <c r="A337" s="3" t="str">
        <f t="shared" ca="1" si="12"/>
        <v>3</v>
      </c>
      <c r="B337" s="3">
        <f t="shared" ca="1" si="13"/>
        <v>1</v>
      </c>
      <c r="C337" s="3" t="str">
        <f ca="1">IFERROR(
 INDEX($U$1:$AX$1,
  MATCH(TRUE,
   CHOOSE({1;2;3;4;5;6;7;8;9;10;11;12;13;14;15;16;17;18;19;20;21;22;23;24;25;26;27;28;29;30;31;32},
    COUNTIFS($U$2:$U$200,$G337)&gt;0,
    COUNTIFS($V$2:$V$200,$G337)&gt;0,
    COUNTIFS($W$2:$W$200,$G337)&gt;0,
    COUNTIFS($X$2:$X$200,$G337)&gt;0,
    COUNTIFS($Y$2:$Y$200,$G337)&gt;0,
    COUNTIFS($Z$2:$Z$200,$G337)&gt;0,
    COUNTIFS($AA$2:$AA$200,$G337)&gt;0,
    COUNTIFS($AB$2:$AB$200,$G337)&gt;0,
    COUNTIFS($AC$2:$AC$200,$G337)&gt;0,
    COUNTIFS($AD$2:$AD$200,$G337)&gt;0,
    COUNTIFS($AE$2:$AE$200,$G337)&gt;0,
    COUNTIFS($AF$2:$AF$200,$G337)&gt;0,
    COUNTIFS($AG$2:$AG$200,$G337)&gt;0,
    COUNTIFS($AH$2:$AH$200,$G337)&gt;0,
    COUNTIFS($AI$2:$AI$200,$G337)&gt;0,
    COUNTIFS($AJ$2:$AJ$200,$G337)&gt;0,
    COUNTIFS($AK$2:$AK$200,$G337)&gt;0,
    COUNTIFS($AL$2:$AL$200,$G337)&gt;0,
    COUNTIFS($AM$2:$AM$200,$G337)&gt;0,
    COUNTIFS($AN$2:$AN$200,$G337)&gt;0,
    COUNTIFS($AO$2:$AO$200,$G337)&gt;0,
    COUNTIFS($AP$2:$AP$200,$G337)&gt;0,
    COUNTIFS($AQ$2:$AQ$200,$G337)&gt;0,
    COUNTIFS($AR$2:$AR$200,$G337)&gt;0,
    COUNTIFS($AS$2:$AS$200,$G337)&gt;0,
    COUNTIFS($AT$2:$AT$200,$G337)&gt;0,
    COUNTIFS($AU$2:$AU$200,$G337)&gt;0,
    COUNTIFS($AV$2:$AV$200,$G337)&gt;0,
    COUNTIFS($AW$2:$AW$200,$G337)&gt;0,
    COUNTIFS($AX$2:$AX$200,$G337)&gt;0
   ),
  0)
 ),
"")</f>
        <v>Yuriko</v>
      </c>
      <c r="D337" s="3" t="str" cm="1">
        <f t="array" aca="1" ref="D337" ca="1">IFERROR(
 INDEX(
  _xlfn._xlws.FILTER($U$1:$AX$1,
   TRANSPOSE(
    CHOOSE({1;2;3;4;5;6;7;8;9;10;11;12;13;14;15;16;17;18;19;20;21;22;23;24;25;26;27;28;29;30},
     COUNTIFS($U$2:$U$200,$G337)&gt;0,
     COUNTIFS($V$2:$V$200,$G337)&gt;0,
     COUNTIFS($W$2:$W$200,$G337)&gt;0,
     COUNTIFS($X$2:$X$200,$G337)&gt;0,
     COUNTIFS($Y$2:$Y$200,$G337)&gt;0,
     COUNTIFS($Z$2:$Z$200,$G337)&gt;0,
     COUNTIFS($AA$2:$AA$200,$G337)&gt;0,
     COUNTIFS($AB$2:$AB$200,$G337)&gt;0,
     COUNTIFS($AC$2:$AC$200,$G337)&gt;0,
     COUNTIFS($AD$2:$AD$200,$G337)&gt;0,
     COUNTIFS($AE$2:$AE$200,$G337)&gt;0,
     COUNTIFS($AF$2:$AF$200,$G337)&gt;0,
     COUNTIFS($AG$2:$AG$200,$G337)&gt;0,
     COUNTIFS($AH$2:$AH$200,$G337)&gt;0,
     COUNTIFS($AI$2:$AI$200,$G337)&gt;0,
     COUNTIFS($AJ$2:$AJ$200,$G337)&gt;0,
     COUNTIFS($AK$2:$AK$200,$G337)&gt;0,
     COUNTIFS($AL$2:$AL$200,$G337)&gt;0,
     COUNTIFS($AM$2:$AM$200,$G337)&gt;0,
     COUNTIFS($AN$2:$AN$200,$G337)&gt;0,
     COUNTIFS($AO$2:$AO$200,$G337)&gt;0,
     COUNTIFS($AP$2:$AP$200,$G337)&gt;0,
     COUNTIFS($AQ$2:$AQ$200,$G337)&gt;0,
     COUNTIFS($AR$2:$AR$200,$G337)&gt;0,
     COUNTIFS($AS$2:$AS$200,$G337)&gt;0,
     COUNTIFS($AT$2:$AT$200,$G337)&gt;0,
     COUNTIFS($AU$2:$AU$200,$G337)&gt;0,
     COUNTIFS($AV$2:$AV$200,$G337)&gt;0,
     COUNTIFS($AW$2:$AW$200,$G337)&gt;0,
     COUNTIFS($AX$2:$AX$200,$G337)&gt;0
   )),
  ),
  2
 ),
"")</f>
        <v/>
      </c>
      <c r="E337" s="3" t="str" cm="1">
        <f t="array" aca="1" ref="E337" ca="1">IFERROR(
 INDEX(
  _xlfn._xlws.FILTER($U$1:$AX$1,
   TRANSPOSE(
    CHOOSE({1;2;3;4;5;6;7;8;9;10;11;12;13;14;15;16;17;18;19;20;21;22;23;24;25;26;27;28;29;30},
     COUNTIFS($U$2:$U$200,$G337)&gt;0,
     COUNTIFS($V$2:$V$200,$G337)&gt;0,
     COUNTIFS($W$2:$W$200,$G337)&gt;0,
     COUNTIFS($X$2:$X$200,$G337)&gt;0,
     COUNTIFS($Y$2:$Y$200,$G337)&gt;0,
     COUNTIFS($Z$2:$Z$200,$G337)&gt;0,
     COUNTIFS($AA$2:$AA$200,$G337)&gt;0,
     COUNTIFS($AB$2:$AB$200,$G337)&gt;0,
     COUNTIFS($AC$2:$AC$200,$G337)&gt;0,
     COUNTIFS($AD$2:$AD$200,$G337)&gt;0,
     COUNTIFS($AE$2:$AE$200,$G337)&gt;0,
     COUNTIFS($AF$2:$AF$200,$G337)&gt;0,
     COUNTIFS($AG$2:$AG$200,$G337)&gt;0,
     COUNTIFS($AH$2:$AH$200,$G337)&gt;0,
     COUNTIFS($AI$2:$AI$200,$G337)&gt;0,
     COUNTIFS($AJ$2:$AJ$200,$G337)&gt;0,
     COUNTIFS($AK$2:$AK$200,$G337)&gt;0,
     COUNTIFS($AL$2:$AL$200,$G337)&gt;0,
     COUNTIFS($AM$2:$AM$200,$G337)&gt;0,
     COUNTIFS($AN$2:$AN$200,$G337)&gt;0,
     COUNTIFS($AO$2:$AO$200,$G337)&gt;0,
     COUNTIFS($AP$2:$AP$200,$G337)&gt;0,
     COUNTIFS($AQ$2:$AQ$200,$G337)&gt;0,
     COUNTIFS($AR$2:$AR$200,$G337)&gt;0,
     COUNTIFS($AS$2:$AS$200,$G337)&gt;0,
     COUNTIFS($AT$2:$AT$200,$G337)&gt;0,
     COUNTIFS($AU$2:$AU$200,$G337)&gt;0,
     COUNTIFS($AV$2:$AV$200,$G337)&gt;0,
     COUNTIFS($AW$2:$AW$200,$G337)&gt;0,
     COUNTIFS($AX$2:$AX$200,$G337)&gt;0
   )),
  ),
  3
 ),
"")</f>
        <v/>
      </c>
      <c r="F337" s="3" t="str" cm="1">
        <f t="array" aca="1" ref="F337" ca="1">IFERROR(
 INDEX(
  _xlfn._xlws.FILTER($U$1:$AX$1,
   TRANSPOSE(
    CHOOSE({1;2;3;4;5;6;7;8;9;10;11;12;13;14;15;16;17;18;19;20;21;22;23;24;25;26;27;28;29;30},
     COUNTIFS($U$2:$U$200,$G337)&gt;0,
     COUNTIFS($V$2:$V$200,$G337)&gt;0,
     COUNTIFS($W$2:$W$200,$G337)&gt;0,
     COUNTIFS($X$2:$X$200,$G337)&gt;0,
     COUNTIFS($Y$2:$Y$200,$G337)&gt;0,
     COUNTIFS($Z$2:$Z$200,$G337)&gt;0,
     COUNTIFS($AA$2:$AA$200,$G337)&gt;0,
     COUNTIFS($AB$2:$AB$200,$G337)&gt;0,
     COUNTIFS($AC$2:$AC$200,$G337)&gt;0,
     COUNTIFS($AD$2:$AD$200,$G337)&gt;0,
     COUNTIFS($AE$2:$AE$200,$G337)&gt;0,
     COUNTIFS($AF$2:$AF$200,$G337)&gt;0,
     COUNTIFS($AG$2:$AG$200,$G337)&gt;0,
     COUNTIFS($AH$2:$AH$200,$G337)&gt;0,
     COUNTIFS($AI$2:$AI$200,$G337)&gt;0,
     COUNTIFS($AJ$2:$AJ$200,$G337)&gt;0,
     COUNTIFS($AK$2:$AK$200,$G337)&gt;0,
     COUNTIFS($AL$2:$AL$200,$G337)&gt;0,
     COUNTIFS($AM$2:$AM$200,$G337)&gt;0,
     COUNTIFS($AN$2:$AN$200,$G337)&gt;0,
     COUNTIFS($AO$2:$AO$200,$G337)&gt;0,
     COUNTIFS($AP$2:$AP$200,$G337)&gt;0,
     COUNTIFS($AQ$2:$AQ$200,$G337)&gt;0,
     COUNTIFS($AR$2:$AR$200,$G337)&gt;0,
     COUNTIFS($AS$2:$AS$200,$G337)&gt;0,
     COUNTIFS($AT$2:$AT$200,$G337)&gt;0,
     COUNTIFS($AU$2:$AU$200,$G337)&gt;0,
     COUNTIFS($AV$2:$AV$200,$G337)&gt;0,
     COUNTIFS($AW$2:$AW$200,$G337)&gt;0,
     COUNTIFS($AX$2:$AX$200,$G337)&gt;0
   )),
  ),
  4
 ),
"")</f>
        <v/>
      </c>
      <c r="G337" t="str">
        <f ca="1"/>
        <v>Temporal Manipulation</v>
      </c>
    </row>
    <row r="338" spans="1:7" x14ac:dyDescent="0.25">
      <c r="A338" s="3" t="str">
        <f t="shared" ca="1" si="12"/>
        <v>3</v>
      </c>
      <c r="B338" s="3">
        <f t="shared" ca="1" si="13"/>
        <v>1</v>
      </c>
      <c r="C338" s="3" t="str">
        <f ca="1">IFERROR(
 INDEX($U$1:$AX$1,
  MATCH(TRUE,
   CHOOSE({1;2;3;4;5;6;7;8;9;10;11;12;13;14;15;16;17;18;19;20;21;22;23;24;25;26;27;28;29;30;31;32},
    COUNTIFS($U$2:$U$200,$G338)&gt;0,
    COUNTIFS($V$2:$V$200,$G338)&gt;0,
    COUNTIFS($W$2:$W$200,$G338)&gt;0,
    COUNTIFS($X$2:$X$200,$G338)&gt;0,
    COUNTIFS($Y$2:$Y$200,$G338)&gt;0,
    COUNTIFS($Z$2:$Z$200,$G338)&gt;0,
    COUNTIFS($AA$2:$AA$200,$G338)&gt;0,
    COUNTIFS($AB$2:$AB$200,$G338)&gt;0,
    COUNTIFS($AC$2:$AC$200,$G338)&gt;0,
    COUNTIFS($AD$2:$AD$200,$G338)&gt;0,
    COUNTIFS($AE$2:$AE$200,$G338)&gt;0,
    COUNTIFS($AF$2:$AF$200,$G338)&gt;0,
    COUNTIFS($AG$2:$AG$200,$G338)&gt;0,
    COUNTIFS($AH$2:$AH$200,$G338)&gt;0,
    COUNTIFS($AI$2:$AI$200,$G338)&gt;0,
    COUNTIFS($AJ$2:$AJ$200,$G338)&gt;0,
    COUNTIFS($AK$2:$AK$200,$G338)&gt;0,
    COUNTIFS($AL$2:$AL$200,$G338)&gt;0,
    COUNTIFS($AM$2:$AM$200,$G338)&gt;0,
    COUNTIFS($AN$2:$AN$200,$G338)&gt;0,
    COUNTIFS($AO$2:$AO$200,$G338)&gt;0,
    COUNTIFS($AP$2:$AP$200,$G338)&gt;0,
    COUNTIFS($AQ$2:$AQ$200,$G338)&gt;0,
    COUNTIFS($AR$2:$AR$200,$G338)&gt;0,
    COUNTIFS($AS$2:$AS$200,$G338)&gt;0,
    COUNTIFS($AT$2:$AT$200,$G338)&gt;0,
    COUNTIFS($AU$2:$AU$200,$G338)&gt;0,
    COUNTIFS($AV$2:$AV$200,$G338)&gt;0,
    COUNTIFS($AW$2:$AW$200,$G338)&gt;0,
    COUNTIFS($AX$2:$AX$200,$G338)&gt;0
   ),
  0)
 ),
"")</f>
        <v>Yuriko</v>
      </c>
      <c r="D338" s="3" t="str" cm="1">
        <f t="array" aca="1" ref="D338" ca="1">IFERROR(
 INDEX(
  _xlfn._xlws.FILTER($U$1:$AX$1,
   TRANSPOSE(
    CHOOSE({1;2;3;4;5;6;7;8;9;10;11;12;13;14;15;16;17;18;19;20;21;22;23;24;25;26;27;28;29;30},
     COUNTIFS($U$2:$U$200,$G338)&gt;0,
     COUNTIFS($V$2:$V$200,$G338)&gt;0,
     COUNTIFS($W$2:$W$200,$G338)&gt;0,
     COUNTIFS($X$2:$X$200,$G338)&gt;0,
     COUNTIFS($Y$2:$Y$200,$G338)&gt;0,
     COUNTIFS($Z$2:$Z$200,$G338)&gt;0,
     COUNTIFS($AA$2:$AA$200,$G338)&gt;0,
     COUNTIFS($AB$2:$AB$200,$G338)&gt;0,
     COUNTIFS($AC$2:$AC$200,$G338)&gt;0,
     COUNTIFS($AD$2:$AD$200,$G338)&gt;0,
     COUNTIFS($AE$2:$AE$200,$G338)&gt;0,
     COUNTIFS($AF$2:$AF$200,$G338)&gt;0,
     COUNTIFS($AG$2:$AG$200,$G338)&gt;0,
     COUNTIFS($AH$2:$AH$200,$G338)&gt;0,
     COUNTIFS($AI$2:$AI$200,$G338)&gt;0,
     COUNTIFS($AJ$2:$AJ$200,$G338)&gt;0,
     COUNTIFS($AK$2:$AK$200,$G338)&gt;0,
     COUNTIFS($AL$2:$AL$200,$G338)&gt;0,
     COUNTIFS($AM$2:$AM$200,$G338)&gt;0,
     COUNTIFS($AN$2:$AN$200,$G338)&gt;0,
     COUNTIFS($AO$2:$AO$200,$G338)&gt;0,
     COUNTIFS($AP$2:$AP$200,$G338)&gt;0,
     COUNTIFS($AQ$2:$AQ$200,$G338)&gt;0,
     COUNTIFS($AR$2:$AR$200,$G338)&gt;0,
     COUNTIFS($AS$2:$AS$200,$G338)&gt;0,
     COUNTIFS($AT$2:$AT$200,$G338)&gt;0,
     COUNTIFS($AU$2:$AU$200,$G338)&gt;0,
     COUNTIFS($AV$2:$AV$200,$G338)&gt;0,
     COUNTIFS($AW$2:$AW$200,$G338)&gt;0,
     COUNTIFS($AX$2:$AX$200,$G338)&gt;0
   )),
  ),
  2
 ),
"")</f>
        <v/>
      </c>
      <c r="E338" s="3" t="str" cm="1">
        <f t="array" aca="1" ref="E338" ca="1">IFERROR(
 INDEX(
  _xlfn._xlws.FILTER($U$1:$AX$1,
   TRANSPOSE(
    CHOOSE({1;2;3;4;5;6;7;8;9;10;11;12;13;14;15;16;17;18;19;20;21;22;23;24;25;26;27;28;29;30},
     COUNTIFS($U$2:$U$200,$G338)&gt;0,
     COUNTIFS($V$2:$V$200,$G338)&gt;0,
     COUNTIFS($W$2:$W$200,$G338)&gt;0,
     COUNTIFS($X$2:$X$200,$G338)&gt;0,
     COUNTIFS($Y$2:$Y$200,$G338)&gt;0,
     COUNTIFS($Z$2:$Z$200,$G338)&gt;0,
     COUNTIFS($AA$2:$AA$200,$G338)&gt;0,
     COUNTIFS($AB$2:$AB$200,$G338)&gt;0,
     COUNTIFS($AC$2:$AC$200,$G338)&gt;0,
     COUNTIFS($AD$2:$AD$200,$G338)&gt;0,
     COUNTIFS($AE$2:$AE$200,$G338)&gt;0,
     COUNTIFS($AF$2:$AF$200,$G338)&gt;0,
     COUNTIFS($AG$2:$AG$200,$G338)&gt;0,
     COUNTIFS($AH$2:$AH$200,$G338)&gt;0,
     COUNTIFS($AI$2:$AI$200,$G338)&gt;0,
     COUNTIFS($AJ$2:$AJ$200,$G338)&gt;0,
     COUNTIFS($AK$2:$AK$200,$G338)&gt;0,
     COUNTIFS($AL$2:$AL$200,$G338)&gt;0,
     COUNTIFS($AM$2:$AM$200,$G338)&gt;0,
     COUNTIFS($AN$2:$AN$200,$G338)&gt;0,
     COUNTIFS($AO$2:$AO$200,$G338)&gt;0,
     COUNTIFS($AP$2:$AP$200,$G338)&gt;0,
     COUNTIFS($AQ$2:$AQ$200,$G338)&gt;0,
     COUNTIFS($AR$2:$AR$200,$G338)&gt;0,
     COUNTIFS($AS$2:$AS$200,$G338)&gt;0,
     COUNTIFS($AT$2:$AT$200,$G338)&gt;0,
     COUNTIFS($AU$2:$AU$200,$G338)&gt;0,
     COUNTIFS($AV$2:$AV$200,$G338)&gt;0,
     COUNTIFS($AW$2:$AW$200,$G338)&gt;0,
     COUNTIFS($AX$2:$AX$200,$G338)&gt;0
   )),
  ),
  3
 ),
"")</f>
        <v/>
      </c>
      <c r="F338" s="3" t="str" cm="1">
        <f t="array" aca="1" ref="F338" ca="1">IFERROR(
 INDEX(
  _xlfn._xlws.FILTER($U$1:$AX$1,
   TRANSPOSE(
    CHOOSE({1;2;3;4;5;6;7;8;9;10;11;12;13;14;15;16;17;18;19;20;21;22;23;24;25;26;27;28;29;30},
     COUNTIFS($U$2:$U$200,$G338)&gt;0,
     COUNTIFS($V$2:$V$200,$G338)&gt;0,
     COUNTIFS($W$2:$W$200,$G338)&gt;0,
     COUNTIFS($X$2:$X$200,$G338)&gt;0,
     COUNTIFS($Y$2:$Y$200,$G338)&gt;0,
     COUNTIFS($Z$2:$Z$200,$G338)&gt;0,
     COUNTIFS($AA$2:$AA$200,$G338)&gt;0,
     COUNTIFS($AB$2:$AB$200,$G338)&gt;0,
     COUNTIFS($AC$2:$AC$200,$G338)&gt;0,
     COUNTIFS($AD$2:$AD$200,$G338)&gt;0,
     COUNTIFS($AE$2:$AE$200,$G338)&gt;0,
     COUNTIFS($AF$2:$AF$200,$G338)&gt;0,
     COUNTIFS($AG$2:$AG$200,$G338)&gt;0,
     COUNTIFS($AH$2:$AH$200,$G338)&gt;0,
     COUNTIFS($AI$2:$AI$200,$G338)&gt;0,
     COUNTIFS($AJ$2:$AJ$200,$G338)&gt;0,
     COUNTIFS($AK$2:$AK$200,$G338)&gt;0,
     COUNTIFS($AL$2:$AL$200,$G338)&gt;0,
     COUNTIFS($AM$2:$AM$200,$G338)&gt;0,
     COUNTIFS($AN$2:$AN$200,$G338)&gt;0,
     COUNTIFS($AO$2:$AO$200,$G338)&gt;0,
     COUNTIFS($AP$2:$AP$200,$G338)&gt;0,
     COUNTIFS($AQ$2:$AQ$200,$G338)&gt;0,
     COUNTIFS($AR$2:$AR$200,$G338)&gt;0,
     COUNTIFS($AS$2:$AS$200,$G338)&gt;0,
     COUNTIFS($AT$2:$AT$200,$G338)&gt;0,
     COUNTIFS($AU$2:$AU$200,$G338)&gt;0,
     COUNTIFS($AV$2:$AV$200,$G338)&gt;0,
     COUNTIFS($AW$2:$AW$200,$G338)&gt;0,
     COUNTIFS($AX$2:$AX$200,$G338)&gt;0
   )),
  ),
  4
 ),
"")</f>
        <v/>
      </c>
      <c r="G338" t="str">
        <f ca="1"/>
        <v>Temporal Trespass</v>
      </c>
    </row>
    <row r="339" spans="1:7" x14ac:dyDescent="0.25">
      <c r="A339" s="3" t="str">
        <f t="shared" ca="1" si="12"/>
        <v>1</v>
      </c>
      <c r="B339" s="3">
        <f t="shared" ca="1" si="13"/>
        <v>1</v>
      </c>
      <c r="C339" s="3" t="str">
        <f ca="1">IFERROR(
 INDEX($U$1:$AX$1,
  MATCH(TRUE,
   CHOOSE({1;2;3;4;5;6;7;8;9;10;11;12;13;14;15;16;17;18;19;20;21;22;23;24;25;26;27;28;29;30;31;32},
    COUNTIFS($U$2:$U$200,$G339)&gt;0,
    COUNTIFS($V$2:$V$200,$G339)&gt;0,
    COUNTIFS($W$2:$W$200,$G339)&gt;0,
    COUNTIFS($X$2:$X$200,$G339)&gt;0,
    COUNTIFS($Y$2:$Y$200,$G339)&gt;0,
    COUNTIFS($Z$2:$Z$200,$G339)&gt;0,
    COUNTIFS($AA$2:$AA$200,$G339)&gt;0,
    COUNTIFS($AB$2:$AB$200,$G339)&gt;0,
    COUNTIFS($AC$2:$AC$200,$G339)&gt;0,
    COUNTIFS($AD$2:$AD$200,$G339)&gt;0,
    COUNTIFS($AE$2:$AE$200,$G339)&gt;0,
    COUNTIFS($AF$2:$AF$200,$G339)&gt;0,
    COUNTIFS($AG$2:$AG$200,$G339)&gt;0,
    COUNTIFS($AH$2:$AH$200,$G339)&gt;0,
    COUNTIFS($AI$2:$AI$200,$G339)&gt;0,
    COUNTIFS($AJ$2:$AJ$200,$G339)&gt;0,
    COUNTIFS($AK$2:$AK$200,$G339)&gt;0,
    COUNTIFS($AL$2:$AL$200,$G339)&gt;0,
    COUNTIFS($AM$2:$AM$200,$G339)&gt;0,
    COUNTIFS($AN$2:$AN$200,$G339)&gt;0,
    COUNTIFS($AO$2:$AO$200,$G339)&gt;0,
    COUNTIFS($AP$2:$AP$200,$G339)&gt;0,
    COUNTIFS($AQ$2:$AQ$200,$G339)&gt;0,
    COUNTIFS($AR$2:$AR$200,$G339)&gt;0,
    COUNTIFS($AS$2:$AS$200,$G339)&gt;0,
    COUNTIFS($AT$2:$AT$200,$G339)&gt;0,
    COUNTIFS($AU$2:$AU$200,$G339)&gt;0,
    COUNTIFS($AV$2:$AV$200,$G339)&gt;0,
    COUNTIFS($AW$2:$AW$200,$G339)&gt;0,
    COUNTIFS($AX$2:$AX$200,$G339)&gt;0
   ),
  0)
 ),
"")</f>
        <v>Modular</v>
      </c>
      <c r="D339" s="3" t="str" cm="1">
        <f t="array" aca="1" ref="D339" ca="1">IFERROR(
 INDEX(
  _xlfn._xlws.FILTER($U$1:$AX$1,
   TRANSPOSE(
    CHOOSE({1;2;3;4;5;6;7;8;9;10;11;12;13;14;15;16;17;18;19;20;21;22;23;24;25;26;27;28;29;30},
     COUNTIFS($U$2:$U$200,$G339)&gt;0,
     COUNTIFS($V$2:$V$200,$G339)&gt;0,
     COUNTIFS($W$2:$W$200,$G339)&gt;0,
     COUNTIFS($X$2:$X$200,$G339)&gt;0,
     COUNTIFS($Y$2:$Y$200,$G339)&gt;0,
     COUNTIFS($Z$2:$Z$200,$G339)&gt;0,
     COUNTIFS($AA$2:$AA$200,$G339)&gt;0,
     COUNTIFS($AB$2:$AB$200,$G339)&gt;0,
     COUNTIFS($AC$2:$AC$200,$G339)&gt;0,
     COUNTIFS($AD$2:$AD$200,$G339)&gt;0,
     COUNTIFS($AE$2:$AE$200,$G339)&gt;0,
     COUNTIFS($AF$2:$AF$200,$G339)&gt;0,
     COUNTIFS($AG$2:$AG$200,$G339)&gt;0,
     COUNTIFS($AH$2:$AH$200,$G339)&gt;0,
     COUNTIFS($AI$2:$AI$200,$G339)&gt;0,
     COUNTIFS($AJ$2:$AJ$200,$G339)&gt;0,
     COUNTIFS($AK$2:$AK$200,$G339)&gt;0,
     COUNTIFS($AL$2:$AL$200,$G339)&gt;0,
     COUNTIFS($AM$2:$AM$200,$G339)&gt;0,
     COUNTIFS($AN$2:$AN$200,$G339)&gt;0,
     COUNTIFS($AO$2:$AO$200,$G339)&gt;0,
     COUNTIFS($AP$2:$AP$200,$G339)&gt;0,
     COUNTIFS($AQ$2:$AQ$200,$G339)&gt;0,
     COUNTIFS($AR$2:$AR$200,$G339)&gt;0,
     COUNTIFS($AS$2:$AS$200,$G339)&gt;0,
     COUNTIFS($AT$2:$AT$200,$G339)&gt;0,
     COUNTIFS($AU$2:$AU$200,$G339)&gt;0,
     COUNTIFS($AV$2:$AV$200,$G339)&gt;0,
     COUNTIFS($AW$2:$AW$200,$G339)&gt;0,
     COUNTIFS($AX$2:$AX$200,$G339)&gt;0
   )),
  ),
  2
 ),
"")</f>
        <v/>
      </c>
      <c r="E339" s="3" t="str" cm="1">
        <f t="array" aca="1" ref="E339" ca="1">IFERROR(
 INDEX(
  _xlfn._xlws.FILTER($U$1:$AX$1,
   TRANSPOSE(
    CHOOSE({1;2;3;4;5;6;7;8;9;10;11;12;13;14;15;16;17;18;19;20;21;22;23;24;25;26;27;28;29;30},
     COUNTIFS($U$2:$U$200,$G339)&gt;0,
     COUNTIFS($V$2:$V$200,$G339)&gt;0,
     COUNTIFS($W$2:$W$200,$G339)&gt;0,
     COUNTIFS($X$2:$X$200,$G339)&gt;0,
     COUNTIFS($Y$2:$Y$200,$G339)&gt;0,
     COUNTIFS($Z$2:$Z$200,$G339)&gt;0,
     COUNTIFS($AA$2:$AA$200,$G339)&gt;0,
     COUNTIFS($AB$2:$AB$200,$G339)&gt;0,
     COUNTIFS($AC$2:$AC$200,$G339)&gt;0,
     COUNTIFS($AD$2:$AD$200,$G339)&gt;0,
     COUNTIFS($AE$2:$AE$200,$G339)&gt;0,
     COUNTIFS($AF$2:$AF$200,$G339)&gt;0,
     COUNTIFS($AG$2:$AG$200,$G339)&gt;0,
     COUNTIFS($AH$2:$AH$200,$G339)&gt;0,
     COUNTIFS($AI$2:$AI$200,$G339)&gt;0,
     COUNTIFS($AJ$2:$AJ$200,$G339)&gt;0,
     COUNTIFS($AK$2:$AK$200,$G339)&gt;0,
     COUNTIFS($AL$2:$AL$200,$G339)&gt;0,
     COUNTIFS($AM$2:$AM$200,$G339)&gt;0,
     COUNTIFS($AN$2:$AN$200,$G339)&gt;0,
     COUNTIFS($AO$2:$AO$200,$G339)&gt;0,
     COUNTIFS($AP$2:$AP$200,$G339)&gt;0,
     COUNTIFS($AQ$2:$AQ$200,$G339)&gt;0,
     COUNTIFS($AR$2:$AR$200,$G339)&gt;0,
     COUNTIFS($AS$2:$AS$200,$G339)&gt;0,
     COUNTIFS($AT$2:$AT$200,$G339)&gt;0,
     COUNTIFS($AU$2:$AU$200,$G339)&gt;0,
     COUNTIFS($AV$2:$AV$200,$G339)&gt;0,
     COUNTIFS($AW$2:$AW$200,$G339)&gt;0,
     COUNTIFS($AX$2:$AX$200,$G339)&gt;0
   )),
  ),
  3
 ),
"")</f>
        <v/>
      </c>
      <c r="F339" s="3" t="str" cm="1">
        <f t="array" aca="1" ref="F339" ca="1">IFERROR(
 INDEX(
  _xlfn._xlws.FILTER($U$1:$AX$1,
   TRANSPOSE(
    CHOOSE({1;2;3;4;5;6;7;8;9;10;11;12;13;14;15;16;17;18;19;20;21;22;23;24;25;26;27;28;29;30},
     COUNTIFS($U$2:$U$200,$G339)&gt;0,
     COUNTIFS($V$2:$V$200,$G339)&gt;0,
     COUNTIFS($W$2:$W$200,$G339)&gt;0,
     COUNTIFS($X$2:$X$200,$G339)&gt;0,
     COUNTIFS($Y$2:$Y$200,$G339)&gt;0,
     COUNTIFS($Z$2:$Z$200,$G339)&gt;0,
     COUNTIFS($AA$2:$AA$200,$G339)&gt;0,
     COUNTIFS($AB$2:$AB$200,$G339)&gt;0,
     COUNTIFS($AC$2:$AC$200,$G339)&gt;0,
     COUNTIFS($AD$2:$AD$200,$G339)&gt;0,
     COUNTIFS($AE$2:$AE$200,$G339)&gt;0,
     COUNTIFS($AF$2:$AF$200,$G339)&gt;0,
     COUNTIFS($AG$2:$AG$200,$G339)&gt;0,
     COUNTIFS($AH$2:$AH$200,$G339)&gt;0,
     COUNTIFS($AI$2:$AI$200,$G339)&gt;0,
     COUNTIFS($AJ$2:$AJ$200,$G339)&gt;0,
     COUNTIFS($AK$2:$AK$200,$G339)&gt;0,
     COUNTIFS($AL$2:$AL$200,$G339)&gt;0,
     COUNTIFS($AM$2:$AM$200,$G339)&gt;0,
     COUNTIFS($AN$2:$AN$200,$G339)&gt;0,
     COUNTIFS($AO$2:$AO$200,$G339)&gt;0,
     COUNTIFS($AP$2:$AP$200,$G339)&gt;0,
     COUNTIFS($AQ$2:$AQ$200,$G339)&gt;0,
     COUNTIFS($AR$2:$AR$200,$G339)&gt;0,
     COUNTIFS($AS$2:$AS$200,$G339)&gt;0,
     COUNTIFS($AT$2:$AT$200,$G339)&gt;0,
     COUNTIFS($AU$2:$AU$200,$G339)&gt;0,
     COUNTIFS($AV$2:$AV$200,$G339)&gt;0,
     COUNTIFS($AW$2:$AW$200,$G339)&gt;0,
     COUNTIFS($AX$2:$AX$200,$G339)&gt;0
   )),
  ),
  4
 ),
"")</f>
        <v/>
      </c>
      <c r="G339" t="str">
        <f ca="1"/>
        <v>Terra Eternal</v>
      </c>
    </row>
    <row r="340" spans="1:7" x14ac:dyDescent="0.25">
      <c r="A340" s="3" t="str">
        <f t="shared" ca="1" si="12"/>
        <v>3</v>
      </c>
      <c r="B340" s="3">
        <f t="shared" ca="1" si="13"/>
        <v>1</v>
      </c>
      <c r="C340" s="3" t="str">
        <f ca="1">IFERROR(
 INDEX($U$1:$AX$1,
  MATCH(TRUE,
   CHOOSE({1;2;3;4;5;6;7;8;9;10;11;12;13;14;15;16;17;18;19;20;21;22;23;24;25;26;27;28;29;30;31;32},
    COUNTIFS($U$2:$U$200,$G340)&gt;0,
    COUNTIFS($V$2:$V$200,$G340)&gt;0,
    COUNTIFS($W$2:$W$200,$G340)&gt;0,
    COUNTIFS($X$2:$X$200,$G340)&gt;0,
    COUNTIFS($Y$2:$Y$200,$G340)&gt;0,
    COUNTIFS($Z$2:$Z$200,$G340)&gt;0,
    COUNTIFS($AA$2:$AA$200,$G340)&gt;0,
    COUNTIFS($AB$2:$AB$200,$G340)&gt;0,
    COUNTIFS($AC$2:$AC$200,$G340)&gt;0,
    COUNTIFS($AD$2:$AD$200,$G340)&gt;0,
    COUNTIFS($AE$2:$AE$200,$G340)&gt;0,
    COUNTIFS($AF$2:$AF$200,$G340)&gt;0,
    COUNTIFS($AG$2:$AG$200,$G340)&gt;0,
    COUNTIFS($AH$2:$AH$200,$G340)&gt;0,
    COUNTIFS($AI$2:$AI$200,$G340)&gt;0,
    COUNTIFS($AJ$2:$AJ$200,$G340)&gt;0,
    COUNTIFS($AK$2:$AK$200,$G340)&gt;0,
    COUNTIFS($AL$2:$AL$200,$G340)&gt;0,
    COUNTIFS($AM$2:$AM$200,$G340)&gt;0,
    COUNTIFS($AN$2:$AN$200,$G340)&gt;0,
    COUNTIFS($AO$2:$AO$200,$G340)&gt;0,
    COUNTIFS($AP$2:$AP$200,$G340)&gt;0,
    COUNTIFS($AQ$2:$AQ$200,$G340)&gt;0,
    COUNTIFS($AR$2:$AR$200,$G340)&gt;0,
    COUNTIFS($AS$2:$AS$200,$G340)&gt;0,
    COUNTIFS($AT$2:$AT$200,$G340)&gt;0,
    COUNTIFS($AU$2:$AU$200,$G340)&gt;0,
    COUNTIFS($AV$2:$AV$200,$G340)&gt;0,
    COUNTIFS($AW$2:$AW$200,$G340)&gt;0,
    COUNTIFS($AX$2:$AX$200,$G340)&gt;0
   ),
  0)
 ),
"")</f>
        <v>Carlos</v>
      </c>
      <c r="D340" s="3" t="str" cm="1">
        <f t="array" aca="1" ref="D340" ca="1">IFERROR(
 INDEX(
  _xlfn._xlws.FILTER($U$1:$AX$1,
   TRANSPOSE(
    CHOOSE({1;2;3;4;5;6;7;8;9;10;11;12;13;14;15;16;17;18;19;20;21;22;23;24;25;26;27;28;29;30},
     COUNTIFS($U$2:$U$200,$G340)&gt;0,
     COUNTIFS($V$2:$V$200,$G340)&gt;0,
     COUNTIFS($W$2:$W$200,$G340)&gt;0,
     COUNTIFS($X$2:$X$200,$G340)&gt;0,
     COUNTIFS($Y$2:$Y$200,$G340)&gt;0,
     COUNTIFS($Z$2:$Z$200,$G340)&gt;0,
     COUNTIFS($AA$2:$AA$200,$G340)&gt;0,
     COUNTIFS($AB$2:$AB$200,$G340)&gt;0,
     COUNTIFS($AC$2:$AC$200,$G340)&gt;0,
     COUNTIFS($AD$2:$AD$200,$G340)&gt;0,
     COUNTIFS($AE$2:$AE$200,$G340)&gt;0,
     COUNTIFS($AF$2:$AF$200,$G340)&gt;0,
     COUNTIFS($AG$2:$AG$200,$G340)&gt;0,
     COUNTIFS($AH$2:$AH$200,$G340)&gt;0,
     COUNTIFS($AI$2:$AI$200,$G340)&gt;0,
     COUNTIFS($AJ$2:$AJ$200,$G340)&gt;0,
     COUNTIFS($AK$2:$AK$200,$G340)&gt;0,
     COUNTIFS($AL$2:$AL$200,$G340)&gt;0,
     COUNTIFS($AM$2:$AM$200,$G340)&gt;0,
     COUNTIFS($AN$2:$AN$200,$G340)&gt;0,
     COUNTIFS($AO$2:$AO$200,$G340)&gt;0,
     COUNTIFS($AP$2:$AP$200,$G340)&gt;0,
     COUNTIFS($AQ$2:$AQ$200,$G340)&gt;0,
     COUNTIFS($AR$2:$AR$200,$G340)&gt;0,
     COUNTIFS($AS$2:$AS$200,$G340)&gt;0,
     COUNTIFS($AT$2:$AT$200,$G340)&gt;0,
     COUNTIFS($AU$2:$AU$200,$G340)&gt;0,
     COUNTIFS($AV$2:$AV$200,$G340)&gt;0,
     COUNTIFS($AW$2:$AW$200,$G340)&gt;0,
     COUNTIFS($AX$2:$AX$200,$G340)&gt;0
   )),
  ),
  2
 ),
"")</f>
        <v/>
      </c>
      <c r="E340" s="3" t="str" cm="1">
        <f t="array" aca="1" ref="E340" ca="1">IFERROR(
 INDEX(
  _xlfn._xlws.FILTER($U$1:$AX$1,
   TRANSPOSE(
    CHOOSE({1;2;3;4;5;6;7;8;9;10;11;12;13;14;15;16;17;18;19;20;21;22;23;24;25;26;27;28;29;30},
     COUNTIFS($U$2:$U$200,$G340)&gt;0,
     COUNTIFS($V$2:$V$200,$G340)&gt;0,
     COUNTIFS($W$2:$W$200,$G340)&gt;0,
     COUNTIFS($X$2:$X$200,$G340)&gt;0,
     COUNTIFS($Y$2:$Y$200,$G340)&gt;0,
     COUNTIFS($Z$2:$Z$200,$G340)&gt;0,
     COUNTIFS($AA$2:$AA$200,$G340)&gt;0,
     COUNTIFS($AB$2:$AB$200,$G340)&gt;0,
     COUNTIFS($AC$2:$AC$200,$G340)&gt;0,
     COUNTIFS($AD$2:$AD$200,$G340)&gt;0,
     COUNTIFS($AE$2:$AE$200,$G340)&gt;0,
     COUNTIFS($AF$2:$AF$200,$G340)&gt;0,
     COUNTIFS($AG$2:$AG$200,$G340)&gt;0,
     COUNTIFS($AH$2:$AH$200,$G340)&gt;0,
     COUNTIFS($AI$2:$AI$200,$G340)&gt;0,
     COUNTIFS($AJ$2:$AJ$200,$G340)&gt;0,
     COUNTIFS($AK$2:$AK$200,$G340)&gt;0,
     COUNTIFS($AL$2:$AL$200,$G340)&gt;0,
     COUNTIFS($AM$2:$AM$200,$G340)&gt;0,
     COUNTIFS($AN$2:$AN$200,$G340)&gt;0,
     COUNTIFS($AO$2:$AO$200,$G340)&gt;0,
     COUNTIFS($AP$2:$AP$200,$G340)&gt;0,
     COUNTIFS($AQ$2:$AQ$200,$G340)&gt;0,
     COUNTIFS($AR$2:$AR$200,$G340)&gt;0,
     COUNTIFS($AS$2:$AS$200,$G340)&gt;0,
     COUNTIFS($AT$2:$AT$200,$G340)&gt;0,
     COUNTIFS($AU$2:$AU$200,$G340)&gt;0,
     COUNTIFS($AV$2:$AV$200,$G340)&gt;0,
     COUNTIFS($AW$2:$AW$200,$G340)&gt;0,
     COUNTIFS($AX$2:$AX$200,$G340)&gt;0
   )),
  ),
  3
 ),
"")</f>
        <v/>
      </c>
      <c r="F340" s="3" t="str" cm="1">
        <f t="array" aca="1" ref="F340" ca="1">IFERROR(
 INDEX(
  _xlfn._xlws.FILTER($U$1:$AX$1,
   TRANSPOSE(
    CHOOSE({1;2;3;4;5;6;7;8;9;10;11;12;13;14;15;16;17;18;19;20;21;22;23;24;25;26;27;28;29;30},
     COUNTIFS($U$2:$U$200,$G340)&gt;0,
     COUNTIFS($V$2:$V$200,$G340)&gt;0,
     COUNTIFS($W$2:$W$200,$G340)&gt;0,
     COUNTIFS($X$2:$X$200,$G340)&gt;0,
     COUNTIFS($Y$2:$Y$200,$G340)&gt;0,
     COUNTIFS($Z$2:$Z$200,$G340)&gt;0,
     COUNTIFS($AA$2:$AA$200,$G340)&gt;0,
     COUNTIFS($AB$2:$AB$200,$G340)&gt;0,
     COUNTIFS($AC$2:$AC$200,$G340)&gt;0,
     COUNTIFS($AD$2:$AD$200,$G340)&gt;0,
     COUNTIFS($AE$2:$AE$200,$G340)&gt;0,
     COUNTIFS($AF$2:$AF$200,$G340)&gt;0,
     COUNTIFS($AG$2:$AG$200,$G340)&gt;0,
     COUNTIFS($AH$2:$AH$200,$G340)&gt;0,
     COUNTIFS($AI$2:$AI$200,$G340)&gt;0,
     COUNTIFS($AJ$2:$AJ$200,$G340)&gt;0,
     COUNTIFS($AK$2:$AK$200,$G340)&gt;0,
     COUNTIFS($AL$2:$AL$200,$G340)&gt;0,
     COUNTIFS($AM$2:$AM$200,$G340)&gt;0,
     COUNTIFS($AN$2:$AN$200,$G340)&gt;0,
     COUNTIFS($AO$2:$AO$200,$G340)&gt;0,
     COUNTIFS($AP$2:$AP$200,$G340)&gt;0,
     COUNTIFS($AQ$2:$AQ$200,$G340)&gt;0,
     COUNTIFS($AR$2:$AR$200,$G340)&gt;0,
     COUNTIFS($AS$2:$AS$200,$G340)&gt;0,
     COUNTIFS($AT$2:$AT$200,$G340)&gt;0,
     COUNTIFS($AU$2:$AU$200,$G340)&gt;0,
     COUNTIFS($AV$2:$AV$200,$G340)&gt;0,
     COUNTIFS($AW$2:$AW$200,$G340)&gt;0,
     COUNTIFS($AX$2:$AX$200,$G340)&gt;0
   )),
  ),
  4
 ),
"")</f>
        <v/>
      </c>
      <c r="G340" t="str">
        <f ca="1"/>
        <v>Terramorphic Expanse</v>
      </c>
    </row>
    <row r="341" spans="1:7" x14ac:dyDescent="0.25">
      <c r="A341" s="3" t="str">
        <f t="shared" ca="1" si="12"/>
        <v>1</v>
      </c>
      <c r="B341" s="3">
        <f t="shared" ca="1" si="13"/>
        <v>2</v>
      </c>
      <c r="C341" s="3" t="str">
        <f ca="1">IFERROR(
 INDEX($U$1:$AX$1,
  MATCH(TRUE,
   CHOOSE({1;2;3;4;5;6;7;8;9;10;11;12;13;14;15;16;17;18;19;20;21;22;23;24;25;26;27;28;29;30;31;32},
    COUNTIFS($U$2:$U$200,$G341)&gt;0,
    COUNTIFS($V$2:$V$200,$G341)&gt;0,
    COUNTIFS($W$2:$W$200,$G341)&gt;0,
    COUNTIFS($X$2:$X$200,$G341)&gt;0,
    COUNTIFS($Y$2:$Y$200,$G341)&gt;0,
    COUNTIFS($Z$2:$Z$200,$G341)&gt;0,
    COUNTIFS($AA$2:$AA$200,$G341)&gt;0,
    COUNTIFS($AB$2:$AB$200,$G341)&gt;0,
    COUNTIFS($AC$2:$AC$200,$G341)&gt;0,
    COUNTIFS($AD$2:$AD$200,$G341)&gt;0,
    COUNTIFS($AE$2:$AE$200,$G341)&gt;0,
    COUNTIFS($AF$2:$AF$200,$G341)&gt;0,
    COUNTIFS($AG$2:$AG$200,$G341)&gt;0,
    COUNTIFS($AH$2:$AH$200,$G341)&gt;0,
    COUNTIFS($AI$2:$AI$200,$G341)&gt;0,
    COUNTIFS($AJ$2:$AJ$200,$G341)&gt;0,
    COUNTIFS($AK$2:$AK$200,$G341)&gt;0,
    COUNTIFS($AL$2:$AL$200,$G341)&gt;0,
    COUNTIFS($AM$2:$AM$200,$G341)&gt;0,
    COUNTIFS($AN$2:$AN$200,$G341)&gt;0,
    COUNTIFS($AO$2:$AO$200,$G341)&gt;0,
    COUNTIFS($AP$2:$AP$200,$G341)&gt;0,
    COUNTIFS($AQ$2:$AQ$200,$G341)&gt;0,
    COUNTIFS($AR$2:$AR$200,$G341)&gt;0,
    COUNTIFS($AS$2:$AS$200,$G341)&gt;0,
    COUNTIFS($AT$2:$AT$200,$G341)&gt;0,
    COUNTIFS($AU$2:$AU$200,$G341)&gt;0,
    COUNTIFS($AV$2:$AV$200,$G341)&gt;0,
    COUNTIFS($AW$2:$AW$200,$G341)&gt;0,
    COUNTIFS($AX$2:$AX$200,$G341)&gt;0
   ),
  0)
 ),
"")</f>
        <v>Tayam</v>
      </c>
      <c r="D341" s="3" t="str" cm="1">
        <f t="array" aca="1" ref="D341" ca="1">IFERROR(
 INDEX(
  _xlfn._xlws.FILTER($U$1:$AX$1,
   TRANSPOSE(
    CHOOSE({1;2;3;4;5;6;7;8;9;10;11;12;13;14;15;16;17;18;19;20;21;22;23;24;25;26;27;28;29;30},
     COUNTIFS($U$2:$U$200,$G341)&gt;0,
     COUNTIFS($V$2:$V$200,$G341)&gt;0,
     COUNTIFS($W$2:$W$200,$G341)&gt;0,
     COUNTIFS($X$2:$X$200,$G341)&gt;0,
     COUNTIFS($Y$2:$Y$200,$G341)&gt;0,
     COUNTIFS($Z$2:$Z$200,$G341)&gt;0,
     COUNTIFS($AA$2:$AA$200,$G341)&gt;0,
     COUNTIFS($AB$2:$AB$200,$G341)&gt;0,
     COUNTIFS($AC$2:$AC$200,$G341)&gt;0,
     COUNTIFS($AD$2:$AD$200,$G341)&gt;0,
     COUNTIFS($AE$2:$AE$200,$G341)&gt;0,
     COUNTIFS($AF$2:$AF$200,$G341)&gt;0,
     COUNTIFS($AG$2:$AG$200,$G341)&gt;0,
     COUNTIFS($AH$2:$AH$200,$G341)&gt;0,
     COUNTIFS($AI$2:$AI$200,$G341)&gt;0,
     COUNTIFS($AJ$2:$AJ$200,$G341)&gt;0,
     COUNTIFS($AK$2:$AK$200,$G341)&gt;0,
     COUNTIFS($AL$2:$AL$200,$G341)&gt;0,
     COUNTIFS($AM$2:$AM$200,$G341)&gt;0,
     COUNTIFS($AN$2:$AN$200,$G341)&gt;0,
     COUNTIFS($AO$2:$AO$200,$G341)&gt;0,
     COUNTIFS($AP$2:$AP$200,$G341)&gt;0,
     COUNTIFS($AQ$2:$AQ$200,$G341)&gt;0,
     COUNTIFS($AR$2:$AR$200,$G341)&gt;0,
     COUNTIFS($AS$2:$AS$200,$G341)&gt;0,
     COUNTIFS($AT$2:$AT$200,$G341)&gt;0,
     COUNTIFS($AU$2:$AU$200,$G341)&gt;0,
     COUNTIFS($AV$2:$AV$200,$G341)&gt;0,
     COUNTIFS($AW$2:$AW$200,$G341)&gt;0,
     COUNTIFS($AX$2:$AX$200,$G341)&gt;0
   )),
  ),
  2
 ),
"")</f>
        <v>Modular</v>
      </c>
      <c r="E341" s="3" t="str" cm="1">
        <f t="array" aca="1" ref="E341" ca="1">IFERROR(
 INDEX(
  _xlfn._xlws.FILTER($U$1:$AX$1,
   TRANSPOSE(
    CHOOSE({1;2;3;4;5;6;7;8;9;10;11;12;13;14;15;16;17;18;19;20;21;22;23;24;25;26;27;28;29;30},
     COUNTIFS($U$2:$U$200,$G341)&gt;0,
     COUNTIFS($V$2:$V$200,$G341)&gt;0,
     COUNTIFS($W$2:$W$200,$G341)&gt;0,
     COUNTIFS($X$2:$X$200,$G341)&gt;0,
     COUNTIFS($Y$2:$Y$200,$G341)&gt;0,
     COUNTIFS($Z$2:$Z$200,$G341)&gt;0,
     COUNTIFS($AA$2:$AA$200,$G341)&gt;0,
     COUNTIFS($AB$2:$AB$200,$G341)&gt;0,
     COUNTIFS($AC$2:$AC$200,$G341)&gt;0,
     COUNTIFS($AD$2:$AD$200,$G341)&gt;0,
     COUNTIFS($AE$2:$AE$200,$G341)&gt;0,
     COUNTIFS($AF$2:$AF$200,$G341)&gt;0,
     COUNTIFS($AG$2:$AG$200,$G341)&gt;0,
     COUNTIFS($AH$2:$AH$200,$G341)&gt;0,
     COUNTIFS($AI$2:$AI$200,$G341)&gt;0,
     COUNTIFS($AJ$2:$AJ$200,$G341)&gt;0,
     COUNTIFS($AK$2:$AK$200,$G341)&gt;0,
     COUNTIFS($AL$2:$AL$200,$G341)&gt;0,
     COUNTIFS($AM$2:$AM$200,$G341)&gt;0,
     COUNTIFS($AN$2:$AN$200,$G341)&gt;0,
     COUNTIFS($AO$2:$AO$200,$G341)&gt;0,
     COUNTIFS($AP$2:$AP$200,$G341)&gt;0,
     COUNTIFS($AQ$2:$AQ$200,$G341)&gt;0,
     COUNTIFS($AR$2:$AR$200,$G341)&gt;0,
     COUNTIFS($AS$2:$AS$200,$G341)&gt;0,
     COUNTIFS($AT$2:$AT$200,$G341)&gt;0,
     COUNTIFS($AU$2:$AU$200,$G341)&gt;0,
     COUNTIFS($AV$2:$AV$200,$G341)&gt;0,
     COUNTIFS($AW$2:$AW$200,$G341)&gt;0,
     COUNTIFS($AX$2:$AX$200,$G341)&gt;0
   )),
  ),
  3
 ),
"")</f>
        <v/>
      </c>
      <c r="F341" s="3" t="str" cm="1">
        <f t="array" aca="1" ref="F341" ca="1">IFERROR(
 INDEX(
  _xlfn._xlws.FILTER($U$1:$AX$1,
   TRANSPOSE(
    CHOOSE({1;2;3;4;5;6;7;8;9;10;11;12;13;14;15;16;17;18;19;20;21;22;23;24;25;26;27;28;29;30},
     COUNTIFS($U$2:$U$200,$G341)&gt;0,
     COUNTIFS($V$2:$V$200,$G341)&gt;0,
     COUNTIFS($W$2:$W$200,$G341)&gt;0,
     COUNTIFS($X$2:$X$200,$G341)&gt;0,
     COUNTIFS($Y$2:$Y$200,$G341)&gt;0,
     COUNTIFS($Z$2:$Z$200,$G341)&gt;0,
     COUNTIFS($AA$2:$AA$200,$G341)&gt;0,
     COUNTIFS($AB$2:$AB$200,$G341)&gt;0,
     COUNTIFS($AC$2:$AC$200,$G341)&gt;0,
     COUNTIFS($AD$2:$AD$200,$G341)&gt;0,
     COUNTIFS($AE$2:$AE$200,$G341)&gt;0,
     COUNTIFS($AF$2:$AF$200,$G341)&gt;0,
     COUNTIFS($AG$2:$AG$200,$G341)&gt;0,
     COUNTIFS($AH$2:$AH$200,$G341)&gt;0,
     COUNTIFS($AI$2:$AI$200,$G341)&gt;0,
     COUNTIFS($AJ$2:$AJ$200,$G341)&gt;0,
     COUNTIFS($AK$2:$AK$200,$G341)&gt;0,
     COUNTIFS($AL$2:$AL$200,$G341)&gt;0,
     COUNTIFS($AM$2:$AM$200,$G341)&gt;0,
     COUNTIFS($AN$2:$AN$200,$G341)&gt;0,
     COUNTIFS($AO$2:$AO$200,$G341)&gt;0,
     COUNTIFS($AP$2:$AP$200,$G341)&gt;0,
     COUNTIFS($AQ$2:$AQ$200,$G341)&gt;0,
     COUNTIFS($AR$2:$AR$200,$G341)&gt;0,
     COUNTIFS($AS$2:$AS$200,$G341)&gt;0,
     COUNTIFS($AT$2:$AT$200,$G341)&gt;0,
     COUNTIFS($AU$2:$AU$200,$G341)&gt;0,
     COUNTIFS($AV$2:$AV$200,$G341)&gt;0,
     COUNTIFS($AW$2:$AW$200,$G341)&gt;0,
     COUNTIFS($AX$2:$AX$200,$G341)&gt;0
   )),
  ),
  4
 ),
"")</f>
        <v/>
      </c>
      <c r="G341" t="str">
        <f ca="1"/>
        <v>Terrasymbiosis</v>
      </c>
    </row>
    <row r="342" spans="1:7" x14ac:dyDescent="0.25">
      <c r="A342" s="3" t="str">
        <f t="shared" ca="1" si="12"/>
        <v>5</v>
      </c>
      <c r="B342" s="3">
        <f t="shared" ca="1" si="13"/>
        <v>1</v>
      </c>
      <c r="C342" s="3" t="str">
        <f ca="1">IFERROR(
 INDEX($U$1:$AX$1,
  MATCH(TRUE,
   CHOOSE({1;2;3;4;5;6;7;8;9;10;11;12;13;14;15;16;17;18;19;20;21;22;23;24;25;26;27;28;29;30;31;32},
    COUNTIFS($U$2:$U$200,$G342)&gt;0,
    COUNTIFS($V$2:$V$200,$G342)&gt;0,
    COUNTIFS($W$2:$W$200,$G342)&gt;0,
    COUNTIFS($X$2:$X$200,$G342)&gt;0,
    COUNTIFS($Y$2:$Y$200,$G342)&gt;0,
    COUNTIFS($Z$2:$Z$200,$G342)&gt;0,
    COUNTIFS($AA$2:$AA$200,$G342)&gt;0,
    COUNTIFS($AB$2:$AB$200,$G342)&gt;0,
    COUNTIFS($AC$2:$AC$200,$G342)&gt;0,
    COUNTIFS($AD$2:$AD$200,$G342)&gt;0,
    COUNTIFS($AE$2:$AE$200,$G342)&gt;0,
    COUNTIFS($AF$2:$AF$200,$G342)&gt;0,
    COUNTIFS($AG$2:$AG$200,$G342)&gt;0,
    COUNTIFS($AH$2:$AH$200,$G342)&gt;0,
    COUNTIFS($AI$2:$AI$200,$G342)&gt;0,
    COUNTIFS($AJ$2:$AJ$200,$G342)&gt;0,
    COUNTIFS($AK$2:$AK$200,$G342)&gt;0,
    COUNTIFS($AL$2:$AL$200,$G342)&gt;0,
    COUNTIFS($AM$2:$AM$200,$G342)&gt;0,
    COUNTIFS($AN$2:$AN$200,$G342)&gt;0,
    COUNTIFS($AO$2:$AO$200,$G342)&gt;0,
    COUNTIFS($AP$2:$AP$200,$G342)&gt;0,
    COUNTIFS($AQ$2:$AQ$200,$G342)&gt;0,
    COUNTIFS($AR$2:$AR$200,$G342)&gt;0,
    COUNTIFS($AS$2:$AS$200,$G342)&gt;0,
    COUNTIFS($AT$2:$AT$200,$G342)&gt;0,
    COUNTIFS($AU$2:$AU$200,$G342)&gt;0,
    COUNTIFS($AV$2:$AV$200,$G342)&gt;0,
    COUNTIFS($AW$2:$AW$200,$G342)&gt;0,
    COUNTIFS($AX$2:$AX$200,$G342)&gt;0
   ),
  0)
 ),
"")</f>
        <v>Arcades</v>
      </c>
      <c r="D342" s="3" t="str" cm="1">
        <f t="array" aca="1" ref="D342" ca="1">IFERROR(
 INDEX(
  _xlfn._xlws.FILTER($U$1:$AX$1,
   TRANSPOSE(
    CHOOSE({1;2;3;4;5;6;7;8;9;10;11;12;13;14;15;16;17;18;19;20;21;22;23;24;25;26;27;28;29;30},
     COUNTIFS($U$2:$U$200,$G342)&gt;0,
     COUNTIFS($V$2:$V$200,$G342)&gt;0,
     COUNTIFS($W$2:$W$200,$G342)&gt;0,
     COUNTIFS($X$2:$X$200,$G342)&gt;0,
     COUNTIFS($Y$2:$Y$200,$G342)&gt;0,
     COUNTIFS($Z$2:$Z$200,$G342)&gt;0,
     COUNTIFS($AA$2:$AA$200,$G342)&gt;0,
     COUNTIFS($AB$2:$AB$200,$G342)&gt;0,
     COUNTIFS($AC$2:$AC$200,$G342)&gt;0,
     COUNTIFS($AD$2:$AD$200,$G342)&gt;0,
     COUNTIFS($AE$2:$AE$200,$G342)&gt;0,
     COUNTIFS($AF$2:$AF$200,$G342)&gt;0,
     COUNTIFS($AG$2:$AG$200,$G342)&gt;0,
     COUNTIFS($AH$2:$AH$200,$G342)&gt;0,
     COUNTIFS($AI$2:$AI$200,$G342)&gt;0,
     COUNTIFS($AJ$2:$AJ$200,$G342)&gt;0,
     COUNTIFS($AK$2:$AK$200,$G342)&gt;0,
     COUNTIFS($AL$2:$AL$200,$G342)&gt;0,
     COUNTIFS($AM$2:$AM$200,$G342)&gt;0,
     COUNTIFS($AN$2:$AN$200,$G342)&gt;0,
     COUNTIFS($AO$2:$AO$200,$G342)&gt;0,
     COUNTIFS($AP$2:$AP$200,$G342)&gt;0,
     COUNTIFS($AQ$2:$AQ$200,$G342)&gt;0,
     COUNTIFS($AR$2:$AR$200,$G342)&gt;0,
     COUNTIFS($AS$2:$AS$200,$G342)&gt;0,
     COUNTIFS($AT$2:$AT$200,$G342)&gt;0,
     COUNTIFS($AU$2:$AU$200,$G342)&gt;0,
     COUNTIFS($AV$2:$AV$200,$G342)&gt;0,
     COUNTIFS($AW$2:$AW$200,$G342)&gt;0,
     COUNTIFS($AX$2:$AX$200,$G342)&gt;0
   )),
  ),
  2
 ),
"")</f>
        <v/>
      </c>
      <c r="E342" s="3" t="str" cm="1">
        <f t="array" aca="1" ref="E342" ca="1">IFERROR(
 INDEX(
  _xlfn._xlws.FILTER($U$1:$AX$1,
   TRANSPOSE(
    CHOOSE({1;2;3;4;5;6;7;8;9;10;11;12;13;14;15;16;17;18;19;20;21;22;23;24;25;26;27;28;29;30},
     COUNTIFS($U$2:$U$200,$G342)&gt;0,
     COUNTIFS($V$2:$V$200,$G342)&gt;0,
     COUNTIFS($W$2:$W$200,$G342)&gt;0,
     COUNTIFS($X$2:$X$200,$G342)&gt;0,
     COUNTIFS($Y$2:$Y$200,$G342)&gt;0,
     COUNTIFS($Z$2:$Z$200,$G342)&gt;0,
     COUNTIFS($AA$2:$AA$200,$G342)&gt;0,
     COUNTIFS($AB$2:$AB$200,$G342)&gt;0,
     COUNTIFS($AC$2:$AC$200,$G342)&gt;0,
     COUNTIFS($AD$2:$AD$200,$G342)&gt;0,
     COUNTIFS($AE$2:$AE$200,$G342)&gt;0,
     COUNTIFS($AF$2:$AF$200,$G342)&gt;0,
     COUNTIFS($AG$2:$AG$200,$G342)&gt;0,
     COUNTIFS($AH$2:$AH$200,$G342)&gt;0,
     COUNTIFS($AI$2:$AI$200,$G342)&gt;0,
     COUNTIFS($AJ$2:$AJ$200,$G342)&gt;0,
     COUNTIFS($AK$2:$AK$200,$G342)&gt;0,
     COUNTIFS($AL$2:$AL$200,$G342)&gt;0,
     COUNTIFS($AM$2:$AM$200,$G342)&gt;0,
     COUNTIFS($AN$2:$AN$200,$G342)&gt;0,
     COUNTIFS($AO$2:$AO$200,$G342)&gt;0,
     COUNTIFS($AP$2:$AP$200,$G342)&gt;0,
     COUNTIFS($AQ$2:$AQ$200,$G342)&gt;0,
     COUNTIFS($AR$2:$AR$200,$G342)&gt;0,
     COUNTIFS($AS$2:$AS$200,$G342)&gt;0,
     COUNTIFS($AT$2:$AT$200,$G342)&gt;0,
     COUNTIFS($AU$2:$AU$200,$G342)&gt;0,
     COUNTIFS($AV$2:$AV$200,$G342)&gt;0,
     COUNTIFS($AW$2:$AW$200,$G342)&gt;0,
     COUNTIFS($AX$2:$AX$200,$G342)&gt;0
   )),
  ),
  3
 ),
"")</f>
        <v/>
      </c>
      <c r="F342" s="3" t="str" cm="1">
        <f t="array" aca="1" ref="F342" ca="1">IFERROR(
 INDEX(
  _xlfn._xlws.FILTER($U$1:$AX$1,
   TRANSPOSE(
    CHOOSE({1;2;3;4;5;6;7;8;9;10;11;12;13;14;15;16;17;18;19;20;21;22;23;24;25;26;27;28;29;30},
     COUNTIFS($U$2:$U$200,$G342)&gt;0,
     COUNTIFS($V$2:$V$200,$G342)&gt;0,
     COUNTIFS($W$2:$W$200,$G342)&gt;0,
     COUNTIFS($X$2:$X$200,$G342)&gt;0,
     COUNTIFS($Y$2:$Y$200,$G342)&gt;0,
     COUNTIFS($Z$2:$Z$200,$G342)&gt;0,
     COUNTIFS($AA$2:$AA$200,$G342)&gt;0,
     COUNTIFS($AB$2:$AB$200,$G342)&gt;0,
     COUNTIFS($AC$2:$AC$200,$G342)&gt;0,
     COUNTIFS($AD$2:$AD$200,$G342)&gt;0,
     COUNTIFS($AE$2:$AE$200,$G342)&gt;0,
     COUNTIFS($AF$2:$AF$200,$G342)&gt;0,
     COUNTIFS($AG$2:$AG$200,$G342)&gt;0,
     COUNTIFS($AH$2:$AH$200,$G342)&gt;0,
     COUNTIFS($AI$2:$AI$200,$G342)&gt;0,
     COUNTIFS($AJ$2:$AJ$200,$G342)&gt;0,
     COUNTIFS($AK$2:$AK$200,$G342)&gt;0,
     COUNTIFS($AL$2:$AL$200,$G342)&gt;0,
     COUNTIFS($AM$2:$AM$200,$G342)&gt;0,
     COUNTIFS($AN$2:$AN$200,$G342)&gt;0,
     COUNTIFS($AO$2:$AO$200,$G342)&gt;0,
     COUNTIFS($AP$2:$AP$200,$G342)&gt;0,
     COUNTIFS($AQ$2:$AQ$200,$G342)&gt;0,
     COUNTIFS($AR$2:$AR$200,$G342)&gt;0,
     COUNTIFS($AS$2:$AS$200,$G342)&gt;0,
     COUNTIFS($AT$2:$AT$200,$G342)&gt;0,
     COUNTIFS($AU$2:$AU$200,$G342)&gt;0,
     COUNTIFS($AV$2:$AV$200,$G342)&gt;0,
     COUNTIFS($AW$2:$AW$200,$G342)&gt;0,
     COUNTIFS($AX$2:$AX$200,$G342)&gt;0
   )),
  ),
  4
 ),
"")</f>
        <v/>
      </c>
      <c r="G342" t="str">
        <f ca="1"/>
        <v>Teyo, Geometric Tactician</v>
      </c>
    </row>
    <row r="343" spans="1:7" x14ac:dyDescent="0.25">
      <c r="A343" s="3" t="str">
        <f t="shared" ca="1" si="12"/>
        <v>1</v>
      </c>
      <c r="B343" s="3">
        <f t="shared" ca="1" si="13"/>
        <v>1</v>
      </c>
      <c r="C343" s="3" t="str">
        <f ca="1">IFERROR(
 INDEX($U$1:$AX$1,
  MATCH(TRUE,
   CHOOSE({1;2;3;4;5;6;7;8;9;10;11;12;13;14;15;16;17;18;19;20;21;22;23;24;25;26;27;28;29;30;31;32},
    COUNTIFS($U$2:$U$200,$G343)&gt;0,
    COUNTIFS($V$2:$V$200,$G343)&gt;0,
    COUNTIFS($W$2:$W$200,$G343)&gt;0,
    COUNTIFS($X$2:$X$200,$G343)&gt;0,
    COUNTIFS($Y$2:$Y$200,$G343)&gt;0,
    COUNTIFS($Z$2:$Z$200,$G343)&gt;0,
    COUNTIFS($AA$2:$AA$200,$G343)&gt;0,
    COUNTIFS($AB$2:$AB$200,$G343)&gt;0,
    COUNTIFS($AC$2:$AC$200,$G343)&gt;0,
    COUNTIFS($AD$2:$AD$200,$G343)&gt;0,
    COUNTIFS($AE$2:$AE$200,$G343)&gt;0,
    COUNTIFS($AF$2:$AF$200,$G343)&gt;0,
    COUNTIFS($AG$2:$AG$200,$G343)&gt;0,
    COUNTIFS($AH$2:$AH$200,$G343)&gt;0,
    COUNTIFS($AI$2:$AI$200,$G343)&gt;0,
    COUNTIFS($AJ$2:$AJ$200,$G343)&gt;0,
    COUNTIFS($AK$2:$AK$200,$G343)&gt;0,
    COUNTIFS($AL$2:$AL$200,$G343)&gt;0,
    COUNTIFS($AM$2:$AM$200,$G343)&gt;0,
    COUNTIFS($AN$2:$AN$200,$G343)&gt;0,
    COUNTIFS($AO$2:$AO$200,$G343)&gt;0,
    COUNTIFS($AP$2:$AP$200,$G343)&gt;0,
    COUNTIFS($AQ$2:$AQ$200,$G343)&gt;0,
    COUNTIFS($AR$2:$AR$200,$G343)&gt;0,
    COUNTIFS($AS$2:$AS$200,$G343)&gt;0,
    COUNTIFS($AT$2:$AT$200,$G343)&gt;0,
    COUNTIFS($AU$2:$AU$200,$G343)&gt;0,
    COUNTIFS($AV$2:$AV$200,$G343)&gt;0,
    COUNTIFS($AW$2:$AW$200,$G343)&gt;0,
    COUNTIFS($AX$2:$AX$200,$G343)&gt;0
   ),
  0)
 ),
"")</f>
        <v>Modular</v>
      </c>
      <c r="D343" s="3" t="str" cm="1">
        <f t="array" aca="1" ref="D343" ca="1">IFERROR(
 INDEX(
  _xlfn._xlws.FILTER($U$1:$AX$1,
   TRANSPOSE(
    CHOOSE({1;2;3;4;5;6;7;8;9;10;11;12;13;14;15;16;17;18;19;20;21;22;23;24;25;26;27;28;29;30},
     COUNTIFS($U$2:$U$200,$G343)&gt;0,
     COUNTIFS($V$2:$V$200,$G343)&gt;0,
     COUNTIFS($W$2:$W$200,$G343)&gt;0,
     COUNTIFS($X$2:$X$200,$G343)&gt;0,
     COUNTIFS($Y$2:$Y$200,$G343)&gt;0,
     COUNTIFS($Z$2:$Z$200,$G343)&gt;0,
     COUNTIFS($AA$2:$AA$200,$G343)&gt;0,
     COUNTIFS($AB$2:$AB$200,$G343)&gt;0,
     COUNTIFS($AC$2:$AC$200,$G343)&gt;0,
     COUNTIFS($AD$2:$AD$200,$G343)&gt;0,
     COUNTIFS($AE$2:$AE$200,$G343)&gt;0,
     COUNTIFS($AF$2:$AF$200,$G343)&gt;0,
     COUNTIFS($AG$2:$AG$200,$G343)&gt;0,
     COUNTIFS($AH$2:$AH$200,$G343)&gt;0,
     COUNTIFS($AI$2:$AI$200,$G343)&gt;0,
     COUNTIFS($AJ$2:$AJ$200,$G343)&gt;0,
     COUNTIFS($AK$2:$AK$200,$G343)&gt;0,
     COUNTIFS($AL$2:$AL$200,$G343)&gt;0,
     COUNTIFS($AM$2:$AM$200,$G343)&gt;0,
     COUNTIFS($AN$2:$AN$200,$G343)&gt;0,
     COUNTIFS($AO$2:$AO$200,$G343)&gt;0,
     COUNTIFS($AP$2:$AP$200,$G343)&gt;0,
     COUNTIFS($AQ$2:$AQ$200,$G343)&gt;0,
     COUNTIFS($AR$2:$AR$200,$G343)&gt;0,
     COUNTIFS($AS$2:$AS$200,$G343)&gt;0,
     COUNTIFS($AT$2:$AT$200,$G343)&gt;0,
     COUNTIFS($AU$2:$AU$200,$G343)&gt;0,
     COUNTIFS($AV$2:$AV$200,$G343)&gt;0,
     COUNTIFS($AW$2:$AW$200,$G343)&gt;0,
     COUNTIFS($AX$2:$AX$200,$G343)&gt;0
   )),
  ),
  2
 ),
"")</f>
        <v/>
      </c>
      <c r="E343" s="3" t="str" cm="1">
        <f t="array" aca="1" ref="E343" ca="1">IFERROR(
 INDEX(
  _xlfn._xlws.FILTER($U$1:$AX$1,
   TRANSPOSE(
    CHOOSE({1;2;3;4;5;6;7;8;9;10;11;12;13;14;15;16;17;18;19;20;21;22;23;24;25;26;27;28;29;30},
     COUNTIFS($U$2:$U$200,$G343)&gt;0,
     COUNTIFS($V$2:$V$200,$G343)&gt;0,
     COUNTIFS($W$2:$W$200,$G343)&gt;0,
     COUNTIFS($X$2:$X$200,$G343)&gt;0,
     COUNTIFS($Y$2:$Y$200,$G343)&gt;0,
     COUNTIFS($Z$2:$Z$200,$G343)&gt;0,
     COUNTIFS($AA$2:$AA$200,$G343)&gt;0,
     COUNTIFS($AB$2:$AB$200,$G343)&gt;0,
     COUNTIFS($AC$2:$AC$200,$G343)&gt;0,
     COUNTIFS($AD$2:$AD$200,$G343)&gt;0,
     COUNTIFS($AE$2:$AE$200,$G343)&gt;0,
     COUNTIFS($AF$2:$AF$200,$G343)&gt;0,
     COUNTIFS($AG$2:$AG$200,$G343)&gt;0,
     COUNTIFS($AH$2:$AH$200,$G343)&gt;0,
     COUNTIFS($AI$2:$AI$200,$G343)&gt;0,
     COUNTIFS($AJ$2:$AJ$200,$G343)&gt;0,
     COUNTIFS($AK$2:$AK$200,$G343)&gt;0,
     COUNTIFS($AL$2:$AL$200,$G343)&gt;0,
     COUNTIFS($AM$2:$AM$200,$G343)&gt;0,
     COUNTIFS($AN$2:$AN$200,$G343)&gt;0,
     COUNTIFS($AO$2:$AO$200,$G343)&gt;0,
     COUNTIFS($AP$2:$AP$200,$G343)&gt;0,
     COUNTIFS($AQ$2:$AQ$200,$G343)&gt;0,
     COUNTIFS($AR$2:$AR$200,$G343)&gt;0,
     COUNTIFS($AS$2:$AS$200,$G343)&gt;0,
     COUNTIFS($AT$2:$AT$200,$G343)&gt;0,
     COUNTIFS($AU$2:$AU$200,$G343)&gt;0,
     COUNTIFS($AV$2:$AV$200,$G343)&gt;0,
     COUNTIFS($AW$2:$AW$200,$G343)&gt;0,
     COUNTIFS($AX$2:$AX$200,$G343)&gt;0
   )),
  ),
  3
 ),
"")</f>
        <v/>
      </c>
      <c r="F343" s="3" t="str" cm="1">
        <f t="array" aca="1" ref="F343" ca="1">IFERROR(
 INDEX(
  _xlfn._xlws.FILTER($U$1:$AX$1,
   TRANSPOSE(
    CHOOSE({1;2;3;4;5;6;7;8;9;10;11;12;13;14;15;16;17;18;19;20;21;22;23;24;25;26;27;28;29;30},
     COUNTIFS($U$2:$U$200,$G343)&gt;0,
     COUNTIFS($V$2:$V$200,$G343)&gt;0,
     COUNTIFS($W$2:$W$200,$G343)&gt;0,
     COUNTIFS($X$2:$X$200,$G343)&gt;0,
     COUNTIFS($Y$2:$Y$200,$G343)&gt;0,
     COUNTIFS($Z$2:$Z$200,$G343)&gt;0,
     COUNTIFS($AA$2:$AA$200,$G343)&gt;0,
     COUNTIFS($AB$2:$AB$200,$G343)&gt;0,
     COUNTIFS($AC$2:$AC$200,$G343)&gt;0,
     COUNTIFS($AD$2:$AD$200,$G343)&gt;0,
     COUNTIFS($AE$2:$AE$200,$G343)&gt;0,
     COUNTIFS($AF$2:$AF$200,$G343)&gt;0,
     COUNTIFS($AG$2:$AG$200,$G343)&gt;0,
     COUNTIFS($AH$2:$AH$200,$G343)&gt;0,
     COUNTIFS($AI$2:$AI$200,$G343)&gt;0,
     COUNTIFS($AJ$2:$AJ$200,$G343)&gt;0,
     COUNTIFS($AK$2:$AK$200,$G343)&gt;0,
     COUNTIFS($AL$2:$AL$200,$G343)&gt;0,
     COUNTIFS($AM$2:$AM$200,$G343)&gt;0,
     COUNTIFS($AN$2:$AN$200,$G343)&gt;0,
     COUNTIFS($AO$2:$AO$200,$G343)&gt;0,
     COUNTIFS($AP$2:$AP$200,$G343)&gt;0,
     COUNTIFS($AQ$2:$AQ$200,$G343)&gt;0,
     COUNTIFS($AR$2:$AR$200,$G343)&gt;0,
     COUNTIFS($AS$2:$AS$200,$G343)&gt;0,
     COUNTIFS($AT$2:$AT$200,$G343)&gt;0,
     COUNTIFS($AU$2:$AU$200,$G343)&gt;0,
     COUNTIFS($AV$2:$AV$200,$G343)&gt;0,
     COUNTIFS($AW$2:$AW$200,$G343)&gt;0,
     COUNTIFS($AX$2:$AX$200,$G343)&gt;0
   )),
  ),
  4
 ),
"")</f>
        <v/>
      </c>
      <c r="G343" t="str">
        <f ca="1"/>
        <v>The Great Henge</v>
      </c>
    </row>
    <row r="344" spans="1:7" x14ac:dyDescent="0.25">
      <c r="A344" s="3" t="str">
        <f t="shared" ca="1" si="12"/>
        <v>2</v>
      </c>
      <c r="B344" s="3">
        <f t="shared" ca="1" si="13"/>
        <v>1</v>
      </c>
      <c r="C344" s="3" t="str">
        <f ca="1">IFERROR(
 INDEX($U$1:$AX$1,
  MATCH(TRUE,
   CHOOSE({1;2;3;4;5;6;7;8;9;10;11;12;13;14;15;16;17;18;19;20;21;22;23;24;25;26;27;28;29;30;31;32},
    COUNTIFS($U$2:$U$200,$G344)&gt;0,
    COUNTIFS($V$2:$V$200,$G344)&gt;0,
    COUNTIFS($W$2:$W$200,$G344)&gt;0,
    COUNTIFS($X$2:$X$200,$G344)&gt;0,
    COUNTIFS($Y$2:$Y$200,$G344)&gt;0,
    COUNTIFS($Z$2:$Z$200,$G344)&gt;0,
    COUNTIFS($AA$2:$AA$200,$G344)&gt;0,
    COUNTIFS($AB$2:$AB$200,$G344)&gt;0,
    COUNTIFS($AC$2:$AC$200,$G344)&gt;0,
    COUNTIFS($AD$2:$AD$200,$G344)&gt;0,
    COUNTIFS($AE$2:$AE$200,$G344)&gt;0,
    COUNTIFS($AF$2:$AF$200,$G344)&gt;0,
    COUNTIFS($AG$2:$AG$200,$G344)&gt;0,
    COUNTIFS($AH$2:$AH$200,$G344)&gt;0,
    COUNTIFS($AI$2:$AI$200,$G344)&gt;0,
    COUNTIFS($AJ$2:$AJ$200,$G344)&gt;0,
    COUNTIFS($AK$2:$AK$200,$G344)&gt;0,
    COUNTIFS($AL$2:$AL$200,$G344)&gt;0,
    COUNTIFS($AM$2:$AM$200,$G344)&gt;0,
    COUNTIFS($AN$2:$AN$200,$G344)&gt;0,
    COUNTIFS($AO$2:$AO$200,$G344)&gt;0,
    COUNTIFS($AP$2:$AP$200,$G344)&gt;0,
    COUNTIFS($AQ$2:$AQ$200,$G344)&gt;0,
    COUNTIFS($AR$2:$AR$200,$G344)&gt;0,
    COUNTIFS($AS$2:$AS$200,$G344)&gt;0,
    COUNTIFS($AT$2:$AT$200,$G344)&gt;0,
    COUNTIFS($AU$2:$AU$200,$G344)&gt;0,
    COUNTIFS($AV$2:$AV$200,$G344)&gt;0,
    COUNTIFS($AW$2:$AW$200,$G344)&gt;0,
    COUNTIFS($AX$2:$AX$200,$G344)&gt;0
   ),
  0)
 ),
"")</f>
        <v>Piratas</v>
      </c>
      <c r="D344" s="3" t="str" cm="1">
        <f t="array" aca="1" ref="D344" ca="1">IFERROR(
 INDEX(
  _xlfn._xlws.FILTER($U$1:$AX$1,
   TRANSPOSE(
    CHOOSE({1;2;3;4;5;6;7;8;9;10;11;12;13;14;15;16;17;18;19;20;21;22;23;24;25;26;27;28;29;30},
     COUNTIFS($U$2:$U$200,$G344)&gt;0,
     COUNTIFS($V$2:$V$200,$G344)&gt;0,
     COUNTIFS($W$2:$W$200,$G344)&gt;0,
     COUNTIFS($X$2:$X$200,$G344)&gt;0,
     COUNTIFS($Y$2:$Y$200,$G344)&gt;0,
     COUNTIFS($Z$2:$Z$200,$G344)&gt;0,
     COUNTIFS($AA$2:$AA$200,$G344)&gt;0,
     COUNTIFS($AB$2:$AB$200,$G344)&gt;0,
     COUNTIFS($AC$2:$AC$200,$G344)&gt;0,
     COUNTIFS($AD$2:$AD$200,$G344)&gt;0,
     COUNTIFS($AE$2:$AE$200,$G344)&gt;0,
     COUNTIFS($AF$2:$AF$200,$G344)&gt;0,
     COUNTIFS($AG$2:$AG$200,$G344)&gt;0,
     COUNTIFS($AH$2:$AH$200,$G344)&gt;0,
     COUNTIFS($AI$2:$AI$200,$G344)&gt;0,
     COUNTIFS($AJ$2:$AJ$200,$G344)&gt;0,
     COUNTIFS($AK$2:$AK$200,$G344)&gt;0,
     COUNTIFS($AL$2:$AL$200,$G344)&gt;0,
     COUNTIFS($AM$2:$AM$200,$G344)&gt;0,
     COUNTIFS($AN$2:$AN$200,$G344)&gt;0,
     COUNTIFS($AO$2:$AO$200,$G344)&gt;0,
     COUNTIFS($AP$2:$AP$200,$G344)&gt;0,
     COUNTIFS($AQ$2:$AQ$200,$G344)&gt;0,
     COUNTIFS($AR$2:$AR$200,$G344)&gt;0,
     COUNTIFS($AS$2:$AS$200,$G344)&gt;0,
     COUNTIFS($AT$2:$AT$200,$G344)&gt;0,
     COUNTIFS($AU$2:$AU$200,$G344)&gt;0,
     COUNTIFS($AV$2:$AV$200,$G344)&gt;0,
     COUNTIFS($AW$2:$AW$200,$G344)&gt;0,
     COUNTIFS($AX$2:$AX$200,$G344)&gt;0
   )),
  ),
  2
 ),
"")</f>
        <v/>
      </c>
      <c r="E344" s="3" t="str" cm="1">
        <f t="array" aca="1" ref="E344" ca="1">IFERROR(
 INDEX(
  _xlfn._xlws.FILTER($U$1:$AX$1,
   TRANSPOSE(
    CHOOSE({1;2;3;4;5;6;7;8;9;10;11;12;13;14;15;16;17;18;19;20;21;22;23;24;25;26;27;28;29;30},
     COUNTIFS($U$2:$U$200,$G344)&gt;0,
     COUNTIFS($V$2:$V$200,$G344)&gt;0,
     COUNTIFS($W$2:$W$200,$G344)&gt;0,
     COUNTIFS($X$2:$X$200,$G344)&gt;0,
     COUNTIFS($Y$2:$Y$200,$G344)&gt;0,
     COUNTIFS($Z$2:$Z$200,$G344)&gt;0,
     COUNTIFS($AA$2:$AA$200,$G344)&gt;0,
     COUNTIFS($AB$2:$AB$200,$G344)&gt;0,
     COUNTIFS($AC$2:$AC$200,$G344)&gt;0,
     COUNTIFS($AD$2:$AD$200,$G344)&gt;0,
     COUNTIFS($AE$2:$AE$200,$G344)&gt;0,
     COUNTIFS($AF$2:$AF$200,$G344)&gt;0,
     COUNTIFS($AG$2:$AG$200,$G344)&gt;0,
     COUNTIFS($AH$2:$AH$200,$G344)&gt;0,
     COUNTIFS($AI$2:$AI$200,$G344)&gt;0,
     COUNTIFS($AJ$2:$AJ$200,$G344)&gt;0,
     COUNTIFS($AK$2:$AK$200,$G344)&gt;0,
     COUNTIFS($AL$2:$AL$200,$G344)&gt;0,
     COUNTIFS($AM$2:$AM$200,$G344)&gt;0,
     COUNTIFS($AN$2:$AN$200,$G344)&gt;0,
     COUNTIFS($AO$2:$AO$200,$G344)&gt;0,
     COUNTIFS($AP$2:$AP$200,$G344)&gt;0,
     COUNTIFS($AQ$2:$AQ$200,$G344)&gt;0,
     COUNTIFS($AR$2:$AR$200,$G344)&gt;0,
     COUNTIFS($AS$2:$AS$200,$G344)&gt;0,
     COUNTIFS($AT$2:$AT$200,$G344)&gt;0,
     COUNTIFS($AU$2:$AU$200,$G344)&gt;0,
     COUNTIFS($AV$2:$AV$200,$G344)&gt;0,
     COUNTIFS($AW$2:$AW$200,$G344)&gt;0,
     COUNTIFS($AX$2:$AX$200,$G344)&gt;0
   )),
  ),
  3
 ),
"")</f>
        <v/>
      </c>
      <c r="F344" s="3" t="str" cm="1">
        <f t="array" aca="1" ref="F344" ca="1">IFERROR(
 INDEX(
  _xlfn._xlws.FILTER($U$1:$AX$1,
   TRANSPOSE(
    CHOOSE({1;2;3;4;5;6;7;8;9;10;11;12;13;14;15;16;17;18;19;20;21;22;23;24;25;26;27;28;29;30},
     COUNTIFS($U$2:$U$200,$G344)&gt;0,
     COUNTIFS($V$2:$V$200,$G344)&gt;0,
     COUNTIFS($W$2:$W$200,$G344)&gt;0,
     COUNTIFS($X$2:$X$200,$G344)&gt;0,
     COUNTIFS($Y$2:$Y$200,$G344)&gt;0,
     COUNTIFS($Z$2:$Z$200,$G344)&gt;0,
     COUNTIFS($AA$2:$AA$200,$G344)&gt;0,
     COUNTIFS($AB$2:$AB$200,$G344)&gt;0,
     COUNTIFS($AC$2:$AC$200,$G344)&gt;0,
     COUNTIFS($AD$2:$AD$200,$G344)&gt;0,
     COUNTIFS($AE$2:$AE$200,$G344)&gt;0,
     COUNTIFS($AF$2:$AF$200,$G344)&gt;0,
     COUNTIFS($AG$2:$AG$200,$G344)&gt;0,
     COUNTIFS($AH$2:$AH$200,$G344)&gt;0,
     COUNTIFS($AI$2:$AI$200,$G344)&gt;0,
     COUNTIFS($AJ$2:$AJ$200,$G344)&gt;0,
     COUNTIFS($AK$2:$AK$200,$G344)&gt;0,
     COUNTIFS($AL$2:$AL$200,$G344)&gt;0,
     COUNTIFS($AM$2:$AM$200,$G344)&gt;0,
     COUNTIFS($AN$2:$AN$200,$G344)&gt;0,
     COUNTIFS($AO$2:$AO$200,$G344)&gt;0,
     COUNTIFS($AP$2:$AP$200,$G344)&gt;0,
     COUNTIFS($AQ$2:$AQ$200,$G344)&gt;0,
     COUNTIFS($AR$2:$AR$200,$G344)&gt;0,
     COUNTIFS($AS$2:$AS$200,$G344)&gt;0,
     COUNTIFS($AT$2:$AT$200,$G344)&gt;0,
     COUNTIFS($AU$2:$AU$200,$G344)&gt;0,
     COUNTIFS($AV$2:$AV$200,$G344)&gt;0,
     COUNTIFS($AW$2:$AW$200,$G344)&gt;0,
     COUNTIFS($AX$2:$AX$200,$G344)&gt;0
   )),
  ),
  4
 ),
"")</f>
        <v/>
      </c>
      <c r="G344" t="str">
        <f ca="1"/>
        <v>The Indomitable</v>
      </c>
    </row>
    <row r="345" spans="1:7" x14ac:dyDescent="0.25">
      <c r="A345" s="3" t="str">
        <f t="shared" ca="1" si="12"/>
        <v>1</v>
      </c>
      <c r="B345" s="3">
        <f t="shared" ca="1" si="13"/>
        <v>1</v>
      </c>
      <c r="C345" s="3" t="str">
        <f ca="1">IFERROR(
 INDEX($U$1:$AX$1,
  MATCH(TRUE,
   CHOOSE({1;2;3;4;5;6;7;8;9;10;11;12;13;14;15;16;17;18;19;20;21;22;23;24;25;26;27;28;29;30;31;32},
    COUNTIFS($U$2:$U$200,$G345)&gt;0,
    COUNTIFS($V$2:$V$200,$G345)&gt;0,
    COUNTIFS($W$2:$W$200,$G345)&gt;0,
    COUNTIFS($X$2:$X$200,$G345)&gt;0,
    COUNTIFS($Y$2:$Y$200,$G345)&gt;0,
    COUNTIFS($Z$2:$Z$200,$G345)&gt;0,
    COUNTIFS($AA$2:$AA$200,$G345)&gt;0,
    COUNTIFS($AB$2:$AB$200,$G345)&gt;0,
    COUNTIFS($AC$2:$AC$200,$G345)&gt;0,
    COUNTIFS($AD$2:$AD$200,$G345)&gt;0,
    COUNTIFS($AE$2:$AE$200,$G345)&gt;0,
    COUNTIFS($AF$2:$AF$200,$G345)&gt;0,
    COUNTIFS($AG$2:$AG$200,$G345)&gt;0,
    COUNTIFS($AH$2:$AH$200,$G345)&gt;0,
    COUNTIFS($AI$2:$AI$200,$G345)&gt;0,
    COUNTIFS($AJ$2:$AJ$200,$G345)&gt;0,
    COUNTIFS($AK$2:$AK$200,$G345)&gt;0,
    COUNTIFS($AL$2:$AL$200,$G345)&gt;0,
    COUNTIFS($AM$2:$AM$200,$G345)&gt;0,
    COUNTIFS($AN$2:$AN$200,$G345)&gt;0,
    COUNTIFS($AO$2:$AO$200,$G345)&gt;0,
    COUNTIFS($AP$2:$AP$200,$G345)&gt;0,
    COUNTIFS($AQ$2:$AQ$200,$G345)&gt;0,
    COUNTIFS($AR$2:$AR$200,$G345)&gt;0,
    COUNTIFS($AS$2:$AS$200,$G345)&gt;0,
    COUNTIFS($AT$2:$AT$200,$G345)&gt;0,
    COUNTIFS($AU$2:$AU$200,$G345)&gt;0,
    COUNTIFS($AV$2:$AV$200,$G345)&gt;0,
    COUNTIFS($AW$2:$AW$200,$G345)&gt;0,
    COUNTIFS($AX$2:$AX$200,$G345)&gt;0
   ),
  0)
 ),
"")</f>
        <v>Modular</v>
      </c>
      <c r="D345" s="3" t="str" cm="1">
        <f t="array" aca="1" ref="D345" ca="1">IFERROR(
 INDEX(
  _xlfn._xlws.FILTER($U$1:$AX$1,
   TRANSPOSE(
    CHOOSE({1;2;3;4;5;6;7;8;9;10;11;12;13;14;15;16;17;18;19;20;21;22;23;24;25;26;27;28;29;30},
     COUNTIFS($U$2:$U$200,$G345)&gt;0,
     COUNTIFS($V$2:$V$200,$G345)&gt;0,
     COUNTIFS($W$2:$W$200,$G345)&gt;0,
     COUNTIFS($X$2:$X$200,$G345)&gt;0,
     COUNTIFS($Y$2:$Y$200,$G345)&gt;0,
     COUNTIFS($Z$2:$Z$200,$G345)&gt;0,
     COUNTIFS($AA$2:$AA$200,$G345)&gt;0,
     COUNTIFS($AB$2:$AB$200,$G345)&gt;0,
     COUNTIFS($AC$2:$AC$200,$G345)&gt;0,
     COUNTIFS($AD$2:$AD$200,$G345)&gt;0,
     COUNTIFS($AE$2:$AE$200,$G345)&gt;0,
     COUNTIFS($AF$2:$AF$200,$G345)&gt;0,
     COUNTIFS($AG$2:$AG$200,$G345)&gt;0,
     COUNTIFS($AH$2:$AH$200,$G345)&gt;0,
     COUNTIFS($AI$2:$AI$200,$G345)&gt;0,
     COUNTIFS($AJ$2:$AJ$200,$G345)&gt;0,
     COUNTIFS($AK$2:$AK$200,$G345)&gt;0,
     COUNTIFS($AL$2:$AL$200,$G345)&gt;0,
     COUNTIFS($AM$2:$AM$200,$G345)&gt;0,
     COUNTIFS($AN$2:$AN$200,$G345)&gt;0,
     COUNTIFS($AO$2:$AO$200,$G345)&gt;0,
     COUNTIFS($AP$2:$AP$200,$G345)&gt;0,
     COUNTIFS($AQ$2:$AQ$200,$G345)&gt;0,
     COUNTIFS($AR$2:$AR$200,$G345)&gt;0,
     COUNTIFS($AS$2:$AS$200,$G345)&gt;0,
     COUNTIFS($AT$2:$AT$200,$G345)&gt;0,
     COUNTIFS($AU$2:$AU$200,$G345)&gt;0,
     COUNTIFS($AV$2:$AV$200,$G345)&gt;0,
     COUNTIFS($AW$2:$AW$200,$G345)&gt;0,
     COUNTIFS($AX$2:$AX$200,$G345)&gt;0
   )),
  ),
  2
 ),
"")</f>
        <v/>
      </c>
      <c r="E345" s="3" t="str" cm="1">
        <f t="array" aca="1" ref="E345" ca="1">IFERROR(
 INDEX(
  _xlfn._xlws.FILTER($U$1:$AX$1,
   TRANSPOSE(
    CHOOSE({1;2;3;4;5;6;7;8;9;10;11;12;13;14;15;16;17;18;19;20;21;22;23;24;25;26;27;28;29;30},
     COUNTIFS($U$2:$U$200,$G345)&gt;0,
     COUNTIFS($V$2:$V$200,$G345)&gt;0,
     COUNTIFS($W$2:$W$200,$G345)&gt;0,
     COUNTIFS($X$2:$X$200,$G345)&gt;0,
     COUNTIFS($Y$2:$Y$200,$G345)&gt;0,
     COUNTIFS($Z$2:$Z$200,$G345)&gt;0,
     COUNTIFS($AA$2:$AA$200,$G345)&gt;0,
     COUNTIFS($AB$2:$AB$200,$G345)&gt;0,
     COUNTIFS($AC$2:$AC$200,$G345)&gt;0,
     COUNTIFS($AD$2:$AD$200,$G345)&gt;0,
     COUNTIFS($AE$2:$AE$200,$G345)&gt;0,
     COUNTIFS($AF$2:$AF$200,$G345)&gt;0,
     COUNTIFS($AG$2:$AG$200,$G345)&gt;0,
     COUNTIFS($AH$2:$AH$200,$G345)&gt;0,
     COUNTIFS($AI$2:$AI$200,$G345)&gt;0,
     COUNTIFS($AJ$2:$AJ$200,$G345)&gt;0,
     COUNTIFS($AK$2:$AK$200,$G345)&gt;0,
     COUNTIFS($AL$2:$AL$200,$G345)&gt;0,
     COUNTIFS($AM$2:$AM$200,$G345)&gt;0,
     COUNTIFS($AN$2:$AN$200,$G345)&gt;0,
     COUNTIFS($AO$2:$AO$200,$G345)&gt;0,
     COUNTIFS($AP$2:$AP$200,$G345)&gt;0,
     COUNTIFS($AQ$2:$AQ$200,$G345)&gt;0,
     COUNTIFS($AR$2:$AR$200,$G345)&gt;0,
     COUNTIFS($AS$2:$AS$200,$G345)&gt;0,
     COUNTIFS($AT$2:$AT$200,$G345)&gt;0,
     COUNTIFS($AU$2:$AU$200,$G345)&gt;0,
     COUNTIFS($AV$2:$AV$200,$G345)&gt;0,
     COUNTIFS($AW$2:$AW$200,$G345)&gt;0,
     COUNTIFS($AX$2:$AX$200,$G345)&gt;0
   )),
  ),
  3
 ),
"")</f>
        <v/>
      </c>
      <c r="F345" s="3" t="str" cm="1">
        <f t="array" aca="1" ref="F345" ca="1">IFERROR(
 INDEX(
  _xlfn._xlws.FILTER($U$1:$AX$1,
   TRANSPOSE(
    CHOOSE({1;2;3;4;5;6;7;8;9;10;11;12;13;14;15;16;17;18;19;20;21;22;23;24;25;26;27;28;29;30},
     COUNTIFS($U$2:$U$200,$G345)&gt;0,
     COUNTIFS($V$2:$V$200,$G345)&gt;0,
     COUNTIFS($W$2:$W$200,$G345)&gt;0,
     COUNTIFS($X$2:$X$200,$G345)&gt;0,
     COUNTIFS($Y$2:$Y$200,$G345)&gt;0,
     COUNTIFS($Z$2:$Z$200,$G345)&gt;0,
     COUNTIFS($AA$2:$AA$200,$G345)&gt;0,
     COUNTIFS($AB$2:$AB$200,$G345)&gt;0,
     COUNTIFS($AC$2:$AC$200,$G345)&gt;0,
     COUNTIFS($AD$2:$AD$200,$G345)&gt;0,
     COUNTIFS($AE$2:$AE$200,$G345)&gt;0,
     COUNTIFS($AF$2:$AF$200,$G345)&gt;0,
     COUNTIFS($AG$2:$AG$200,$G345)&gt;0,
     COUNTIFS($AH$2:$AH$200,$G345)&gt;0,
     COUNTIFS($AI$2:$AI$200,$G345)&gt;0,
     COUNTIFS($AJ$2:$AJ$200,$G345)&gt;0,
     COUNTIFS($AK$2:$AK$200,$G345)&gt;0,
     COUNTIFS($AL$2:$AL$200,$G345)&gt;0,
     COUNTIFS($AM$2:$AM$200,$G345)&gt;0,
     COUNTIFS($AN$2:$AN$200,$G345)&gt;0,
     COUNTIFS($AO$2:$AO$200,$G345)&gt;0,
     COUNTIFS($AP$2:$AP$200,$G345)&gt;0,
     COUNTIFS($AQ$2:$AQ$200,$G345)&gt;0,
     COUNTIFS($AR$2:$AR$200,$G345)&gt;0,
     COUNTIFS($AS$2:$AS$200,$G345)&gt;0,
     COUNTIFS($AT$2:$AT$200,$G345)&gt;0,
     COUNTIFS($AU$2:$AU$200,$G345)&gt;0,
     COUNTIFS($AV$2:$AV$200,$G345)&gt;0,
     COUNTIFS($AW$2:$AW$200,$G345)&gt;0,
     COUNTIFS($AX$2:$AX$200,$G345)&gt;0
   )),
  ),
  4
 ),
"")</f>
        <v/>
      </c>
      <c r="G345" t="str">
        <f ca="1"/>
        <v>The Jolly Balloon Man</v>
      </c>
    </row>
    <row r="346" spans="1:7" x14ac:dyDescent="0.25">
      <c r="A346" s="3" t="str">
        <f t="shared" ca="1" si="12"/>
        <v>4</v>
      </c>
      <c r="B346" s="3">
        <f t="shared" ca="1" si="13"/>
        <v>1</v>
      </c>
      <c r="C346" s="3" t="str">
        <f ca="1">IFERROR(
 INDEX($U$1:$AX$1,
  MATCH(TRUE,
   CHOOSE({1;2;3;4;5;6;7;8;9;10;11;12;13;14;15;16;17;18;19;20;21;22;23;24;25;26;27;28;29;30;31;32},
    COUNTIFS($U$2:$U$200,$G346)&gt;0,
    COUNTIFS($V$2:$V$200,$G346)&gt;0,
    COUNTIFS($W$2:$W$200,$G346)&gt;0,
    COUNTIFS($X$2:$X$200,$G346)&gt;0,
    COUNTIFS($Y$2:$Y$200,$G346)&gt;0,
    COUNTIFS($Z$2:$Z$200,$G346)&gt;0,
    COUNTIFS($AA$2:$AA$200,$G346)&gt;0,
    COUNTIFS($AB$2:$AB$200,$G346)&gt;0,
    COUNTIFS($AC$2:$AC$200,$G346)&gt;0,
    COUNTIFS($AD$2:$AD$200,$G346)&gt;0,
    COUNTIFS($AE$2:$AE$200,$G346)&gt;0,
    COUNTIFS($AF$2:$AF$200,$G346)&gt;0,
    COUNTIFS($AG$2:$AG$200,$G346)&gt;0,
    COUNTIFS($AH$2:$AH$200,$G346)&gt;0,
    COUNTIFS($AI$2:$AI$200,$G346)&gt;0,
    COUNTIFS($AJ$2:$AJ$200,$G346)&gt;0,
    COUNTIFS($AK$2:$AK$200,$G346)&gt;0,
    COUNTIFS($AL$2:$AL$200,$G346)&gt;0,
    COUNTIFS($AM$2:$AM$200,$G346)&gt;0,
    COUNTIFS($AN$2:$AN$200,$G346)&gt;0,
    COUNTIFS($AO$2:$AO$200,$G346)&gt;0,
    COUNTIFS($AP$2:$AP$200,$G346)&gt;0,
    COUNTIFS($AQ$2:$AQ$200,$G346)&gt;0,
    COUNTIFS($AR$2:$AR$200,$G346)&gt;0,
    COUNTIFS($AS$2:$AS$200,$G346)&gt;0,
    COUNTIFS($AT$2:$AT$200,$G346)&gt;0,
    COUNTIFS($AU$2:$AU$200,$G346)&gt;0,
    COUNTIFS($AV$2:$AV$200,$G346)&gt;0,
    COUNTIFS($AW$2:$AW$200,$G346)&gt;0,
    COUNTIFS($AX$2:$AX$200,$G346)&gt;0
   ),
  0)
 ),
"")</f>
        <v>Kresh</v>
      </c>
      <c r="D346" s="3" t="str" cm="1">
        <f t="array" aca="1" ref="D346" ca="1">IFERROR(
 INDEX(
  _xlfn._xlws.FILTER($U$1:$AX$1,
   TRANSPOSE(
    CHOOSE({1;2;3;4;5;6;7;8;9;10;11;12;13;14;15;16;17;18;19;20;21;22;23;24;25;26;27;28;29;30},
     COUNTIFS($U$2:$U$200,$G346)&gt;0,
     COUNTIFS($V$2:$V$200,$G346)&gt;0,
     COUNTIFS($W$2:$W$200,$G346)&gt;0,
     COUNTIFS($X$2:$X$200,$G346)&gt;0,
     COUNTIFS($Y$2:$Y$200,$G346)&gt;0,
     COUNTIFS($Z$2:$Z$200,$G346)&gt;0,
     COUNTIFS($AA$2:$AA$200,$G346)&gt;0,
     COUNTIFS($AB$2:$AB$200,$G346)&gt;0,
     COUNTIFS($AC$2:$AC$200,$G346)&gt;0,
     COUNTIFS($AD$2:$AD$200,$G346)&gt;0,
     COUNTIFS($AE$2:$AE$200,$G346)&gt;0,
     COUNTIFS($AF$2:$AF$200,$G346)&gt;0,
     COUNTIFS($AG$2:$AG$200,$G346)&gt;0,
     COUNTIFS($AH$2:$AH$200,$G346)&gt;0,
     COUNTIFS($AI$2:$AI$200,$G346)&gt;0,
     COUNTIFS($AJ$2:$AJ$200,$G346)&gt;0,
     COUNTIFS($AK$2:$AK$200,$G346)&gt;0,
     COUNTIFS($AL$2:$AL$200,$G346)&gt;0,
     COUNTIFS($AM$2:$AM$200,$G346)&gt;0,
     COUNTIFS($AN$2:$AN$200,$G346)&gt;0,
     COUNTIFS($AO$2:$AO$200,$G346)&gt;0,
     COUNTIFS($AP$2:$AP$200,$G346)&gt;0,
     COUNTIFS($AQ$2:$AQ$200,$G346)&gt;0,
     COUNTIFS($AR$2:$AR$200,$G346)&gt;0,
     COUNTIFS($AS$2:$AS$200,$G346)&gt;0,
     COUNTIFS($AT$2:$AT$200,$G346)&gt;0,
     COUNTIFS($AU$2:$AU$200,$G346)&gt;0,
     COUNTIFS($AV$2:$AV$200,$G346)&gt;0,
     COUNTIFS($AW$2:$AW$200,$G346)&gt;0,
     COUNTIFS($AX$2:$AX$200,$G346)&gt;0
   )),
  ),
  2
 ),
"")</f>
        <v/>
      </c>
      <c r="E346" s="3" t="str" cm="1">
        <f t="array" aca="1" ref="E346" ca="1">IFERROR(
 INDEX(
  _xlfn._xlws.FILTER($U$1:$AX$1,
   TRANSPOSE(
    CHOOSE({1;2;3;4;5;6;7;8;9;10;11;12;13;14;15;16;17;18;19;20;21;22;23;24;25;26;27;28;29;30},
     COUNTIFS($U$2:$U$200,$G346)&gt;0,
     COUNTIFS($V$2:$V$200,$G346)&gt;0,
     COUNTIFS($W$2:$W$200,$G346)&gt;0,
     COUNTIFS($X$2:$X$200,$G346)&gt;0,
     COUNTIFS($Y$2:$Y$200,$G346)&gt;0,
     COUNTIFS($Z$2:$Z$200,$G346)&gt;0,
     COUNTIFS($AA$2:$AA$200,$G346)&gt;0,
     COUNTIFS($AB$2:$AB$200,$G346)&gt;0,
     COUNTIFS($AC$2:$AC$200,$G346)&gt;0,
     COUNTIFS($AD$2:$AD$200,$G346)&gt;0,
     COUNTIFS($AE$2:$AE$200,$G346)&gt;0,
     COUNTIFS($AF$2:$AF$200,$G346)&gt;0,
     COUNTIFS($AG$2:$AG$200,$G346)&gt;0,
     COUNTIFS($AH$2:$AH$200,$G346)&gt;0,
     COUNTIFS($AI$2:$AI$200,$G346)&gt;0,
     COUNTIFS($AJ$2:$AJ$200,$G346)&gt;0,
     COUNTIFS($AK$2:$AK$200,$G346)&gt;0,
     COUNTIFS($AL$2:$AL$200,$G346)&gt;0,
     COUNTIFS($AM$2:$AM$200,$G346)&gt;0,
     COUNTIFS($AN$2:$AN$200,$G346)&gt;0,
     COUNTIFS($AO$2:$AO$200,$G346)&gt;0,
     COUNTIFS($AP$2:$AP$200,$G346)&gt;0,
     COUNTIFS($AQ$2:$AQ$200,$G346)&gt;0,
     COUNTIFS($AR$2:$AR$200,$G346)&gt;0,
     COUNTIFS($AS$2:$AS$200,$G346)&gt;0,
     COUNTIFS($AT$2:$AT$200,$G346)&gt;0,
     COUNTIFS($AU$2:$AU$200,$G346)&gt;0,
     COUNTIFS($AV$2:$AV$200,$G346)&gt;0,
     COUNTIFS($AW$2:$AW$200,$G346)&gt;0,
     COUNTIFS($AX$2:$AX$200,$G346)&gt;0
   )),
  ),
  3
 ),
"")</f>
        <v/>
      </c>
      <c r="F346" s="3" t="str" cm="1">
        <f t="array" aca="1" ref="F346" ca="1">IFERROR(
 INDEX(
  _xlfn._xlws.FILTER($U$1:$AX$1,
   TRANSPOSE(
    CHOOSE({1;2;3;4;5;6;7;8;9;10;11;12;13;14;15;16;17;18;19;20;21;22;23;24;25;26;27;28;29;30},
     COUNTIFS($U$2:$U$200,$G346)&gt;0,
     COUNTIFS($V$2:$V$200,$G346)&gt;0,
     COUNTIFS($W$2:$W$200,$G346)&gt;0,
     COUNTIFS($X$2:$X$200,$G346)&gt;0,
     COUNTIFS($Y$2:$Y$200,$G346)&gt;0,
     COUNTIFS($Z$2:$Z$200,$G346)&gt;0,
     COUNTIFS($AA$2:$AA$200,$G346)&gt;0,
     COUNTIFS($AB$2:$AB$200,$G346)&gt;0,
     COUNTIFS($AC$2:$AC$200,$G346)&gt;0,
     COUNTIFS($AD$2:$AD$200,$G346)&gt;0,
     COUNTIFS($AE$2:$AE$200,$G346)&gt;0,
     COUNTIFS($AF$2:$AF$200,$G346)&gt;0,
     COUNTIFS($AG$2:$AG$200,$G346)&gt;0,
     COUNTIFS($AH$2:$AH$200,$G346)&gt;0,
     COUNTIFS($AI$2:$AI$200,$G346)&gt;0,
     COUNTIFS($AJ$2:$AJ$200,$G346)&gt;0,
     COUNTIFS($AK$2:$AK$200,$G346)&gt;0,
     COUNTIFS($AL$2:$AL$200,$G346)&gt;0,
     COUNTIFS($AM$2:$AM$200,$G346)&gt;0,
     COUNTIFS($AN$2:$AN$200,$G346)&gt;0,
     COUNTIFS($AO$2:$AO$200,$G346)&gt;0,
     COUNTIFS($AP$2:$AP$200,$G346)&gt;0,
     COUNTIFS($AQ$2:$AQ$200,$G346)&gt;0,
     COUNTIFS($AR$2:$AR$200,$G346)&gt;0,
     COUNTIFS($AS$2:$AS$200,$G346)&gt;0,
     COUNTIFS($AT$2:$AT$200,$G346)&gt;0,
     COUNTIFS($AU$2:$AU$200,$G346)&gt;0,
     COUNTIFS($AV$2:$AV$200,$G346)&gt;0,
     COUNTIFS($AW$2:$AW$200,$G346)&gt;0,
     COUNTIFS($AX$2:$AX$200,$G346)&gt;0
   )),
  ),
  4
 ),
"")</f>
        <v/>
      </c>
      <c r="G346" t="str">
        <f ca="1"/>
        <v>The Masamune</v>
      </c>
    </row>
    <row r="347" spans="1:7" x14ac:dyDescent="0.25">
      <c r="A347" s="3" t="str">
        <f t="shared" ca="1" si="12"/>
        <v>3</v>
      </c>
      <c r="B347" s="3">
        <f t="shared" ca="1" si="13"/>
        <v>1</v>
      </c>
      <c r="C347" s="3" t="str">
        <f ca="1">IFERROR(
 INDEX($U$1:$AX$1,
  MATCH(TRUE,
   CHOOSE({1;2;3;4;5;6;7;8;9;10;11;12;13;14;15;16;17;18;19;20;21;22;23;24;25;26;27;28;29;30;31;32},
    COUNTIFS($U$2:$U$200,$G347)&gt;0,
    COUNTIFS($V$2:$V$200,$G347)&gt;0,
    COUNTIFS($W$2:$W$200,$G347)&gt;0,
    COUNTIFS($X$2:$X$200,$G347)&gt;0,
    COUNTIFS($Y$2:$Y$200,$G347)&gt;0,
    COUNTIFS($Z$2:$Z$200,$G347)&gt;0,
    COUNTIFS($AA$2:$AA$200,$G347)&gt;0,
    COUNTIFS($AB$2:$AB$200,$G347)&gt;0,
    COUNTIFS($AC$2:$AC$200,$G347)&gt;0,
    COUNTIFS($AD$2:$AD$200,$G347)&gt;0,
    COUNTIFS($AE$2:$AE$200,$G347)&gt;0,
    COUNTIFS($AF$2:$AF$200,$G347)&gt;0,
    COUNTIFS($AG$2:$AG$200,$G347)&gt;0,
    COUNTIFS($AH$2:$AH$200,$G347)&gt;0,
    COUNTIFS($AI$2:$AI$200,$G347)&gt;0,
    COUNTIFS($AJ$2:$AJ$200,$G347)&gt;0,
    COUNTIFS($AK$2:$AK$200,$G347)&gt;0,
    COUNTIFS($AL$2:$AL$200,$G347)&gt;0,
    COUNTIFS($AM$2:$AM$200,$G347)&gt;0,
    COUNTIFS($AN$2:$AN$200,$G347)&gt;0,
    COUNTIFS($AO$2:$AO$200,$G347)&gt;0,
    COUNTIFS($AP$2:$AP$200,$G347)&gt;0,
    COUNTIFS($AQ$2:$AQ$200,$G347)&gt;0,
    COUNTIFS($AR$2:$AR$200,$G347)&gt;0,
    COUNTIFS($AS$2:$AS$200,$G347)&gt;0,
    COUNTIFS($AT$2:$AT$200,$G347)&gt;0,
    COUNTIFS($AU$2:$AU$200,$G347)&gt;0,
    COUNTIFS($AV$2:$AV$200,$G347)&gt;0,
    COUNTIFS($AW$2:$AW$200,$G347)&gt;0,
    COUNTIFS($AX$2:$AX$200,$G347)&gt;0
   ),
  0)
 ),
"")</f>
        <v>Muzzio</v>
      </c>
      <c r="D347" s="3" t="str" cm="1">
        <f t="array" aca="1" ref="D347" ca="1">IFERROR(
 INDEX(
  _xlfn._xlws.FILTER($U$1:$AX$1,
   TRANSPOSE(
    CHOOSE({1;2;3;4;5;6;7;8;9;10;11;12;13;14;15;16;17;18;19;20;21;22;23;24;25;26;27;28;29;30},
     COUNTIFS($U$2:$U$200,$G347)&gt;0,
     COUNTIFS($V$2:$V$200,$G347)&gt;0,
     COUNTIFS($W$2:$W$200,$G347)&gt;0,
     COUNTIFS($X$2:$X$200,$G347)&gt;0,
     COUNTIFS($Y$2:$Y$200,$G347)&gt;0,
     COUNTIFS($Z$2:$Z$200,$G347)&gt;0,
     COUNTIFS($AA$2:$AA$200,$G347)&gt;0,
     COUNTIFS($AB$2:$AB$200,$G347)&gt;0,
     COUNTIFS($AC$2:$AC$200,$G347)&gt;0,
     COUNTIFS($AD$2:$AD$200,$G347)&gt;0,
     COUNTIFS($AE$2:$AE$200,$G347)&gt;0,
     COUNTIFS($AF$2:$AF$200,$G347)&gt;0,
     COUNTIFS($AG$2:$AG$200,$G347)&gt;0,
     COUNTIFS($AH$2:$AH$200,$G347)&gt;0,
     COUNTIFS($AI$2:$AI$200,$G347)&gt;0,
     COUNTIFS($AJ$2:$AJ$200,$G347)&gt;0,
     COUNTIFS($AK$2:$AK$200,$G347)&gt;0,
     COUNTIFS($AL$2:$AL$200,$G347)&gt;0,
     COUNTIFS($AM$2:$AM$200,$G347)&gt;0,
     COUNTIFS($AN$2:$AN$200,$G347)&gt;0,
     COUNTIFS($AO$2:$AO$200,$G347)&gt;0,
     COUNTIFS($AP$2:$AP$200,$G347)&gt;0,
     COUNTIFS($AQ$2:$AQ$200,$G347)&gt;0,
     COUNTIFS($AR$2:$AR$200,$G347)&gt;0,
     COUNTIFS($AS$2:$AS$200,$G347)&gt;0,
     COUNTIFS($AT$2:$AT$200,$G347)&gt;0,
     COUNTIFS($AU$2:$AU$200,$G347)&gt;0,
     COUNTIFS($AV$2:$AV$200,$G347)&gt;0,
     COUNTIFS($AW$2:$AW$200,$G347)&gt;0,
     COUNTIFS($AX$2:$AX$200,$G347)&gt;0
   )),
  ),
  2
 ),
"")</f>
        <v/>
      </c>
      <c r="E347" s="3" t="str" cm="1">
        <f t="array" aca="1" ref="E347" ca="1">IFERROR(
 INDEX(
  _xlfn._xlws.FILTER($U$1:$AX$1,
   TRANSPOSE(
    CHOOSE({1;2;3;4;5;6;7;8;9;10;11;12;13;14;15;16;17;18;19;20;21;22;23;24;25;26;27;28;29;30},
     COUNTIFS($U$2:$U$200,$G347)&gt;0,
     COUNTIFS($V$2:$V$200,$G347)&gt;0,
     COUNTIFS($W$2:$W$200,$G347)&gt;0,
     COUNTIFS($X$2:$X$200,$G347)&gt;0,
     COUNTIFS($Y$2:$Y$200,$G347)&gt;0,
     COUNTIFS($Z$2:$Z$200,$G347)&gt;0,
     COUNTIFS($AA$2:$AA$200,$G347)&gt;0,
     COUNTIFS($AB$2:$AB$200,$G347)&gt;0,
     COUNTIFS($AC$2:$AC$200,$G347)&gt;0,
     COUNTIFS($AD$2:$AD$200,$G347)&gt;0,
     COUNTIFS($AE$2:$AE$200,$G347)&gt;0,
     COUNTIFS($AF$2:$AF$200,$G347)&gt;0,
     COUNTIFS($AG$2:$AG$200,$G347)&gt;0,
     COUNTIFS($AH$2:$AH$200,$G347)&gt;0,
     COUNTIFS($AI$2:$AI$200,$G347)&gt;0,
     COUNTIFS($AJ$2:$AJ$200,$G347)&gt;0,
     COUNTIFS($AK$2:$AK$200,$G347)&gt;0,
     COUNTIFS($AL$2:$AL$200,$G347)&gt;0,
     COUNTIFS($AM$2:$AM$200,$G347)&gt;0,
     COUNTIFS($AN$2:$AN$200,$G347)&gt;0,
     COUNTIFS($AO$2:$AO$200,$G347)&gt;0,
     COUNTIFS($AP$2:$AP$200,$G347)&gt;0,
     COUNTIFS($AQ$2:$AQ$200,$G347)&gt;0,
     COUNTIFS($AR$2:$AR$200,$G347)&gt;0,
     COUNTIFS($AS$2:$AS$200,$G347)&gt;0,
     COUNTIFS($AT$2:$AT$200,$G347)&gt;0,
     COUNTIFS($AU$2:$AU$200,$G347)&gt;0,
     COUNTIFS($AV$2:$AV$200,$G347)&gt;0,
     COUNTIFS($AW$2:$AW$200,$G347)&gt;0,
     COUNTIFS($AX$2:$AX$200,$G347)&gt;0
   )),
  ),
  3
 ),
"")</f>
        <v/>
      </c>
      <c r="F347" s="3" t="str" cm="1">
        <f t="array" aca="1" ref="F347" ca="1">IFERROR(
 INDEX(
  _xlfn._xlws.FILTER($U$1:$AX$1,
   TRANSPOSE(
    CHOOSE({1;2;3;4;5;6;7;8;9;10;11;12;13;14;15;16;17;18;19;20;21;22;23;24;25;26;27;28;29;30},
     COUNTIFS($U$2:$U$200,$G347)&gt;0,
     COUNTIFS($V$2:$V$200,$G347)&gt;0,
     COUNTIFS($W$2:$W$200,$G347)&gt;0,
     COUNTIFS($X$2:$X$200,$G347)&gt;0,
     COUNTIFS($Y$2:$Y$200,$G347)&gt;0,
     COUNTIFS($Z$2:$Z$200,$G347)&gt;0,
     COUNTIFS($AA$2:$AA$200,$G347)&gt;0,
     COUNTIFS($AB$2:$AB$200,$G347)&gt;0,
     COUNTIFS($AC$2:$AC$200,$G347)&gt;0,
     COUNTIFS($AD$2:$AD$200,$G347)&gt;0,
     COUNTIFS($AE$2:$AE$200,$G347)&gt;0,
     COUNTIFS($AF$2:$AF$200,$G347)&gt;0,
     COUNTIFS($AG$2:$AG$200,$G347)&gt;0,
     COUNTIFS($AH$2:$AH$200,$G347)&gt;0,
     COUNTIFS($AI$2:$AI$200,$G347)&gt;0,
     COUNTIFS($AJ$2:$AJ$200,$G347)&gt;0,
     COUNTIFS($AK$2:$AK$200,$G347)&gt;0,
     COUNTIFS($AL$2:$AL$200,$G347)&gt;0,
     COUNTIFS($AM$2:$AM$200,$G347)&gt;0,
     COUNTIFS($AN$2:$AN$200,$G347)&gt;0,
     COUNTIFS($AO$2:$AO$200,$G347)&gt;0,
     COUNTIFS($AP$2:$AP$200,$G347)&gt;0,
     COUNTIFS($AQ$2:$AQ$200,$G347)&gt;0,
     COUNTIFS($AR$2:$AR$200,$G347)&gt;0,
     COUNTIFS($AS$2:$AS$200,$G347)&gt;0,
     COUNTIFS($AT$2:$AT$200,$G347)&gt;0,
     COUNTIFS($AU$2:$AU$200,$G347)&gt;0,
     COUNTIFS($AV$2:$AV$200,$G347)&gt;0,
     COUNTIFS($AW$2:$AW$200,$G347)&gt;0,
     COUNTIFS($AX$2:$AX$200,$G347)&gt;0
   )),
  ),
  4
 ),
"")</f>
        <v/>
      </c>
      <c r="G347" t="str">
        <f ca="1"/>
        <v>The Mycosynth Gardens</v>
      </c>
    </row>
    <row r="348" spans="1:7" x14ac:dyDescent="0.25">
      <c r="A348" s="3" t="str">
        <f t="shared" ca="1" si="12"/>
        <v>1</v>
      </c>
      <c r="B348" s="3">
        <f t="shared" ca="1" si="13"/>
        <v>1</v>
      </c>
      <c r="C348" s="3" t="str">
        <f ca="1">IFERROR(
 INDEX($U$1:$AX$1,
  MATCH(TRUE,
   CHOOSE({1;2;3;4;5;6;7;8;9;10;11;12;13;14;15;16;17;18;19;20;21;22;23;24;25;26;27;28;29;30;31;32},
    COUNTIFS($U$2:$U$200,$G348)&gt;0,
    COUNTIFS($V$2:$V$200,$G348)&gt;0,
    COUNTIFS($W$2:$W$200,$G348)&gt;0,
    COUNTIFS($X$2:$X$200,$G348)&gt;0,
    COUNTIFS($Y$2:$Y$200,$G348)&gt;0,
    COUNTIFS($Z$2:$Z$200,$G348)&gt;0,
    COUNTIFS($AA$2:$AA$200,$G348)&gt;0,
    COUNTIFS($AB$2:$AB$200,$G348)&gt;0,
    COUNTIFS($AC$2:$AC$200,$G348)&gt;0,
    COUNTIFS($AD$2:$AD$200,$G348)&gt;0,
    COUNTIFS($AE$2:$AE$200,$G348)&gt;0,
    COUNTIFS($AF$2:$AF$200,$G348)&gt;0,
    COUNTIFS($AG$2:$AG$200,$G348)&gt;0,
    COUNTIFS($AH$2:$AH$200,$G348)&gt;0,
    COUNTIFS($AI$2:$AI$200,$G348)&gt;0,
    COUNTIFS($AJ$2:$AJ$200,$G348)&gt;0,
    COUNTIFS($AK$2:$AK$200,$G348)&gt;0,
    COUNTIFS($AL$2:$AL$200,$G348)&gt;0,
    COUNTIFS($AM$2:$AM$200,$G348)&gt;0,
    COUNTIFS($AN$2:$AN$200,$G348)&gt;0,
    COUNTIFS($AO$2:$AO$200,$G348)&gt;0,
    COUNTIFS($AP$2:$AP$200,$G348)&gt;0,
    COUNTIFS($AQ$2:$AQ$200,$G348)&gt;0,
    COUNTIFS($AR$2:$AR$200,$G348)&gt;0,
    COUNTIFS($AS$2:$AS$200,$G348)&gt;0,
    COUNTIFS($AT$2:$AT$200,$G348)&gt;0,
    COUNTIFS($AU$2:$AU$200,$G348)&gt;0,
    COUNTIFS($AV$2:$AV$200,$G348)&gt;0,
    COUNTIFS($AW$2:$AW$200,$G348)&gt;0,
    COUNTIFS($AX$2:$AX$200,$G348)&gt;0
   ),
  0)
 ),
"")</f>
        <v>Modular</v>
      </c>
      <c r="D348" s="3" t="str" cm="1">
        <f t="array" aca="1" ref="D348" ca="1">IFERROR(
 INDEX(
  _xlfn._xlws.FILTER($U$1:$AX$1,
   TRANSPOSE(
    CHOOSE({1;2;3;4;5;6;7;8;9;10;11;12;13;14;15;16;17;18;19;20;21;22;23;24;25;26;27;28;29;30},
     COUNTIFS($U$2:$U$200,$G348)&gt;0,
     COUNTIFS($V$2:$V$200,$G348)&gt;0,
     COUNTIFS($W$2:$W$200,$G348)&gt;0,
     COUNTIFS($X$2:$X$200,$G348)&gt;0,
     COUNTIFS($Y$2:$Y$200,$G348)&gt;0,
     COUNTIFS($Z$2:$Z$200,$G348)&gt;0,
     COUNTIFS($AA$2:$AA$200,$G348)&gt;0,
     COUNTIFS($AB$2:$AB$200,$G348)&gt;0,
     COUNTIFS($AC$2:$AC$200,$G348)&gt;0,
     COUNTIFS($AD$2:$AD$200,$G348)&gt;0,
     COUNTIFS($AE$2:$AE$200,$G348)&gt;0,
     COUNTIFS($AF$2:$AF$200,$G348)&gt;0,
     COUNTIFS($AG$2:$AG$200,$G348)&gt;0,
     COUNTIFS($AH$2:$AH$200,$G348)&gt;0,
     COUNTIFS($AI$2:$AI$200,$G348)&gt;0,
     COUNTIFS($AJ$2:$AJ$200,$G348)&gt;0,
     COUNTIFS($AK$2:$AK$200,$G348)&gt;0,
     COUNTIFS($AL$2:$AL$200,$G348)&gt;0,
     COUNTIFS($AM$2:$AM$200,$G348)&gt;0,
     COUNTIFS($AN$2:$AN$200,$G348)&gt;0,
     COUNTIFS($AO$2:$AO$200,$G348)&gt;0,
     COUNTIFS($AP$2:$AP$200,$G348)&gt;0,
     COUNTIFS($AQ$2:$AQ$200,$G348)&gt;0,
     COUNTIFS($AR$2:$AR$200,$G348)&gt;0,
     COUNTIFS($AS$2:$AS$200,$G348)&gt;0,
     COUNTIFS($AT$2:$AT$200,$G348)&gt;0,
     COUNTIFS($AU$2:$AU$200,$G348)&gt;0,
     COUNTIFS($AV$2:$AV$200,$G348)&gt;0,
     COUNTIFS($AW$2:$AW$200,$G348)&gt;0,
     COUNTIFS($AX$2:$AX$200,$G348)&gt;0
   )),
  ),
  2
 ),
"")</f>
        <v/>
      </c>
      <c r="E348" s="3" t="str" cm="1">
        <f t="array" aca="1" ref="E348" ca="1">IFERROR(
 INDEX(
  _xlfn._xlws.FILTER($U$1:$AX$1,
   TRANSPOSE(
    CHOOSE({1;2;3;4;5;6;7;8;9;10;11;12;13;14;15;16;17;18;19;20;21;22;23;24;25;26;27;28;29;30},
     COUNTIFS($U$2:$U$200,$G348)&gt;0,
     COUNTIFS($V$2:$V$200,$G348)&gt;0,
     COUNTIFS($W$2:$W$200,$G348)&gt;0,
     COUNTIFS($X$2:$X$200,$G348)&gt;0,
     COUNTIFS($Y$2:$Y$200,$G348)&gt;0,
     COUNTIFS($Z$2:$Z$200,$G348)&gt;0,
     COUNTIFS($AA$2:$AA$200,$G348)&gt;0,
     COUNTIFS($AB$2:$AB$200,$G348)&gt;0,
     COUNTIFS($AC$2:$AC$200,$G348)&gt;0,
     COUNTIFS($AD$2:$AD$200,$G348)&gt;0,
     COUNTIFS($AE$2:$AE$200,$G348)&gt;0,
     COUNTIFS($AF$2:$AF$200,$G348)&gt;0,
     COUNTIFS($AG$2:$AG$200,$G348)&gt;0,
     COUNTIFS($AH$2:$AH$200,$G348)&gt;0,
     COUNTIFS($AI$2:$AI$200,$G348)&gt;0,
     COUNTIFS($AJ$2:$AJ$200,$G348)&gt;0,
     COUNTIFS($AK$2:$AK$200,$G348)&gt;0,
     COUNTIFS($AL$2:$AL$200,$G348)&gt;0,
     COUNTIFS($AM$2:$AM$200,$G348)&gt;0,
     COUNTIFS($AN$2:$AN$200,$G348)&gt;0,
     COUNTIFS($AO$2:$AO$200,$G348)&gt;0,
     COUNTIFS($AP$2:$AP$200,$G348)&gt;0,
     COUNTIFS($AQ$2:$AQ$200,$G348)&gt;0,
     COUNTIFS($AR$2:$AR$200,$G348)&gt;0,
     COUNTIFS($AS$2:$AS$200,$G348)&gt;0,
     COUNTIFS($AT$2:$AT$200,$G348)&gt;0,
     COUNTIFS($AU$2:$AU$200,$G348)&gt;0,
     COUNTIFS($AV$2:$AV$200,$G348)&gt;0,
     COUNTIFS($AW$2:$AW$200,$G348)&gt;0,
     COUNTIFS($AX$2:$AX$200,$G348)&gt;0
   )),
  ),
  3
 ),
"")</f>
        <v/>
      </c>
      <c r="F348" s="3" t="str" cm="1">
        <f t="array" aca="1" ref="F348" ca="1">IFERROR(
 INDEX(
  _xlfn._xlws.FILTER($U$1:$AX$1,
   TRANSPOSE(
    CHOOSE({1;2;3;4;5;6;7;8;9;10;11;12;13;14;15;16;17;18;19;20;21;22;23;24;25;26;27;28;29;30},
     COUNTIFS($U$2:$U$200,$G348)&gt;0,
     COUNTIFS($V$2:$V$200,$G348)&gt;0,
     COUNTIFS($W$2:$W$200,$G348)&gt;0,
     COUNTIFS($X$2:$X$200,$G348)&gt;0,
     COUNTIFS($Y$2:$Y$200,$G348)&gt;0,
     COUNTIFS($Z$2:$Z$200,$G348)&gt;0,
     COUNTIFS($AA$2:$AA$200,$G348)&gt;0,
     COUNTIFS($AB$2:$AB$200,$G348)&gt;0,
     COUNTIFS($AC$2:$AC$200,$G348)&gt;0,
     COUNTIFS($AD$2:$AD$200,$G348)&gt;0,
     COUNTIFS($AE$2:$AE$200,$G348)&gt;0,
     COUNTIFS($AF$2:$AF$200,$G348)&gt;0,
     COUNTIFS($AG$2:$AG$200,$G348)&gt;0,
     COUNTIFS($AH$2:$AH$200,$G348)&gt;0,
     COUNTIFS($AI$2:$AI$200,$G348)&gt;0,
     COUNTIFS($AJ$2:$AJ$200,$G348)&gt;0,
     COUNTIFS($AK$2:$AK$200,$G348)&gt;0,
     COUNTIFS($AL$2:$AL$200,$G348)&gt;0,
     COUNTIFS($AM$2:$AM$200,$G348)&gt;0,
     COUNTIFS($AN$2:$AN$200,$G348)&gt;0,
     COUNTIFS($AO$2:$AO$200,$G348)&gt;0,
     COUNTIFS($AP$2:$AP$200,$G348)&gt;0,
     COUNTIFS($AQ$2:$AQ$200,$G348)&gt;0,
     COUNTIFS($AR$2:$AR$200,$G348)&gt;0,
     COUNTIFS($AS$2:$AS$200,$G348)&gt;0,
     COUNTIFS($AT$2:$AT$200,$G348)&gt;0,
     COUNTIFS($AU$2:$AU$200,$G348)&gt;0,
     COUNTIFS($AV$2:$AV$200,$G348)&gt;0,
     COUNTIFS($AW$2:$AW$200,$G348)&gt;0,
     COUNTIFS($AX$2:$AX$200,$G348)&gt;0
   )),
  ),
  4
 ),
"")</f>
        <v/>
      </c>
      <c r="G348" t="str">
        <f ca="1"/>
        <v>The Ozolith</v>
      </c>
    </row>
    <row r="349" spans="1:7" x14ac:dyDescent="0.25">
      <c r="A349" s="3" t="str">
        <f t="shared" ca="1" si="12"/>
        <v>1</v>
      </c>
      <c r="B349" s="3">
        <f t="shared" ca="1" si="13"/>
        <v>1</v>
      </c>
      <c r="C349" s="3" t="str">
        <f ca="1">IFERROR(
 INDEX($U$1:$AX$1,
  MATCH(TRUE,
   CHOOSE({1;2;3;4;5;6;7;8;9;10;11;12;13;14;15;16;17;18;19;20;21;22;23;24;25;26;27;28;29;30;31;32},
    COUNTIFS($U$2:$U$200,$G349)&gt;0,
    COUNTIFS($V$2:$V$200,$G349)&gt;0,
    COUNTIFS($W$2:$W$200,$G349)&gt;0,
    COUNTIFS($X$2:$X$200,$G349)&gt;0,
    COUNTIFS($Y$2:$Y$200,$G349)&gt;0,
    COUNTIFS($Z$2:$Z$200,$G349)&gt;0,
    COUNTIFS($AA$2:$AA$200,$G349)&gt;0,
    COUNTIFS($AB$2:$AB$200,$G349)&gt;0,
    COUNTIFS($AC$2:$AC$200,$G349)&gt;0,
    COUNTIFS($AD$2:$AD$200,$G349)&gt;0,
    COUNTIFS($AE$2:$AE$200,$G349)&gt;0,
    COUNTIFS($AF$2:$AF$200,$G349)&gt;0,
    COUNTIFS($AG$2:$AG$200,$G349)&gt;0,
    COUNTIFS($AH$2:$AH$200,$G349)&gt;0,
    COUNTIFS($AI$2:$AI$200,$G349)&gt;0,
    COUNTIFS($AJ$2:$AJ$200,$G349)&gt;0,
    COUNTIFS($AK$2:$AK$200,$G349)&gt;0,
    COUNTIFS($AL$2:$AL$200,$G349)&gt;0,
    COUNTIFS($AM$2:$AM$200,$G349)&gt;0,
    COUNTIFS($AN$2:$AN$200,$G349)&gt;0,
    COUNTIFS($AO$2:$AO$200,$G349)&gt;0,
    COUNTIFS($AP$2:$AP$200,$G349)&gt;0,
    COUNTIFS($AQ$2:$AQ$200,$G349)&gt;0,
    COUNTIFS($AR$2:$AR$200,$G349)&gt;0,
    COUNTIFS($AS$2:$AS$200,$G349)&gt;0,
    COUNTIFS($AT$2:$AT$200,$G349)&gt;0,
    COUNTIFS($AU$2:$AU$200,$G349)&gt;0,
    COUNTIFS($AV$2:$AV$200,$G349)&gt;0,
    COUNTIFS($AW$2:$AW$200,$G349)&gt;0,
    COUNTIFS($AX$2:$AX$200,$G349)&gt;0
   ),
  0)
 ),
"")</f>
        <v>Baylen</v>
      </c>
      <c r="D349" s="3" t="str" cm="1">
        <f t="array" aca="1" ref="D349" ca="1">IFERROR(
 INDEX(
  _xlfn._xlws.FILTER($U$1:$AX$1,
   TRANSPOSE(
    CHOOSE({1;2;3;4;5;6;7;8;9;10;11;12;13;14;15;16;17;18;19;20;21;22;23;24;25;26;27;28;29;30},
     COUNTIFS($U$2:$U$200,$G349)&gt;0,
     COUNTIFS($V$2:$V$200,$G349)&gt;0,
     COUNTIFS($W$2:$W$200,$G349)&gt;0,
     COUNTIFS($X$2:$X$200,$G349)&gt;0,
     COUNTIFS($Y$2:$Y$200,$G349)&gt;0,
     COUNTIFS($Z$2:$Z$200,$G349)&gt;0,
     COUNTIFS($AA$2:$AA$200,$G349)&gt;0,
     COUNTIFS($AB$2:$AB$200,$G349)&gt;0,
     COUNTIFS($AC$2:$AC$200,$G349)&gt;0,
     COUNTIFS($AD$2:$AD$200,$G349)&gt;0,
     COUNTIFS($AE$2:$AE$200,$G349)&gt;0,
     COUNTIFS($AF$2:$AF$200,$G349)&gt;0,
     COUNTIFS($AG$2:$AG$200,$G349)&gt;0,
     COUNTIFS($AH$2:$AH$200,$G349)&gt;0,
     COUNTIFS($AI$2:$AI$200,$G349)&gt;0,
     COUNTIFS($AJ$2:$AJ$200,$G349)&gt;0,
     COUNTIFS($AK$2:$AK$200,$G349)&gt;0,
     COUNTIFS($AL$2:$AL$200,$G349)&gt;0,
     COUNTIFS($AM$2:$AM$200,$G349)&gt;0,
     COUNTIFS($AN$2:$AN$200,$G349)&gt;0,
     COUNTIFS($AO$2:$AO$200,$G349)&gt;0,
     COUNTIFS($AP$2:$AP$200,$G349)&gt;0,
     COUNTIFS($AQ$2:$AQ$200,$G349)&gt;0,
     COUNTIFS($AR$2:$AR$200,$G349)&gt;0,
     COUNTIFS($AS$2:$AS$200,$G349)&gt;0,
     COUNTIFS($AT$2:$AT$200,$G349)&gt;0,
     COUNTIFS($AU$2:$AU$200,$G349)&gt;0,
     COUNTIFS($AV$2:$AV$200,$G349)&gt;0,
     COUNTIFS($AW$2:$AW$200,$G349)&gt;0,
     COUNTIFS($AX$2:$AX$200,$G349)&gt;0
   )),
  ),
  2
 ),
"")</f>
        <v/>
      </c>
      <c r="E349" s="3" t="str" cm="1">
        <f t="array" aca="1" ref="E349" ca="1">IFERROR(
 INDEX(
  _xlfn._xlws.FILTER($U$1:$AX$1,
   TRANSPOSE(
    CHOOSE({1;2;3;4;5;6;7;8;9;10;11;12;13;14;15;16;17;18;19;20;21;22;23;24;25;26;27;28;29;30},
     COUNTIFS($U$2:$U$200,$G349)&gt;0,
     COUNTIFS($V$2:$V$200,$G349)&gt;0,
     COUNTIFS($W$2:$W$200,$G349)&gt;0,
     COUNTIFS($X$2:$X$200,$G349)&gt;0,
     COUNTIFS($Y$2:$Y$200,$G349)&gt;0,
     COUNTIFS($Z$2:$Z$200,$G349)&gt;0,
     COUNTIFS($AA$2:$AA$200,$G349)&gt;0,
     COUNTIFS($AB$2:$AB$200,$G349)&gt;0,
     COUNTIFS($AC$2:$AC$200,$G349)&gt;0,
     COUNTIFS($AD$2:$AD$200,$G349)&gt;0,
     COUNTIFS($AE$2:$AE$200,$G349)&gt;0,
     COUNTIFS($AF$2:$AF$200,$G349)&gt;0,
     COUNTIFS($AG$2:$AG$200,$G349)&gt;0,
     COUNTIFS($AH$2:$AH$200,$G349)&gt;0,
     COUNTIFS($AI$2:$AI$200,$G349)&gt;0,
     COUNTIFS($AJ$2:$AJ$200,$G349)&gt;0,
     COUNTIFS($AK$2:$AK$200,$G349)&gt;0,
     COUNTIFS($AL$2:$AL$200,$G349)&gt;0,
     COUNTIFS($AM$2:$AM$200,$G349)&gt;0,
     COUNTIFS($AN$2:$AN$200,$G349)&gt;0,
     COUNTIFS($AO$2:$AO$200,$G349)&gt;0,
     COUNTIFS($AP$2:$AP$200,$G349)&gt;0,
     COUNTIFS($AQ$2:$AQ$200,$G349)&gt;0,
     COUNTIFS($AR$2:$AR$200,$G349)&gt;0,
     COUNTIFS($AS$2:$AS$200,$G349)&gt;0,
     COUNTIFS($AT$2:$AT$200,$G349)&gt;0,
     COUNTIFS($AU$2:$AU$200,$G349)&gt;0,
     COUNTIFS($AV$2:$AV$200,$G349)&gt;0,
     COUNTIFS($AW$2:$AW$200,$G349)&gt;0,
     COUNTIFS($AX$2:$AX$200,$G349)&gt;0
   )),
  ),
  3
 ),
"")</f>
        <v/>
      </c>
      <c r="F349" s="3" t="str" cm="1">
        <f t="array" aca="1" ref="F349" ca="1">IFERROR(
 INDEX(
  _xlfn._xlws.FILTER($U$1:$AX$1,
   TRANSPOSE(
    CHOOSE({1;2;3;4;5;6;7;8;9;10;11;12;13;14;15;16;17;18;19;20;21;22;23;24;25;26;27;28;29;30},
     COUNTIFS($U$2:$U$200,$G349)&gt;0,
     COUNTIFS($V$2:$V$200,$G349)&gt;0,
     COUNTIFS($W$2:$W$200,$G349)&gt;0,
     COUNTIFS($X$2:$X$200,$G349)&gt;0,
     COUNTIFS($Y$2:$Y$200,$G349)&gt;0,
     COUNTIFS($Z$2:$Z$200,$G349)&gt;0,
     COUNTIFS($AA$2:$AA$200,$G349)&gt;0,
     COUNTIFS($AB$2:$AB$200,$G349)&gt;0,
     COUNTIFS($AC$2:$AC$200,$G349)&gt;0,
     COUNTIFS($AD$2:$AD$200,$G349)&gt;0,
     COUNTIFS($AE$2:$AE$200,$G349)&gt;0,
     COUNTIFS($AF$2:$AF$200,$G349)&gt;0,
     COUNTIFS($AG$2:$AG$200,$G349)&gt;0,
     COUNTIFS($AH$2:$AH$200,$G349)&gt;0,
     COUNTIFS($AI$2:$AI$200,$G349)&gt;0,
     COUNTIFS($AJ$2:$AJ$200,$G349)&gt;0,
     COUNTIFS($AK$2:$AK$200,$G349)&gt;0,
     COUNTIFS($AL$2:$AL$200,$G349)&gt;0,
     COUNTIFS($AM$2:$AM$200,$G349)&gt;0,
     COUNTIFS($AN$2:$AN$200,$G349)&gt;0,
     COUNTIFS($AO$2:$AO$200,$G349)&gt;0,
     COUNTIFS($AP$2:$AP$200,$G349)&gt;0,
     COUNTIFS($AQ$2:$AQ$200,$G349)&gt;0,
     COUNTIFS($AR$2:$AR$200,$G349)&gt;0,
     COUNTIFS($AS$2:$AS$200,$G349)&gt;0,
     COUNTIFS($AT$2:$AT$200,$G349)&gt;0,
     COUNTIFS($AU$2:$AU$200,$G349)&gt;0,
     COUNTIFS($AV$2:$AV$200,$G349)&gt;0,
     COUNTIFS($AW$2:$AW$200,$G349)&gt;0,
     COUNTIFS($AX$2:$AX$200,$G349)&gt;0
   )),
  ),
  4
 ),
"")</f>
        <v/>
      </c>
      <c r="G349" t="str">
        <f ca="1"/>
        <v>The Shire</v>
      </c>
    </row>
    <row r="350" spans="1:7" x14ac:dyDescent="0.25">
      <c r="A350" s="3" t="str">
        <f t="shared" ca="1" si="12"/>
        <v>1</v>
      </c>
      <c r="B350" s="3">
        <f t="shared" ca="1" si="13"/>
        <v>1</v>
      </c>
      <c r="C350" s="3" t="str">
        <f ca="1">IFERROR(
 INDEX($U$1:$AX$1,
  MATCH(TRUE,
   CHOOSE({1;2;3;4;5;6;7;8;9;10;11;12;13;14;15;16;17;18;19;20;21;22;23;24;25;26;27;28;29;30;31;32},
    COUNTIFS($U$2:$U$200,$G350)&gt;0,
    COUNTIFS($V$2:$V$200,$G350)&gt;0,
    COUNTIFS($W$2:$W$200,$G350)&gt;0,
    COUNTIFS($X$2:$X$200,$G350)&gt;0,
    COUNTIFS($Y$2:$Y$200,$G350)&gt;0,
    COUNTIFS($Z$2:$Z$200,$G350)&gt;0,
    COUNTIFS($AA$2:$AA$200,$G350)&gt;0,
    COUNTIFS($AB$2:$AB$200,$G350)&gt;0,
    COUNTIFS($AC$2:$AC$200,$G350)&gt;0,
    COUNTIFS($AD$2:$AD$200,$G350)&gt;0,
    COUNTIFS($AE$2:$AE$200,$G350)&gt;0,
    COUNTIFS($AF$2:$AF$200,$G350)&gt;0,
    COUNTIFS($AG$2:$AG$200,$G350)&gt;0,
    COUNTIFS($AH$2:$AH$200,$G350)&gt;0,
    COUNTIFS($AI$2:$AI$200,$G350)&gt;0,
    COUNTIFS($AJ$2:$AJ$200,$G350)&gt;0,
    COUNTIFS($AK$2:$AK$200,$G350)&gt;0,
    COUNTIFS($AL$2:$AL$200,$G350)&gt;0,
    COUNTIFS($AM$2:$AM$200,$G350)&gt;0,
    COUNTIFS($AN$2:$AN$200,$G350)&gt;0,
    COUNTIFS($AO$2:$AO$200,$G350)&gt;0,
    COUNTIFS($AP$2:$AP$200,$G350)&gt;0,
    COUNTIFS($AQ$2:$AQ$200,$G350)&gt;0,
    COUNTIFS($AR$2:$AR$200,$G350)&gt;0,
    COUNTIFS($AS$2:$AS$200,$G350)&gt;0,
    COUNTIFS($AT$2:$AT$200,$G350)&gt;0,
    COUNTIFS($AU$2:$AU$200,$G350)&gt;0,
    COUNTIFS($AV$2:$AV$200,$G350)&gt;0,
    COUNTIFS($AW$2:$AW$200,$G350)&gt;0,
    COUNTIFS($AX$2:$AX$200,$G350)&gt;0
   ),
  0)
 ),
"")</f>
        <v>Modular</v>
      </c>
      <c r="D350" s="3" t="str" cm="1">
        <f t="array" aca="1" ref="D350" ca="1">IFERROR(
 INDEX(
  _xlfn._xlws.FILTER($U$1:$AV$1,
   TRANSPOSE(
    CHOOSE({1;2;3;4;5;6;7;8;9;10;11;12;13;14;15;16;17;18;19;20;21;22;23;24;25;26;27;28},
     COUNTIFS($U$2:$U$200,$G350)&gt;0,
     COUNTIFS($V$2:$V$200,$G350)&gt;0,
     COUNTIFS($W$2:$W$200,$G350)&gt;0,
     COUNTIFS($X$2:$X$200,$G350)&gt;0,
     COUNTIFS($Y$2:$Y$200,$G350)&gt;0,
     COUNTIFS($Z$2:$Z$200,$G350)&gt;0,
     COUNTIFS($AA$2:$AA$200,$G350)&gt;0,
     COUNTIFS($AB$2:$AB$200,$G350)&gt;0,
     COUNTIFS($AC$2:$AC$200,$G350)&gt;0,
     COUNTIFS($AD$2:$AD$200,$G350)&gt;0,
     COUNTIFS($AE$2:$AE$200,$G350)&gt;0,
     COUNTIFS($AF$2:$AF$200,$G350)&gt;0,
     COUNTIFS($AG$2:$AG$200,$G350)&gt;0,
     COUNTIFS($AH$2:$AH$200,$G350)&gt;0,
     COUNTIFS($AI$2:$AI$200,$G350)&gt;0,
     COUNTIFS($AJ$2:$AJ$200,$G350)&gt;0,
     COUNTIFS($AK$2:$AK$200,$G350)&gt;0,
     COUNTIFS($AL$2:$AL$200,$G350)&gt;0,
     COUNTIFS($AM$2:$AM$200,$G350)&gt;0,
     COUNTIFS($AN$2:$AN$200,$G350)&gt;0,
     COUNTIFS($AO$2:$AO$200,$G350)&gt;0,
     COUNTIFS($AP$2:$AP$200,$G350)&gt;0,
     COUNTIFS($AQ$2:$AQ$200,$G350)&gt;0,
     COUNTIFS($AR$2:$AR$200,$G350)&gt;0,
     COUNTIFS($AS$2:$AS$200,$G350)&gt;0,
     COUNTIFS($AT$2:$AT$200,$G350)&gt;0,
     COUNTIFS($AU$2:$AU$200,$G350)&gt;0,
     COUNTIFS($AV$2:$AV$200,$G350)&gt;0
   )),
  ),
  2
 ),
"")</f>
        <v/>
      </c>
      <c r="E350" s="3" t="str" cm="1">
        <f t="array" aca="1" ref="E350" ca="1">IFERROR(
 INDEX($U$1:$AV$1,
  _xlfn.AGGREGATE(15,6,
   (COLUMN($U$1:$AV$1)-COLUMN($U$1)+1)/
   TRANSPOSE(
    CHOOSE({1;2;3;4;5;6;7;8;9;10;11;12;13;14;15;16;17;18;19;20;21;22;23;24;25;26;27;28},
     COUNTIFS($U$2:$U$200,$G350)&gt;0,
     COUNTIFS($V$2:$V$200,$G350)&gt;0,
     COUNTIFS($W$2:$W$200,$G350)&gt;0,
     COUNTIFS($X$2:$X$200,$G350)&gt;0,
     COUNTIFS($Y$2:$Y$200,$G350)&gt;0,
     COUNTIFS($Z$2:$Z$200,$G350)&gt;0,
     COUNTIFS($AA$2:$AA$200,$G350)&gt;0,
     COUNTIFS($AB$2:$AB$200,$G350)&gt;0,
     COUNTIFS($AC$2:$AC$200,$G350)&gt;0,
     COUNTIFS($AD$2:$AD$200,$G350)&gt;0,
     COUNTIFS($AE$2:$AE$200,$G350)&gt;0,
     COUNTIFS($AF$2:$AF$200,$G350)&gt;0,
     COUNTIFS($AG$2:$AG$200,$G350)&gt;0,
     COUNTIFS($AH$2:$AH$200,$G350)&gt;0,
     COUNTIFS($AI$2:$AI$200,$G350)&gt;0,
     COUNTIFS($AJ$2:$AJ$200,$G350)&gt;0,
     COUNTIFS($AK$2:$AK$200,$G350)&gt;0,
     COUNTIFS($AL$2:$AL$200,$G350)&gt;0,
     COUNTIFS($AM$2:$AM$200,$G350)&gt;0,
     COUNTIFS($AN$2:$AN$200,$G350)&gt;0,
     COUNTIFS($AO$2:$AO$200,$G350)&gt;0,
     COUNTIFS($AP$2:$AP$200,$G350)&gt;0,
     COUNTIFS($AQ$2:$AQ$200,$G350)&gt;0,
     COUNTIFS($AR$2:$AR$200,$G350)&gt;0,
     COUNTIFS($AS$2:$AS$200,$G350)&gt;0,
     COUNTIFS($AT$2:$AT$200,$G350)&gt;0,
     COUNTIFS($AU$2:$AU$200,$G350)&gt;0,
     COUNTIFS($AV$2:$AV$200,$G350)&gt;0
   )),
  3)
 ),
"")</f>
        <v/>
      </c>
      <c r="F350" s="3" t="str" cm="1">
        <f t="array" aca="1" ref="F350" ca="1">IFERROR(
 INDEX($U$1:$AV$1,
  _xlfn.AGGREGATE(15,6,
   (COLUMN($U$1:$AV$1)-COLUMN($U$1)+1)/
   TRANSPOSE(
    CHOOSE({1;2;3;4;5;6;7;8;9;10;11;12;13;14;15;16;17;18;19;20;21;22;23;24;25;26;27;28},
     COUNTIFS($U$2:$U$200,$G350)&gt;0,
     COUNTIFS($V$2:$V$200,$G350)&gt;0,
     COUNTIFS($W$2:$W$200,$G350)&gt;0,
     COUNTIFS($X$2:$X$200,$G350)&gt;0,
     COUNTIFS($Y$2:$Y$200,$G350)&gt;0,
     COUNTIFS($Z$2:$Z$200,$G350)&gt;0,
     COUNTIFS($AA$2:$AA$200,$G350)&gt;0,
     COUNTIFS($AB$2:$AB$200,$G350)&gt;0,
     COUNTIFS($AC$2:$AC$200,$G350)&gt;0,
     COUNTIFS($AD$2:$AD$200,$G350)&gt;0,
     COUNTIFS($AE$2:$AE$200,$G350)&gt;0,
     COUNTIFS($AF$2:$AF$200,$G350)&gt;0,
     COUNTIFS($AG$2:$AG$200,$G350)&gt;0,
     COUNTIFS($AH$2:$AH$200,$G350)&gt;0,
     COUNTIFS($AI$2:$AI$200,$G350)&gt;0,
     COUNTIFS($AJ$2:$AJ$200,$G350)&gt;0,
     COUNTIFS($AK$2:$AK$200,$G350)&gt;0,
     COUNTIFS($AL$2:$AL$200,$G350)&gt;0,
     COUNTIFS($AM$2:$AM$200,$G350)&gt;0,
     COUNTIFS($AN$2:$AN$200,$G350)&gt;0,
     COUNTIFS($AO$2:$AO$200,$G350)&gt;0,
     COUNTIFS($AP$2:$AP$200,$G350)&gt;0,
     COUNTIFS($AQ$2:$AQ$200,$G350)&gt;0,
     COUNTIFS($AR$2:$AR$200,$G350)&gt;0,
     COUNTIFS($AS$2:$AS$200,$G350)&gt;0,
     COUNTIFS($AT$2:$AT$200,$G350)&gt;0,
     COUNTIFS($AU$2:$AU$200,$G350)&gt;0,
     COUNTIFS($AV$2:$AV$200,$G350)&gt;0
   )),
  4)
 ),
"")</f>
        <v/>
      </c>
      <c r="G350" t="str">
        <f ca="1"/>
        <v>The Stasis Coffin</v>
      </c>
    </row>
    <row r="351" spans="1:7" x14ac:dyDescent="0.25">
      <c r="A351" s="3" t="str">
        <f t="shared" ca="1" si="12"/>
        <v>3</v>
      </c>
      <c r="B351" s="3">
        <f t="shared" ca="1" si="13"/>
        <v>1</v>
      </c>
      <c r="C351" s="3" t="str">
        <f ca="1">IFERROR(
 INDEX($U$1:$AX$1,
  MATCH(TRUE,
   CHOOSE({1;2;3;4;5;6;7;8;9;10;11;12;13;14;15;16;17;18;19;20;21;22;23;24;25;26;27;28;29;30;31;32},
    COUNTIFS($U$2:$U$200,$G351)&gt;0,
    COUNTIFS($V$2:$V$200,$G351)&gt;0,
    COUNTIFS($W$2:$W$200,$G351)&gt;0,
    COUNTIFS($X$2:$X$200,$G351)&gt;0,
    COUNTIFS($Y$2:$Y$200,$G351)&gt;0,
    COUNTIFS($Z$2:$Z$200,$G351)&gt;0,
    COUNTIFS($AA$2:$AA$200,$G351)&gt;0,
    COUNTIFS($AB$2:$AB$200,$G351)&gt;0,
    COUNTIFS($AC$2:$AC$200,$G351)&gt;0,
    COUNTIFS($AD$2:$AD$200,$G351)&gt;0,
    COUNTIFS($AE$2:$AE$200,$G351)&gt;0,
    COUNTIFS($AF$2:$AF$200,$G351)&gt;0,
    COUNTIFS($AG$2:$AG$200,$G351)&gt;0,
    COUNTIFS($AH$2:$AH$200,$G351)&gt;0,
    COUNTIFS($AI$2:$AI$200,$G351)&gt;0,
    COUNTIFS($AJ$2:$AJ$200,$G351)&gt;0,
    COUNTIFS($AK$2:$AK$200,$G351)&gt;0,
    COUNTIFS($AL$2:$AL$200,$G351)&gt;0,
    COUNTIFS($AM$2:$AM$200,$G351)&gt;0,
    COUNTIFS($AN$2:$AN$200,$G351)&gt;0,
    COUNTIFS($AO$2:$AO$200,$G351)&gt;0,
    COUNTIFS($AP$2:$AP$200,$G351)&gt;0,
    COUNTIFS($AQ$2:$AQ$200,$G351)&gt;0,
    COUNTIFS($AR$2:$AR$200,$G351)&gt;0,
    COUNTIFS($AS$2:$AS$200,$G351)&gt;0,
    COUNTIFS($AT$2:$AT$200,$G351)&gt;0,
    COUNTIFS($AU$2:$AU$200,$G351)&gt;0,
    COUNTIFS($AV$2:$AV$200,$G351)&gt;0,
    COUNTIFS($AW$2:$AW$200,$G351)&gt;0,
    COUNTIFS($AX$2:$AX$200,$G351)&gt;0
   ),
  0)
 ),
"")</f>
        <v>JhoiraB</v>
      </c>
      <c r="D351" s="3" t="str" cm="1">
        <f t="array" aca="1" ref="D351" ca="1">IFERROR(
 INDEX(
  _xlfn._xlws.FILTER($U$1:$AV$1,
   TRANSPOSE(
    CHOOSE({1;2;3;4;5;6;7;8;9;10;11;12;13;14;15;16;17;18;19;20;21;22;23;24;25;26;27;28},
     COUNTIFS($U$2:$U$200,$G351)&gt;0,
     COUNTIFS($V$2:$V$200,$G351)&gt;0,
     COUNTIFS($W$2:$W$200,$G351)&gt;0,
     COUNTIFS($X$2:$X$200,$G351)&gt;0,
     COUNTIFS($Y$2:$Y$200,$G351)&gt;0,
     COUNTIFS($Z$2:$Z$200,$G351)&gt;0,
     COUNTIFS($AA$2:$AA$200,$G351)&gt;0,
     COUNTIFS($AB$2:$AB$200,$G351)&gt;0,
     COUNTIFS($AC$2:$AC$200,$G351)&gt;0,
     COUNTIFS($AD$2:$AD$200,$G351)&gt;0,
     COUNTIFS($AE$2:$AE$200,$G351)&gt;0,
     COUNTIFS($AF$2:$AF$200,$G351)&gt;0,
     COUNTIFS($AG$2:$AG$200,$G351)&gt;0,
     COUNTIFS($AH$2:$AH$200,$G351)&gt;0,
     COUNTIFS($AI$2:$AI$200,$G351)&gt;0,
     COUNTIFS($AJ$2:$AJ$200,$G351)&gt;0,
     COUNTIFS($AK$2:$AK$200,$G351)&gt;0,
     COUNTIFS($AL$2:$AL$200,$G351)&gt;0,
     COUNTIFS($AM$2:$AM$200,$G351)&gt;0,
     COUNTIFS($AN$2:$AN$200,$G351)&gt;0,
     COUNTIFS($AO$2:$AO$200,$G351)&gt;0,
     COUNTIFS($AP$2:$AP$200,$G351)&gt;0,
     COUNTIFS($AQ$2:$AQ$200,$G351)&gt;0,
     COUNTIFS($AR$2:$AR$200,$G351)&gt;0,
     COUNTIFS($AS$2:$AS$200,$G351)&gt;0,
     COUNTIFS($AT$2:$AT$200,$G351)&gt;0,
     COUNTIFS($AU$2:$AU$200,$G351)&gt;0,
     COUNTIFS($AV$2:$AV$200,$G351)&gt;0
   )),
  ),
  2
 ),
"")</f>
        <v/>
      </c>
      <c r="E351" s="3" t="str" cm="1">
        <f t="array" aca="1" ref="E351" ca="1">IFERROR(
 INDEX($U$1:$AV$1,
  _xlfn.AGGREGATE(15,6,
   (COLUMN($U$1:$AV$1)-COLUMN($U$1)+1)/
   TRANSPOSE(
    CHOOSE({1;2;3;4;5;6;7;8;9;10;11;12;13;14;15;16;17;18;19;20;21;22;23;24;25;26;27;28},
     COUNTIFS($U$2:$U$200,$G351)&gt;0,
     COUNTIFS($V$2:$V$200,$G351)&gt;0,
     COUNTIFS($W$2:$W$200,$G351)&gt;0,
     COUNTIFS($X$2:$X$200,$G351)&gt;0,
     COUNTIFS($Y$2:$Y$200,$G351)&gt;0,
     COUNTIFS($Z$2:$Z$200,$G351)&gt;0,
     COUNTIFS($AA$2:$AA$200,$G351)&gt;0,
     COUNTIFS($AB$2:$AB$200,$G351)&gt;0,
     COUNTIFS($AC$2:$AC$200,$G351)&gt;0,
     COUNTIFS($AD$2:$AD$200,$G351)&gt;0,
     COUNTIFS($AE$2:$AE$200,$G351)&gt;0,
     COUNTIFS($AF$2:$AF$200,$G351)&gt;0,
     COUNTIFS($AG$2:$AG$200,$G351)&gt;0,
     COUNTIFS($AH$2:$AH$200,$G351)&gt;0,
     COUNTIFS($AI$2:$AI$200,$G351)&gt;0,
     COUNTIFS($AJ$2:$AJ$200,$G351)&gt;0,
     COUNTIFS($AK$2:$AK$200,$G351)&gt;0,
     COUNTIFS($AL$2:$AL$200,$G351)&gt;0,
     COUNTIFS($AM$2:$AM$200,$G351)&gt;0,
     COUNTIFS($AN$2:$AN$200,$G351)&gt;0,
     COUNTIFS($AO$2:$AO$200,$G351)&gt;0,
     COUNTIFS($AP$2:$AP$200,$G351)&gt;0,
     COUNTIFS($AQ$2:$AQ$200,$G351)&gt;0,
     COUNTIFS($AR$2:$AR$200,$G351)&gt;0,
     COUNTIFS($AS$2:$AS$200,$G351)&gt;0,
     COUNTIFS($AT$2:$AT$200,$G351)&gt;0,
     COUNTIFS($AU$2:$AU$200,$G351)&gt;0,
     COUNTIFS($AV$2:$AV$200,$G351)&gt;0
   )),
  3)
 ),
"")</f>
        <v/>
      </c>
      <c r="F351" s="3" t="str" cm="1">
        <f t="array" aca="1" ref="F351" ca="1">IFERROR(
 INDEX($U$1:$AV$1,
  _xlfn.AGGREGATE(15,6,
   (COLUMN($U$1:$AV$1)-COLUMN($U$1)+1)/
   TRANSPOSE(
    CHOOSE({1;2;3;4;5;6;7;8;9;10;11;12;13;14;15;16;17;18;19;20;21;22;23;24;25;26;27;28},
     COUNTIFS($U$2:$U$200,$G351)&gt;0,
     COUNTIFS($V$2:$V$200,$G351)&gt;0,
     COUNTIFS($W$2:$W$200,$G351)&gt;0,
     COUNTIFS($X$2:$X$200,$G351)&gt;0,
     COUNTIFS($Y$2:$Y$200,$G351)&gt;0,
     COUNTIFS($Z$2:$Z$200,$G351)&gt;0,
     COUNTIFS($AA$2:$AA$200,$G351)&gt;0,
     COUNTIFS($AB$2:$AB$200,$G351)&gt;0,
     COUNTIFS($AC$2:$AC$200,$G351)&gt;0,
     COUNTIFS($AD$2:$AD$200,$G351)&gt;0,
     COUNTIFS($AE$2:$AE$200,$G351)&gt;0,
     COUNTIFS($AF$2:$AF$200,$G351)&gt;0,
     COUNTIFS($AG$2:$AG$200,$G351)&gt;0,
     COUNTIFS($AH$2:$AH$200,$G351)&gt;0,
     COUNTIFS($AI$2:$AI$200,$G351)&gt;0,
     COUNTIFS($AJ$2:$AJ$200,$G351)&gt;0,
     COUNTIFS($AK$2:$AK$200,$G351)&gt;0,
     COUNTIFS($AL$2:$AL$200,$G351)&gt;0,
     COUNTIFS($AM$2:$AM$200,$G351)&gt;0,
     COUNTIFS($AN$2:$AN$200,$G351)&gt;0,
     COUNTIFS($AO$2:$AO$200,$G351)&gt;0,
     COUNTIFS($AP$2:$AP$200,$G351)&gt;0,
     COUNTIFS($AQ$2:$AQ$200,$G351)&gt;0,
     COUNTIFS($AR$2:$AR$200,$G351)&gt;0,
     COUNTIFS($AS$2:$AS$200,$G351)&gt;0,
     COUNTIFS($AT$2:$AT$200,$G351)&gt;0,
     COUNTIFS($AU$2:$AU$200,$G351)&gt;0,
     COUNTIFS($AV$2:$AV$200,$G351)&gt;0
   )),
  4)
 ),
"")</f>
        <v/>
      </c>
      <c r="G351" t="str">
        <f ca="1"/>
        <v>The Tenth Doctor</v>
      </c>
    </row>
    <row r="352" spans="1:7" x14ac:dyDescent="0.25">
      <c r="A352" s="3" t="str">
        <f t="shared" ca="1" si="12"/>
        <v>2</v>
      </c>
      <c r="B352" s="3">
        <f t="shared" ca="1" si="13"/>
        <v>1</v>
      </c>
      <c r="C352" s="3" t="str">
        <f ca="1">IFERROR(
 INDEX($U$1:$AX$1,
  MATCH(TRUE,
   CHOOSE({1;2;3;4;5;6;7;8;9;10;11;12;13;14;15;16;17;18;19;20;21;22;23;24;25;26;27;28;29;30;31;32},
    COUNTIFS($U$2:$U$200,$G352)&gt;0,
    COUNTIFS($V$2:$V$200,$G352)&gt;0,
    COUNTIFS($W$2:$W$200,$G352)&gt;0,
    COUNTIFS($X$2:$X$200,$G352)&gt;0,
    COUNTIFS($Y$2:$Y$200,$G352)&gt;0,
    COUNTIFS($Z$2:$Z$200,$G352)&gt;0,
    COUNTIFS($AA$2:$AA$200,$G352)&gt;0,
    COUNTIFS($AB$2:$AB$200,$G352)&gt;0,
    COUNTIFS($AC$2:$AC$200,$G352)&gt;0,
    COUNTIFS($AD$2:$AD$200,$G352)&gt;0,
    COUNTIFS($AE$2:$AE$200,$G352)&gt;0,
    COUNTIFS($AF$2:$AF$200,$G352)&gt;0,
    COUNTIFS($AG$2:$AG$200,$G352)&gt;0,
    COUNTIFS($AH$2:$AH$200,$G352)&gt;0,
    COUNTIFS($AI$2:$AI$200,$G352)&gt;0,
    COUNTIFS($AJ$2:$AJ$200,$G352)&gt;0,
    COUNTIFS($AK$2:$AK$200,$G352)&gt;0,
    COUNTIFS($AL$2:$AL$200,$G352)&gt;0,
    COUNTIFS($AM$2:$AM$200,$G352)&gt;0,
    COUNTIFS($AN$2:$AN$200,$G352)&gt;0,
    COUNTIFS($AO$2:$AO$200,$G352)&gt;0,
    COUNTIFS($AP$2:$AP$200,$G352)&gt;0,
    COUNTIFS($AQ$2:$AQ$200,$G352)&gt;0,
    COUNTIFS($AR$2:$AR$200,$G352)&gt;0,
    COUNTIFS($AS$2:$AS$200,$G352)&gt;0,
    COUNTIFS($AT$2:$AT$200,$G352)&gt;0,
    COUNTIFS($AU$2:$AU$200,$G352)&gt;0,
    COUNTIFS($AV$2:$AV$200,$G352)&gt;0,
    COUNTIFS($AW$2:$AW$200,$G352)&gt;0,
    COUNTIFS($AX$2:$AX$200,$G352)&gt;0
   ),
  0)
 ),
"")</f>
        <v>Narset</v>
      </c>
      <c r="D352" s="3" t="str" cm="1">
        <f t="array" aca="1" ref="D352" ca="1">IFERROR(
 INDEX(
  _xlfn._xlws.FILTER($U$1:$AV$1,
   TRANSPOSE(
    CHOOSE({1;2;3;4;5;6;7;8;9;10;11;12;13;14;15;16;17;18;19;20;21;22;23;24;25;26;27;28},
     COUNTIFS($U$2:$U$200,$G352)&gt;0,
     COUNTIFS($V$2:$V$200,$G352)&gt;0,
     COUNTIFS($W$2:$W$200,$G352)&gt;0,
     COUNTIFS($X$2:$X$200,$G352)&gt;0,
     COUNTIFS($Y$2:$Y$200,$G352)&gt;0,
     COUNTIFS($Z$2:$Z$200,$G352)&gt;0,
     COUNTIFS($AA$2:$AA$200,$G352)&gt;0,
     COUNTIFS($AB$2:$AB$200,$G352)&gt;0,
     COUNTIFS($AC$2:$AC$200,$G352)&gt;0,
     COUNTIFS($AD$2:$AD$200,$G352)&gt;0,
     COUNTIFS($AE$2:$AE$200,$G352)&gt;0,
     COUNTIFS($AF$2:$AF$200,$G352)&gt;0,
     COUNTIFS($AG$2:$AG$200,$G352)&gt;0,
     COUNTIFS($AH$2:$AH$200,$G352)&gt;0,
     COUNTIFS($AI$2:$AI$200,$G352)&gt;0,
     COUNTIFS($AJ$2:$AJ$200,$G352)&gt;0,
     COUNTIFS($AK$2:$AK$200,$G352)&gt;0,
     COUNTIFS($AL$2:$AL$200,$G352)&gt;0,
     COUNTIFS($AM$2:$AM$200,$G352)&gt;0,
     COUNTIFS($AN$2:$AN$200,$G352)&gt;0,
     COUNTIFS($AO$2:$AO$200,$G352)&gt;0,
     COUNTIFS($AP$2:$AP$200,$G352)&gt;0,
     COUNTIFS($AQ$2:$AQ$200,$G352)&gt;0,
     COUNTIFS($AR$2:$AR$200,$G352)&gt;0,
     COUNTIFS($AS$2:$AS$200,$G352)&gt;0,
     COUNTIFS($AT$2:$AT$200,$G352)&gt;0,
     COUNTIFS($AU$2:$AU$200,$G352)&gt;0,
     COUNTIFS($AV$2:$AV$200,$G352)&gt;0
   )),
  ),
  2
 ),
"")</f>
        <v/>
      </c>
      <c r="E352" s="3" t="str" cm="1">
        <f t="array" aca="1" ref="E352" ca="1">IFERROR(
 INDEX($U$1:$AV$1,
  _xlfn.AGGREGATE(15,6,
   (COLUMN($U$1:$AV$1)-COLUMN($U$1)+1)/
   TRANSPOSE(
    CHOOSE({1;2;3;4;5;6;7;8;9;10;11;12;13;14;15;16;17;18;19;20;21;22;23;24;25;26;27;28},
     COUNTIFS($U$2:$U$200,$G352)&gt;0,
     COUNTIFS($V$2:$V$200,$G352)&gt;0,
     COUNTIFS($W$2:$W$200,$G352)&gt;0,
     COUNTIFS($X$2:$X$200,$G352)&gt;0,
     COUNTIFS($Y$2:$Y$200,$G352)&gt;0,
     COUNTIFS($Z$2:$Z$200,$G352)&gt;0,
     COUNTIFS($AA$2:$AA$200,$G352)&gt;0,
     COUNTIFS($AB$2:$AB$200,$G352)&gt;0,
     COUNTIFS($AC$2:$AC$200,$G352)&gt;0,
     COUNTIFS($AD$2:$AD$200,$G352)&gt;0,
     COUNTIFS($AE$2:$AE$200,$G352)&gt;0,
     COUNTIFS($AF$2:$AF$200,$G352)&gt;0,
     COUNTIFS($AG$2:$AG$200,$G352)&gt;0,
     COUNTIFS($AH$2:$AH$200,$G352)&gt;0,
     COUNTIFS($AI$2:$AI$200,$G352)&gt;0,
     COUNTIFS($AJ$2:$AJ$200,$G352)&gt;0,
     COUNTIFS($AK$2:$AK$200,$G352)&gt;0,
     COUNTIFS($AL$2:$AL$200,$G352)&gt;0,
     COUNTIFS($AM$2:$AM$200,$G352)&gt;0,
     COUNTIFS($AN$2:$AN$200,$G352)&gt;0,
     COUNTIFS($AO$2:$AO$200,$G352)&gt;0,
     COUNTIFS($AP$2:$AP$200,$G352)&gt;0,
     COUNTIFS($AQ$2:$AQ$200,$G352)&gt;0,
     COUNTIFS($AR$2:$AR$200,$G352)&gt;0,
     COUNTIFS($AS$2:$AS$200,$G352)&gt;0,
     COUNTIFS($AT$2:$AT$200,$G352)&gt;0,
     COUNTIFS($AU$2:$AU$200,$G352)&gt;0,
     COUNTIFS($AV$2:$AV$200,$G352)&gt;0
   )),
  3)
 ),
"")</f>
        <v/>
      </c>
      <c r="F352" s="3" t="str" cm="1">
        <f t="array" aca="1" ref="F352" ca="1">IFERROR(
 INDEX($U$1:$AV$1,
  _xlfn.AGGREGATE(15,6,
   (COLUMN($U$1:$AV$1)-COLUMN($U$1)+1)/
   TRANSPOSE(
    CHOOSE({1;2;3;4;5;6;7;8;9;10;11;12;13;14;15;16;17;18;19;20;21;22;23;24;25;26;27;28},
     COUNTIFS($U$2:$U$200,$G352)&gt;0,
     COUNTIFS($V$2:$V$200,$G352)&gt;0,
     COUNTIFS($W$2:$W$200,$G352)&gt;0,
     COUNTIFS($X$2:$X$200,$G352)&gt;0,
     COUNTIFS($Y$2:$Y$200,$G352)&gt;0,
     COUNTIFS($Z$2:$Z$200,$G352)&gt;0,
     COUNTIFS($AA$2:$AA$200,$G352)&gt;0,
     COUNTIFS($AB$2:$AB$200,$G352)&gt;0,
     COUNTIFS($AC$2:$AC$200,$G352)&gt;0,
     COUNTIFS($AD$2:$AD$200,$G352)&gt;0,
     COUNTIFS($AE$2:$AE$200,$G352)&gt;0,
     COUNTIFS($AF$2:$AF$200,$G352)&gt;0,
     COUNTIFS($AG$2:$AG$200,$G352)&gt;0,
     COUNTIFS($AH$2:$AH$200,$G352)&gt;0,
     COUNTIFS($AI$2:$AI$200,$G352)&gt;0,
     COUNTIFS($AJ$2:$AJ$200,$G352)&gt;0,
     COUNTIFS($AK$2:$AK$200,$G352)&gt;0,
     COUNTIFS($AL$2:$AL$200,$G352)&gt;0,
     COUNTIFS($AM$2:$AM$200,$G352)&gt;0,
     COUNTIFS($AN$2:$AN$200,$G352)&gt;0,
     COUNTIFS($AO$2:$AO$200,$G352)&gt;0,
     COUNTIFS($AP$2:$AP$200,$G352)&gt;0,
     COUNTIFS($AQ$2:$AQ$200,$G352)&gt;0,
     COUNTIFS($AR$2:$AR$200,$G352)&gt;0,
     COUNTIFS($AS$2:$AS$200,$G352)&gt;0,
     COUNTIFS($AT$2:$AT$200,$G352)&gt;0,
     COUNTIFS($AU$2:$AU$200,$G352)&gt;0,
     COUNTIFS($AV$2:$AV$200,$G352)&gt;0
   )),
  4)
 ),
"")</f>
        <v/>
      </c>
      <c r="G352" t="str">
        <f ca="1"/>
        <v>The Water Crystal</v>
      </c>
    </row>
    <row r="353" spans="1:7" x14ac:dyDescent="0.25">
      <c r="A353" s="3" t="str">
        <f t="shared" ca="1" si="12"/>
        <v>1</v>
      </c>
      <c r="B353" s="3">
        <f t="shared" ca="1" si="13"/>
        <v>1</v>
      </c>
      <c r="C353" s="3" t="str">
        <f ca="1">IFERROR(
 INDEX($U$1:$AX$1,
  MATCH(TRUE,
   CHOOSE({1;2;3;4;5;6;7;8;9;10;11;12;13;14;15;16;17;18;19;20;21;22;23;24;25;26;27;28;29;30;31;32},
    COUNTIFS($U$2:$U$200,$G353)&gt;0,
    COUNTIFS($V$2:$V$200,$G353)&gt;0,
    COUNTIFS($W$2:$W$200,$G353)&gt;0,
    COUNTIFS($X$2:$X$200,$G353)&gt;0,
    COUNTIFS($Y$2:$Y$200,$G353)&gt;0,
    COUNTIFS($Z$2:$Z$200,$G353)&gt;0,
    COUNTIFS($AA$2:$AA$200,$G353)&gt;0,
    COUNTIFS($AB$2:$AB$200,$G353)&gt;0,
    COUNTIFS($AC$2:$AC$200,$G353)&gt;0,
    COUNTIFS($AD$2:$AD$200,$G353)&gt;0,
    COUNTIFS($AE$2:$AE$200,$G353)&gt;0,
    COUNTIFS($AF$2:$AF$200,$G353)&gt;0,
    COUNTIFS($AG$2:$AG$200,$G353)&gt;0,
    COUNTIFS($AH$2:$AH$200,$G353)&gt;0,
    COUNTIFS($AI$2:$AI$200,$G353)&gt;0,
    COUNTIFS($AJ$2:$AJ$200,$G353)&gt;0,
    COUNTIFS($AK$2:$AK$200,$G353)&gt;0,
    COUNTIFS($AL$2:$AL$200,$G353)&gt;0,
    COUNTIFS($AM$2:$AM$200,$G353)&gt;0,
    COUNTIFS($AN$2:$AN$200,$G353)&gt;0,
    COUNTIFS($AO$2:$AO$200,$G353)&gt;0,
    COUNTIFS($AP$2:$AP$200,$G353)&gt;0,
    COUNTIFS($AQ$2:$AQ$200,$G353)&gt;0,
    COUNTIFS($AR$2:$AR$200,$G353)&gt;0,
    COUNTIFS($AS$2:$AS$200,$G353)&gt;0,
    COUNTIFS($AT$2:$AT$200,$G353)&gt;0,
    COUNTIFS($AU$2:$AU$200,$G353)&gt;0,
    COUNTIFS($AV$2:$AV$200,$G353)&gt;0,
    COUNTIFS($AW$2:$AW$200,$G353)&gt;0,
    COUNTIFS($AX$2:$AX$200,$G353)&gt;0
   ),
  0)
 ),
"")</f>
        <v>Modular</v>
      </c>
      <c r="D353" s="3" t="str" cm="1">
        <f t="array" aca="1" ref="D353" ca="1">IFERROR(
 INDEX(
  _xlfn._xlws.FILTER($U$1:$AV$1,
   TRANSPOSE(
    CHOOSE({1;2;3;4;5;6;7;8;9;10;11;12;13;14;15;16;17;18;19;20;21;22;23;24;25;26;27;28},
     COUNTIFS($U$2:$U$200,$G353)&gt;0,
     COUNTIFS($V$2:$V$200,$G353)&gt;0,
     COUNTIFS($W$2:$W$200,$G353)&gt;0,
     COUNTIFS($X$2:$X$200,$G353)&gt;0,
     COUNTIFS($Y$2:$Y$200,$G353)&gt;0,
     COUNTIFS($Z$2:$Z$200,$G353)&gt;0,
     COUNTIFS($AA$2:$AA$200,$G353)&gt;0,
     COUNTIFS($AB$2:$AB$200,$G353)&gt;0,
     COUNTIFS($AC$2:$AC$200,$G353)&gt;0,
     COUNTIFS($AD$2:$AD$200,$G353)&gt;0,
     COUNTIFS($AE$2:$AE$200,$G353)&gt;0,
     COUNTIFS($AF$2:$AF$200,$G353)&gt;0,
     COUNTIFS($AG$2:$AG$200,$G353)&gt;0,
     COUNTIFS($AH$2:$AH$200,$G353)&gt;0,
     COUNTIFS($AI$2:$AI$200,$G353)&gt;0,
     COUNTIFS($AJ$2:$AJ$200,$G353)&gt;0,
     COUNTIFS($AK$2:$AK$200,$G353)&gt;0,
     COUNTIFS($AL$2:$AL$200,$G353)&gt;0,
     COUNTIFS($AM$2:$AM$200,$G353)&gt;0,
     COUNTIFS($AN$2:$AN$200,$G353)&gt;0,
     COUNTIFS($AO$2:$AO$200,$G353)&gt;0,
     COUNTIFS($AP$2:$AP$200,$G353)&gt;0,
     COUNTIFS($AQ$2:$AQ$200,$G353)&gt;0,
     COUNTIFS($AR$2:$AR$200,$G353)&gt;0,
     COUNTIFS($AS$2:$AS$200,$G353)&gt;0,
     COUNTIFS($AT$2:$AT$200,$G353)&gt;0,
     COUNTIFS($AU$2:$AU$200,$G353)&gt;0,
     COUNTIFS($AV$2:$AV$200,$G353)&gt;0
   )),
  ),
  2
 ),
"")</f>
        <v/>
      </c>
      <c r="E353" s="3" t="str" cm="1">
        <f t="array" aca="1" ref="E353" ca="1">IFERROR(
 INDEX($U$1:$AV$1,
  _xlfn.AGGREGATE(15,6,
   (COLUMN($U$1:$AV$1)-COLUMN($U$1)+1)/
   TRANSPOSE(
    CHOOSE({1;2;3;4;5;6;7;8;9;10;11;12;13;14;15;16;17;18;19;20;21;22;23;24;25;26;27;28},
     COUNTIFS($U$2:$U$200,$G353)&gt;0,
     COUNTIFS($V$2:$V$200,$G353)&gt;0,
     COUNTIFS($W$2:$W$200,$G353)&gt;0,
     COUNTIFS($X$2:$X$200,$G353)&gt;0,
     COUNTIFS($Y$2:$Y$200,$G353)&gt;0,
     COUNTIFS($Z$2:$Z$200,$G353)&gt;0,
     COUNTIFS($AA$2:$AA$200,$G353)&gt;0,
     COUNTIFS($AB$2:$AB$200,$G353)&gt;0,
     COUNTIFS($AC$2:$AC$200,$G353)&gt;0,
     COUNTIFS($AD$2:$AD$200,$G353)&gt;0,
     COUNTIFS($AE$2:$AE$200,$G353)&gt;0,
     COUNTIFS($AF$2:$AF$200,$G353)&gt;0,
     COUNTIFS($AG$2:$AG$200,$G353)&gt;0,
     COUNTIFS($AH$2:$AH$200,$G353)&gt;0,
     COUNTIFS($AI$2:$AI$200,$G353)&gt;0,
     COUNTIFS($AJ$2:$AJ$200,$G353)&gt;0,
     COUNTIFS($AK$2:$AK$200,$G353)&gt;0,
     COUNTIFS($AL$2:$AL$200,$G353)&gt;0,
     COUNTIFS($AM$2:$AM$200,$G353)&gt;0,
     COUNTIFS($AN$2:$AN$200,$G353)&gt;0,
     COUNTIFS($AO$2:$AO$200,$G353)&gt;0,
     COUNTIFS($AP$2:$AP$200,$G353)&gt;0,
     COUNTIFS($AQ$2:$AQ$200,$G353)&gt;0,
     COUNTIFS($AR$2:$AR$200,$G353)&gt;0,
     COUNTIFS($AS$2:$AS$200,$G353)&gt;0,
     COUNTIFS($AT$2:$AT$200,$G353)&gt;0,
     COUNTIFS($AU$2:$AU$200,$G353)&gt;0,
     COUNTIFS($AV$2:$AV$200,$G353)&gt;0
   )),
  3)
 ),
"")</f>
        <v/>
      </c>
      <c r="F353" s="3" t="str" cm="1">
        <f t="array" aca="1" ref="F353" ca="1">IFERROR(
 INDEX($U$1:$AV$1,
  _xlfn.AGGREGATE(15,6,
   (COLUMN($U$1:$AV$1)-COLUMN($U$1)+1)/
   TRANSPOSE(
    CHOOSE({1;2;3;4;5;6;7;8;9;10;11;12;13;14;15;16;17;18;19;20;21;22;23;24;25;26;27;28},
     COUNTIFS($U$2:$U$200,$G353)&gt;0,
     COUNTIFS($V$2:$V$200,$G353)&gt;0,
     COUNTIFS($W$2:$W$200,$G353)&gt;0,
     COUNTIFS($X$2:$X$200,$G353)&gt;0,
     COUNTIFS($Y$2:$Y$200,$G353)&gt;0,
     COUNTIFS($Z$2:$Z$200,$G353)&gt;0,
     COUNTIFS($AA$2:$AA$200,$G353)&gt;0,
     COUNTIFS($AB$2:$AB$200,$G353)&gt;0,
     COUNTIFS($AC$2:$AC$200,$G353)&gt;0,
     COUNTIFS($AD$2:$AD$200,$G353)&gt;0,
     COUNTIFS($AE$2:$AE$200,$G353)&gt;0,
     COUNTIFS($AF$2:$AF$200,$G353)&gt;0,
     COUNTIFS($AG$2:$AG$200,$G353)&gt;0,
     COUNTIFS($AH$2:$AH$200,$G353)&gt;0,
     COUNTIFS($AI$2:$AI$200,$G353)&gt;0,
     COUNTIFS($AJ$2:$AJ$200,$G353)&gt;0,
     COUNTIFS($AK$2:$AK$200,$G353)&gt;0,
     COUNTIFS($AL$2:$AL$200,$G353)&gt;0,
     COUNTIFS($AM$2:$AM$200,$G353)&gt;0,
     COUNTIFS($AN$2:$AN$200,$G353)&gt;0,
     COUNTIFS($AO$2:$AO$200,$G353)&gt;0,
     COUNTIFS($AP$2:$AP$200,$G353)&gt;0,
     COUNTIFS($AQ$2:$AQ$200,$G353)&gt;0,
     COUNTIFS($AR$2:$AR$200,$G353)&gt;0,
     COUNTIFS($AS$2:$AS$200,$G353)&gt;0,
     COUNTIFS($AT$2:$AT$200,$G353)&gt;0,
     COUNTIFS($AU$2:$AU$200,$G353)&gt;0,
     COUNTIFS($AV$2:$AV$200,$G353)&gt;0
   )),
  4)
 ),
"")</f>
        <v/>
      </c>
      <c r="G353" t="str">
        <f ca="1"/>
        <v>Thornglint Bridge</v>
      </c>
    </row>
    <row r="354" spans="1:7" x14ac:dyDescent="0.25">
      <c r="A354" s="3" t="str">
        <f t="shared" ca="1" si="12"/>
        <v>2</v>
      </c>
      <c r="B354" s="3">
        <f t="shared" ca="1" si="13"/>
        <v>2</v>
      </c>
      <c r="C354" s="3" t="str">
        <f ca="1">IFERROR(
 INDEX($U$1:$AX$1,
  MATCH(TRUE,
   CHOOSE({1;2;3;4;5;6;7;8;9;10;11;12;13;14;15;16;17;18;19;20;21;22;23;24;25;26;27;28;29;30;31;32},
    COUNTIFS($U$2:$U$200,$G354)&gt;0,
    COUNTIFS($V$2:$V$200,$G354)&gt;0,
    COUNTIFS($W$2:$W$200,$G354)&gt;0,
    COUNTIFS($X$2:$X$200,$G354)&gt;0,
    COUNTIFS($Y$2:$Y$200,$G354)&gt;0,
    COUNTIFS($Z$2:$Z$200,$G354)&gt;0,
    COUNTIFS($AA$2:$AA$200,$G354)&gt;0,
    COUNTIFS($AB$2:$AB$200,$G354)&gt;0,
    COUNTIFS($AC$2:$AC$200,$G354)&gt;0,
    COUNTIFS($AD$2:$AD$200,$G354)&gt;0,
    COUNTIFS($AE$2:$AE$200,$G354)&gt;0,
    COUNTIFS($AF$2:$AF$200,$G354)&gt;0,
    COUNTIFS($AG$2:$AG$200,$G354)&gt;0,
    COUNTIFS($AH$2:$AH$200,$G354)&gt;0,
    COUNTIFS($AI$2:$AI$200,$G354)&gt;0,
    COUNTIFS($AJ$2:$AJ$200,$G354)&gt;0,
    COUNTIFS($AK$2:$AK$200,$G354)&gt;0,
    COUNTIFS($AL$2:$AL$200,$G354)&gt;0,
    COUNTIFS($AM$2:$AM$200,$G354)&gt;0,
    COUNTIFS($AN$2:$AN$200,$G354)&gt;0,
    COUNTIFS($AO$2:$AO$200,$G354)&gt;0,
    COUNTIFS($AP$2:$AP$200,$G354)&gt;0,
    COUNTIFS($AQ$2:$AQ$200,$G354)&gt;0,
    COUNTIFS($AR$2:$AR$200,$G354)&gt;0,
    COUNTIFS($AS$2:$AS$200,$G354)&gt;0,
    COUNTIFS($AT$2:$AT$200,$G354)&gt;0,
    COUNTIFS($AU$2:$AU$200,$G354)&gt;0,
    COUNTIFS($AV$2:$AV$200,$G354)&gt;0,
    COUNTIFS($AW$2:$AW$200,$G354)&gt;0,
    COUNTIFS($AX$2:$AX$200,$G354)&gt;0
   ),
  0)
 ),
"")</f>
        <v>Rani</v>
      </c>
      <c r="D354" s="3" t="str" cm="1">
        <f t="array" aca="1" ref="D354" ca="1">IFERROR(
 INDEX(
  _xlfn._xlws.FILTER($U$1:$AV$1,
   TRANSPOSE(
    CHOOSE({1;2;3;4;5;6;7;8;9;10;11;12;13;14;15;16;17;18;19;20;21;22;23;24;25;26;27;28},
     COUNTIFS($U$2:$U$200,$G354)&gt;0,
     COUNTIFS($V$2:$V$200,$G354)&gt;0,
     COUNTIFS($W$2:$W$200,$G354)&gt;0,
     COUNTIFS($X$2:$X$200,$G354)&gt;0,
     COUNTIFS($Y$2:$Y$200,$G354)&gt;0,
     COUNTIFS($Z$2:$Z$200,$G354)&gt;0,
     COUNTIFS($AA$2:$AA$200,$G354)&gt;0,
     COUNTIFS($AB$2:$AB$200,$G354)&gt;0,
     COUNTIFS($AC$2:$AC$200,$G354)&gt;0,
     COUNTIFS($AD$2:$AD$200,$G354)&gt;0,
     COUNTIFS($AE$2:$AE$200,$G354)&gt;0,
     COUNTIFS($AF$2:$AF$200,$G354)&gt;0,
     COUNTIFS($AG$2:$AG$200,$G354)&gt;0,
     COUNTIFS($AH$2:$AH$200,$G354)&gt;0,
     COUNTIFS($AI$2:$AI$200,$G354)&gt;0,
     COUNTIFS($AJ$2:$AJ$200,$G354)&gt;0,
     COUNTIFS($AK$2:$AK$200,$G354)&gt;0,
     COUNTIFS($AL$2:$AL$200,$G354)&gt;0,
     COUNTIFS($AM$2:$AM$200,$G354)&gt;0,
     COUNTIFS($AN$2:$AN$200,$G354)&gt;0,
     COUNTIFS($AO$2:$AO$200,$G354)&gt;0,
     COUNTIFS($AP$2:$AP$200,$G354)&gt;0,
     COUNTIFS($AQ$2:$AQ$200,$G354)&gt;0,
     COUNTIFS($AR$2:$AR$200,$G354)&gt;0,
     COUNTIFS($AS$2:$AS$200,$G354)&gt;0,
     COUNTIFS($AT$2:$AT$200,$G354)&gt;0,
     COUNTIFS($AU$2:$AU$200,$G354)&gt;0,
     COUNTIFS($AV$2:$AV$200,$G354)&gt;0
   )),
  ),
  2
 ),
"")</f>
        <v>JhoiraB</v>
      </c>
      <c r="E354" s="3" t="str" cm="1">
        <f t="array" aca="1" ref="E354" ca="1">IFERROR(
 INDEX($U$1:$AV$1,
  _xlfn.AGGREGATE(15,6,
   (COLUMN($U$1:$AV$1)-COLUMN($U$1)+1)/
   TRANSPOSE(
    CHOOSE({1;2;3;4;5;6;7;8;9;10;11;12;13;14;15;16;17;18;19;20;21;22;23;24;25;26;27;28},
     COUNTIFS($U$2:$U$200,$G354)&gt;0,
     COUNTIFS($V$2:$V$200,$G354)&gt;0,
     COUNTIFS($W$2:$W$200,$G354)&gt;0,
     COUNTIFS($X$2:$X$200,$G354)&gt;0,
     COUNTIFS($Y$2:$Y$200,$G354)&gt;0,
     COUNTIFS($Z$2:$Z$200,$G354)&gt;0,
     COUNTIFS($AA$2:$AA$200,$G354)&gt;0,
     COUNTIFS($AB$2:$AB$200,$G354)&gt;0,
     COUNTIFS($AC$2:$AC$200,$G354)&gt;0,
     COUNTIFS($AD$2:$AD$200,$G354)&gt;0,
     COUNTIFS($AE$2:$AE$200,$G354)&gt;0,
     COUNTIFS($AF$2:$AF$200,$G354)&gt;0,
     COUNTIFS($AG$2:$AG$200,$G354)&gt;0,
     COUNTIFS($AH$2:$AH$200,$G354)&gt;0,
     COUNTIFS($AI$2:$AI$200,$G354)&gt;0,
     COUNTIFS($AJ$2:$AJ$200,$G354)&gt;0,
     COUNTIFS($AK$2:$AK$200,$G354)&gt;0,
     COUNTIFS($AL$2:$AL$200,$G354)&gt;0,
     COUNTIFS($AM$2:$AM$200,$G354)&gt;0,
     COUNTIFS($AN$2:$AN$200,$G354)&gt;0,
     COUNTIFS($AO$2:$AO$200,$G354)&gt;0,
     COUNTIFS($AP$2:$AP$200,$G354)&gt;0,
     COUNTIFS($AQ$2:$AQ$200,$G354)&gt;0,
     COUNTIFS($AR$2:$AR$200,$G354)&gt;0,
     COUNTIFS($AS$2:$AS$200,$G354)&gt;0,
     COUNTIFS($AT$2:$AT$200,$G354)&gt;0,
     COUNTIFS($AU$2:$AU$200,$G354)&gt;0,
     COUNTIFS($AV$2:$AV$200,$G354)&gt;0
   )),
  3)
 ),
"")</f>
        <v/>
      </c>
      <c r="F354" s="3" t="str" cm="1">
        <f t="array" aca="1" ref="F354" ca="1">IFERROR(
 INDEX($U$1:$AV$1,
  _xlfn.AGGREGATE(15,6,
   (COLUMN($U$1:$AV$1)-COLUMN($U$1)+1)/
   TRANSPOSE(
    CHOOSE({1;2;3;4;5;6;7;8;9;10;11;12;13;14;15;16;17;18;19;20;21;22;23;24;25;26;27;28},
     COUNTIFS($U$2:$U$200,$G354)&gt;0,
     COUNTIFS($V$2:$V$200,$G354)&gt;0,
     COUNTIFS($W$2:$W$200,$G354)&gt;0,
     COUNTIFS($X$2:$X$200,$G354)&gt;0,
     COUNTIFS($Y$2:$Y$200,$G354)&gt;0,
     COUNTIFS($Z$2:$Z$200,$G354)&gt;0,
     COUNTIFS($AA$2:$AA$200,$G354)&gt;0,
     COUNTIFS($AB$2:$AB$200,$G354)&gt;0,
     COUNTIFS($AC$2:$AC$200,$G354)&gt;0,
     COUNTIFS($AD$2:$AD$200,$G354)&gt;0,
     COUNTIFS($AE$2:$AE$200,$G354)&gt;0,
     COUNTIFS($AF$2:$AF$200,$G354)&gt;0,
     COUNTIFS($AG$2:$AG$200,$G354)&gt;0,
     COUNTIFS($AH$2:$AH$200,$G354)&gt;0,
     COUNTIFS($AI$2:$AI$200,$G354)&gt;0,
     COUNTIFS($AJ$2:$AJ$200,$G354)&gt;0,
     COUNTIFS($AK$2:$AK$200,$G354)&gt;0,
     COUNTIFS($AL$2:$AL$200,$G354)&gt;0,
     COUNTIFS($AM$2:$AM$200,$G354)&gt;0,
     COUNTIFS($AN$2:$AN$200,$G354)&gt;0,
     COUNTIFS($AO$2:$AO$200,$G354)&gt;0,
     COUNTIFS($AP$2:$AP$200,$G354)&gt;0,
     COUNTIFS($AQ$2:$AQ$200,$G354)&gt;0,
     COUNTIFS($AR$2:$AR$200,$G354)&gt;0,
     COUNTIFS($AS$2:$AS$200,$G354)&gt;0,
     COUNTIFS($AT$2:$AT$200,$G354)&gt;0,
     COUNTIFS($AU$2:$AU$200,$G354)&gt;0,
     COUNTIFS($AV$2:$AV$200,$G354)&gt;0
   )),
  4)
 ),
"")</f>
        <v/>
      </c>
      <c r="G354" t="str">
        <f ca="1"/>
        <v>Thought Vessel</v>
      </c>
    </row>
    <row r="355" spans="1:7" x14ac:dyDescent="0.25">
      <c r="A355" s="3" t="str">
        <f t="shared" ca="1" si="12"/>
        <v>3</v>
      </c>
      <c r="B355" s="3">
        <f t="shared" ca="1" si="13"/>
        <v>1</v>
      </c>
      <c r="C355" s="3" t="str">
        <f ca="1">IFERROR(
 INDEX($U$1:$AX$1,
  MATCH(TRUE,
   CHOOSE({1;2;3;4;5;6;7;8;9;10;11;12;13;14;15;16;17;18;19;20;21;22;23;24;25;26;27;28;29;30;31;32},
    COUNTIFS($U$2:$U$200,$G355)&gt;0,
    COUNTIFS($V$2:$V$200,$G355)&gt;0,
    COUNTIFS($W$2:$W$200,$G355)&gt;0,
    COUNTIFS($X$2:$X$200,$G355)&gt;0,
    COUNTIFS($Y$2:$Y$200,$G355)&gt;0,
    COUNTIFS($Z$2:$Z$200,$G355)&gt;0,
    COUNTIFS($AA$2:$AA$200,$G355)&gt;0,
    COUNTIFS($AB$2:$AB$200,$G355)&gt;0,
    COUNTIFS($AC$2:$AC$200,$G355)&gt;0,
    COUNTIFS($AD$2:$AD$200,$G355)&gt;0,
    COUNTIFS($AE$2:$AE$200,$G355)&gt;0,
    COUNTIFS($AF$2:$AF$200,$G355)&gt;0,
    COUNTIFS($AG$2:$AG$200,$G355)&gt;0,
    COUNTIFS($AH$2:$AH$200,$G355)&gt;0,
    COUNTIFS($AI$2:$AI$200,$G355)&gt;0,
    COUNTIFS($AJ$2:$AJ$200,$G355)&gt;0,
    COUNTIFS($AK$2:$AK$200,$G355)&gt;0,
    COUNTIFS($AL$2:$AL$200,$G355)&gt;0,
    COUNTIFS($AM$2:$AM$200,$G355)&gt;0,
    COUNTIFS($AN$2:$AN$200,$G355)&gt;0,
    COUNTIFS($AO$2:$AO$200,$G355)&gt;0,
    COUNTIFS($AP$2:$AP$200,$G355)&gt;0,
    COUNTIFS($AQ$2:$AQ$200,$G355)&gt;0,
    COUNTIFS($AR$2:$AR$200,$G355)&gt;0,
    COUNTIFS($AS$2:$AS$200,$G355)&gt;0,
    COUNTIFS($AT$2:$AT$200,$G355)&gt;0,
    COUNTIFS($AU$2:$AU$200,$G355)&gt;0,
    COUNTIFS($AV$2:$AV$200,$G355)&gt;0,
    COUNTIFS($AW$2:$AW$200,$G355)&gt;0,
    COUNTIFS($AX$2:$AX$200,$G355)&gt;0
   ),
  0)
 ),
"")</f>
        <v>Zimone</v>
      </c>
      <c r="D355" s="3" t="str" cm="1">
        <f t="array" aca="1" ref="D355" ca="1">IFERROR(
 INDEX(
  _xlfn._xlws.FILTER($U$1:$AV$1,
   TRANSPOSE(
    CHOOSE({1;2;3;4;5;6;7;8;9;10;11;12;13;14;15;16;17;18;19;20;21;22;23;24;25;26;27;28},
     COUNTIFS($U$2:$U$200,$G355)&gt;0,
     COUNTIFS($V$2:$V$200,$G355)&gt;0,
     COUNTIFS($W$2:$W$200,$G355)&gt;0,
     COUNTIFS($X$2:$X$200,$G355)&gt;0,
     COUNTIFS($Y$2:$Y$200,$G355)&gt;0,
     COUNTIFS($Z$2:$Z$200,$G355)&gt;0,
     COUNTIFS($AA$2:$AA$200,$G355)&gt;0,
     COUNTIFS($AB$2:$AB$200,$G355)&gt;0,
     COUNTIFS($AC$2:$AC$200,$G355)&gt;0,
     COUNTIFS($AD$2:$AD$200,$G355)&gt;0,
     COUNTIFS($AE$2:$AE$200,$G355)&gt;0,
     COUNTIFS($AF$2:$AF$200,$G355)&gt;0,
     COUNTIFS($AG$2:$AG$200,$G355)&gt;0,
     COUNTIFS($AH$2:$AH$200,$G355)&gt;0,
     COUNTIFS($AI$2:$AI$200,$G355)&gt;0,
     COUNTIFS($AJ$2:$AJ$200,$G355)&gt;0,
     COUNTIFS($AK$2:$AK$200,$G355)&gt;0,
     COUNTIFS($AL$2:$AL$200,$G355)&gt;0,
     COUNTIFS($AM$2:$AM$200,$G355)&gt;0,
     COUNTIFS($AN$2:$AN$200,$G355)&gt;0,
     COUNTIFS($AO$2:$AO$200,$G355)&gt;0,
     COUNTIFS($AP$2:$AP$200,$G355)&gt;0,
     COUNTIFS($AQ$2:$AQ$200,$G355)&gt;0,
     COUNTIFS($AR$2:$AR$200,$G355)&gt;0,
     COUNTIFS($AS$2:$AS$200,$G355)&gt;0,
     COUNTIFS($AT$2:$AT$200,$G355)&gt;0,
     COUNTIFS($AU$2:$AU$200,$G355)&gt;0,
     COUNTIFS($AV$2:$AV$200,$G355)&gt;0
   )),
  ),
  2
 ),
"")</f>
        <v/>
      </c>
      <c r="E355" s="3" t="str" cm="1">
        <f t="array" aca="1" ref="E355" ca="1">IFERROR(
 INDEX($U$1:$AV$1,
  _xlfn.AGGREGATE(15,6,
   (COLUMN($U$1:$AV$1)-COLUMN($U$1)+1)/
   TRANSPOSE(
    CHOOSE({1;2;3;4;5;6;7;8;9;10;11;12;13;14;15;16;17;18;19;20;21;22;23;24;25;26;27;28},
     COUNTIFS($U$2:$U$200,$G355)&gt;0,
     COUNTIFS($V$2:$V$200,$G355)&gt;0,
     COUNTIFS($W$2:$W$200,$G355)&gt;0,
     COUNTIFS($X$2:$X$200,$G355)&gt;0,
     COUNTIFS($Y$2:$Y$200,$G355)&gt;0,
     COUNTIFS($Z$2:$Z$200,$G355)&gt;0,
     COUNTIFS($AA$2:$AA$200,$G355)&gt;0,
     COUNTIFS($AB$2:$AB$200,$G355)&gt;0,
     COUNTIFS($AC$2:$AC$200,$G355)&gt;0,
     COUNTIFS($AD$2:$AD$200,$G355)&gt;0,
     COUNTIFS($AE$2:$AE$200,$G355)&gt;0,
     COUNTIFS($AF$2:$AF$200,$G355)&gt;0,
     COUNTIFS($AG$2:$AG$200,$G355)&gt;0,
     COUNTIFS($AH$2:$AH$200,$G355)&gt;0,
     COUNTIFS($AI$2:$AI$200,$G355)&gt;0,
     COUNTIFS($AJ$2:$AJ$200,$G355)&gt;0,
     COUNTIFS($AK$2:$AK$200,$G355)&gt;0,
     COUNTIFS($AL$2:$AL$200,$G355)&gt;0,
     COUNTIFS($AM$2:$AM$200,$G355)&gt;0,
     COUNTIFS($AN$2:$AN$200,$G355)&gt;0,
     COUNTIFS($AO$2:$AO$200,$G355)&gt;0,
     COUNTIFS($AP$2:$AP$200,$G355)&gt;0,
     COUNTIFS($AQ$2:$AQ$200,$G355)&gt;0,
     COUNTIFS($AR$2:$AR$200,$G355)&gt;0,
     COUNTIFS($AS$2:$AS$200,$G355)&gt;0,
     COUNTIFS($AT$2:$AT$200,$G355)&gt;0,
     COUNTIFS($AU$2:$AU$200,$G355)&gt;0,
     COUNTIFS($AV$2:$AV$200,$G355)&gt;0
   )),
  3)
 ),
"")</f>
        <v/>
      </c>
      <c r="F355" s="3" t="str" cm="1">
        <f t="array" aca="1" ref="F355" ca="1">IFERROR(
 INDEX($U$1:$AV$1,
  _xlfn.AGGREGATE(15,6,
   (COLUMN($U$1:$AV$1)-COLUMN($U$1)+1)/
   TRANSPOSE(
    CHOOSE({1;2;3;4;5;6;7;8;9;10;11;12;13;14;15;16;17;18;19;20;21;22;23;24;25;26;27;28},
     COUNTIFS($U$2:$U$200,$G355)&gt;0,
     COUNTIFS($V$2:$V$200,$G355)&gt;0,
     COUNTIFS($W$2:$W$200,$G355)&gt;0,
     COUNTIFS($X$2:$X$200,$G355)&gt;0,
     COUNTIFS($Y$2:$Y$200,$G355)&gt;0,
     COUNTIFS($Z$2:$Z$200,$G355)&gt;0,
     COUNTIFS($AA$2:$AA$200,$G355)&gt;0,
     COUNTIFS($AB$2:$AB$200,$G355)&gt;0,
     COUNTIFS($AC$2:$AC$200,$G355)&gt;0,
     COUNTIFS($AD$2:$AD$200,$G355)&gt;0,
     COUNTIFS($AE$2:$AE$200,$G355)&gt;0,
     COUNTIFS($AF$2:$AF$200,$G355)&gt;0,
     COUNTIFS($AG$2:$AG$200,$G355)&gt;0,
     COUNTIFS($AH$2:$AH$200,$G355)&gt;0,
     COUNTIFS($AI$2:$AI$200,$G355)&gt;0,
     COUNTIFS($AJ$2:$AJ$200,$G355)&gt;0,
     COUNTIFS($AK$2:$AK$200,$G355)&gt;0,
     COUNTIFS($AL$2:$AL$200,$G355)&gt;0,
     COUNTIFS($AM$2:$AM$200,$G355)&gt;0,
     COUNTIFS($AN$2:$AN$200,$G355)&gt;0,
     COUNTIFS($AO$2:$AO$200,$G355)&gt;0,
     COUNTIFS($AP$2:$AP$200,$G355)&gt;0,
     COUNTIFS($AQ$2:$AQ$200,$G355)&gt;0,
     COUNTIFS($AR$2:$AR$200,$G355)&gt;0,
     COUNTIFS($AS$2:$AS$200,$G355)&gt;0,
     COUNTIFS($AT$2:$AT$200,$G355)&gt;0,
     COUNTIFS($AU$2:$AU$200,$G355)&gt;0,
     COUNTIFS($AV$2:$AV$200,$G355)&gt;0
   )),
  4)
 ),
"")</f>
        <v/>
      </c>
      <c r="G355" t="str">
        <f ca="1"/>
        <v>Thousand-Year Elixir</v>
      </c>
    </row>
    <row r="356" spans="1:7" x14ac:dyDescent="0.25">
      <c r="A356" s="3" t="str">
        <f t="shared" ca="1" si="12"/>
        <v>3</v>
      </c>
      <c r="B356" s="3">
        <f t="shared" ca="1" si="13"/>
        <v>1</v>
      </c>
      <c r="C356" s="3" t="str">
        <f ca="1">IFERROR(
 INDEX($U$1:$AX$1,
  MATCH(TRUE,
   CHOOSE({1;2;3;4;5;6;7;8;9;10;11;12;13;14;15;16;17;18;19;20;21;22;23;24;25;26;27;28;29;30;31;32},
    COUNTIFS($U$2:$U$200,$G356)&gt;0,
    COUNTIFS($V$2:$V$200,$G356)&gt;0,
    COUNTIFS($W$2:$W$200,$G356)&gt;0,
    COUNTIFS($X$2:$X$200,$G356)&gt;0,
    COUNTIFS($Y$2:$Y$200,$G356)&gt;0,
    COUNTIFS($Z$2:$Z$200,$G356)&gt;0,
    COUNTIFS($AA$2:$AA$200,$G356)&gt;0,
    COUNTIFS($AB$2:$AB$200,$G356)&gt;0,
    COUNTIFS($AC$2:$AC$200,$G356)&gt;0,
    COUNTIFS($AD$2:$AD$200,$G356)&gt;0,
    COUNTIFS($AE$2:$AE$200,$G356)&gt;0,
    COUNTIFS($AF$2:$AF$200,$G356)&gt;0,
    COUNTIFS($AG$2:$AG$200,$G356)&gt;0,
    COUNTIFS($AH$2:$AH$200,$G356)&gt;0,
    COUNTIFS($AI$2:$AI$200,$G356)&gt;0,
    COUNTIFS($AJ$2:$AJ$200,$G356)&gt;0,
    COUNTIFS($AK$2:$AK$200,$G356)&gt;0,
    COUNTIFS($AL$2:$AL$200,$G356)&gt;0,
    COUNTIFS($AM$2:$AM$200,$G356)&gt;0,
    COUNTIFS($AN$2:$AN$200,$G356)&gt;0,
    COUNTIFS($AO$2:$AO$200,$G356)&gt;0,
    COUNTIFS($AP$2:$AP$200,$G356)&gt;0,
    COUNTIFS($AQ$2:$AQ$200,$G356)&gt;0,
    COUNTIFS($AR$2:$AR$200,$G356)&gt;0,
    COUNTIFS($AS$2:$AS$200,$G356)&gt;0,
    COUNTIFS($AT$2:$AT$200,$G356)&gt;0,
    COUNTIFS($AU$2:$AU$200,$G356)&gt;0,
    COUNTIFS($AV$2:$AV$200,$G356)&gt;0,
    COUNTIFS($AW$2:$AW$200,$G356)&gt;0,
    COUNTIFS($AX$2:$AX$200,$G356)&gt;0
   ),
  0)
 ),
"")</f>
        <v>JhoiraB</v>
      </c>
      <c r="D356" s="3" t="str" cm="1">
        <f t="array" aca="1" ref="D356" ca="1">IFERROR(
 INDEX(
  _xlfn._xlws.FILTER($U$1:$AV$1,
   TRANSPOSE(
    CHOOSE({1;2;3;4;5;6;7;8;9;10;11;12;13;14;15;16;17;18;19;20;21;22;23;24;25;26;27;28},
     COUNTIFS($U$2:$U$200,$G356)&gt;0,
     COUNTIFS($V$2:$V$200,$G356)&gt;0,
     COUNTIFS($W$2:$W$200,$G356)&gt;0,
     COUNTIFS($X$2:$X$200,$G356)&gt;0,
     COUNTIFS($Y$2:$Y$200,$G356)&gt;0,
     COUNTIFS($Z$2:$Z$200,$G356)&gt;0,
     COUNTIFS($AA$2:$AA$200,$G356)&gt;0,
     COUNTIFS($AB$2:$AB$200,$G356)&gt;0,
     COUNTIFS($AC$2:$AC$200,$G356)&gt;0,
     COUNTIFS($AD$2:$AD$200,$G356)&gt;0,
     COUNTIFS($AE$2:$AE$200,$G356)&gt;0,
     COUNTIFS($AF$2:$AF$200,$G356)&gt;0,
     COUNTIFS($AG$2:$AG$200,$G356)&gt;0,
     COUNTIFS($AH$2:$AH$200,$G356)&gt;0,
     COUNTIFS($AI$2:$AI$200,$G356)&gt;0,
     COUNTIFS($AJ$2:$AJ$200,$G356)&gt;0,
     COUNTIFS($AK$2:$AK$200,$G356)&gt;0,
     COUNTIFS($AL$2:$AL$200,$G356)&gt;0,
     COUNTIFS($AM$2:$AM$200,$G356)&gt;0,
     COUNTIFS($AN$2:$AN$200,$G356)&gt;0,
     COUNTIFS($AO$2:$AO$200,$G356)&gt;0,
     COUNTIFS($AP$2:$AP$200,$G356)&gt;0,
     COUNTIFS($AQ$2:$AQ$200,$G356)&gt;0,
     COUNTIFS($AR$2:$AR$200,$G356)&gt;0,
     COUNTIFS($AS$2:$AS$200,$G356)&gt;0,
     COUNTIFS($AT$2:$AT$200,$G356)&gt;0,
     COUNTIFS($AU$2:$AU$200,$G356)&gt;0,
     COUNTIFS($AV$2:$AV$200,$G356)&gt;0
   )),
  ),
  2
 ),
"")</f>
        <v/>
      </c>
      <c r="E356" s="3" t="str" cm="1">
        <f t="array" aca="1" ref="E356" ca="1">IFERROR(
 INDEX($U$1:$AV$1,
  _xlfn.AGGREGATE(15,6,
   (COLUMN($U$1:$AV$1)-COLUMN($U$1)+1)/
   TRANSPOSE(
    CHOOSE({1;2;3;4;5;6;7;8;9;10;11;12;13;14;15;16;17;18;19;20;21;22;23;24;25;26;27;28},
     COUNTIFS($U$2:$U$200,$G356)&gt;0,
     COUNTIFS($V$2:$V$200,$G356)&gt;0,
     COUNTIFS($W$2:$W$200,$G356)&gt;0,
     COUNTIFS($X$2:$X$200,$G356)&gt;0,
     COUNTIFS($Y$2:$Y$200,$G356)&gt;0,
     COUNTIFS($Z$2:$Z$200,$G356)&gt;0,
     COUNTIFS($AA$2:$AA$200,$G356)&gt;0,
     COUNTIFS($AB$2:$AB$200,$G356)&gt;0,
     COUNTIFS($AC$2:$AC$200,$G356)&gt;0,
     COUNTIFS($AD$2:$AD$200,$G356)&gt;0,
     COUNTIFS($AE$2:$AE$200,$G356)&gt;0,
     COUNTIFS($AF$2:$AF$200,$G356)&gt;0,
     COUNTIFS($AG$2:$AG$200,$G356)&gt;0,
     COUNTIFS($AH$2:$AH$200,$G356)&gt;0,
     COUNTIFS($AI$2:$AI$200,$G356)&gt;0,
     COUNTIFS($AJ$2:$AJ$200,$G356)&gt;0,
     COUNTIFS($AK$2:$AK$200,$G356)&gt;0,
     COUNTIFS($AL$2:$AL$200,$G356)&gt;0,
     COUNTIFS($AM$2:$AM$200,$G356)&gt;0,
     COUNTIFS($AN$2:$AN$200,$G356)&gt;0,
     COUNTIFS($AO$2:$AO$200,$G356)&gt;0,
     COUNTIFS($AP$2:$AP$200,$G356)&gt;0,
     COUNTIFS($AQ$2:$AQ$200,$G356)&gt;0,
     COUNTIFS($AR$2:$AR$200,$G356)&gt;0,
     COUNTIFS($AS$2:$AS$200,$G356)&gt;0,
     COUNTIFS($AT$2:$AT$200,$G356)&gt;0,
     COUNTIFS($AU$2:$AU$200,$G356)&gt;0,
     COUNTIFS($AV$2:$AV$200,$G356)&gt;0
   )),
  3)
 ),
"")</f>
        <v/>
      </c>
      <c r="F356" s="3" t="str" cm="1">
        <f t="array" aca="1" ref="F356" ca="1">IFERROR(
 INDEX($U$1:$AV$1,
  _xlfn.AGGREGATE(15,6,
   (COLUMN($U$1:$AV$1)-COLUMN($U$1)+1)/
   TRANSPOSE(
    CHOOSE({1;2;3;4;5;6;7;8;9;10;11;12;13;14;15;16;17;18;19;20;21;22;23;24;25;26;27;28},
     COUNTIFS($U$2:$U$200,$G356)&gt;0,
     COUNTIFS($V$2:$V$200,$G356)&gt;0,
     COUNTIFS($W$2:$W$200,$G356)&gt;0,
     COUNTIFS($X$2:$X$200,$G356)&gt;0,
     COUNTIFS($Y$2:$Y$200,$G356)&gt;0,
     COUNTIFS($Z$2:$Z$200,$G356)&gt;0,
     COUNTIFS($AA$2:$AA$200,$G356)&gt;0,
     COUNTIFS($AB$2:$AB$200,$G356)&gt;0,
     COUNTIFS($AC$2:$AC$200,$G356)&gt;0,
     COUNTIFS($AD$2:$AD$200,$G356)&gt;0,
     COUNTIFS($AE$2:$AE$200,$G356)&gt;0,
     COUNTIFS($AF$2:$AF$200,$G356)&gt;0,
     COUNTIFS($AG$2:$AG$200,$G356)&gt;0,
     COUNTIFS($AH$2:$AH$200,$G356)&gt;0,
     COUNTIFS($AI$2:$AI$200,$G356)&gt;0,
     COUNTIFS($AJ$2:$AJ$200,$G356)&gt;0,
     COUNTIFS($AK$2:$AK$200,$G356)&gt;0,
     COUNTIFS($AL$2:$AL$200,$G356)&gt;0,
     COUNTIFS($AM$2:$AM$200,$G356)&gt;0,
     COUNTIFS($AN$2:$AN$200,$G356)&gt;0,
     COUNTIFS($AO$2:$AO$200,$G356)&gt;0,
     COUNTIFS($AP$2:$AP$200,$G356)&gt;0,
     COUNTIFS($AQ$2:$AQ$200,$G356)&gt;0,
     COUNTIFS($AR$2:$AR$200,$G356)&gt;0,
     COUNTIFS($AS$2:$AS$200,$G356)&gt;0,
     COUNTIFS($AT$2:$AT$200,$G356)&gt;0,
     COUNTIFS($AU$2:$AU$200,$G356)&gt;0,
     COUNTIFS($AV$2:$AV$200,$G356)&gt;0
   )),
  4)
 ),
"")</f>
        <v/>
      </c>
      <c r="G356" t="str">
        <f ca="1"/>
        <v>Thran Dynamo</v>
      </c>
    </row>
    <row r="357" spans="1:7" x14ac:dyDescent="0.25">
      <c r="A357" s="3" t="str">
        <f t="shared" ca="1" si="12"/>
        <v>4</v>
      </c>
      <c r="B357" s="3">
        <f t="shared" ca="1" si="13"/>
        <v>1</v>
      </c>
      <c r="C357" s="3" t="str">
        <f ca="1">IFERROR(
 INDEX($U$1:$AX$1,
  MATCH(TRUE,
   CHOOSE({1;2;3;4;5;6;7;8;9;10;11;12;13;14;15;16;17;18;19;20;21;22;23;24;25;26;27;28;29;30;31;32},
    COUNTIFS($U$2:$U$200,$G357)&gt;0,
    COUNTIFS($V$2:$V$200,$G357)&gt;0,
    COUNTIFS($W$2:$W$200,$G357)&gt;0,
    COUNTIFS($X$2:$X$200,$G357)&gt;0,
    COUNTIFS($Y$2:$Y$200,$G357)&gt;0,
    COUNTIFS($Z$2:$Z$200,$G357)&gt;0,
    COUNTIFS($AA$2:$AA$200,$G357)&gt;0,
    COUNTIFS($AB$2:$AB$200,$G357)&gt;0,
    COUNTIFS($AC$2:$AC$200,$G357)&gt;0,
    COUNTIFS($AD$2:$AD$200,$G357)&gt;0,
    COUNTIFS($AE$2:$AE$200,$G357)&gt;0,
    COUNTIFS($AF$2:$AF$200,$G357)&gt;0,
    COUNTIFS($AG$2:$AG$200,$G357)&gt;0,
    COUNTIFS($AH$2:$AH$200,$G357)&gt;0,
    COUNTIFS($AI$2:$AI$200,$G357)&gt;0,
    COUNTIFS($AJ$2:$AJ$200,$G357)&gt;0,
    COUNTIFS($AK$2:$AK$200,$G357)&gt;0,
    COUNTIFS($AL$2:$AL$200,$G357)&gt;0,
    COUNTIFS($AM$2:$AM$200,$G357)&gt;0,
    COUNTIFS($AN$2:$AN$200,$G357)&gt;0,
    COUNTIFS($AO$2:$AO$200,$G357)&gt;0,
    COUNTIFS($AP$2:$AP$200,$G357)&gt;0,
    COUNTIFS($AQ$2:$AQ$200,$G357)&gt;0,
    COUNTIFS($AR$2:$AR$200,$G357)&gt;0,
    COUNTIFS($AS$2:$AS$200,$G357)&gt;0,
    COUNTIFS($AT$2:$AT$200,$G357)&gt;0,
    COUNTIFS($AU$2:$AU$200,$G357)&gt;0,
    COUNTIFS($AV$2:$AV$200,$G357)&gt;0,
    COUNTIFS($AW$2:$AW$200,$G357)&gt;0,
    COUNTIFS($AX$2:$AX$200,$G357)&gt;0
   ),
  0)
 ),
"")</f>
        <v>Elfos</v>
      </c>
      <c r="D357" s="3" t="str" cm="1">
        <f t="array" aca="1" ref="D357" ca="1">IFERROR(
 INDEX(
  _xlfn._xlws.FILTER($U$1:$AV$1,
   TRANSPOSE(
    CHOOSE({1;2;3;4;5;6;7;8;9;10;11;12;13;14;15;16;17;18;19;20;21;22;23;24;25;26;27;28},
     COUNTIFS($U$2:$U$200,$G357)&gt;0,
     COUNTIFS($V$2:$V$200,$G357)&gt;0,
     COUNTIFS($W$2:$W$200,$G357)&gt;0,
     COUNTIFS($X$2:$X$200,$G357)&gt;0,
     COUNTIFS($Y$2:$Y$200,$G357)&gt;0,
     COUNTIFS($Z$2:$Z$200,$G357)&gt;0,
     COUNTIFS($AA$2:$AA$200,$G357)&gt;0,
     COUNTIFS($AB$2:$AB$200,$G357)&gt;0,
     COUNTIFS($AC$2:$AC$200,$G357)&gt;0,
     COUNTIFS($AD$2:$AD$200,$G357)&gt;0,
     COUNTIFS($AE$2:$AE$200,$G357)&gt;0,
     COUNTIFS($AF$2:$AF$200,$G357)&gt;0,
     COUNTIFS($AG$2:$AG$200,$G357)&gt;0,
     COUNTIFS($AH$2:$AH$200,$G357)&gt;0,
     COUNTIFS($AI$2:$AI$200,$G357)&gt;0,
     COUNTIFS($AJ$2:$AJ$200,$G357)&gt;0,
     COUNTIFS($AK$2:$AK$200,$G357)&gt;0,
     COUNTIFS($AL$2:$AL$200,$G357)&gt;0,
     COUNTIFS($AM$2:$AM$200,$G357)&gt;0,
     COUNTIFS($AN$2:$AN$200,$G357)&gt;0,
     COUNTIFS($AO$2:$AO$200,$G357)&gt;0,
     COUNTIFS($AP$2:$AP$200,$G357)&gt;0,
     COUNTIFS($AQ$2:$AQ$200,$G357)&gt;0,
     COUNTIFS($AR$2:$AR$200,$G357)&gt;0,
     COUNTIFS($AS$2:$AS$200,$G357)&gt;0,
     COUNTIFS($AT$2:$AT$200,$G357)&gt;0,
     COUNTIFS($AU$2:$AU$200,$G357)&gt;0,
     COUNTIFS($AV$2:$AV$200,$G357)&gt;0
   )),
  ),
  2
 ),
"")</f>
        <v/>
      </c>
      <c r="E357" s="3" t="str" cm="1">
        <f t="array" aca="1" ref="E357" ca="1">IFERROR(
 INDEX($U$1:$AV$1,
  _xlfn.AGGREGATE(15,6,
   (COLUMN($U$1:$AV$1)-COLUMN($U$1)+1)/
   TRANSPOSE(
    CHOOSE({1;2;3;4;5;6;7;8;9;10;11;12;13;14;15;16;17;18;19;20;21;22;23;24;25;26;27;28},
     COUNTIFS($U$2:$U$200,$G357)&gt;0,
     COUNTIFS($V$2:$V$200,$G357)&gt;0,
     COUNTIFS($W$2:$W$200,$G357)&gt;0,
     COUNTIFS($X$2:$X$200,$G357)&gt;0,
     COUNTIFS($Y$2:$Y$200,$G357)&gt;0,
     COUNTIFS($Z$2:$Z$200,$G357)&gt;0,
     COUNTIFS($AA$2:$AA$200,$G357)&gt;0,
     COUNTIFS($AB$2:$AB$200,$G357)&gt;0,
     COUNTIFS($AC$2:$AC$200,$G357)&gt;0,
     COUNTIFS($AD$2:$AD$200,$G357)&gt;0,
     COUNTIFS($AE$2:$AE$200,$G357)&gt;0,
     COUNTIFS($AF$2:$AF$200,$G357)&gt;0,
     COUNTIFS($AG$2:$AG$200,$G357)&gt;0,
     COUNTIFS($AH$2:$AH$200,$G357)&gt;0,
     COUNTIFS($AI$2:$AI$200,$G357)&gt;0,
     COUNTIFS($AJ$2:$AJ$200,$G357)&gt;0,
     COUNTIFS($AK$2:$AK$200,$G357)&gt;0,
     COUNTIFS($AL$2:$AL$200,$G357)&gt;0,
     COUNTIFS($AM$2:$AM$200,$G357)&gt;0,
     COUNTIFS($AN$2:$AN$200,$G357)&gt;0,
     COUNTIFS($AO$2:$AO$200,$G357)&gt;0,
     COUNTIFS($AP$2:$AP$200,$G357)&gt;0,
     COUNTIFS($AQ$2:$AQ$200,$G357)&gt;0,
     COUNTIFS($AR$2:$AR$200,$G357)&gt;0,
     COUNTIFS($AS$2:$AS$200,$G357)&gt;0,
     COUNTIFS($AT$2:$AT$200,$G357)&gt;0,
     COUNTIFS($AU$2:$AU$200,$G357)&gt;0,
     COUNTIFS($AV$2:$AV$200,$G357)&gt;0
   )),
  3)
 ),
"")</f>
        <v/>
      </c>
      <c r="F357" s="3" t="str" cm="1">
        <f t="array" aca="1" ref="F357" ca="1">IFERROR(
 INDEX($U$1:$AV$1,
  _xlfn.AGGREGATE(15,6,
   (COLUMN($U$1:$AV$1)-COLUMN($U$1)+1)/
   TRANSPOSE(
    CHOOSE({1;2;3;4;5;6;7;8;9;10;11;12;13;14;15;16;17;18;19;20;21;22;23;24;25;26;27;28},
     COUNTIFS($U$2:$U$200,$G357)&gt;0,
     COUNTIFS($V$2:$V$200,$G357)&gt;0,
     COUNTIFS($W$2:$W$200,$G357)&gt;0,
     COUNTIFS($X$2:$X$200,$G357)&gt;0,
     COUNTIFS($Y$2:$Y$200,$G357)&gt;0,
     COUNTIFS($Z$2:$Z$200,$G357)&gt;0,
     COUNTIFS($AA$2:$AA$200,$G357)&gt;0,
     COUNTIFS($AB$2:$AB$200,$G357)&gt;0,
     COUNTIFS($AC$2:$AC$200,$G357)&gt;0,
     COUNTIFS($AD$2:$AD$200,$G357)&gt;0,
     COUNTIFS($AE$2:$AE$200,$G357)&gt;0,
     COUNTIFS($AF$2:$AF$200,$G357)&gt;0,
     COUNTIFS($AG$2:$AG$200,$G357)&gt;0,
     COUNTIFS($AH$2:$AH$200,$G357)&gt;0,
     COUNTIFS($AI$2:$AI$200,$G357)&gt;0,
     COUNTIFS($AJ$2:$AJ$200,$G357)&gt;0,
     COUNTIFS($AK$2:$AK$200,$G357)&gt;0,
     COUNTIFS($AL$2:$AL$200,$G357)&gt;0,
     COUNTIFS($AM$2:$AM$200,$G357)&gt;0,
     COUNTIFS($AN$2:$AN$200,$G357)&gt;0,
     COUNTIFS($AO$2:$AO$200,$G357)&gt;0,
     COUNTIFS($AP$2:$AP$200,$G357)&gt;0,
     COUNTIFS($AQ$2:$AQ$200,$G357)&gt;0,
     COUNTIFS($AR$2:$AR$200,$G357)&gt;0,
     COUNTIFS($AS$2:$AS$200,$G357)&gt;0,
     COUNTIFS($AT$2:$AT$200,$G357)&gt;0,
     COUNTIFS($AU$2:$AU$200,$G357)&gt;0,
     COUNTIFS($AV$2:$AV$200,$G357)&gt;0
   )),
  4)
 ),
"")</f>
        <v/>
      </c>
      <c r="G357" t="str">
        <f ca="1"/>
        <v>Three Tree City</v>
      </c>
    </row>
    <row r="358" spans="1:7" x14ac:dyDescent="0.25">
      <c r="A358" s="3" t="str">
        <f t="shared" ca="1" si="12"/>
        <v>3</v>
      </c>
      <c r="B358" s="3">
        <f t="shared" ca="1" si="13"/>
        <v>1</v>
      </c>
      <c r="C358" s="3" t="str">
        <f ca="1">IFERROR(
 INDEX($U$1:$AX$1,
  MATCH(TRUE,
   CHOOSE({1;2;3;4;5;6;7;8;9;10;11;12;13;14;15;16;17;18;19;20;21;22;23;24;25;26;27;28;29;30;31;32},
    COUNTIFS($U$2:$U$200,$G358)&gt;0,
    COUNTIFS($V$2:$V$200,$G358)&gt;0,
    COUNTIFS($W$2:$W$200,$G358)&gt;0,
    COUNTIFS($X$2:$X$200,$G358)&gt;0,
    COUNTIFS($Y$2:$Y$200,$G358)&gt;0,
    COUNTIFS($Z$2:$Z$200,$G358)&gt;0,
    COUNTIFS($AA$2:$AA$200,$G358)&gt;0,
    COUNTIFS($AB$2:$AB$200,$G358)&gt;0,
    COUNTIFS($AC$2:$AC$200,$G358)&gt;0,
    COUNTIFS($AD$2:$AD$200,$G358)&gt;0,
    COUNTIFS($AE$2:$AE$200,$G358)&gt;0,
    COUNTIFS($AF$2:$AF$200,$G358)&gt;0,
    COUNTIFS($AG$2:$AG$200,$G358)&gt;0,
    COUNTIFS($AH$2:$AH$200,$G358)&gt;0,
    COUNTIFS($AI$2:$AI$200,$G358)&gt;0,
    COUNTIFS($AJ$2:$AJ$200,$G358)&gt;0,
    COUNTIFS($AK$2:$AK$200,$G358)&gt;0,
    COUNTIFS($AL$2:$AL$200,$G358)&gt;0,
    COUNTIFS($AM$2:$AM$200,$G358)&gt;0,
    COUNTIFS($AN$2:$AN$200,$G358)&gt;0,
    COUNTIFS($AO$2:$AO$200,$G358)&gt;0,
    COUNTIFS($AP$2:$AP$200,$G358)&gt;0,
    COUNTIFS($AQ$2:$AQ$200,$G358)&gt;0,
    COUNTIFS($AR$2:$AR$200,$G358)&gt;0,
    COUNTIFS($AS$2:$AS$200,$G358)&gt;0,
    COUNTIFS($AT$2:$AT$200,$G358)&gt;0,
    COUNTIFS($AU$2:$AU$200,$G358)&gt;0,
    COUNTIFS($AV$2:$AV$200,$G358)&gt;0,
    COUNTIFS($AW$2:$AW$200,$G358)&gt;0,
    COUNTIFS($AX$2:$AX$200,$G358)&gt;0
   ),
  0)
 ),
"")</f>
        <v>Zimone</v>
      </c>
      <c r="D358" s="3" t="str" cm="1">
        <f t="array" aca="1" ref="D358" ca="1">IFERROR(
 INDEX(
  _xlfn._xlws.FILTER($U$1:$AV$1,
   TRANSPOSE(
    CHOOSE({1;2;3;4;5;6;7;8;9;10;11;12;13;14;15;16;17;18;19;20;21;22;23;24;25;26;27;28},
     COUNTIFS($U$2:$U$200,$G358)&gt;0,
     COUNTIFS($V$2:$V$200,$G358)&gt;0,
     COUNTIFS($W$2:$W$200,$G358)&gt;0,
     COUNTIFS($X$2:$X$200,$G358)&gt;0,
     COUNTIFS($Y$2:$Y$200,$G358)&gt;0,
     COUNTIFS($Z$2:$Z$200,$G358)&gt;0,
     COUNTIFS($AA$2:$AA$200,$G358)&gt;0,
     COUNTIFS($AB$2:$AB$200,$G358)&gt;0,
     COUNTIFS($AC$2:$AC$200,$G358)&gt;0,
     COUNTIFS($AD$2:$AD$200,$G358)&gt;0,
     COUNTIFS($AE$2:$AE$200,$G358)&gt;0,
     COUNTIFS($AF$2:$AF$200,$G358)&gt;0,
     COUNTIFS($AG$2:$AG$200,$G358)&gt;0,
     COUNTIFS($AH$2:$AH$200,$G358)&gt;0,
     COUNTIFS($AI$2:$AI$200,$G358)&gt;0,
     COUNTIFS($AJ$2:$AJ$200,$G358)&gt;0,
     COUNTIFS($AK$2:$AK$200,$G358)&gt;0,
     COUNTIFS($AL$2:$AL$200,$G358)&gt;0,
     COUNTIFS($AM$2:$AM$200,$G358)&gt;0,
     COUNTIFS($AN$2:$AN$200,$G358)&gt;0,
     COUNTIFS($AO$2:$AO$200,$G358)&gt;0,
     COUNTIFS($AP$2:$AP$200,$G358)&gt;0,
     COUNTIFS($AQ$2:$AQ$200,$G358)&gt;0,
     COUNTIFS($AR$2:$AR$200,$G358)&gt;0,
     COUNTIFS($AS$2:$AS$200,$G358)&gt;0,
     COUNTIFS($AT$2:$AT$200,$G358)&gt;0,
     COUNTIFS($AU$2:$AU$200,$G358)&gt;0,
     COUNTIFS($AV$2:$AV$200,$G358)&gt;0
   )),
  ),
  2
 ),
"")</f>
        <v/>
      </c>
      <c r="E358" s="3" t="str" cm="1">
        <f t="array" aca="1" ref="E358" ca="1">IFERROR(
 INDEX($U$1:$AV$1,
  _xlfn.AGGREGATE(15,6,
   (COLUMN($U$1:$AV$1)-COLUMN($U$1)+1)/
   TRANSPOSE(
    CHOOSE({1;2;3;4;5;6;7;8;9;10;11;12;13;14;15;16;17;18;19;20;21;22;23;24;25;26;27;28},
     COUNTIFS($U$2:$U$200,$G358)&gt;0,
     COUNTIFS($V$2:$V$200,$G358)&gt;0,
     COUNTIFS($W$2:$W$200,$G358)&gt;0,
     COUNTIFS($X$2:$X$200,$G358)&gt;0,
     COUNTIFS($Y$2:$Y$200,$G358)&gt;0,
     COUNTIFS($Z$2:$Z$200,$G358)&gt;0,
     COUNTIFS($AA$2:$AA$200,$G358)&gt;0,
     COUNTIFS($AB$2:$AB$200,$G358)&gt;0,
     COUNTIFS($AC$2:$AC$200,$G358)&gt;0,
     COUNTIFS($AD$2:$AD$200,$G358)&gt;0,
     COUNTIFS($AE$2:$AE$200,$G358)&gt;0,
     COUNTIFS($AF$2:$AF$200,$G358)&gt;0,
     COUNTIFS($AG$2:$AG$200,$G358)&gt;0,
     COUNTIFS($AH$2:$AH$200,$G358)&gt;0,
     COUNTIFS($AI$2:$AI$200,$G358)&gt;0,
     COUNTIFS($AJ$2:$AJ$200,$G358)&gt;0,
     COUNTIFS($AK$2:$AK$200,$G358)&gt;0,
     COUNTIFS($AL$2:$AL$200,$G358)&gt;0,
     COUNTIFS($AM$2:$AM$200,$G358)&gt;0,
     COUNTIFS($AN$2:$AN$200,$G358)&gt;0,
     COUNTIFS($AO$2:$AO$200,$G358)&gt;0,
     COUNTIFS($AP$2:$AP$200,$G358)&gt;0,
     COUNTIFS($AQ$2:$AQ$200,$G358)&gt;0,
     COUNTIFS($AR$2:$AR$200,$G358)&gt;0,
     COUNTIFS($AS$2:$AS$200,$G358)&gt;0,
     COUNTIFS($AT$2:$AT$200,$G358)&gt;0,
     COUNTIFS($AU$2:$AU$200,$G358)&gt;0,
     COUNTIFS($AV$2:$AV$200,$G358)&gt;0
   )),
  3)
 ),
"")</f>
        <v/>
      </c>
      <c r="F358" s="3" t="str" cm="1">
        <f t="array" aca="1" ref="F358" ca="1">IFERROR(
 INDEX($U$1:$AV$1,
  _xlfn.AGGREGATE(15,6,
   (COLUMN($U$1:$AV$1)-COLUMN($U$1)+1)/
   TRANSPOSE(
    CHOOSE({1;2;3;4;5;6;7;8;9;10;11;12;13;14;15;16;17;18;19;20;21;22;23;24;25;26;27;28},
     COUNTIFS($U$2:$U$200,$G358)&gt;0,
     COUNTIFS($V$2:$V$200,$G358)&gt;0,
     COUNTIFS($W$2:$W$200,$G358)&gt;0,
     COUNTIFS($X$2:$X$200,$G358)&gt;0,
     COUNTIFS($Y$2:$Y$200,$G358)&gt;0,
     COUNTIFS($Z$2:$Z$200,$G358)&gt;0,
     COUNTIFS($AA$2:$AA$200,$G358)&gt;0,
     COUNTIFS($AB$2:$AB$200,$G358)&gt;0,
     COUNTIFS($AC$2:$AC$200,$G358)&gt;0,
     COUNTIFS($AD$2:$AD$200,$G358)&gt;0,
     COUNTIFS($AE$2:$AE$200,$G358)&gt;0,
     COUNTIFS($AF$2:$AF$200,$G358)&gt;0,
     COUNTIFS($AG$2:$AG$200,$G358)&gt;0,
     COUNTIFS($AH$2:$AH$200,$G358)&gt;0,
     COUNTIFS($AI$2:$AI$200,$G358)&gt;0,
     COUNTIFS($AJ$2:$AJ$200,$G358)&gt;0,
     COUNTIFS($AK$2:$AK$200,$G358)&gt;0,
     COUNTIFS($AL$2:$AL$200,$G358)&gt;0,
     COUNTIFS($AM$2:$AM$200,$G358)&gt;0,
     COUNTIFS($AN$2:$AN$200,$G358)&gt;0,
     COUNTIFS($AO$2:$AO$200,$G358)&gt;0,
     COUNTIFS($AP$2:$AP$200,$G358)&gt;0,
     COUNTIFS($AQ$2:$AQ$200,$G358)&gt;0,
     COUNTIFS($AR$2:$AR$200,$G358)&gt;0,
     COUNTIFS($AS$2:$AS$200,$G358)&gt;0,
     COUNTIFS($AT$2:$AT$200,$G358)&gt;0,
     COUNTIFS($AU$2:$AU$200,$G358)&gt;0,
     COUNTIFS($AV$2:$AV$200,$G358)&gt;0
   )),
  4)
 ),
"")</f>
        <v/>
      </c>
      <c r="G358" t="str">
        <f ca="1"/>
        <v>Three Visits</v>
      </c>
    </row>
    <row r="359" spans="1:7" x14ac:dyDescent="0.25">
      <c r="A359" s="3" t="str">
        <f t="shared" ca="1" si="12"/>
        <v>1</v>
      </c>
      <c r="B359" s="3">
        <f t="shared" ca="1" si="13"/>
        <v>1</v>
      </c>
      <c r="C359" s="3" t="str">
        <f ca="1">IFERROR(
 INDEX($U$1:$AX$1,
  MATCH(TRUE,
   CHOOSE({1;2;3;4;5;6;7;8;9;10;11;12;13;14;15;16;17;18;19;20;21;22;23;24;25;26;27;28;29;30;31;32},
    COUNTIFS($U$2:$U$200,$G359)&gt;0,
    COUNTIFS($V$2:$V$200,$G359)&gt;0,
    COUNTIFS($W$2:$W$200,$G359)&gt;0,
    COUNTIFS($X$2:$X$200,$G359)&gt;0,
    COUNTIFS($Y$2:$Y$200,$G359)&gt;0,
    COUNTIFS($Z$2:$Z$200,$G359)&gt;0,
    COUNTIFS($AA$2:$AA$200,$G359)&gt;0,
    COUNTIFS($AB$2:$AB$200,$G359)&gt;0,
    COUNTIFS($AC$2:$AC$200,$G359)&gt;0,
    COUNTIFS($AD$2:$AD$200,$G359)&gt;0,
    COUNTIFS($AE$2:$AE$200,$G359)&gt;0,
    COUNTIFS($AF$2:$AF$200,$G359)&gt;0,
    COUNTIFS($AG$2:$AG$200,$G359)&gt;0,
    COUNTIFS($AH$2:$AH$200,$G359)&gt;0,
    COUNTIFS($AI$2:$AI$200,$G359)&gt;0,
    COUNTIFS($AJ$2:$AJ$200,$G359)&gt;0,
    COUNTIFS($AK$2:$AK$200,$G359)&gt;0,
    COUNTIFS($AL$2:$AL$200,$G359)&gt;0,
    COUNTIFS($AM$2:$AM$200,$G359)&gt;0,
    COUNTIFS($AN$2:$AN$200,$G359)&gt;0,
    COUNTIFS($AO$2:$AO$200,$G359)&gt;0,
    COUNTIFS($AP$2:$AP$200,$G359)&gt;0,
    COUNTIFS($AQ$2:$AQ$200,$G359)&gt;0,
    COUNTIFS($AR$2:$AR$200,$G359)&gt;0,
    COUNTIFS($AS$2:$AS$200,$G359)&gt;0,
    COUNTIFS($AT$2:$AT$200,$G359)&gt;0,
    COUNTIFS($AU$2:$AU$200,$G359)&gt;0,
    COUNTIFS($AV$2:$AV$200,$G359)&gt;0,
    COUNTIFS($AW$2:$AW$200,$G359)&gt;0,
    COUNTIFS($AX$2:$AX$200,$G359)&gt;0
   ),
  0)
 ),
"")</f>
        <v>Modular</v>
      </c>
      <c r="D359" s="3" t="str" cm="1">
        <f t="array" aca="1" ref="D359" ca="1">IFERROR(
 INDEX(
  _xlfn._xlws.FILTER($U$1:$AV$1,
   TRANSPOSE(
    CHOOSE({1;2;3;4;5;6;7;8;9;10;11;12;13;14;15;16;17;18;19;20;21;22;23;24;25;26;27;28},
     COUNTIFS($U$2:$U$200,$G359)&gt;0,
     COUNTIFS($V$2:$V$200,$G359)&gt;0,
     COUNTIFS($W$2:$W$200,$G359)&gt;0,
     COUNTIFS($X$2:$X$200,$G359)&gt;0,
     COUNTIFS($Y$2:$Y$200,$G359)&gt;0,
     COUNTIFS($Z$2:$Z$200,$G359)&gt;0,
     COUNTIFS($AA$2:$AA$200,$G359)&gt;0,
     COUNTIFS($AB$2:$AB$200,$G359)&gt;0,
     COUNTIFS($AC$2:$AC$200,$G359)&gt;0,
     COUNTIFS($AD$2:$AD$200,$G359)&gt;0,
     COUNTIFS($AE$2:$AE$200,$G359)&gt;0,
     COUNTIFS($AF$2:$AF$200,$G359)&gt;0,
     COUNTIFS($AG$2:$AG$200,$G359)&gt;0,
     COUNTIFS($AH$2:$AH$200,$G359)&gt;0,
     COUNTIFS($AI$2:$AI$200,$G359)&gt;0,
     COUNTIFS($AJ$2:$AJ$200,$G359)&gt;0,
     COUNTIFS($AK$2:$AK$200,$G359)&gt;0,
     COUNTIFS($AL$2:$AL$200,$G359)&gt;0,
     COUNTIFS($AM$2:$AM$200,$G359)&gt;0,
     COUNTIFS($AN$2:$AN$200,$G359)&gt;0,
     COUNTIFS($AO$2:$AO$200,$G359)&gt;0,
     COUNTIFS($AP$2:$AP$200,$G359)&gt;0,
     COUNTIFS($AQ$2:$AQ$200,$G359)&gt;0,
     COUNTIFS($AR$2:$AR$200,$G359)&gt;0,
     COUNTIFS($AS$2:$AS$200,$G359)&gt;0,
     COUNTIFS($AT$2:$AT$200,$G359)&gt;0,
     COUNTIFS($AU$2:$AU$200,$G359)&gt;0,
     COUNTIFS($AV$2:$AV$200,$G359)&gt;0
   )),
  ),
  2
 ),
"")</f>
        <v/>
      </c>
      <c r="E359" s="3" t="str" cm="1">
        <f t="array" aca="1" ref="E359" ca="1">IFERROR(
 INDEX($U$1:$AV$1,
  _xlfn.AGGREGATE(15,6,
   (COLUMN($U$1:$AV$1)-COLUMN($U$1)+1)/
   TRANSPOSE(
    CHOOSE({1;2;3;4;5;6;7;8;9;10;11;12;13;14;15;16;17;18;19;20;21;22;23;24;25;26;27;28},
     COUNTIFS($U$2:$U$200,$G359)&gt;0,
     COUNTIFS($V$2:$V$200,$G359)&gt;0,
     COUNTIFS($W$2:$W$200,$G359)&gt;0,
     COUNTIFS($X$2:$X$200,$G359)&gt;0,
     COUNTIFS($Y$2:$Y$200,$G359)&gt;0,
     COUNTIFS($Z$2:$Z$200,$G359)&gt;0,
     COUNTIFS($AA$2:$AA$200,$G359)&gt;0,
     COUNTIFS($AB$2:$AB$200,$G359)&gt;0,
     COUNTIFS($AC$2:$AC$200,$G359)&gt;0,
     COUNTIFS($AD$2:$AD$200,$G359)&gt;0,
     COUNTIFS($AE$2:$AE$200,$G359)&gt;0,
     COUNTIFS($AF$2:$AF$200,$G359)&gt;0,
     COUNTIFS($AG$2:$AG$200,$G359)&gt;0,
     COUNTIFS($AH$2:$AH$200,$G359)&gt;0,
     COUNTIFS($AI$2:$AI$200,$G359)&gt;0,
     COUNTIFS($AJ$2:$AJ$200,$G359)&gt;0,
     COUNTIFS($AK$2:$AK$200,$G359)&gt;0,
     COUNTIFS($AL$2:$AL$200,$G359)&gt;0,
     COUNTIFS($AM$2:$AM$200,$G359)&gt;0,
     COUNTIFS($AN$2:$AN$200,$G359)&gt;0,
     COUNTIFS($AO$2:$AO$200,$G359)&gt;0,
     COUNTIFS($AP$2:$AP$200,$G359)&gt;0,
     COUNTIFS($AQ$2:$AQ$200,$G359)&gt;0,
     COUNTIFS($AR$2:$AR$200,$G359)&gt;0,
     COUNTIFS($AS$2:$AS$200,$G359)&gt;0,
     COUNTIFS($AT$2:$AT$200,$G359)&gt;0,
     COUNTIFS($AU$2:$AU$200,$G359)&gt;0,
     COUNTIFS($AV$2:$AV$200,$G359)&gt;0
   )),
  3)
 ),
"")</f>
        <v/>
      </c>
      <c r="F359" s="3" t="str" cm="1">
        <f t="array" aca="1" ref="F359" ca="1">IFERROR(
 INDEX($U$1:$AV$1,
  _xlfn.AGGREGATE(15,6,
   (COLUMN($U$1:$AV$1)-COLUMN($U$1)+1)/
   TRANSPOSE(
    CHOOSE({1;2;3;4;5;6;7;8;9;10;11;12;13;14;15;16;17;18;19;20;21;22;23;24;25;26;27;28},
     COUNTIFS($U$2:$U$200,$G359)&gt;0,
     COUNTIFS($V$2:$V$200,$G359)&gt;0,
     COUNTIFS($W$2:$W$200,$G359)&gt;0,
     COUNTIFS($X$2:$X$200,$G359)&gt;0,
     COUNTIFS($Y$2:$Y$200,$G359)&gt;0,
     COUNTIFS($Z$2:$Z$200,$G359)&gt;0,
     COUNTIFS($AA$2:$AA$200,$G359)&gt;0,
     COUNTIFS($AB$2:$AB$200,$G359)&gt;0,
     COUNTIFS($AC$2:$AC$200,$G359)&gt;0,
     COUNTIFS($AD$2:$AD$200,$G359)&gt;0,
     COUNTIFS($AE$2:$AE$200,$G359)&gt;0,
     COUNTIFS($AF$2:$AF$200,$G359)&gt;0,
     COUNTIFS($AG$2:$AG$200,$G359)&gt;0,
     COUNTIFS($AH$2:$AH$200,$G359)&gt;0,
     COUNTIFS($AI$2:$AI$200,$G359)&gt;0,
     COUNTIFS($AJ$2:$AJ$200,$G359)&gt;0,
     COUNTIFS($AK$2:$AK$200,$G359)&gt;0,
     COUNTIFS($AL$2:$AL$200,$G359)&gt;0,
     COUNTIFS($AM$2:$AM$200,$G359)&gt;0,
     COUNTIFS($AN$2:$AN$200,$G359)&gt;0,
     COUNTIFS($AO$2:$AO$200,$G359)&gt;0,
     COUNTIFS($AP$2:$AP$200,$G359)&gt;0,
     COUNTIFS($AQ$2:$AQ$200,$G359)&gt;0,
     COUNTIFS($AR$2:$AR$200,$G359)&gt;0,
     COUNTIFS($AS$2:$AS$200,$G359)&gt;0,
     COUNTIFS($AT$2:$AT$200,$G359)&gt;0,
     COUNTIFS($AU$2:$AU$200,$G359)&gt;0,
     COUNTIFS($AV$2:$AV$200,$G359)&gt;0
   )),
  4)
 ),
"")</f>
        <v/>
      </c>
      <c r="G359" t="str">
        <f ca="1"/>
        <v>Throne of Geth</v>
      </c>
    </row>
    <row r="360" spans="1:7" x14ac:dyDescent="0.25">
      <c r="A360" s="3" t="str">
        <f t="shared" ca="1" si="12"/>
        <v>2</v>
      </c>
      <c r="B360" s="3">
        <f t="shared" ca="1" si="13"/>
        <v>1</v>
      </c>
      <c r="C360" s="3" t="str">
        <f ca="1">IFERROR(
 INDEX($U$1:$AX$1,
  MATCH(TRUE,
   CHOOSE({1;2;3;4;5;6;7;8;9;10;11;12;13;14;15;16;17;18;19;20;21;22;23;24;25;26;27;28;29;30;31;32},
    COUNTIFS($U$2:$U$200,$G360)&gt;0,
    COUNTIFS($V$2:$V$200,$G360)&gt;0,
    COUNTIFS($W$2:$W$200,$G360)&gt;0,
    COUNTIFS($X$2:$X$200,$G360)&gt;0,
    COUNTIFS($Y$2:$Y$200,$G360)&gt;0,
    COUNTIFS($Z$2:$Z$200,$G360)&gt;0,
    COUNTIFS($AA$2:$AA$200,$G360)&gt;0,
    COUNTIFS($AB$2:$AB$200,$G360)&gt;0,
    COUNTIFS($AC$2:$AC$200,$G360)&gt;0,
    COUNTIFS($AD$2:$AD$200,$G360)&gt;0,
    COUNTIFS($AE$2:$AE$200,$G360)&gt;0,
    COUNTIFS($AF$2:$AF$200,$G360)&gt;0,
    COUNTIFS($AG$2:$AG$200,$G360)&gt;0,
    COUNTIFS($AH$2:$AH$200,$G360)&gt;0,
    COUNTIFS($AI$2:$AI$200,$G360)&gt;0,
    COUNTIFS($AJ$2:$AJ$200,$G360)&gt;0,
    COUNTIFS($AK$2:$AK$200,$G360)&gt;0,
    COUNTIFS($AL$2:$AL$200,$G360)&gt;0,
    COUNTIFS($AM$2:$AM$200,$G360)&gt;0,
    COUNTIFS($AN$2:$AN$200,$G360)&gt;0,
    COUNTIFS($AO$2:$AO$200,$G360)&gt;0,
    COUNTIFS($AP$2:$AP$200,$G360)&gt;0,
    COUNTIFS($AQ$2:$AQ$200,$G360)&gt;0,
    COUNTIFS($AR$2:$AR$200,$G360)&gt;0,
    COUNTIFS($AS$2:$AS$200,$G360)&gt;0,
    COUNTIFS($AT$2:$AT$200,$G360)&gt;0,
    COUNTIFS($AU$2:$AU$200,$G360)&gt;0,
    COUNTIFS($AV$2:$AV$200,$G360)&gt;0,
    COUNTIFS($AW$2:$AW$200,$G360)&gt;0,
    COUNTIFS($AX$2:$AX$200,$G360)&gt;0
   ),
  0)
 ),
"")</f>
        <v>Kumena</v>
      </c>
      <c r="D360" s="3" t="str" cm="1">
        <f t="array" aca="1" ref="D360" ca="1">IFERROR(
 INDEX(
  _xlfn._xlws.FILTER($U$1:$AV$1,
   TRANSPOSE(
    CHOOSE({1;2;3;4;5;6;7;8;9;10;11;12;13;14;15;16;17;18;19;20;21;22;23;24;25;26;27;28},
     COUNTIFS($U$2:$U$200,$G360)&gt;0,
     COUNTIFS($V$2:$V$200,$G360)&gt;0,
     COUNTIFS($W$2:$W$200,$G360)&gt;0,
     COUNTIFS($X$2:$X$200,$G360)&gt;0,
     COUNTIFS($Y$2:$Y$200,$G360)&gt;0,
     COUNTIFS($Z$2:$Z$200,$G360)&gt;0,
     COUNTIFS($AA$2:$AA$200,$G360)&gt;0,
     COUNTIFS($AB$2:$AB$200,$G360)&gt;0,
     COUNTIFS($AC$2:$AC$200,$G360)&gt;0,
     COUNTIFS($AD$2:$AD$200,$G360)&gt;0,
     COUNTIFS($AE$2:$AE$200,$G360)&gt;0,
     COUNTIFS($AF$2:$AF$200,$G360)&gt;0,
     COUNTIFS($AG$2:$AG$200,$G360)&gt;0,
     COUNTIFS($AH$2:$AH$200,$G360)&gt;0,
     COUNTIFS($AI$2:$AI$200,$G360)&gt;0,
     COUNTIFS($AJ$2:$AJ$200,$G360)&gt;0,
     COUNTIFS($AK$2:$AK$200,$G360)&gt;0,
     COUNTIFS($AL$2:$AL$200,$G360)&gt;0,
     COUNTIFS($AM$2:$AM$200,$G360)&gt;0,
     COUNTIFS($AN$2:$AN$200,$G360)&gt;0,
     COUNTIFS($AO$2:$AO$200,$G360)&gt;0,
     COUNTIFS($AP$2:$AP$200,$G360)&gt;0,
     COUNTIFS($AQ$2:$AQ$200,$G360)&gt;0,
     COUNTIFS($AR$2:$AR$200,$G360)&gt;0,
     COUNTIFS($AS$2:$AS$200,$G360)&gt;0,
     COUNTIFS($AT$2:$AT$200,$G360)&gt;0,
     COUNTIFS($AU$2:$AU$200,$G360)&gt;0,
     COUNTIFS($AV$2:$AV$200,$G360)&gt;0
   )),
  ),
  2
 ),
"")</f>
        <v/>
      </c>
      <c r="E360" s="3" t="str" cm="1">
        <f t="array" aca="1" ref="E360" ca="1">IFERROR(
 INDEX($U$1:$AV$1,
  _xlfn.AGGREGATE(15,6,
   (COLUMN($U$1:$AV$1)-COLUMN($U$1)+1)/
   TRANSPOSE(
    CHOOSE({1;2;3;4;5;6;7;8;9;10;11;12;13;14;15;16;17;18;19;20;21;22;23;24;25;26;27;28},
     COUNTIFS($U$2:$U$200,$G360)&gt;0,
     COUNTIFS($V$2:$V$200,$G360)&gt;0,
     COUNTIFS($W$2:$W$200,$G360)&gt;0,
     COUNTIFS($X$2:$X$200,$G360)&gt;0,
     COUNTIFS($Y$2:$Y$200,$G360)&gt;0,
     COUNTIFS($Z$2:$Z$200,$G360)&gt;0,
     COUNTIFS($AA$2:$AA$200,$G360)&gt;0,
     COUNTIFS($AB$2:$AB$200,$G360)&gt;0,
     COUNTIFS($AC$2:$AC$200,$G360)&gt;0,
     COUNTIFS($AD$2:$AD$200,$G360)&gt;0,
     COUNTIFS($AE$2:$AE$200,$G360)&gt;0,
     COUNTIFS($AF$2:$AF$200,$G360)&gt;0,
     COUNTIFS($AG$2:$AG$200,$G360)&gt;0,
     COUNTIFS($AH$2:$AH$200,$G360)&gt;0,
     COUNTIFS($AI$2:$AI$200,$G360)&gt;0,
     COUNTIFS($AJ$2:$AJ$200,$G360)&gt;0,
     COUNTIFS($AK$2:$AK$200,$G360)&gt;0,
     COUNTIFS($AL$2:$AL$200,$G360)&gt;0,
     COUNTIFS($AM$2:$AM$200,$G360)&gt;0,
     COUNTIFS($AN$2:$AN$200,$G360)&gt;0,
     COUNTIFS($AO$2:$AO$200,$G360)&gt;0,
     COUNTIFS($AP$2:$AP$200,$G360)&gt;0,
     COUNTIFS($AQ$2:$AQ$200,$G360)&gt;0,
     COUNTIFS($AR$2:$AR$200,$G360)&gt;0,
     COUNTIFS($AS$2:$AS$200,$G360)&gt;0,
     COUNTIFS($AT$2:$AT$200,$G360)&gt;0,
     COUNTIFS($AU$2:$AU$200,$G360)&gt;0,
     COUNTIFS($AV$2:$AV$200,$G360)&gt;0
   )),
  3)
 ),
"")</f>
        <v/>
      </c>
      <c r="F360" s="3" t="str" cm="1">
        <f t="array" aca="1" ref="F360" ca="1">IFERROR(
 INDEX($U$1:$AV$1,
  _xlfn.AGGREGATE(15,6,
   (COLUMN($U$1:$AV$1)-COLUMN($U$1)+1)/
   TRANSPOSE(
    CHOOSE({1;2;3;4;5;6;7;8;9;10;11;12;13;14;15;16;17;18;19;20;21;22;23;24;25;26;27;28},
     COUNTIFS($U$2:$U$200,$G360)&gt;0,
     COUNTIFS($V$2:$V$200,$G360)&gt;0,
     COUNTIFS($W$2:$W$200,$G360)&gt;0,
     COUNTIFS($X$2:$X$200,$G360)&gt;0,
     COUNTIFS($Y$2:$Y$200,$G360)&gt;0,
     COUNTIFS($Z$2:$Z$200,$G360)&gt;0,
     COUNTIFS($AA$2:$AA$200,$G360)&gt;0,
     COUNTIFS($AB$2:$AB$200,$G360)&gt;0,
     COUNTIFS($AC$2:$AC$200,$G360)&gt;0,
     COUNTIFS($AD$2:$AD$200,$G360)&gt;0,
     COUNTIFS($AE$2:$AE$200,$G360)&gt;0,
     COUNTIFS($AF$2:$AF$200,$G360)&gt;0,
     COUNTIFS($AG$2:$AG$200,$G360)&gt;0,
     COUNTIFS($AH$2:$AH$200,$G360)&gt;0,
     COUNTIFS($AI$2:$AI$200,$G360)&gt;0,
     COUNTIFS($AJ$2:$AJ$200,$G360)&gt;0,
     COUNTIFS($AK$2:$AK$200,$G360)&gt;0,
     COUNTIFS($AL$2:$AL$200,$G360)&gt;0,
     COUNTIFS($AM$2:$AM$200,$G360)&gt;0,
     COUNTIFS($AN$2:$AN$200,$G360)&gt;0,
     COUNTIFS($AO$2:$AO$200,$G360)&gt;0,
     COUNTIFS($AP$2:$AP$200,$G360)&gt;0,
     COUNTIFS($AQ$2:$AQ$200,$G360)&gt;0,
     COUNTIFS($AR$2:$AR$200,$G360)&gt;0,
     COUNTIFS($AS$2:$AS$200,$G360)&gt;0,
     COUNTIFS($AT$2:$AT$200,$G360)&gt;0,
     COUNTIFS($AU$2:$AU$200,$G360)&gt;0,
     COUNTIFS($AV$2:$AV$200,$G360)&gt;0
   )),
  4)
 ),
"")</f>
        <v/>
      </c>
      <c r="G360" t="str">
        <f ca="1"/>
        <v>Throne of the God-Pharaoh</v>
      </c>
    </row>
    <row r="361" spans="1:7" x14ac:dyDescent="0.25">
      <c r="A361" s="3" t="str">
        <f t="shared" ca="1" si="12"/>
        <v>4</v>
      </c>
      <c r="B361" s="3">
        <f t="shared" ca="1" si="13"/>
        <v>1</v>
      </c>
      <c r="C361" s="3" t="str">
        <f ca="1">IFERROR(
 INDEX($U$1:$AX$1,
  MATCH(TRUE,
   CHOOSE({1;2;3;4;5;6;7;8;9;10;11;12;13;14;15;16;17;18;19;20;21;22;23;24;25;26;27;28;29;30;31;32},
    COUNTIFS($U$2:$U$200,$G361)&gt;0,
    COUNTIFS($V$2:$V$200,$G361)&gt;0,
    COUNTIFS($W$2:$W$200,$G361)&gt;0,
    COUNTIFS($X$2:$X$200,$G361)&gt;0,
    COUNTIFS($Y$2:$Y$200,$G361)&gt;0,
    COUNTIFS($Z$2:$Z$200,$G361)&gt;0,
    COUNTIFS($AA$2:$AA$200,$G361)&gt;0,
    COUNTIFS($AB$2:$AB$200,$G361)&gt;0,
    COUNTIFS($AC$2:$AC$200,$G361)&gt;0,
    COUNTIFS($AD$2:$AD$200,$G361)&gt;0,
    COUNTIFS($AE$2:$AE$200,$G361)&gt;0,
    COUNTIFS($AF$2:$AF$200,$G361)&gt;0,
    COUNTIFS($AG$2:$AG$200,$G361)&gt;0,
    COUNTIFS($AH$2:$AH$200,$G361)&gt;0,
    COUNTIFS($AI$2:$AI$200,$G361)&gt;0,
    COUNTIFS($AJ$2:$AJ$200,$G361)&gt;0,
    COUNTIFS($AK$2:$AK$200,$G361)&gt;0,
    COUNTIFS($AL$2:$AL$200,$G361)&gt;0,
    COUNTIFS($AM$2:$AM$200,$G361)&gt;0,
    COUNTIFS($AN$2:$AN$200,$G361)&gt;0,
    COUNTIFS($AO$2:$AO$200,$G361)&gt;0,
    COUNTIFS($AP$2:$AP$200,$G361)&gt;0,
    COUNTIFS($AQ$2:$AQ$200,$G361)&gt;0,
    COUNTIFS($AR$2:$AR$200,$G361)&gt;0,
    COUNTIFS($AS$2:$AS$200,$G361)&gt;0,
    COUNTIFS($AT$2:$AT$200,$G361)&gt;0,
    COUNTIFS($AU$2:$AU$200,$G361)&gt;0,
    COUNTIFS($AV$2:$AV$200,$G361)&gt;0,
    COUNTIFS($AW$2:$AW$200,$G361)&gt;0,
    COUNTIFS($AX$2:$AX$200,$G361)&gt;0
   ),
  0)
 ),
"")</f>
        <v>Fractius</v>
      </c>
      <c r="D361" s="3" t="str" cm="1">
        <f t="array" aca="1" ref="D361" ca="1">IFERROR(
 INDEX(
  _xlfn._xlws.FILTER($U$1:$AV$1,
   TRANSPOSE(
    CHOOSE({1;2;3;4;5;6;7;8;9;10;11;12;13;14;15;16;17;18;19;20;21;22;23;24;25;26;27;28},
     COUNTIFS($U$2:$U$200,$G361)&gt;0,
     COUNTIFS($V$2:$V$200,$G361)&gt;0,
     COUNTIFS($W$2:$W$200,$G361)&gt;0,
     COUNTIFS($X$2:$X$200,$G361)&gt;0,
     COUNTIFS($Y$2:$Y$200,$G361)&gt;0,
     COUNTIFS($Z$2:$Z$200,$G361)&gt;0,
     COUNTIFS($AA$2:$AA$200,$G361)&gt;0,
     COUNTIFS($AB$2:$AB$200,$G361)&gt;0,
     COUNTIFS($AC$2:$AC$200,$G361)&gt;0,
     COUNTIFS($AD$2:$AD$200,$G361)&gt;0,
     COUNTIFS($AE$2:$AE$200,$G361)&gt;0,
     COUNTIFS($AF$2:$AF$200,$G361)&gt;0,
     COUNTIFS($AG$2:$AG$200,$G361)&gt;0,
     COUNTIFS($AH$2:$AH$200,$G361)&gt;0,
     COUNTIFS($AI$2:$AI$200,$G361)&gt;0,
     COUNTIFS($AJ$2:$AJ$200,$G361)&gt;0,
     COUNTIFS($AK$2:$AK$200,$G361)&gt;0,
     COUNTIFS($AL$2:$AL$200,$G361)&gt;0,
     COUNTIFS($AM$2:$AM$200,$G361)&gt;0,
     COUNTIFS($AN$2:$AN$200,$G361)&gt;0,
     COUNTIFS($AO$2:$AO$200,$G361)&gt;0,
     COUNTIFS($AP$2:$AP$200,$G361)&gt;0,
     COUNTIFS($AQ$2:$AQ$200,$G361)&gt;0,
     COUNTIFS($AR$2:$AR$200,$G361)&gt;0,
     COUNTIFS($AS$2:$AS$200,$G361)&gt;0,
     COUNTIFS($AT$2:$AT$200,$G361)&gt;0,
     COUNTIFS($AU$2:$AU$200,$G361)&gt;0,
     COUNTIFS($AV$2:$AV$200,$G361)&gt;0
   )),
  ),
  2
 ),
"")</f>
        <v/>
      </c>
      <c r="E361" s="3" t="str" cm="1">
        <f t="array" aca="1" ref="E361" ca="1">IFERROR(
 INDEX($U$1:$AV$1,
  _xlfn.AGGREGATE(15,6,
   (COLUMN($U$1:$AV$1)-COLUMN($U$1)+1)/
   TRANSPOSE(
    CHOOSE({1;2;3;4;5;6;7;8;9;10;11;12;13;14;15;16;17;18;19;20;21;22;23;24;25;26;27;28},
     COUNTIFS($U$2:$U$200,$G361)&gt;0,
     COUNTIFS($V$2:$V$200,$G361)&gt;0,
     COUNTIFS($W$2:$W$200,$G361)&gt;0,
     COUNTIFS($X$2:$X$200,$G361)&gt;0,
     COUNTIFS($Y$2:$Y$200,$G361)&gt;0,
     COUNTIFS($Z$2:$Z$200,$G361)&gt;0,
     COUNTIFS($AA$2:$AA$200,$G361)&gt;0,
     COUNTIFS($AB$2:$AB$200,$G361)&gt;0,
     COUNTIFS($AC$2:$AC$200,$G361)&gt;0,
     COUNTIFS($AD$2:$AD$200,$G361)&gt;0,
     COUNTIFS($AE$2:$AE$200,$G361)&gt;0,
     COUNTIFS($AF$2:$AF$200,$G361)&gt;0,
     COUNTIFS($AG$2:$AG$200,$G361)&gt;0,
     COUNTIFS($AH$2:$AH$200,$G361)&gt;0,
     COUNTIFS($AI$2:$AI$200,$G361)&gt;0,
     COUNTIFS($AJ$2:$AJ$200,$G361)&gt;0,
     COUNTIFS($AK$2:$AK$200,$G361)&gt;0,
     COUNTIFS($AL$2:$AL$200,$G361)&gt;0,
     COUNTIFS($AM$2:$AM$200,$G361)&gt;0,
     COUNTIFS($AN$2:$AN$200,$G361)&gt;0,
     COUNTIFS($AO$2:$AO$200,$G361)&gt;0,
     COUNTIFS($AP$2:$AP$200,$G361)&gt;0,
     COUNTIFS($AQ$2:$AQ$200,$G361)&gt;0,
     COUNTIFS($AR$2:$AR$200,$G361)&gt;0,
     COUNTIFS($AS$2:$AS$200,$G361)&gt;0,
     COUNTIFS($AT$2:$AT$200,$G361)&gt;0,
     COUNTIFS($AU$2:$AU$200,$G361)&gt;0,
     COUNTIFS($AV$2:$AV$200,$G361)&gt;0
   )),
  3)
 ),
"")</f>
        <v/>
      </c>
      <c r="F361" s="3" t="str" cm="1">
        <f t="array" aca="1" ref="F361" ca="1">IFERROR(
 INDEX($U$1:$AV$1,
  _xlfn.AGGREGATE(15,6,
   (COLUMN($U$1:$AV$1)-COLUMN($U$1)+1)/
   TRANSPOSE(
    CHOOSE({1;2;3;4;5;6;7;8;9;10;11;12;13;14;15;16;17;18;19;20;21;22;23;24;25;26;27;28},
     COUNTIFS($U$2:$U$200,$G361)&gt;0,
     COUNTIFS($V$2:$V$200,$G361)&gt;0,
     COUNTIFS($W$2:$W$200,$G361)&gt;0,
     COUNTIFS($X$2:$X$200,$G361)&gt;0,
     COUNTIFS($Y$2:$Y$200,$G361)&gt;0,
     COUNTIFS($Z$2:$Z$200,$G361)&gt;0,
     COUNTIFS($AA$2:$AA$200,$G361)&gt;0,
     COUNTIFS($AB$2:$AB$200,$G361)&gt;0,
     COUNTIFS($AC$2:$AC$200,$G361)&gt;0,
     COUNTIFS($AD$2:$AD$200,$G361)&gt;0,
     COUNTIFS($AE$2:$AE$200,$G361)&gt;0,
     COUNTIFS($AF$2:$AF$200,$G361)&gt;0,
     COUNTIFS($AG$2:$AG$200,$G361)&gt;0,
     COUNTIFS($AH$2:$AH$200,$G361)&gt;0,
     COUNTIFS($AI$2:$AI$200,$G361)&gt;0,
     COUNTIFS($AJ$2:$AJ$200,$G361)&gt;0,
     COUNTIFS($AK$2:$AK$200,$G361)&gt;0,
     COUNTIFS($AL$2:$AL$200,$G361)&gt;0,
     COUNTIFS($AM$2:$AM$200,$G361)&gt;0,
     COUNTIFS($AN$2:$AN$200,$G361)&gt;0,
     COUNTIFS($AO$2:$AO$200,$G361)&gt;0,
     COUNTIFS($AP$2:$AP$200,$G361)&gt;0,
     COUNTIFS($AQ$2:$AQ$200,$G361)&gt;0,
     COUNTIFS($AR$2:$AR$200,$G361)&gt;0,
     COUNTIFS($AS$2:$AS$200,$G361)&gt;0,
     COUNTIFS($AT$2:$AT$200,$G361)&gt;0,
     COUNTIFS($AU$2:$AU$200,$G361)&gt;0,
     COUNTIFS($AV$2:$AV$200,$G361)&gt;0
   )),
  4)
 ),
"")</f>
        <v/>
      </c>
      <c r="G361" t="str">
        <f ca="1"/>
        <v>Thrumming Hivepool</v>
      </c>
    </row>
    <row r="362" spans="1:7" x14ac:dyDescent="0.25">
      <c r="A362" s="3" t="str">
        <f t="shared" ca="1" si="12"/>
        <v>1</v>
      </c>
      <c r="B362" s="3">
        <f t="shared" ca="1" si="13"/>
        <v>1</v>
      </c>
      <c r="C362" s="3" t="str">
        <f ca="1">IFERROR(
 INDEX($U$1:$AX$1,
  MATCH(TRUE,
   CHOOSE({1;2;3;4;5;6;7;8;9;10;11;12;13;14;15;16;17;18;19;20;21;22;23;24;25;26;27;28;29;30;31;32},
    COUNTIFS($U$2:$U$200,$G362)&gt;0,
    COUNTIFS($V$2:$V$200,$G362)&gt;0,
    COUNTIFS($W$2:$W$200,$G362)&gt;0,
    COUNTIFS($X$2:$X$200,$G362)&gt;0,
    COUNTIFS($Y$2:$Y$200,$G362)&gt;0,
    COUNTIFS($Z$2:$Z$200,$G362)&gt;0,
    COUNTIFS($AA$2:$AA$200,$G362)&gt;0,
    COUNTIFS($AB$2:$AB$200,$G362)&gt;0,
    COUNTIFS($AC$2:$AC$200,$G362)&gt;0,
    COUNTIFS($AD$2:$AD$200,$G362)&gt;0,
    COUNTIFS($AE$2:$AE$200,$G362)&gt;0,
    COUNTIFS($AF$2:$AF$200,$G362)&gt;0,
    COUNTIFS($AG$2:$AG$200,$G362)&gt;0,
    COUNTIFS($AH$2:$AH$200,$G362)&gt;0,
    COUNTIFS($AI$2:$AI$200,$G362)&gt;0,
    COUNTIFS($AJ$2:$AJ$200,$G362)&gt;0,
    COUNTIFS($AK$2:$AK$200,$G362)&gt;0,
    COUNTIFS($AL$2:$AL$200,$G362)&gt;0,
    COUNTIFS($AM$2:$AM$200,$G362)&gt;0,
    COUNTIFS($AN$2:$AN$200,$G362)&gt;0,
    COUNTIFS($AO$2:$AO$200,$G362)&gt;0,
    COUNTIFS($AP$2:$AP$200,$G362)&gt;0,
    COUNTIFS($AQ$2:$AQ$200,$G362)&gt;0,
    COUNTIFS($AR$2:$AR$200,$G362)&gt;0,
    COUNTIFS($AS$2:$AS$200,$G362)&gt;0,
    COUNTIFS($AT$2:$AT$200,$G362)&gt;0,
    COUNTIFS($AU$2:$AU$200,$G362)&gt;0,
    COUNTIFS($AV$2:$AV$200,$G362)&gt;0,
    COUNTIFS($AW$2:$AW$200,$G362)&gt;0,
    COUNTIFS($AX$2:$AX$200,$G362)&gt;0
   ),
  0)
 ),
"")</f>
        <v>Baylen</v>
      </c>
      <c r="D362" s="3" t="str" cm="1">
        <f t="array" aca="1" ref="D362" ca="1">IFERROR(
 INDEX(
  _xlfn._xlws.FILTER($U$1:$AV$1,
   TRANSPOSE(
    CHOOSE({1;2;3;4;5;6;7;8;9;10;11;12;13;14;15;16;17;18;19;20;21;22;23;24;25;26;27;28},
     COUNTIFS($U$2:$U$200,$G362)&gt;0,
     COUNTIFS($V$2:$V$200,$G362)&gt;0,
     COUNTIFS($W$2:$W$200,$G362)&gt;0,
     COUNTIFS($X$2:$X$200,$G362)&gt;0,
     COUNTIFS($Y$2:$Y$200,$G362)&gt;0,
     COUNTIFS($Z$2:$Z$200,$G362)&gt;0,
     COUNTIFS($AA$2:$AA$200,$G362)&gt;0,
     COUNTIFS($AB$2:$AB$200,$G362)&gt;0,
     COUNTIFS($AC$2:$AC$200,$G362)&gt;0,
     COUNTIFS($AD$2:$AD$200,$G362)&gt;0,
     COUNTIFS($AE$2:$AE$200,$G362)&gt;0,
     COUNTIFS($AF$2:$AF$200,$G362)&gt;0,
     COUNTIFS($AG$2:$AG$200,$G362)&gt;0,
     COUNTIFS($AH$2:$AH$200,$G362)&gt;0,
     COUNTIFS($AI$2:$AI$200,$G362)&gt;0,
     COUNTIFS($AJ$2:$AJ$200,$G362)&gt;0,
     COUNTIFS($AK$2:$AK$200,$G362)&gt;0,
     COUNTIFS($AL$2:$AL$200,$G362)&gt;0,
     COUNTIFS($AM$2:$AM$200,$G362)&gt;0,
     COUNTIFS($AN$2:$AN$200,$G362)&gt;0,
     COUNTIFS($AO$2:$AO$200,$G362)&gt;0,
     COUNTIFS($AP$2:$AP$200,$G362)&gt;0,
     COUNTIFS($AQ$2:$AQ$200,$G362)&gt;0,
     COUNTIFS($AR$2:$AR$200,$G362)&gt;0,
     COUNTIFS($AS$2:$AS$200,$G362)&gt;0,
     COUNTIFS($AT$2:$AT$200,$G362)&gt;0,
     COUNTIFS($AU$2:$AU$200,$G362)&gt;0,
     COUNTIFS($AV$2:$AV$200,$G362)&gt;0
   )),
  ),
  2
 ),
"")</f>
        <v/>
      </c>
      <c r="E362" s="3" t="str" cm="1">
        <f t="array" aca="1" ref="E362" ca="1">IFERROR(
 INDEX($U$1:$AV$1,
  _xlfn.AGGREGATE(15,6,
   (COLUMN($U$1:$AV$1)-COLUMN($U$1)+1)/
   TRANSPOSE(
    CHOOSE({1;2;3;4;5;6;7;8;9;10;11;12;13;14;15;16;17;18;19;20;21;22;23;24;25;26;27;28},
     COUNTIFS($U$2:$U$200,$G362)&gt;0,
     COUNTIFS($V$2:$V$200,$G362)&gt;0,
     COUNTIFS($W$2:$W$200,$G362)&gt;0,
     COUNTIFS($X$2:$X$200,$G362)&gt;0,
     COUNTIFS($Y$2:$Y$200,$G362)&gt;0,
     COUNTIFS($Z$2:$Z$200,$G362)&gt;0,
     COUNTIFS($AA$2:$AA$200,$G362)&gt;0,
     COUNTIFS($AB$2:$AB$200,$G362)&gt;0,
     COUNTIFS($AC$2:$AC$200,$G362)&gt;0,
     COUNTIFS($AD$2:$AD$200,$G362)&gt;0,
     COUNTIFS($AE$2:$AE$200,$G362)&gt;0,
     COUNTIFS($AF$2:$AF$200,$G362)&gt;0,
     COUNTIFS($AG$2:$AG$200,$G362)&gt;0,
     COUNTIFS($AH$2:$AH$200,$G362)&gt;0,
     COUNTIFS($AI$2:$AI$200,$G362)&gt;0,
     COUNTIFS($AJ$2:$AJ$200,$G362)&gt;0,
     COUNTIFS($AK$2:$AK$200,$G362)&gt;0,
     COUNTIFS($AL$2:$AL$200,$G362)&gt;0,
     COUNTIFS($AM$2:$AM$200,$G362)&gt;0,
     COUNTIFS($AN$2:$AN$200,$G362)&gt;0,
     COUNTIFS($AO$2:$AO$200,$G362)&gt;0,
     COUNTIFS($AP$2:$AP$200,$G362)&gt;0,
     COUNTIFS($AQ$2:$AQ$200,$G362)&gt;0,
     COUNTIFS($AR$2:$AR$200,$G362)&gt;0,
     COUNTIFS($AS$2:$AS$200,$G362)&gt;0,
     COUNTIFS($AT$2:$AT$200,$G362)&gt;0,
     COUNTIFS($AU$2:$AU$200,$G362)&gt;0,
     COUNTIFS($AV$2:$AV$200,$G362)&gt;0
   )),
  3)
 ),
"")</f>
        <v/>
      </c>
      <c r="F362" s="3" t="str" cm="1">
        <f t="array" aca="1" ref="F362" ca="1">IFERROR(
 INDEX($U$1:$AV$1,
  _xlfn.AGGREGATE(15,6,
   (COLUMN($U$1:$AV$1)-COLUMN($U$1)+1)/
   TRANSPOSE(
    CHOOSE({1;2;3;4;5;6;7;8;9;10;11;12;13;14;15;16;17;18;19;20;21;22;23;24;25;26;27;28},
     COUNTIFS($U$2:$U$200,$G362)&gt;0,
     COUNTIFS($V$2:$V$200,$G362)&gt;0,
     COUNTIFS($W$2:$W$200,$G362)&gt;0,
     COUNTIFS($X$2:$X$200,$G362)&gt;0,
     COUNTIFS($Y$2:$Y$200,$G362)&gt;0,
     COUNTIFS($Z$2:$Z$200,$G362)&gt;0,
     COUNTIFS($AA$2:$AA$200,$G362)&gt;0,
     COUNTIFS($AB$2:$AB$200,$G362)&gt;0,
     COUNTIFS($AC$2:$AC$200,$G362)&gt;0,
     COUNTIFS($AD$2:$AD$200,$G362)&gt;0,
     COUNTIFS($AE$2:$AE$200,$G362)&gt;0,
     COUNTIFS($AF$2:$AF$200,$G362)&gt;0,
     COUNTIFS($AG$2:$AG$200,$G362)&gt;0,
     COUNTIFS($AH$2:$AH$200,$G362)&gt;0,
     COUNTIFS($AI$2:$AI$200,$G362)&gt;0,
     COUNTIFS($AJ$2:$AJ$200,$G362)&gt;0,
     COUNTIFS($AK$2:$AK$200,$G362)&gt;0,
     COUNTIFS($AL$2:$AL$200,$G362)&gt;0,
     COUNTIFS($AM$2:$AM$200,$G362)&gt;0,
     COUNTIFS($AN$2:$AN$200,$G362)&gt;0,
     COUNTIFS($AO$2:$AO$200,$G362)&gt;0,
     COUNTIFS($AP$2:$AP$200,$G362)&gt;0,
     COUNTIFS($AQ$2:$AQ$200,$G362)&gt;0,
     COUNTIFS($AR$2:$AR$200,$G362)&gt;0,
     COUNTIFS($AS$2:$AS$200,$G362)&gt;0,
     COUNTIFS($AT$2:$AT$200,$G362)&gt;0,
     COUNTIFS($AU$2:$AU$200,$G362)&gt;0,
     COUNTIFS($AV$2:$AV$200,$G362)&gt;0
   )),
  4)
 ),
"")</f>
        <v/>
      </c>
      <c r="G362" t="str">
        <f ca="1"/>
        <v>Time of Need</v>
      </c>
    </row>
    <row r="363" spans="1:7" x14ac:dyDescent="0.25">
      <c r="A363" s="3" t="str">
        <f t="shared" ca="1" si="12"/>
        <v>2</v>
      </c>
      <c r="B363" s="3">
        <f t="shared" ca="1" si="13"/>
        <v>1</v>
      </c>
      <c r="C363" s="3" t="str">
        <f ca="1">IFERROR(
 INDEX($U$1:$AX$1,
  MATCH(TRUE,
   CHOOSE({1;2;3;4;5;6;7;8;9;10;11;12;13;14;15;16;17;18;19;20;21;22;23;24;25;26;27;28;29;30;31;32},
    COUNTIFS($U$2:$U$200,$G363)&gt;0,
    COUNTIFS($V$2:$V$200,$G363)&gt;0,
    COUNTIFS($W$2:$W$200,$G363)&gt;0,
    COUNTIFS($X$2:$X$200,$G363)&gt;0,
    COUNTIFS($Y$2:$Y$200,$G363)&gt;0,
    COUNTIFS($Z$2:$Z$200,$G363)&gt;0,
    COUNTIFS($AA$2:$AA$200,$G363)&gt;0,
    COUNTIFS($AB$2:$AB$200,$G363)&gt;0,
    COUNTIFS($AC$2:$AC$200,$G363)&gt;0,
    COUNTIFS($AD$2:$AD$200,$G363)&gt;0,
    COUNTIFS($AE$2:$AE$200,$G363)&gt;0,
    COUNTIFS($AF$2:$AF$200,$G363)&gt;0,
    COUNTIFS($AG$2:$AG$200,$G363)&gt;0,
    COUNTIFS($AH$2:$AH$200,$G363)&gt;0,
    COUNTIFS($AI$2:$AI$200,$G363)&gt;0,
    COUNTIFS($AJ$2:$AJ$200,$G363)&gt;0,
    COUNTIFS($AK$2:$AK$200,$G363)&gt;0,
    COUNTIFS($AL$2:$AL$200,$G363)&gt;0,
    COUNTIFS($AM$2:$AM$200,$G363)&gt;0,
    COUNTIFS($AN$2:$AN$200,$G363)&gt;0,
    COUNTIFS($AO$2:$AO$200,$G363)&gt;0,
    COUNTIFS($AP$2:$AP$200,$G363)&gt;0,
    COUNTIFS($AQ$2:$AQ$200,$G363)&gt;0,
    COUNTIFS($AR$2:$AR$200,$G363)&gt;0,
    COUNTIFS($AS$2:$AS$200,$G363)&gt;0,
    COUNTIFS($AT$2:$AT$200,$G363)&gt;0,
    COUNTIFS($AU$2:$AU$200,$G363)&gt;0,
    COUNTIFS($AV$2:$AV$200,$G363)&gt;0,
    COUNTIFS($AW$2:$AW$200,$G363)&gt;0,
    COUNTIFS($AX$2:$AX$200,$G363)&gt;0
   ),
  0)
 ),
"")</f>
        <v>Piratas</v>
      </c>
      <c r="D363" s="3" t="str" cm="1">
        <f t="array" aca="1" ref="D363" ca="1">IFERROR(
 INDEX(
  _xlfn._xlws.FILTER($U$1:$AV$1,
   TRANSPOSE(
    CHOOSE({1;2;3;4;5;6;7;8;9;10;11;12;13;14;15;16;17;18;19;20;21;22;23;24;25;26;27;28},
     COUNTIFS($U$2:$U$200,$G363)&gt;0,
     COUNTIFS($V$2:$V$200,$G363)&gt;0,
     COUNTIFS($W$2:$W$200,$G363)&gt;0,
     COUNTIFS($X$2:$X$200,$G363)&gt;0,
     COUNTIFS($Y$2:$Y$200,$G363)&gt;0,
     COUNTIFS($Z$2:$Z$200,$G363)&gt;0,
     COUNTIFS($AA$2:$AA$200,$G363)&gt;0,
     COUNTIFS($AB$2:$AB$200,$G363)&gt;0,
     COUNTIFS($AC$2:$AC$200,$G363)&gt;0,
     COUNTIFS($AD$2:$AD$200,$G363)&gt;0,
     COUNTIFS($AE$2:$AE$200,$G363)&gt;0,
     COUNTIFS($AF$2:$AF$200,$G363)&gt;0,
     COUNTIFS($AG$2:$AG$200,$G363)&gt;0,
     COUNTIFS($AH$2:$AH$200,$G363)&gt;0,
     COUNTIFS($AI$2:$AI$200,$G363)&gt;0,
     COUNTIFS($AJ$2:$AJ$200,$G363)&gt;0,
     COUNTIFS($AK$2:$AK$200,$G363)&gt;0,
     COUNTIFS($AL$2:$AL$200,$G363)&gt;0,
     COUNTIFS($AM$2:$AM$200,$G363)&gt;0,
     COUNTIFS($AN$2:$AN$200,$G363)&gt;0,
     COUNTIFS($AO$2:$AO$200,$G363)&gt;0,
     COUNTIFS($AP$2:$AP$200,$G363)&gt;0,
     COUNTIFS($AQ$2:$AQ$200,$G363)&gt;0,
     COUNTIFS($AR$2:$AR$200,$G363)&gt;0,
     COUNTIFS($AS$2:$AS$200,$G363)&gt;0,
     COUNTIFS($AT$2:$AT$200,$G363)&gt;0,
     COUNTIFS($AU$2:$AU$200,$G363)&gt;0,
     COUNTIFS($AV$2:$AV$200,$G363)&gt;0
   )),
  ),
  2
 ),
"")</f>
        <v/>
      </c>
      <c r="E363" s="3" t="str" cm="1">
        <f t="array" aca="1" ref="E363" ca="1">IFERROR(
 INDEX($U$1:$AV$1,
  _xlfn.AGGREGATE(15,6,
   (COLUMN($U$1:$AV$1)-COLUMN($U$1)+1)/
   TRANSPOSE(
    CHOOSE({1;2;3;4;5;6;7;8;9;10;11;12;13;14;15;16;17;18;19;20;21;22;23;24;25;26;27;28},
     COUNTIFS($U$2:$U$200,$G363)&gt;0,
     COUNTIFS($V$2:$V$200,$G363)&gt;0,
     COUNTIFS($W$2:$W$200,$G363)&gt;0,
     COUNTIFS($X$2:$X$200,$G363)&gt;0,
     COUNTIFS($Y$2:$Y$200,$G363)&gt;0,
     COUNTIFS($Z$2:$Z$200,$G363)&gt;0,
     COUNTIFS($AA$2:$AA$200,$G363)&gt;0,
     COUNTIFS($AB$2:$AB$200,$G363)&gt;0,
     COUNTIFS($AC$2:$AC$200,$G363)&gt;0,
     COUNTIFS($AD$2:$AD$200,$G363)&gt;0,
     COUNTIFS($AE$2:$AE$200,$G363)&gt;0,
     COUNTIFS($AF$2:$AF$200,$G363)&gt;0,
     COUNTIFS($AG$2:$AG$200,$G363)&gt;0,
     COUNTIFS($AH$2:$AH$200,$G363)&gt;0,
     COUNTIFS($AI$2:$AI$200,$G363)&gt;0,
     COUNTIFS($AJ$2:$AJ$200,$G363)&gt;0,
     COUNTIFS($AK$2:$AK$200,$G363)&gt;0,
     COUNTIFS($AL$2:$AL$200,$G363)&gt;0,
     COUNTIFS($AM$2:$AM$200,$G363)&gt;0,
     COUNTIFS($AN$2:$AN$200,$G363)&gt;0,
     COUNTIFS($AO$2:$AO$200,$G363)&gt;0,
     COUNTIFS($AP$2:$AP$200,$G363)&gt;0,
     COUNTIFS($AQ$2:$AQ$200,$G363)&gt;0,
     COUNTIFS($AR$2:$AR$200,$G363)&gt;0,
     COUNTIFS($AS$2:$AS$200,$G363)&gt;0,
     COUNTIFS($AT$2:$AT$200,$G363)&gt;0,
     COUNTIFS($AU$2:$AU$200,$G363)&gt;0,
     COUNTIFS($AV$2:$AV$200,$G363)&gt;0
   )),
  3)
 ),
"")</f>
        <v/>
      </c>
      <c r="F363" s="3" t="str" cm="1">
        <f t="array" aca="1" ref="F363" ca="1">IFERROR(
 INDEX($U$1:$AV$1,
  _xlfn.AGGREGATE(15,6,
   (COLUMN($U$1:$AV$1)-COLUMN($U$1)+1)/
   TRANSPOSE(
    CHOOSE({1;2;3;4;5;6;7;8;9;10;11;12;13;14;15;16;17;18;19;20;21;22;23;24;25;26;27;28},
     COUNTIFS($U$2:$U$200,$G363)&gt;0,
     COUNTIFS($V$2:$V$200,$G363)&gt;0,
     COUNTIFS($W$2:$W$200,$G363)&gt;0,
     COUNTIFS($X$2:$X$200,$G363)&gt;0,
     COUNTIFS($Y$2:$Y$200,$G363)&gt;0,
     COUNTIFS($Z$2:$Z$200,$G363)&gt;0,
     COUNTIFS($AA$2:$AA$200,$G363)&gt;0,
     COUNTIFS($AB$2:$AB$200,$G363)&gt;0,
     COUNTIFS($AC$2:$AC$200,$G363)&gt;0,
     COUNTIFS($AD$2:$AD$200,$G363)&gt;0,
     COUNTIFS($AE$2:$AE$200,$G363)&gt;0,
     COUNTIFS($AF$2:$AF$200,$G363)&gt;0,
     COUNTIFS($AG$2:$AG$200,$G363)&gt;0,
     COUNTIFS($AH$2:$AH$200,$G363)&gt;0,
     COUNTIFS($AI$2:$AI$200,$G363)&gt;0,
     COUNTIFS($AJ$2:$AJ$200,$G363)&gt;0,
     COUNTIFS($AK$2:$AK$200,$G363)&gt;0,
     COUNTIFS($AL$2:$AL$200,$G363)&gt;0,
     COUNTIFS($AM$2:$AM$200,$G363)&gt;0,
     COUNTIFS($AN$2:$AN$200,$G363)&gt;0,
     COUNTIFS($AO$2:$AO$200,$G363)&gt;0,
     COUNTIFS($AP$2:$AP$200,$G363)&gt;0,
     COUNTIFS($AQ$2:$AQ$200,$G363)&gt;0,
     COUNTIFS($AR$2:$AR$200,$G363)&gt;0,
     COUNTIFS($AS$2:$AS$200,$G363)&gt;0,
     COUNTIFS($AT$2:$AT$200,$G363)&gt;0,
     COUNTIFS($AU$2:$AU$200,$G363)&gt;0,
     COUNTIFS($AV$2:$AV$200,$G363)&gt;0
   )),
  4)
 ),
"")</f>
        <v/>
      </c>
      <c r="G363" t="str">
        <f ca="1"/>
        <v>Time Sieve</v>
      </c>
    </row>
    <row r="364" spans="1:7" x14ac:dyDescent="0.25">
      <c r="A364" s="3" t="str">
        <f t="shared" ca="1" si="12"/>
        <v>2</v>
      </c>
      <c r="B364" s="3">
        <f t="shared" ca="1" si="13"/>
        <v>1</v>
      </c>
      <c r="C364" s="3" t="str">
        <f ca="1">IFERROR(
 INDEX($U$1:$AX$1,
  MATCH(TRUE,
   CHOOSE({1;2;3;4;5;6;7;8;9;10;11;12;13;14;15;16;17;18;19;20;21;22;23;24;25;26;27;28;29;30;31;32},
    COUNTIFS($U$2:$U$200,$G364)&gt;0,
    COUNTIFS($V$2:$V$200,$G364)&gt;0,
    COUNTIFS($W$2:$W$200,$G364)&gt;0,
    COUNTIFS($X$2:$X$200,$G364)&gt;0,
    COUNTIFS($Y$2:$Y$200,$G364)&gt;0,
    COUNTIFS($Z$2:$Z$200,$G364)&gt;0,
    COUNTIFS($AA$2:$AA$200,$G364)&gt;0,
    COUNTIFS($AB$2:$AB$200,$G364)&gt;0,
    COUNTIFS($AC$2:$AC$200,$G364)&gt;0,
    COUNTIFS($AD$2:$AD$200,$G364)&gt;0,
    COUNTIFS($AE$2:$AE$200,$G364)&gt;0,
    COUNTIFS($AF$2:$AF$200,$G364)&gt;0,
    COUNTIFS($AG$2:$AG$200,$G364)&gt;0,
    COUNTIFS($AH$2:$AH$200,$G364)&gt;0,
    COUNTIFS($AI$2:$AI$200,$G364)&gt;0,
    COUNTIFS($AJ$2:$AJ$200,$G364)&gt;0,
    COUNTIFS($AK$2:$AK$200,$G364)&gt;0,
    COUNTIFS($AL$2:$AL$200,$G364)&gt;0,
    COUNTIFS($AM$2:$AM$200,$G364)&gt;0,
    COUNTIFS($AN$2:$AN$200,$G364)&gt;0,
    COUNTIFS($AO$2:$AO$200,$G364)&gt;0,
    COUNTIFS($AP$2:$AP$200,$G364)&gt;0,
    COUNTIFS($AQ$2:$AQ$200,$G364)&gt;0,
    COUNTIFS($AR$2:$AR$200,$G364)&gt;0,
    COUNTIFS($AS$2:$AS$200,$G364)&gt;0,
    COUNTIFS($AT$2:$AT$200,$G364)&gt;0,
    COUNTIFS($AU$2:$AU$200,$G364)&gt;0,
    COUNTIFS($AV$2:$AV$200,$G364)&gt;0,
    COUNTIFS($AW$2:$AW$200,$G364)&gt;0,
    COUNTIFS($AX$2:$AX$200,$G364)&gt;0
   ),
  0)
 ),
"")</f>
        <v>Piratas</v>
      </c>
      <c r="D364" s="3" t="str" cm="1">
        <f t="array" aca="1" ref="D364" ca="1">IFERROR(
 INDEX(
  _xlfn._xlws.FILTER($U$1:$AV$1,
   TRANSPOSE(
    CHOOSE({1;2;3;4;5;6;7;8;9;10;11;12;13;14;15;16;17;18;19;20;21;22;23;24;25;26;27;28},
     COUNTIFS($U$2:$U$200,$G364)&gt;0,
     COUNTIFS($V$2:$V$200,$G364)&gt;0,
     COUNTIFS($W$2:$W$200,$G364)&gt;0,
     COUNTIFS($X$2:$X$200,$G364)&gt;0,
     COUNTIFS($Y$2:$Y$200,$G364)&gt;0,
     COUNTIFS($Z$2:$Z$200,$G364)&gt;0,
     COUNTIFS($AA$2:$AA$200,$G364)&gt;0,
     COUNTIFS($AB$2:$AB$200,$G364)&gt;0,
     COUNTIFS($AC$2:$AC$200,$G364)&gt;0,
     COUNTIFS($AD$2:$AD$200,$G364)&gt;0,
     COUNTIFS($AE$2:$AE$200,$G364)&gt;0,
     COUNTIFS($AF$2:$AF$200,$G364)&gt;0,
     COUNTIFS($AG$2:$AG$200,$G364)&gt;0,
     COUNTIFS($AH$2:$AH$200,$G364)&gt;0,
     COUNTIFS($AI$2:$AI$200,$G364)&gt;0,
     COUNTIFS($AJ$2:$AJ$200,$G364)&gt;0,
     COUNTIFS($AK$2:$AK$200,$G364)&gt;0,
     COUNTIFS($AL$2:$AL$200,$G364)&gt;0,
     COUNTIFS($AM$2:$AM$200,$G364)&gt;0,
     COUNTIFS($AN$2:$AN$200,$G364)&gt;0,
     COUNTIFS($AO$2:$AO$200,$G364)&gt;0,
     COUNTIFS($AP$2:$AP$200,$G364)&gt;0,
     COUNTIFS($AQ$2:$AQ$200,$G364)&gt;0,
     COUNTIFS($AR$2:$AR$200,$G364)&gt;0,
     COUNTIFS($AS$2:$AS$200,$G364)&gt;0,
     COUNTIFS($AT$2:$AT$200,$G364)&gt;0,
     COUNTIFS($AU$2:$AU$200,$G364)&gt;0,
     COUNTIFS($AV$2:$AV$200,$G364)&gt;0
   )),
  ),
  2
 ),
"")</f>
        <v/>
      </c>
      <c r="E364" s="3" t="str" cm="1">
        <f t="array" aca="1" ref="E364" ca="1">IFERROR(
 INDEX($U$1:$AV$1,
  _xlfn.AGGREGATE(15,6,
   (COLUMN($U$1:$AV$1)-COLUMN($U$1)+1)/
   TRANSPOSE(
    CHOOSE({1;2;3;4;5;6;7;8;9;10;11;12;13;14;15;16;17;18;19;20;21;22;23;24;25;26;27;28},
     COUNTIFS($U$2:$U$200,$G364)&gt;0,
     COUNTIFS($V$2:$V$200,$G364)&gt;0,
     COUNTIFS($W$2:$W$200,$G364)&gt;0,
     COUNTIFS($X$2:$X$200,$G364)&gt;0,
     COUNTIFS($Y$2:$Y$200,$G364)&gt;0,
     COUNTIFS($Z$2:$Z$200,$G364)&gt;0,
     COUNTIFS($AA$2:$AA$200,$G364)&gt;0,
     COUNTIFS($AB$2:$AB$200,$G364)&gt;0,
     COUNTIFS($AC$2:$AC$200,$G364)&gt;0,
     COUNTIFS($AD$2:$AD$200,$G364)&gt;0,
     COUNTIFS($AE$2:$AE$200,$G364)&gt;0,
     COUNTIFS($AF$2:$AF$200,$G364)&gt;0,
     COUNTIFS($AG$2:$AG$200,$G364)&gt;0,
     COUNTIFS($AH$2:$AH$200,$G364)&gt;0,
     COUNTIFS($AI$2:$AI$200,$G364)&gt;0,
     COUNTIFS($AJ$2:$AJ$200,$G364)&gt;0,
     COUNTIFS($AK$2:$AK$200,$G364)&gt;0,
     COUNTIFS($AL$2:$AL$200,$G364)&gt;0,
     COUNTIFS($AM$2:$AM$200,$G364)&gt;0,
     COUNTIFS($AN$2:$AN$200,$G364)&gt;0,
     COUNTIFS($AO$2:$AO$200,$G364)&gt;0,
     COUNTIFS($AP$2:$AP$200,$G364)&gt;0,
     COUNTIFS($AQ$2:$AQ$200,$G364)&gt;0,
     COUNTIFS($AR$2:$AR$200,$G364)&gt;0,
     COUNTIFS($AS$2:$AS$200,$G364)&gt;0,
     COUNTIFS($AT$2:$AT$200,$G364)&gt;0,
     COUNTIFS($AU$2:$AU$200,$G364)&gt;0,
     COUNTIFS($AV$2:$AV$200,$G364)&gt;0
   )),
  3)
 ),
"")</f>
        <v/>
      </c>
      <c r="F364" s="3" t="str" cm="1">
        <f t="array" aca="1" ref="F364" ca="1">IFERROR(
 INDEX($U$1:$AV$1,
  _xlfn.AGGREGATE(15,6,
   (COLUMN($U$1:$AV$1)-COLUMN($U$1)+1)/
   TRANSPOSE(
    CHOOSE({1;2;3;4;5;6;7;8;9;10;11;12;13;14;15;16;17;18;19;20;21;22;23;24;25;26;27;28},
     COUNTIFS($U$2:$U$200,$G364)&gt;0,
     COUNTIFS($V$2:$V$200,$G364)&gt;0,
     COUNTIFS($W$2:$W$200,$G364)&gt;0,
     COUNTIFS($X$2:$X$200,$G364)&gt;0,
     COUNTIFS($Y$2:$Y$200,$G364)&gt;0,
     COUNTIFS($Z$2:$Z$200,$G364)&gt;0,
     COUNTIFS($AA$2:$AA$200,$G364)&gt;0,
     COUNTIFS($AB$2:$AB$200,$G364)&gt;0,
     COUNTIFS($AC$2:$AC$200,$G364)&gt;0,
     COUNTIFS($AD$2:$AD$200,$G364)&gt;0,
     COUNTIFS($AE$2:$AE$200,$G364)&gt;0,
     COUNTIFS($AF$2:$AF$200,$G364)&gt;0,
     COUNTIFS($AG$2:$AG$200,$G364)&gt;0,
     COUNTIFS($AH$2:$AH$200,$G364)&gt;0,
     COUNTIFS($AI$2:$AI$200,$G364)&gt;0,
     COUNTIFS($AJ$2:$AJ$200,$G364)&gt;0,
     COUNTIFS($AK$2:$AK$200,$G364)&gt;0,
     COUNTIFS($AL$2:$AL$200,$G364)&gt;0,
     COUNTIFS($AM$2:$AM$200,$G364)&gt;0,
     COUNTIFS($AN$2:$AN$200,$G364)&gt;0,
     COUNTIFS($AO$2:$AO$200,$G364)&gt;0,
     COUNTIFS($AP$2:$AP$200,$G364)&gt;0,
     COUNTIFS($AQ$2:$AQ$200,$G364)&gt;0,
     COUNTIFS($AR$2:$AR$200,$G364)&gt;0,
     COUNTIFS($AS$2:$AS$200,$G364)&gt;0,
     COUNTIFS($AT$2:$AT$200,$G364)&gt;0,
     COUNTIFS($AU$2:$AU$200,$G364)&gt;0,
     COUNTIFS($AV$2:$AV$200,$G364)&gt;0
   )),
  4)
 ),
"")</f>
        <v/>
      </c>
      <c r="G364" t="str">
        <f ca="1"/>
        <v>Timestream Navigator</v>
      </c>
    </row>
    <row r="365" spans="1:7" x14ac:dyDescent="0.25">
      <c r="A365" s="3" t="str">
        <f t="shared" ca="1" si="12"/>
        <v>1</v>
      </c>
      <c r="B365" s="3">
        <f t="shared" ca="1" si="13"/>
        <v>1</v>
      </c>
      <c r="C365" s="3" t="str">
        <f ca="1">IFERROR(
 INDEX($U$1:$AX$1,
  MATCH(TRUE,
   CHOOSE({1;2;3;4;5;6;7;8;9;10;11;12;13;14;15;16;17;18;19;20;21;22;23;24;25;26;27;28;29;30;31;32},
    COUNTIFS($U$2:$U$200,$G365)&gt;0,
    COUNTIFS($V$2:$V$200,$G365)&gt;0,
    COUNTIFS($W$2:$W$200,$G365)&gt;0,
    COUNTIFS($X$2:$X$200,$G365)&gt;0,
    COUNTIFS($Y$2:$Y$200,$G365)&gt;0,
    COUNTIFS($Z$2:$Z$200,$G365)&gt;0,
    COUNTIFS($AA$2:$AA$200,$G365)&gt;0,
    COUNTIFS($AB$2:$AB$200,$G365)&gt;0,
    COUNTIFS($AC$2:$AC$200,$G365)&gt;0,
    COUNTIFS($AD$2:$AD$200,$G365)&gt;0,
    COUNTIFS($AE$2:$AE$200,$G365)&gt;0,
    COUNTIFS($AF$2:$AF$200,$G365)&gt;0,
    COUNTIFS($AG$2:$AG$200,$G365)&gt;0,
    COUNTIFS($AH$2:$AH$200,$G365)&gt;0,
    COUNTIFS($AI$2:$AI$200,$G365)&gt;0,
    COUNTIFS($AJ$2:$AJ$200,$G365)&gt;0,
    COUNTIFS($AK$2:$AK$200,$G365)&gt;0,
    COUNTIFS($AL$2:$AL$200,$G365)&gt;0,
    COUNTIFS($AM$2:$AM$200,$G365)&gt;0,
    COUNTIFS($AN$2:$AN$200,$G365)&gt;0,
    COUNTIFS($AO$2:$AO$200,$G365)&gt;0,
    COUNTIFS($AP$2:$AP$200,$G365)&gt;0,
    COUNTIFS($AQ$2:$AQ$200,$G365)&gt;0,
    COUNTIFS($AR$2:$AR$200,$G365)&gt;0,
    COUNTIFS($AS$2:$AS$200,$G365)&gt;0,
    COUNTIFS($AT$2:$AT$200,$G365)&gt;0,
    COUNTIFS($AU$2:$AU$200,$G365)&gt;0,
    COUNTIFS($AV$2:$AV$200,$G365)&gt;0,
    COUNTIFS($AW$2:$AW$200,$G365)&gt;0,
    COUNTIFS($AX$2:$AX$200,$G365)&gt;0
   ),
  0)
 ),
"")</f>
        <v>Modular</v>
      </c>
      <c r="D365" s="3" t="str" cm="1">
        <f t="array" aca="1" ref="D365" ca="1">IFERROR(
 INDEX(
  _xlfn._xlws.FILTER($U$1:$AV$1,
   TRANSPOSE(
    CHOOSE({1;2;3;4;5;6;7;8;9;10;11;12;13;14;15;16;17;18;19;20;21;22;23;24;25;26;27;28},
     COUNTIFS($U$2:$U$200,$G365)&gt;0,
     COUNTIFS($V$2:$V$200,$G365)&gt;0,
     COUNTIFS($W$2:$W$200,$G365)&gt;0,
     COUNTIFS($X$2:$X$200,$G365)&gt;0,
     COUNTIFS($Y$2:$Y$200,$G365)&gt;0,
     COUNTIFS($Z$2:$Z$200,$G365)&gt;0,
     COUNTIFS($AA$2:$AA$200,$G365)&gt;0,
     COUNTIFS($AB$2:$AB$200,$G365)&gt;0,
     COUNTIFS($AC$2:$AC$200,$G365)&gt;0,
     COUNTIFS($AD$2:$AD$200,$G365)&gt;0,
     COUNTIFS($AE$2:$AE$200,$G365)&gt;0,
     COUNTIFS($AF$2:$AF$200,$G365)&gt;0,
     COUNTIFS($AG$2:$AG$200,$G365)&gt;0,
     COUNTIFS($AH$2:$AH$200,$G365)&gt;0,
     COUNTIFS($AI$2:$AI$200,$G365)&gt;0,
     COUNTIFS($AJ$2:$AJ$200,$G365)&gt;0,
     COUNTIFS($AK$2:$AK$200,$G365)&gt;0,
     COUNTIFS($AL$2:$AL$200,$G365)&gt;0,
     COUNTIFS($AM$2:$AM$200,$G365)&gt;0,
     COUNTIFS($AN$2:$AN$200,$G365)&gt;0,
     COUNTIFS($AO$2:$AO$200,$G365)&gt;0,
     COUNTIFS($AP$2:$AP$200,$G365)&gt;0,
     COUNTIFS($AQ$2:$AQ$200,$G365)&gt;0,
     COUNTIFS($AR$2:$AR$200,$G365)&gt;0,
     COUNTIFS($AS$2:$AS$200,$G365)&gt;0,
     COUNTIFS($AT$2:$AT$200,$G365)&gt;0,
     COUNTIFS($AU$2:$AU$200,$G365)&gt;0,
     COUNTIFS($AV$2:$AV$200,$G365)&gt;0
   )),
  ),
  2
 ),
"")</f>
        <v/>
      </c>
      <c r="E365" s="3" t="str" cm="1">
        <f t="array" aca="1" ref="E365" ca="1">IFERROR(
 INDEX($U$1:$AV$1,
  _xlfn.AGGREGATE(15,6,
   (COLUMN($U$1:$AV$1)-COLUMN($U$1)+1)/
   TRANSPOSE(
    CHOOSE({1;2;3;4;5;6;7;8;9;10;11;12;13;14;15;16;17;18;19;20;21;22;23;24;25;26;27;28},
     COUNTIFS($U$2:$U$200,$G365)&gt;0,
     COUNTIFS($V$2:$V$200,$G365)&gt;0,
     COUNTIFS($W$2:$W$200,$G365)&gt;0,
     COUNTIFS($X$2:$X$200,$G365)&gt;0,
     COUNTIFS($Y$2:$Y$200,$G365)&gt;0,
     COUNTIFS($Z$2:$Z$200,$G365)&gt;0,
     COUNTIFS($AA$2:$AA$200,$G365)&gt;0,
     COUNTIFS($AB$2:$AB$200,$G365)&gt;0,
     COUNTIFS($AC$2:$AC$200,$G365)&gt;0,
     COUNTIFS($AD$2:$AD$200,$G365)&gt;0,
     COUNTIFS($AE$2:$AE$200,$G365)&gt;0,
     COUNTIFS($AF$2:$AF$200,$G365)&gt;0,
     COUNTIFS($AG$2:$AG$200,$G365)&gt;0,
     COUNTIFS($AH$2:$AH$200,$G365)&gt;0,
     COUNTIFS($AI$2:$AI$200,$G365)&gt;0,
     COUNTIFS($AJ$2:$AJ$200,$G365)&gt;0,
     COUNTIFS($AK$2:$AK$200,$G365)&gt;0,
     COUNTIFS($AL$2:$AL$200,$G365)&gt;0,
     COUNTIFS($AM$2:$AM$200,$G365)&gt;0,
     COUNTIFS($AN$2:$AN$200,$G365)&gt;0,
     COUNTIFS($AO$2:$AO$200,$G365)&gt;0,
     COUNTIFS($AP$2:$AP$200,$G365)&gt;0,
     COUNTIFS($AQ$2:$AQ$200,$G365)&gt;0,
     COUNTIFS($AR$2:$AR$200,$G365)&gt;0,
     COUNTIFS($AS$2:$AS$200,$G365)&gt;0,
     COUNTIFS($AT$2:$AT$200,$G365)&gt;0,
     COUNTIFS($AU$2:$AU$200,$G365)&gt;0,
     COUNTIFS($AV$2:$AV$200,$G365)&gt;0
   )),
  3)
 ),
"")</f>
        <v/>
      </c>
      <c r="F365" s="3" t="str" cm="1">
        <f t="array" aca="1" ref="F365" ca="1">IFERROR(
 INDEX($U$1:$AV$1,
  _xlfn.AGGREGATE(15,6,
   (COLUMN($U$1:$AV$1)-COLUMN($U$1)+1)/
   TRANSPOSE(
    CHOOSE({1;2;3;4;5;6;7;8;9;10;11;12;13;14;15;16;17;18;19;20;21;22;23;24;25;26;27;28},
     COUNTIFS($U$2:$U$200,$G365)&gt;0,
     COUNTIFS($V$2:$V$200,$G365)&gt;0,
     COUNTIFS($W$2:$W$200,$G365)&gt;0,
     COUNTIFS($X$2:$X$200,$G365)&gt;0,
     COUNTIFS($Y$2:$Y$200,$G365)&gt;0,
     COUNTIFS($Z$2:$Z$200,$G365)&gt;0,
     COUNTIFS($AA$2:$AA$200,$G365)&gt;0,
     COUNTIFS($AB$2:$AB$200,$G365)&gt;0,
     COUNTIFS($AC$2:$AC$200,$G365)&gt;0,
     COUNTIFS($AD$2:$AD$200,$G365)&gt;0,
     COUNTIFS($AE$2:$AE$200,$G365)&gt;0,
     COUNTIFS($AF$2:$AF$200,$G365)&gt;0,
     COUNTIFS($AG$2:$AG$200,$G365)&gt;0,
     COUNTIFS($AH$2:$AH$200,$G365)&gt;0,
     COUNTIFS($AI$2:$AI$200,$G365)&gt;0,
     COUNTIFS($AJ$2:$AJ$200,$G365)&gt;0,
     COUNTIFS($AK$2:$AK$200,$G365)&gt;0,
     COUNTIFS($AL$2:$AL$200,$G365)&gt;0,
     COUNTIFS($AM$2:$AM$200,$G365)&gt;0,
     COUNTIFS($AN$2:$AN$200,$G365)&gt;0,
     COUNTIFS($AO$2:$AO$200,$G365)&gt;0,
     COUNTIFS($AP$2:$AP$200,$G365)&gt;0,
     COUNTIFS($AQ$2:$AQ$200,$G365)&gt;0,
     COUNTIFS($AR$2:$AR$200,$G365)&gt;0,
     COUNTIFS($AS$2:$AS$200,$G365)&gt;0,
     COUNTIFS($AT$2:$AT$200,$G365)&gt;0,
     COUNTIFS($AU$2:$AU$200,$G365)&gt;0,
     COUNTIFS($AV$2:$AV$200,$G365)&gt;0
   )),
  4)
 ),
"")</f>
        <v/>
      </c>
      <c r="G365" t="str">
        <f ca="1"/>
        <v>Tireless Provisioner</v>
      </c>
    </row>
    <row r="366" spans="1:7" x14ac:dyDescent="0.25">
      <c r="A366" s="3" t="str">
        <f t="shared" ca="1" si="12"/>
        <v>2</v>
      </c>
      <c r="B366" s="3">
        <f t="shared" ca="1" si="13"/>
        <v>1</v>
      </c>
      <c r="C366" s="3" t="str">
        <f ca="1">IFERROR(
 INDEX($U$1:$AX$1,
  MATCH(TRUE,
   CHOOSE({1;2;3;4;5;6;7;8;9;10;11;12;13;14;15;16;17;18;19;20;21;22;23;24;25;26;27;28;29;30;31;32},
    COUNTIFS($U$2:$U$200,$G366)&gt;0,
    COUNTIFS($V$2:$V$200,$G366)&gt;0,
    COUNTIFS($W$2:$W$200,$G366)&gt;0,
    COUNTIFS($X$2:$X$200,$G366)&gt;0,
    COUNTIFS($Y$2:$Y$200,$G366)&gt;0,
    COUNTIFS($Z$2:$Z$200,$G366)&gt;0,
    COUNTIFS($AA$2:$AA$200,$G366)&gt;0,
    COUNTIFS($AB$2:$AB$200,$G366)&gt;0,
    COUNTIFS($AC$2:$AC$200,$G366)&gt;0,
    COUNTIFS($AD$2:$AD$200,$G366)&gt;0,
    COUNTIFS($AE$2:$AE$200,$G366)&gt;0,
    COUNTIFS($AF$2:$AF$200,$G366)&gt;0,
    COUNTIFS($AG$2:$AG$200,$G366)&gt;0,
    COUNTIFS($AH$2:$AH$200,$G366)&gt;0,
    COUNTIFS($AI$2:$AI$200,$G366)&gt;0,
    COUNTIFS($AJ$2:$AJ$200,$G366)&gt;0,
    COUNTIFS($AK$2:$AK$200,$G366)&gt;0,
    COUNTIFS($AL$2:$AL$200,$G366)&gt;0,
    COUNTIFS($AM$2:$AM$200,$G366)&gt;0,
    COUNTIFS($AN$2:$AN$200,$G366)&gt;0,
    COUNTIFS($AO$2:$AO$200,$G366)&gt;0,
    COUNTIFS($AP$2:$AP$200,$G366)&gt;0,
    COUNTIFS($AQ$2:$AQ$200,$G366)&gt;0,
    COUNTIFS($AR$2:$AR$200,$G366)&gt;0,
    COUNTIFS($AS$2:$AS$200,$G366)&gt;0,
    COUNTIFS($AT$2:$AT$200,$G366)&gt;0,
    COUNTIFS($AU$2:$AU$200,$G366)&gt;0,
    COUNTIFS($AV$2:$AV$200,$G366)&gt;0,
    COUNTIFS($AW$2:$AW$200,$G366)&gt;0,
    COUNTIFS($AX$2:$AX$200,$G366)&gt;0
   ),
  0)
 ),
"")</f>
        <v>Kumena</v>
      </c>
      <c r="D366" s="3" t="str" cm="1">
        <f t="array" aca="1" ref="D366" ca="1">IFERROR(
 INDEX(
  _xlfn._xlws.FILTER($U$1:$AV$1,
   TRANSPOSE(
    CHOOSE({1;2;3;4;5;6;7;8;9;10;11;12;13;14;15;16;17;18;19;20;21;22;23;24;25;26;27;28},
     COUNTIFS($U$2:$U$200,$G366)&gt;0,
     COUNTIFS($V$2:$V$200,$G366)&gt;0,
     COUNTIFS($W$2:$W$200,$G366)&gt;0,
     COUNTIFS($X$2:$X$200,$G366)&gt;0,
     COUNTIFS($Y$2:$Y$200,$G366)&gt;0,
     COUNTIFS($Z$2:$Z$200,$G366)&gt;0,
     COUNTIFS($AA$2:$AA$200,$G366)&gt;0,
     COUNTIFS($AB$2:$AB$200,$G366)&gt;0,
     COUNTIFS($AC$2:$AC$200,$G366)&gt;0,
     COUNTIFS($AD$2:$AD$200,$G366)&gt;0,
     COUNTIFS($AE$2:$AE$200,$G366)&gt;0,
     COUNTIFS($AF$2:$AF$200,$G366)&gt;0,
     COUNTIFS($AG$2:$AG$200,$G366)&gt;0,
     COUNTIFS($AH$2:$AH$200,$G366)&gt;0,
     COUNTIFS($AI$2:$AI$200,$G366)&gt;0,
     COUNTIFS($AJ$2:$AJ$200,$G366)&gt;0,
     COUNTIFS($AK$2:$AK$200,$G366)&gt;0,
     COUNTIFS($AL$2:$AL$200,$G366)&gt;0,
     COUNTIFS($AM$2:$AM$200,$G366)&gt;0,
     COUNTIFS($AN$2:$AN$200,$G366)&gt;0,
     COUNTIFS($AO$2:$AO$200,$G366)&gt;0,
     COUNTIFS($AP$2:$AP$200,$G366)&gt;0,
     COUNTIFS($AQ$2:$AQ$200,$G366)&gt;0,
     COUNTIFS($AR$2:$AR$200,$G366)&gt;0,
     COUNTIFS($AS$2:$AS$200,$G366)&gt;0,
     COUNTIFS($AT$2:$AT$200,$G366)&gt;0,
     COUNTIFS($AU$2:$AU$200,$G366)&gt;0,
     COUNTIFS($AV$2:$AV$200,$G366)&gt;0
   )),
  ),
  2
 ),
"")</f>
        <v/>
      </c>
      <c r="E366" s="3" t="str" cm="1">
        <f t="array" aca="1" ref="E366" ca="1">IFERROR(
 INDEX($U$1:$AV$1,
  _xlfn.AGGREGATE(15,6,
   (COLUMN($U$1:$AV$1)-COLUMN($U$1)+1)/
   TRANSPOSE(
    CHOOSE({1;2;3;4;5;6;7;8;9;10;11;12;13;14;15;16;17;18;19;20;21;22;23;24;25;26;27;28},
     COUNTIFS($U$2:$U$200,$G366)&gt;0,
     COUNTIFS($V$2:$V$200,$G366)&gt;0,
     COUNTIFS($W$2:$W$200,$G366)&gt;0,
     COUNTIFS($X$2:$X$200,$G366)&gt;0,
     COUNTIFS($Y$2:$Y$200,$G366)&gt;0,
     COUNTIFS($Z$2:$Z$200,$G366)&gt;0,
     COUNTIFS($AA$2:$AA$200,$G366)&gt;0,
     COUNTIFS($AB$2:$AB$200,$G366)&gt;0,
     COUNTIFS($AC$2:$AC$200,$G366)&gt;0,
     COUNTIFS($AD$2:$AD$200,$G366)&gt;0,
     COUNTIFS($AE$2:$AE$200,$G366)&gt;0,
     COUNTIFS($AF$2:$AF$200,$G366)&gt;0,
     COUNTIFS($AG$2:$AG$200,$G366)&gt;0,
     COUNTIFS($AH$2:$AH$200,$G366)&gt;0,
     COUNTIFS($AI$2:$AI$200,$G366)&gt;0,
     COUNTIFS($AJ$2:$AJ$200,$G366)&gt;0,
     COUNTIFS($AK$2:$AK$200,$G366)&gt;0,
     COUNTIFS($AL$2:$AL$200,$G366)&gt;0,
     COUNTIFS($AM$2:$AM$200,$G366)&gt;0,
     COUNTIFS($AN$2:$AN$200,$G366)&gt;0,
     COUNTIFS($AO$2:$AO$200,$G366)&gt;0,
     COUNTIFS($AP$2:$AP$200,$G366)&gt;0,
     COUNTIFS($AQ$2:$AQ$200,$G366)&gt;0,
     COUNTIFS($AR$2:$AR$200,$G366)&gt;0,
     COUNTIFS($AS$2:$AS$200,$G366)&gt;0,
     COUNTIFS($AT$2:$AT$200,$G366)&gt;0,
     COUNTIFS($AU$2:$AU$200,$G366)&gt;0,
     COUNTIFS($AV$2:$AV$200,$G366)&gt;0
   )),
  3)
 ),
"")</f>
        <v/>
      </c>
      <c r="F366" s="3" t="str" cm="1">
        <f t="array" aca="1" ref="F366" ca="1">IFERROR(
 INDEX($U$1:$AV$1,
  _xlfn.AGGREGATE(15,6,
   (COLUMN($U$1:$AV$1)-COLUMN($U$1)+1)/
   TRANSPOSE(
    CHOOSE({1;2;3;4;5;6;7;8;9;10;11;12;13;14;15;16;17;18;19;20;21;22;23;24;25;26;27;28},
     COUNTIFS($U$2:$U$200,$G366)&gt;0,
     COUNTIFS($V$2:$V$200,$G366)&gt;0,
     COUNTIFS($W$2:$W$200,$G366)&gt;0,
     COUNTIFS($X$2:$X$200,$G366)&gt;0,
     COUNTIFS($Y$2:$Y$200,$G366)&gt;0,
     COUNTIFS($Z$2:$Z$200,$G366)&gt;0,
     COUNTIFS($AA$2:$AA$200,$G366)&gt;0,
     COUNTIFS($AB$2:$AB$200,$G366)&gt;0,
     COUNTIFS($AC$2:$AC$200,$G366)&gt;0,
     COUNTIFS($AD$2:$AD$200,$G366)&gt;0,
     COUNTIFS($AE$2:$AE$200,$G366)&gt;0,
     COUNTIFS($AF$2:$AF$200,$G366)&gt;0,
     COUNTIFS($AG$2:$AG$200,$G366)&gt;0,
     COUNTIFS($AH$2:$AH$200,$G366)&gt;0,
     COUNTIFS($AI$2:$AI$200,$G366)&gt;0,
     COUNTIFS($AJ$2:$AJ$200,$G366)&gt;0,
     COUNTIFS($AK$2:$AK$200,$G366)&gt;0,
     COUNTIFS($AL$2:$AL$200,$G366)&gt;0,
     COUNTIFS($AM$2:$AM$200,$G366)&gt;0,
     COUNTIFS($AN$2:$AN$200,$G366)&gt;0,
     COUNTIFS($AO$2:$AO$200,$G366)&gt;0,
     COUNTIFS($AP$2:$AP$200,$G366)&gt;0,
     COUNTIFS($AQ$2:$AQ$200,$G366)&gt;0,
     COUNTIFS($AR$2:$AR$200,$G366)&gt;0,
     COUNTIFS($AS$2:$AS$200,$G366)&gt;0,
     COUNTIFS($AT$2:$AT$200,$G366)&gt;0,
     COUNTIFS($AU$2:$AU$200,$G366)&gt;0,
     COUNTIFS($AV$2:$AV$200,$G366)&gt;0
   )),
  4)
 ),
"")</f>
        <v/>
      </c>
      <c r="G366" t="str">
        <f ca="1"/>
        <v>Tishana, Voice of Thunder</v>
      </c>
    </row>
    <row r="367" spans="1:7" x14ac:dyDescent="0.25">
      <c r="A367" s="3" t="str">
        <f t="shared" ca="1" si="12"/>
        <v>3</v>
      </c>
      <c r="B367" s="3">
        <f t="shared" ca="1" si="13"/>
        <v>1</v>
      </c>
      <c r="C367" s="3" t="str">
        <f ca="1">IFERROR(
 INDEX($U$1:$AX$1,
  MATCH(TRUE,
   CHOOSE({1;2;3;4;5;6;7;8;9;10;11;12;13;14;15;16;17;18;19;20;21;22;23;24;25;26;27;28;29;30;31;32},
    COUNTIFS($U$2:$U$200,$G367)&gt;0,
    COUNTIFS($V$2:$V$200,$G367)&gt;0,
    COUNTIFS($W$2:$W$200,$G367)&gt;0,
    COUNTIFS($X$2:$X$200,$G367)&gt;0,
    COUNTIFS($Y$2:$Y$200,$G367)&gt;0,
    COUNTIFS($Z$2:$Z$200,$G367)&gt;0,
    COUNTIFS($AA$2:$AA$200,$G367)&gt;0,
    COUNTIFS($AB$2:$AB$200,$G367)&gt;0,
    COUNTIFS($AC$2:$AC$200,$G367)&gt;0,
    COUNTIFS($AD$2:$AD$200,$G367)&gt;0,
    COUNTIFS($AE$2:$AE$200,$G367)&gt;0,
    COUNTIFS($AF$2:$AF$200,$G367)&gt;0,
    COUNTIFS($AG$2:$AG$200,$G367)&gt;0,
    COUNTIFS($AH$2:$AH$200,$G367)&gt;0,
    COUNTIFS($AI$2:$AI$200,$G367)&gt;0,
    COUNTIFS($AJ$2:$AJ$200,$G367)&gt;0,
    COUNTIFS($AK$2:$AK$200,$G367)&gt;0,
    COUNTIFS($AL$2:$AL$200,$G367)&gt;0,
    COUNTIFS($AM$2:$AM$200,$G367)&gt;0,
    COUNTIFS($AN$2:$AN$200,$G367)&gt;0,
    COUNTIFS($AO$2:$AO$200,$G367)&gt;0,
    COUNTIFS($AP$2:$AP$200,$G367)&gt;0,
    COUNTIFS($AQ$2:$AQ$200,$G367)&gt;0,
    COUNTIFS($AR$2:$AR$200,$G367)&gt;0,
    COUNTIFS($AS$2:$AS$200,$G367)&gt;0,
    COUNTIFS($AT$2:$AT$200,$G367)&gt;0,
    COUNTIFS($AU$2:$AU$200,$G367)&gt;0,
    COUNTIFS($AV$2:$AV$200,$G367)&gt;0,
    COUNTIFS($AW$2:$AW$200,$G367)&gt;0,
    COUNTIFS($AX$2:$AX$200,$G367)&gt;0
   ),
  0)
 ),
"")</f>
        <v>Gritrog</v>
      </c>
      <c r="D367" s="3" t="str" cm="1">
        <f t="array" aca="1" ref="D367" ca="1">IFERROR(
 INDEX(
  _xlfn._xlws.FILTER($U$1:$AV$1,
   TRANSPOSE(
    CHOOSE({1;2;3;4;5;6;7;8;9;10;11;12;13;14;15;16;17;18;19;20;21;22;23;24;25;26;27;28},
     COUNTIFS($U$2:$U$200,$G367)&gt;0,
     COUNTIFS($V$2:$V$200,$G367)&gt;0,
     COUNTIFS($W$2:$W$200,$G367)&gt;0,
     COUNTIFS($X$2:$X$200,$G367)&gt;0,
     COUNTIFS($Y$2:$Y$200,$G367)&gt;0,
     COUNTIFS($Z$2:$Z$200,$G367)&gt;0,
     COUNTIFS($AA$2:$AA$200,$G367)&gt;0,
     COUNTIFS($AB$2:$AB$200,$G367)&gt;0,
     COUNTIFS($AC$2:$AC$200,$G367)&gt;0,
     COUNTIFS($AD$2:$AD$200,$G367)&gt;0,
     COUNTIFS($AE$2:$AE$200,$G367)&gt;0,
     COUNTIFS($AF$2:$AF$200,$G367)&gt;0,
     COUNTIFS($AG$2:$AG$200,$G367)&gt;0,
     COUNTIFS($AH$2:$AH$200,$G367)&gt;0,
     COUNTIFS($AI$2:$AI$200,$G367)&gt;0,
     COUNTIFS($AJ$2:$AJ$200,$G367)&gt;0,
     COUNTIFS($AK$2:$AK$200,$G367)&gt;0,
     COUNTIFS($AL$2:$AL$200,$G367)&gt;0,
     COUNTIFS($AM$2:$AM$200,$G367)&gt;0,
     COUNTIFS($AN$2:$AN$200,$G367)&gt;0,
     COUNTIFS($AO$2:$AO$200,$G367)&gt;0,
     COUNTIFS($AP$2:$AP$200,$G367)&gt;0,
     COUNTIFS($AQ$2:$AQ$200,$G367)&gt;0,
     COUNTIFS($AR$2:$AR$200,$G367)&gt;0,
     COUNTIFS($AS$2:$AS$200,$G367)&gt;0,
     COUNTIFS($AT$2:$AT$200,$G367)&gt;0,
     COUNTIFS($AU$2:$AU$200,$G367)&gt;0,
     COUNTIFS($AV$2:$AV$200,$G367)&gt;0
   )),
  ),
  2
 ),
"")</f>
        <v/>
      </c>
      <c r="E367" s="3" t="str" cm="1">
        <f t="array" aca="1" ref="E367" ca="1">IFERROR(
 INDEX($U$1:$AV$1,
  _xlfn.AGGREGATE(15,6,
   (COLUMN($U$1:$AV$1)-COLUMN($U$1)+1)/
   TRANSPOSE(
    CHOOSE({1;2;3;4;5;6;7;8;9;10;11;12;13;14;15;16;17;18;19;20;21;22;23;24;25;26;27;28},
     COUNTIFS($U$2:$U$200,$G367)&gt;0,
     COUNTIFS($V$2:$V$200,$G367)&gt;0,
     COUNTIFS($W$2:$W$200,$G367)&gt;0,
     COUNTIFS($X$2:$X$200,$G367)&gt;0,
     COUNTIFS($Y$2:$Y$200,$G367)&gt;0,
     COUNTIFS($Z$2:$Z$200,$G367)&gt;0,
     COUNTIFS($AA$2:$AA$200,$G367)&gt;0,
     COUNTIFS($AB$2:$AB$200,$G367)&gt;0,
     COUNTIFS($AC$2:$AC$200,$G367)&gt;0,
     COUNTIFS($AD$2:$AD$200,$G367)&gt;0,
     COUNTIFS($AE$2:$AE$200,$G367)&gt;0,
     COUNTIFS($AF$2:$AF$200,$G367)&gt;0,
     COUNTIFS($AG$2:$AG$200,$G367)&gt;0,
     COUNTIFS($AH$2:$AH$200,$G367)&gt;0,
     COUNTIFS($AI$2:$AI$200,$G367)&gt;0,
     COUNTIFS($AJ$2:$AJ$200,$G367)&gt;0,
     COUNTIFS($AK$2:$AK$200,$G367)&gt;0,
     COUNTIFS($AL$2:$AL$200,$G367)&gt;0,
     COUNTIFS($AM$2:$AM$200,$G367)&gt;0,
     COUNTIFS($AN$2:$AN$200,$G367)&gt;0,
     COUNTIFS($AO$2:$AO$200,$G367)&gt;0,
     COUNTIFS($AP$2:$AP$200,$G367)&gt;0,
     COUNTIFS($AQ$2:$AQ$200,$G367)&gt;0,
     COUNTIFS($AR$2:$AR$200,$G367)&gt;0,
     COUNTIFS($AS$2:$AS$200,$G367)&gt;0,
     COUNTIFS($AT$2:$AT$200,$G367)&gt;0,
     COUNTIFS($AU$2:$AU$200,$G367)&gt;0,
     COUNTIFS($AV$2:$AV$200,$G367)&gt;0
   )),
  3)
 ),
"")</f>
        <v/>
      </c>
      <c r="F367" s="3" t="str" cm="1">
        <f t="array" aca="1" ref="F367" ca="1">IFERROR(
 INDEX($U$1:$AV$1,
  _xlfn.AGGREGATE(15,6,
   (COLUMN($U$1:$AV$1)-COLUMN($U$1)+1)/
   TRANSPOSE(
    CHOOSE({1;2;3;4;5;6;7;8;9;10;11;12;13;14;15;16;17;18;19;20;21;22;23;24;25;26;27;28},
     COUNTIFS($U$2:$U$200,$G367)&gt;0,
     COUNTIFS($V$2:$V$200,$G367)&gt;0,
     COUNTIFS($W$2:$W$200,$G367)&gt;0,
     COUNTIFS($X$2:$X$200,$G367)&gt;0,
     COUNTIFS($Y$2:$Y$200,$G367)&gt;0,
     COUNTIFS($Z$2:$Z$200,$G367)&gt;0,
     COUNTIFS($AA$2:$AA$200,$G367)&gt;0,
     COUNTIFS($AB$2:$AB$200,$G367)&gt;0,
     COUNTIFS($AC$2:$AC$200,$G367)&gt;0,
     COUNTIFS($AD$2:$AD$200,$G367)&gt;0,
     COUNTIFS($AE$2:$AE$200,$G367)&gt;0,
     COUNTIFS($AF$2:$AF$200,$G367)&gt;0,
     COUNTIFS($AG$2:$AG$200,$G367)&gt;0,
     COUNTIFS($AH$2:$AH$200,$G367)&gt;0,
     COUNTIFS($AI$2:$AI$200,$G367)&gt;0,
     COUNTIFS($AJ$2:$AJ$200,$G367)&gt;0,
     COUNTIFS($AK$2:$AK$200,$G367)&gt;0,
     COUNTIFS($AL$2:$AL$200,$G367)&gt;0,
     COUNTIFS($AM$2:$AM$200,$G367)&gt;0,
     COUNTIFS($AN$2:$AN$200,$G367)&gt;0,
     COUNTIFS($AO$2:$AO$200,$G367)&gt;0,
     COUNTIFS($AP$2:$AP$200,$G367)&gt;0,
     COUNTIFS($AQ$2:$AQ$200,$G367)&gt;0,
     COUNTIFS($AR$2:$AR$200,$G367)&gt;0,
     COUNTIFS($AS$2:$AS$200,$G367)&gt;0,
     COUNTIFS($AT$2:$AT$200,$G367)&gt;0,
     COUNTIFS($AU$2:$AU$200,$G367)&gt;0,
     COUNTIFS($AV$2:$AV$200,$G367)&gt;0
   )),
  4)
 ),
"")</f>
        <v/>
      </c>
      <c r="G367" t="str">
        <f ca="1"/>
        <v>Titania, Voice of Gaea</v>
      </c>
    </row>
    <row r="368" spans="1:7" x14ac:dyDescent="0.25">
      <c r="A368" s="3" t="str">
        <f t="shared" ca="1" si="12"/>
        <v>1</v>
      </c>
      <c r="B368" s="3">
        <f t="shared" ca="1" si="13"/>
        <v>1</v>
      </c>
      <c r="C368" s="3" t="str">
        <f ca="1">IFERROR(
 INDEX($U$1:$AX$1,
  MATCH(TRUE,
   CHOOSE({1;2;3;4;5;6;7;8;9;10;11;12;13;14;15;16;17;18;19;20;21;22;23;24;25;26;27;28;29;30;31;32},
    COUNTIFS($U$2:$U$200,$G368)&gt;0,
    COUNTIFS($V$2:$V$200,$G368)&gt;0,
    COUNTIFS($W$2:$W$200,$G368)&gt;0,
    COUNTIFS($X$2:$X$200,$G368)&gt;0,
    COUNTIFS($Y$2:$Y$200,$G368)&gt;0,
    COUNTIFS($Z$2:$Z$200,$G368)&gt;0,
    COUNTIFS($AA$2:$AA$200,$G368)&gt;0,
    COUNTIFS($AB$2:$AB$200,$G368)&gt;0,
    COUNTIFS($AC$2:$AC$200,$G368)&gt;0,
    COUNTIFS($AD$2:$AD$200,$G368)&gt;0,
    COUNTIFS($AE$2:$AE$200,$G368)&gt;0,
    COUNTIFS($AF$2:$AF$200,$G368)&gt;0,
    COUNTIFS($AG$2:$AG$200,$G368)&gt;0,
    COUNTIFS($AH$2:$AH$200,$G368)&gt;0,
    COUNTIFS($AI$2:$AI$200,$G368)&gt;0,
    COUNTIFS($AJ$2:$AJ$200,$G368)&gt;0,
    COUNTIFS($AK$2:$AK$200,$G368)&gt;0,
    COUNTIFS($AL$2:$AL$200,$G368)&gt;0,
    COUNTIFS($AM$2:$AM$200,$G368)&gt;0,
    COUNTIFS($AN$2:$AN$200,$G368)&gt;0,
    COUNTIFS($AO$2:$AO$200,$G368)&gt;0,
    COUNTIFS($AP$2:$AP$200,$G368)&gt;0,
    COUNTIFS($AQ$2:$AQ$200,$G368)&gt;0,
    COUNTIFS($AR$2:$AR$200,$G368)&gt;0,
    COUNTIFS($AS$2:$AS$200,$G368)&gt;0,
    COUNTIFS($AT$2:$AT$200,$G368)&gt;0,
    COUNTIFS($AU$2:$AU$200,$G368)&gt;0,
    COUNTIFS($AV$2:$AV$200,$G368)&gt;0,
    COUNTIFS($AW$2:$AW$200,$G368)&gt;0,
    COUNTIFS($AX$2:$AX$200,$G368)&gt;0
   ),
  0)
 ),
"")</f>
        <v>Modular</v>
      </c>
      <c r="D368" s="3" t="str" cm="1">
        <f t="array" aca="1" ref="D368" ca="1">IFERROR(
 INDEX(
  _xlfn._xlws.FILTER($U$1:$AV$1,
   TRANSPOSE(
    CHOOSE({1;2;3;4;5;6;7;8;9;10;11;12;13;14;15;16;17;18;19;20;21;22;23;24;25;26;27;28},
     COUNTIFS($U$2:$U$200,$G368)&gt;0,
     COUNTIFS($V$2:$V$200,$G368)&gt;0,
     COUNTIFS($W$2:$W$200,$G368)&gt;0,
     COUNTIFS($X$2:$X$200,$G368)&gt;0,
     COUNTIFS($Y$2:$Y$200,$G368)&gt;0,
     COUNTIFS($Z$2:$Z$200,$G368)&gt;0,
     COUNTIFS($AA$2:$AA$200,$G368)&gt;0,
     COUNTIFS($AB$2:$AB$200,$G368)&gt;0,
     COUNTIFS($AC$2:$AC$200,$G368)&gt;0,
     COUNTIFS($AD$2:$AD$200,$G368)&gt;0,
     COUNTIFS($AE$2:$AE$200,$G368)&gt;0,
     COUNTIFS($AF$2:$AF$200,$G368)&gt;0,
     COUNTIFS($AG$2:$AG$200,$G368)&gt;0,
     COUNTIFS($AH$2:$AH$200,$G368)&gt;0,
     COUNTIFS($AI$2:$AI$200,$G368)&gt;0,
     COUNTIFS($AJ$2:$AJ$200,$G368)&gt;0,
     COUNTIFS($AK$2:$AK$200,$G368)&gt;0,
     COUNTIFS($AL$2:$AL$200,$G368)&gt;0,
     COUNTIFS($AM$2:$AM$200,$G368)&gt;0,
     COUNTIFS($AN$2:$AN$200,$G368)&gt;0,
     COUNTIFS($AO$2:$AO$200,$G368)&gt;0,
     COUNTIFS($AP$2:$AP$200,$G368)&gt;0,
     COUNTIFS($AQ$2:$AQ$200,$G368)&gt;0,
     COUNTIFS($AR$2:$AR$200,$G368)&gt;0,
     COUNTIFS($AS$2:$AS$200,$G368)&gt;0,
     COUNTIFS($AT$2:$AT$200,$G368)&gt;0,
     COUNTIFS($AU$2:$AU$200,$G368)&gt;0,
     COUNTIFS($AV$2:$AV$200,$G368)&gt;0
   )),
  ),
  2
 ),
"")</f>
        <v/>
      </c>
      <c r="E368" s="3" t="str" cm="1">
        <f t="array" aca="1" ref="E368" ca="1">IFERROR(
 INDEX($U$1:$AV$1,
  _xlfn.AGGREGATE(15,6,
   (COLUMN($U$1:$AV$1)-COLUMN($U$1)+1)/
   TRANSPOSE(
    CHOOSE({1;2;3;4;5;6;7;8;9;10;11;12;13;14;15;16;17;18;19;20;21;22;23;24;25;26;27;28},
     COUNTIFS($U$2:$U$200,$G368)&gt;0,
     COUNTIFS($V$2:$V$200,$G368)&gt;0,
     COUNTIFS($W$2:$W$200,$G368)&gt;0,
     COUNTIFS($X$2:$X$200,$G368)&gt;0,
     COUNTIFS($Y$2:$Y$200,$G368)&gt;0,
     COUNTIFS($Z$2:$Z$200,$G368)&gt;0,
     COUNTIFS($AA$2:$AA$200,$G368)&gt;0,
     COUNTIFS($AB$2:$AB$200,$G368)&gt;0,
     COUNTIFS($AC$2:$AC$200,$G368)&gt;0,
     COUNTIFS($AD$2:$AD$200,$G368)&gt;0,
     COUNTIFS($AE$2:$AE$200,$G368)&gt;0,
     COUNTIFS($AF$2:$AF$200,$G368)&gt;0,
     COUNTIFS($AG$2:$AG$200,$G368)&gt;0,
     COUNTIFS($AH$2:$AH$200,$G368)&gt;0,
     COUNTIFS($AI$2:$AI$200,$G368)&gt;0,
     COUNTIFS($AJ$2:$AJ$200,$G368)&gt;0,
     COUNTIFS($AK$2:$AK$200,$G368)&gt;0,
     COUNTIFS($AL$2:$AL$200,$G368)&gt;0,
     COUNTIFS($AM$2:$AM$200,$G368)&gt;0,
     COUNTIFS($AN$2:$AN$200,$G368)&gt;0,
     COUNTIFS($AO$2:$AO$200,$G368)&gt;0,
     COUNTIFS($AP$2:$AP$200,$G368)&gt;0,
     COUNTIFS($AQ$2:$AQ$200,$G368)&gt;0,
     COUNTIFS($AR$2:$AR$200,$G368)&gt;0,
     COUNTIFS($AS$2:$AS$200,$G368)&gt;0,
     COUNTIFS($AT$2:$AT$200,$G368)&gt;0,
     COUNTIFS($AU$2:$AU$200,$G368)&gt;0,
     COUNTIFS($AV$2:$AV$200,$G368)&gt;0
   )),
  3)
 ),
"")</f>
        <v/>
      </c>
      <c r="F368" s="3" t="str" cm="1">
        <f t="array" aca="1" ref="F368" ca="1">IFERROR(
 INDEX($U$1:$AV$1,
  _xlfn.AGGREGATE(15,6,
   (COLUMN($U$1:$AV$1)-COLUMN($U$1)+1)/
   TRANSPOSE(
    CHOOSE({1;2;3;4;5;6;7;8;9;10;11;12;13;14;15;16;17;18;19;20;21;22;23;24;25;26;27;28},
     COUNTIFS($U$2:$U$200,$G368)&gt;0,
     COUNTIFS($V$2:$V$200,$G368)&gt;0,
     COUNTIFS($W$2:$W$200,$G368)&gt;0,
     COUNTIFS($X$2:$X$200,$G368)&gt;0,
     COUNTIFS($Y$2:$Y$200,$G368)&gt;0,
     COUNTIFS($Z$2:$Z$200,$G368)&gt;0,
     COUNTIFS($AA$2:$AA$200,$G368)&gt;0,
     COUNTIFS($AB$2:$AB$200,$G368)&gt;0,
     COUNTIFS($AC$2:$AC$200,$G368)&gt;0,
     COUNTIFS($AD$2:$AD$200,$G368)&gt;0,
     COUNTIFS($AE$2:$AE$200,$G368)&gt;0,
     COUNTIFS($AF$2:$AF$200,$G368)&gt;0,
     COUNTIFS($AG$2:$AG$200,$G368)&gt;0,
     COUNTIFS($AH$2:$AH$200,$G368)&gt;0,
     COUNTIFS($AI$2:$AI$200,$G368)&gt;0,
     COUNTIFS($AJ$2:$AJ$200,$G368)&gt;0,
     COUNTIFS($AK$2:$AK$200,$G368)&gt;0,
     COUNTIFS($AL$2:$AL$200,$G368)&gt;0,
     COUNTIFS($AM$2:$AM$200,$G368)&gt;0,
     COUNTIFS($AN$2:$AN$200,$G368)&gt;0,
     COUNTIFS($AO$2:$AO$200,$G368)&gt;0,
     COUNTIFS($AP$2:$AP$200,$G368)&gt;0,
     COUNTIFS($AQ$2:$AQ$200,$G368)&gt;0,
     COUNTIFS($AR$2:$AR$200,$G368)&gt;0,
     COUNTIFS($AS$2:$AS$200,$G368)&gt;0,
     COUNTIFS($AT$2:$AT$200,$G368)&gt;0,
     COUNTIFS($AU$2:$AU$200,$G368)&gt;0,
     COUNTIFS($AV$2:$AV$200,$G368)&gt;0
   )),
  4)
 ),
"")</f>
        <v/>
      </c>
      <c r="G368" t="str">
        <f ca="1"/>
        <v>Toph, the Blind Bandit</v>
      </c>
    </row>
    <row r="369" spans="1:7" x14ac:dyDescent="0.25">
      <c r="A369" s="3" t="str">
        <f t="shared" ca="1" si="12"/>
        <v>1</v>
      </c>
      <c r="B369" s="3">
        <f t="shared" ca="1" si="13"/>
        <v>1</v>
      </c>
      <c r="C369" s="3" t="str">
        <f ca="1">IFERROR(
 INDEX($U$1:$AX$1,
  MATCH(TRUE,
   CHOOSE({1;2;3;4;5;6;7;8;9;10;11;12;13;14;15;16;17;18;19;20;21;22;23;24;25;26;27;28;29;30;31;32},
    COUNTIFS($U$2:$U$200,$G369)&gt;0,
    COUNTIFS($V$2:$V$200,$G369)&gt;0,
    COUNTIFS($W$2:$W$200,$G369)&gt;0,
    COUNTIFS($X$2:$X$200,$G369)&gt;0,
    COUNTIFS($Y$2:$Y$200,$G369)&gt;0,
    COUNTIFS($Z$2:$Z$200,$G369)&gt;0,
    COUNTIFS($AA$2:$AA$200,$G369)&gt;0,
    COUNTIFS($AB$2:$AB$200,$G369)&gt;0,
    COUNTIFS($AC$2:$AC$200,$G369)&gt;0,
    COUNTIFS($AD$2:$AD$200,$G369)&gt;0,
    COUNTIFS($AE$2:$AE$200,$G369)&gt;0,
    COUNTIFS($AF$2:$AF$200,$G369)&gt;0,
    COUNTIFS($AG$2:$AG$200,$G369)&gt;0,
    COUNTIFS($AH$2:$AH$200,$G369)&gt;0,
    COUNTIFS($AI$2:$AI$200,$G369)&gt;0,
    COUNTIFS($AJ$2:$AJ$200,$G369)&gt;0,
    COUNTIFS($AK$2:$AK$200,$G369)&gt;0,
    COUNTIFS($AL$2:$AL$200,$G369)&gt;0,
    COUNTIFS($AM$2:$AM$200,$G369)&gt;0,
    COUNTIFS($AN$2:$AN$200,$G369)&gt;0,
    COUNTIFS($AO$2:$AO$200,$G369)&gt;0,
    COUNTIFS($AP$2:$AP$200,$G369)&gt;0,
    COUNTIFS($AQ$2:$AQ$200,$G369)&gt;0,
    COUNTIFS($AR$2:$AR$200,$G369)&gt;0,
    COUNTIFS($AS$2:$AS$200,$G369)&gt;0,
    COUNTIFS($AT$2:$AT$200,$G369)&gt;0,
    COUNTIFS($AU$2:$AU$200,$G369)&gt;0,
    COUNTIFS($AV$2:$AV$200,$G369)&gt;0,
    COUNTIFS($AW$2:$AW$200,$G369)&gt;0,
    COUNTIFS($AX$2:$AX$200,$G369)&gt;0
   ),
  0)
 ),
"")</f>
        <v>Modular</v>
      </c>
      <c r="D369" s="3" t="str" cm="1">
        <f t="array" aca="1" ref="D369" ca="1">IFERROR(
 INDEX(
  _xlfn._xlws.FILTER($U$1:$AV$1,
   TRANSPOSE(
    CHOOSE({1;2;3;4;5;6;7;8;9;10;11;12;13;14;15;16;17;18;19;20;21;22;23;24;25;26;27;28},
     COUNTIFS($U$2:$U$200,$G369)&gt;0,
     COUNTIFS($V$2:$V$200,$G369)&gt;0,
     COUNTIFS($W$2:$W$200,$G369)&gt;0,
     COUNTIFS($X$2:$X$200,$G369)&gt;0,
     COUNTIFS($Y$2:$Y$200,$G369)&gt;0,
     COUNTIFS($Z$2:$Z$200,$G369)&gt;0,
     COUNTIFS($AA$2:$AA$200,$G369)&gt;0,
     COUNTIFS($AB$2:$AB$200,$G369)&gt;0,
     COUNTIFS($AC$2:$AC$200,$G369)&gt;0,
     COUNTIFS($AD$2:$AD$200,$G369)&gt;0,
     COUNTIFS($AE$2:$AE$200,$G369)&gt;0,
     COUNTIFS($AF$2:$AF$200,$G369)&gt;0,
     COUNTIFS($AG$2:$AG$200,$G369)&gt;0,
     COUNTIFS($AH$2:$AH$200,$G369)&gt;0,
     COUNTIFS($AI$2:$AI$200,$G369)&gt;0,
     COUNTIFS($AJ$2:$AJ$200,$G369)&gt;0,
     COUNTIFS($AK$2:$AK$200,$G369)&gt;0,
     COUNTIFS($AL$2:$AL$200,$G369)&gt;0,
     COUNTIFS($AM$2:$AM$200,$G369)&gt;0,
     COUNTIFS($AN$2:$AN$200,$G369)&gt;0,
     COUNTIFS($AO$2:$AO$200,$G369)&gt;0,
     COUNTIFS($AP$2:$AP$200,$G369)&gt;0,
     COUNTIFS($AQ$2:$AQ$200,$G369)&gt;0,
     COUNTIFS($AR$2:$AR$200,$G369)&gt;0,
     COUNTIFS($AS$2:$AS$200,$G369)&gt;0,
     COUNTIFS($AT$2:$AT$200,$G369)&gt;0,
     COUNTIFS($AU$2:$AU$200,$G369)&gt;0,
     COUNTIFS($AV$2:$AV$200,$G369)&gt;0
   )),
  ),
  2
 ),
"")</f>
        <v/>
      </c>
      <c r="E369" s="3" t="str" cm="1">
        <f t="array" aca="1" ref="E369" ca="1">IFERROR(
 INDEX($U$1:$AV$1,
  _xlfn.AGGREGATE(15,6,
   (COLUMN($U$1:$AV$1)-COLUMN($U$1)+1)/
   TRANSPOSE(
    CHOOSE({1;2;3;4;5;6;7;8;9;10;11;12;13;14;15;16;17;18;19;20;21;22;23;24;25;26;27;28},
     COUNTIFS($U$2:$U$200,$G369)&gt;0,
     COUNTIFS($V$2:$V$200,$G369)&gt;0,
     COUNTIFS($W$2:$W$200,$G369)&gt;0,
     COUNTIFS($X$2:$X$200,$G369)&gt;0,
     COUNTIFS($Y$2:$Y$200,$G369)&gt;0,
     COUNTIFS($Z$2:$Z$200,$G369)&gt;0,
     COUNTIFS($AA$2:$AA$200,$G369)&gt;0,
     COUNTIFS($AB$2:$AB$200,$G369)&gt;0,
     COUNTIFS($AC$2:$AC$200,$G369)&gt;0,
     COUNTIFS($AD$2:$AD$200,$G369)&gt;0,
     COUNTIFS($AE$2:$AE$200,$G369)&gt;0,
     COUNTIFS($AF$2:$AF$200,$G369)&gt;0,
     COUNTIFS($AG$2:$AG$200,$G369)&gt;0,
     COUNTIFS($AH$2:$AH$200,$G369)&gt;0,
     COUNTIFS($AI$2:$AI$200,$G369)&gt;0,
     COUNTIFS($AJ$2:$AJ$200,$G369)&gt;0,
     COUNTIFS($AK$2:$AK$200,$G369)&gt;0,
     COUNTIFS($AL$2:$AL$200,$G369)&gt;0,
     COUNTIFS($AM$2:$AM$200,$G369)&gt;0,
     COUNTIFS($AN$2:$AN$200,$G369)&gt;0,
     COUNTIFS($AO$2:$AO$200,$G369)&gt;0,
     COUNTIFS($AP$2:$AP$200,$G369)&gt;0,
     COUNTIFS($AQ$2:$AQ$200,$G369)&gt;0,
     COUNTIFS($AR$2:$AR$200,$G369)&gt;0,
     COUNTIFS($AS$2:$AS$200,$G369)&gt;0,
     COUNTIFS($AT$2:$AT$200,$G369)&gt;0,
     COUNTIFS($AU$2:$AU$200,$G369)&gt;0,
     COUNTIFS($AV$2:$AV$200,$G369)&gt;0
   )),
  3)
 ),
"")</f>
        <v/>
      </c>
      <c r="F369" s="3" t="str" cm="1">
        <f t="array" aca="1" ref="F369" ca="1">IFERROR(
 INDEX($U$1:$AV$1,
  _xlfn.AGGREGATE(15,6,
   (COLUMN($U$1:$AV$1)-COLUMN($U$1)+1)/
   TRANSPOSE(
    CHOOSE({1;2;3;4;5;6;7;8;9;10;11;12;13;14;15;16;17;18;19;20;21;22;23;24;25;26;27;28},
     COUNTIFS($U$2:$U$200,$G369)&gt;0,
     COUNTIFS($V$2:$V$200,$G369)&gt;0,
     COUNTIFS($W$2:$W$200,$G369)&gt;0,
     COUNTIFS($X$2:$X$200,$G369)&gt;0,
     COUNTIFS($Y$2:$Y$200,$G369)&gt;0,
     COUNTIFS($Z$2:$Z$200,$G369)&gt;0,
     COUNTIFS($AA$2:$AA$200,$G369)&gt;0,
     COUNTIFS($AB$2:$AB$200,$G369)&gt;0,
     COUNTIFS($AC$2:$AC$200,$G369)&gt;0,
     COUNTIFS($AD$2:$AD$200,$G369)&gt;0,
     COUNTIFS($AE$2:$AE$200,$G369)&gt;0,
     COUNTIFS($AF$2:$AF$200,$G369)&gt;0,
     COUNTIFS($AG$2:$AG$200,$G369)&gt;0,
     COUNTIFS($AH$2:$AH$200,$G369)&gt;0,
     COUNTIFS($AI$2:$AI$200,$G369)&gt;0,
     COUNTIFS($AJ$2:$AJ$200,$G369)&gt;0,
     COUNTIFS($AK$2:$AK$200,$G369)&gt;0,
     COUNTIFS($AL$2:$AL$200,$G369)&gt;0,
     COUNTIFS($AM$2:$AM$200,$G369)&gt;0,
     COUNTIFS($AN$2:$AN$200,$G369)&gt;0,
     COUNTIFS($AO$2:$AO$200,$G369)&gt;0,
     COUNTIFS($AP$2:$AP$200,$G369)&gt;0,
     COUNTIFS($AQ$2:$AQ$200,$G369)&gt;0,
     COUNTIFS($AR$2:$AR$200,$G369)&gt;0,
     COUNTIFS($AS$2:$AS$200,$G369)&gt;0,
     COUNTIFS($AT$2:$AT$200,$G369)&gt;0,
     COUNTIFS($AU$2:$AU$200,$G369)&gt;0,
     COUNTIFS($AV$2:$AV$200,$G369)&gt;0
   )),
  4)
 ),
"")</f>
        <v/>
      </c>
      <c r="G369" t="str">
        <f ca="1"/>
        <v>Toph, the First Metalbender</v>
      </c>
    </row>
    <row r="370" spans="1:7" x14ac:dyDescent="0.25">
      <c r="A370" s="3" t="str">
        <f t="shared" ca="1" si="12"/>
        <v>1</v>
      </c>
      <c r="B370" s="3">
        <f t="shared" ca="1" si="13"/>
        <v>1</v>
      </c>
      <c r="C370" s="3" t="str">
        <f ca="1">IFERROR(
 INDEX($U$1:$AX$1,
  MATCH(TRUE,
   CHOOSE({1;2;3;4;5;6;7;8;9;10;11;12;13;14;15;16;17;18;19;20;21;22;23;24;25;26;27;28;29;30;31;32},
    COUNTIFS($U$2:$U$200,$G370)&gt;0,
    COUNTIFS($V$2:$V$200,$G370)&gt;0,
    COUNTIFS($W$2:$W$200,$G370)&gt;0,
    COUNTIFS($X$2:$X$200,$G370)&gt;0,
    COUNTIFS($Y$2:$Y$200,$G370)&gt;0,
    COUNTIFS($Z$2:$Z$200,$G370)&gt;0,
    COUNTIFS($AA$2:$AA$200,$G370)&gt;0,
    COUNTIFS($AB$2:$AB$200,$G370)&gt;0,
    COUNTIFS($AC$2:$AC$200,$G370)&gt;0,
    COUNTIFS($AD$2:$AD$200,$G370)&gt;0,
    COUNTIFS($AE$2:$AE$200,$G370)&gt;0,
    COUNTIFS($AF$2:$AF$200,$G370)&gt;0,
    COUNTIFS($AG$2:$AG$200,$G370)&gt;0,
    COUNTIFS($AH$2:$AH$200,$G370)&gt;0,
    COUNTIFS($AI$2:$AI$200,$G370)&gt;0,
    COUNTIFS($AJ$2:$AJ$200,$G370)&gt;0,
    COUNTIFS($AK$2:$AK$200,$G370)&gt;0,
    COUNTIFS($AL$2:$AL$200,$G370)&gt;0,
    COUNTIFS($AM$2:$AM$200,$G370)&gt;0,
    COUNTIFS($AN$2:$AN$200,$G370)&gt;0,
    COUNTIFS($AO$2:$AO$200,$G370)&gt;0,
    COUNTIFS($AP$2:$AP$200,$G370)&gt;0,
    COUNTIFS($AQ$2:$AQ$200,$G370)&gt;0,
    COUNTIFS($AR$2:$AR$200,$G370)&gt;0,
    COUNTIFS($AS$2:$AS$200,$G370)&gt;0,
    COUNTIFS($AT$2:$AT$200,$G370)&gt;0,
    COUNTIFS($AU$2:$AU$200,$G370)&gt;0,
    COUNTIFS($AV$2:$AV$200,$G370)&gt;0,
    COUNTIFS($AW$2:$AW$200,$G370)&gt;0,
    COUNTIFS($AX$2:$AX$200,$G370)&gt;0
   ),
  0)
 ),
"")</f>
        <v>Modular</v>
      </c>
      <c r="D370" s="3" t="str" cm="1">
        <f t="array" aca="1" ref="D370" ca="1">IFERROR(
 INDEX(
  _xlfn._xlws.FILTER($U$1:$AV$1,
   TRANSPOSE(
    CHOOSE({1;2;3;4;5;6;7;8;9;10;11;12;13;14;15;16;17;18;19;20;21;22;23;24;25;26;27;28},
     COUNTIFS($U$2:$U$200,$G370)&gt;0,
     COUNTIFS($V$2:$V$200,$G370)&gt;0,
     COUNTIFS($W$2:$W$200,$G370)&gt;0,
     COUNTIFS($X$2:$X$200,$G370)&gt;0,
     COUNTIFS($Y$2:$Y$200,$G370)&gt;0,
     COUNTIFS($Z$2:$Z$200,$G370)&gt;0,
     COUNTIFS($AA$2:$AA$200,$G370)&gt;0,
     COUNTIFS($AB$2:$AB$200,$G370)&gt;0,
     COUNTIFS($AC$2:$AC$200,$G370)&gt;0,
     COUNTIFS($AD$2:$AD$200,$G370)&gt;0,
     COUNTIFS($AE$2:$AE$200,$G370)&gt;0,
     COUNTIFS($AF$2:$AF$200,$G370)&gt;0,
     COUNTIFS($AG$2:$AG$200,$G370)&gt;0,
     COUNTIFS($AH$2:$AH$200,$G370)&gt;0,
     COUNTIFS($AI$2:$AI$200,$G370)&gt;0,
     COUNTIFS($AJ$2:$AJ$200,$G370)&gt;0,
     COUNTIFS($AK$2:$AK$200,$G370)&gt;0,
     COUNTIFS($AL$2:$AL$200,$G370)&gt;0,
     COUNTIFS($AM$2:$AM$200,$G370)&gt;0,
     COUNTIFS($AN$2:$AN$200,$G370)&gt;0,
     COUNTIFS($AO$2:$AO$200,$G370)&gt;0,
     COUNTIFS($AP$2:$AP$200,$G370)&gt;0,
     COUNTIFS($AQ$2:$AQ$200,$G370)&gt;0,
     COUNTIFS($AR$2:$AR$200,$G370)&gt;0,
     COUNTIFS($AS$2:$AS$200,$G370)&gt;0,
     COUNTIFS($AT$2:$AT$200,$G370)&gt;0,
     COUNTIFS($AU$2:$AU$200,$G370)&gt;0,
     COUNTIFS($AV$2:$AV$200,$G370)&gt;0
   )),
  ),
  2
 ),
"")</f>
        <v/>
      </c>
      <c r="E370" s="3" t="str" cm="1">
        <f t="array" aca="1" ref="E370" ca="1">IFERROR(
 INDEX($U$1:$AV$1,
  _xlfn.AGGREGATE(15,6,
   (COLUMN($U$1:$AV$1)-COLUMN($U$1)+1)/
   TRANSPOSE(
    CHOOSE({1;2;3;4;5;6;7;8;9;10;11;12;13;14;15;16;17;18;19;20;21;22;23;24;25;26;27;28},
     COUNTIFS($U$2:$U$200,$G370)&gt;0,
     COUNTIFS($V$2:$V$200,$G370)&gt;0,
     COUNTIFS($W$2:$W$200,$G370)&gt;0,
     COUNTIFS($X$2:$X$200,$G370)&gt;0,
     COUNTIFS($Y$2:$Y$200,$G370)&gt;0,
     COUNTIFS($Z$2:$Z$200,$G370)&gt;0,
     COUNTIFS($AA$2:$AA$200,$G370)&gt;0,
     COUNTIFS($AB$2:$AB$200,$G370)&gt;0,
     COUNTIFS($AC$2:$AC$200,$G370)&gt;0,
     COUNTIFS($AD$2:$AD$200,$G370)&gt;0,
     COUNTIFS($AE$2:$AE$200,$G370)&gt;0,
     COUNTIFS($AF$2:$AF$200,$G370)&gt;0,
     COUNTIFS($AG$2:$AG$200,$G370)&gt;0,
     COUNTIFS($AH$2:$AH$200,$G370)&gt;0,
     COUNTIFS($AI$2:$AI$200,$G370)&gt;0,
     COUNTIFS($AJ$2:$AJ$200,$G370)&gt;0,
     COUNTIFS($AK$2:$AK$200,$G370)&gt;0,
     COUNTIFS($AL$2:$AL$200,$G370)&gt;0,
     COUNTIFS($AM$2:$AM$200,$G370)&gt;0,
     COUNTIFS($AN$2:$AN$200,$G370)&gt;0,
     COUNTIFS($AO$2:$AO$200,$G370)&gt;0,
     COUNTIFS($AP$2:$AP$200,$G370)&gt;0,
     COUNTIFS($AQ$2:$AQ$200,$G370)&gt;0,
     COUNTIFS($AR$2:$AR$200,$G370)&gt;0,
     COUNTIFS($AS$2:$AS$200,$G370)&gt;0,
     COUNTIFS($AT$2:$AT$200,$G370)&gt;0,
     COUNTIFS($AU$2:$AU$200,$G370)&gt;0,
     COUNTIFS($AV$2:$AV$200,$G370)&gt;0
   )),
  3)
 ),
"")</f>
        <v/>
      </c>
      <c r="F370" s="3" t="str" cm="1">
        <f t="array" aca="1" ref="F370" ca="1">IFERROR(
 INDEX($U$1:$AV$1,
  _xlfn.AGGREGATE(15,6,
   (COLUMN($U$1:$AV$1)-COLUMN($U$1)+1)/
   TRANSPOSE(
    CHOOSE({1;2;3;4;5;6;7;8;9;10;11;12;13;14;15;16;17;18;19;20;21;22;23;24;25;26;27;28},
     COUNTIFS($U$2:$U$200,$G370)&gt;0,
     COUNTIFS($V$2:$V$200,$G370)&gt;0,
     COUNTIFS($W$2:$W$200,$G370)&gt;0,
     COUNTIFS($X$2:$X$200,$G370)&gt;0,
     COUNTIFS($Y$2:$Y$200,$G370)&gt;0,
     COUNTIFS($Z$2:$Z$200,$G370)&gt;0,
     COUNTIFS($AA$2:$AA$200,$G370)&gt;0,
     COUNTIFS($AB$2:$AB$200,$G370)&gt;0,
     COUNTIFS($AC$2:$AC$200,$G370)&gt;0,
     COUNTIFS($AD$2:$AD$200,$G370)&gt;0,
     COUNTIFS($AE$2:$AE$200,$G370)&gt;0,
     COUNTIFS($AF$2:$AF$200,$G370)&gt;0,
     COUNTIFS($AG$2:$AG$200,$G370)&gt;0,
     COUNTIFS($AH$2:$AH$200,$G370)&gt;0,
     COUNTIFS($AI$2:$AI$200,$G370)&gt;0,
     COUNTIFS($AJ$2:$AJ$200,$G370)&gt;0,
     COUNTIFS($AK$2:$AK$200,$G370)&gt;0,
     COUNTIFS($AL$2:$AL$200,$G370)&gt;0,
     COUNTIFS($AM$2:$AM$200,$G370)&gt;0,
     COUNTIFS($AN$2:$AN$200,$G370)&gt;0,
     COUNTIFS($AO$2:$AO$200,$G370)&gt;0,
     COUNTIFS($AP$2:$AP$200,$G370)&gt;0,
     COUNTIFS($AQ$2:$AQ$200,$G370)&gt;0,
     COUNTIFS($AR$2:$AR$200,$G370)&gt;0,
     COUNTIFS($AS$2:$AS$200,$G370)&gt;0,
     COUNTIFS($AT$2:$AT$200,$G370)&gt;0,
     COUNTIFS($AU$2:$AU$200,$G370)&gt;0,
     COUNTIFS($AV$2:$AV$200,$G370)&gt;0
   )),
  4)
 ),
"")</f>
        <v/>
      </c>
      <c r="G370" t="str">
        <f ca="1"/>
        <v>Trading Post</v>
      </c>
    </row>
    <row r="371" spans="1:7" x14ac:dyDescent="0.25">
      <c r="A371" s="3" t="str">
        <f t="shared" ca="1" si="12"/>
        <v>2</v>
      </c>
      <c r="B371" s="3">
        <f t="shared" ca="1" si="13"/>
        <v>1</v>
      </c>
      <c r="C371" s="3" t="str">
        <f ca="1">IFERROR(
 INDEX($U$1:$AX$1,
  MATCH(TRUE,
   CHOOSE({1;2;3;4;5;6;7;8;9;10;11;12;13;14;15;16;17;18;19;20;21;22;23;24;25;26;27;28;29;30;31;32},
    COUNTIFS($U$2:$U$200,$G371)&gt;0,
    COUNTIFS($V$2:$V$200,$G371)&gt;0,
    COUNTIFS($W$2:$W$200,$G371)&gt;0,
    COUNTIFS($X$2:$X$200,$G371)&gt;0,
    COUNTIFS($Y$2:$Y$200,$G371)&gt;0,
    COUNTIFS($Z$2:$Z$200,$G371)&gt;0,
    COUNTIFS($AA$2:$AA$200,$G371)&gt;0,
    COUNTIFS($AB$2:$AB$200,$G371)&gt;0,
    COUNTIFS($AC$2:$AC$200,$G371)&gt;0,
    COUNTIFS($AD$2:$AD$200,$G371)&gt;0,
    COUNTIFS($AE$2:$AE$200,$G371)&gt;0,
    COUNTIFS($AF$2:$AF$200,$G371)&gt;0,
    COUNTIFS($AG$2:$AG$200,$G371)&gt;0,
    COUNTIFS($AH$2:$AH$200,$G371)&gt;0,
    COUNTIFS($AI$2:$AI$200,$G371)&gt;0,
    COUNTIFS($AJ$2:$AJ$200,$G371)&gt;0,
    COUNTIFS($AK$2:$AK$200,$G371)&gt;0,
    COUNTIFS($AL$2:$AL$200,$G371)&gt;0,
    COUNTIFS($AM$2:$AM$200,$G371)&gt;0,
    COUNTIFS($AN$2:$AN$200,$G371)&gt;0,
    COUNTIFS($AO$2:$AO$200,$G371)&gt;0,
    COUNTIFS($AP$2:$AP$200,$G371)&gt;0,
    COUNTIFS($AQ$2:$AQ$200,$G371)&gt;0,
    COUNTIFS($AR$2:$AR$200,$G371)&gt;0,
    COUNTIFS($AS$2:$AS$200,$G371)&gt;0,
    COUNTIFS($AT$2:$AT$200,$G371)&gt;0,
    COUNTIFS($AU$2:$AU$200,$G371)&gt;0,
    COUNTIFS($AV$2:$AV$200,$G371)&gt;0,
    COUNTIFS($AW$2:$AW$200,$G371)&gt;0,
    COUNTIFS($AX$2:$AX$200,$G371)&gt;0
   ),
  0)
 ),
"")</f>
        <v>Narset</v>
      </c>
      <c r="D371" s="3" t="str" cm="1">
        <f t="array" aca="1" ref="D371" ca="1">IFERROR(
 INDEX(
  _xlfn._xlws.FILTER($U$1:$AV$1,
   TRANSPOSE(
    CHOOSE({1;2;3;4;5;6;7;8;9;10;11;12;13;14;15;16;17;18;19;20;21;22;23;24;25;26;27;28},
     COUNTIFS($U$2:$U$200,$G371)&gt;0,
     COUNTIFS($V$2:$V$200,$G371)&gt;0,
     COUNTIFS($W$2:$W$200,$G371)&gt;0,
     COUNTIFS($X$2:$X$200,$G371)&gt;0,
     COUNTIFS($Y$2:$Y$200,$G371)&gt;0,
     COUNTIFS($Z$2:$Z$200,$G371)&gt;0,
     COUNTIFS($AA$2:$AA$200,$G371)&gt;0,
     COUNTIFS($AB$2:$AB$200,$G371)&gt;0,
     COUNTIFS($AC$2:$AC$200,$G371)&gt;0,
     COUNTIFS($AD$2:$AD$200,$G371)&gt;0,
     COUNTIFS($AE$2:$AE$200,$G371)&gt;0,
     COUNTIFS($AF$2:$AF$200,$G371)&gt;0,
     COUNTIFS($AG$2:$AG$200,$G371)&gt;0,
     COUNTIFS($AH$2:$AH$200,$G371)&gt;0,
     COUNTIFS($AI$2:$AI$200,$G371)&gt;0,
     COUNTIFS($AJ$2:$AJ$200,$G371)&gt;0,
     COUNTIFS($AK$2:$AK$200,$G371)&gt;0,
     COUNTIFS($AL$2:$AL$200,$G371)&gt;0,
     COUNTIFS($AM$2:$AM$200,$G371)&gt;0,
     COUNTIFS($AN$2:$AN$200,$G371)&gt;0,
     COUNTIFS($AO$2:$AO$200,$G371)&gt;0,
     COUNTIFS($AP$2:$AP$200,$G371)&gt;0,
     COUNTIFS($AQ$2:$AQ$200,$G371)&gt;0,
     COUNTIFS($AR$2:$AR$200,$G371)&gt;0,
     COUNTIFS($AS$2:$AS$200,$G371)&gt;0,
     COUNTIFS($AT$2:$AT$200,$G371)&gt;0,
     COUNTIFS($AU$2:$AU$200,$G371)&gt;0,
     COUNTIFS($AV$2:$AV$200,$G371)&gt;0
   )),
  ),
  2
 ),
"")</f>
        <v/>
      </c>
      <c r="E371" s="3" t="str" cm="1">
        <f t="array" aca="1" ref="E371" ca="1">IFERROR(
 INDEX($U$1:$AV$1,
  _xlfn.AGGREGATE(15,6,
   (COLUMN($U$1:$AV$1)-COLUMN($U$1)+1)/
   TRANSPOSE(
    CHOOSE({1;2;3;4;5;6;7;8;9;10;11;12;13;14;15;16;17;18;19;20;21;22;23;24;25;26;27;28},
     COUNTIFS($U$2:$U$200,$G371)&gt;0,
     COUNTIFS($V$2:$V$200,$G371)&gt;0,
     COUNTIFS($W$2:$W$200,$G371)&gt;0,
     COUNTIFS($X$2:$X$200,$G371)&gt;0,
     COUNTIFS($Y$2:$Y$200,$G371)&gt;0,
     COUNTIFS($Z$2:$Z$200,$G371)&gt;0,
     COUNTIFS($AA$2:$AA$200,$G371)&gt;0,
     COUNTIFS($AB$2:$AB$200,$G371)&gt;0,
     COUNTIFS($AC$2:$AC$200,$G371)&gt;0,
     COUNTIFS($AD$2:$AD$200,$G371)&gt;0,
     COUNTIFS($AE$2:$AE$200,$G371)&gt;0,
     COUNTIFS($AF$2:$AF$200,$G371)&gt;0,
     COUNTIFS($AG$2:$AG$200,$G371)&gt;0,
     COUNTIFS($AH$2:$AH$200,$G371)&gt;0,
     COUNTIFS($AI$2:$AI$200,$G371)&gt;0,
     COUNTIFS($AJ$2:$AJ$200,$G371)&gt;0,
     COUNTIFS($AK$2:$AK$200,$G371)&gt;0,
     COUNTIFS($AL$2:$AL$200,$G371)&gt;0,
     COUNTIFS($AM$2:$AM$200,$G371)&gt;0,
     COUNTIFS($AN$2:$AN$200,$G371)&gt;0,
     COUNTIFS($AO$2:$AO$200,$G371)&gt;0,
     COUNTIFS($AP$2:$AP$200,$G371)&gt;0,
     COUNTIFS($AQ$2:$AQ$200,$G371)&gt;0,
     COUNTIFS($AR$2:$AR$200,$G371)&gt;0,
     COUNTIFS($AS$2:$AS$200,$G371)&gt;0,
     COUNTIFS($AT$2:$AT$200,$G371)&gt;0,
     COUNTIFS($AU$2:$AU$200,$G371)&gt;0,
     COUNTIFS($AV$2:$AV$200,$G371)&gt;0
   )),
  3)
 ),
"")</f>
        <v/>
      </c>
      <c r="F371" s="3" t="str" cm="1">
        <f t="array" aca="1" ref="F371" ca="1">IFERROR(
 INDEX($U$1:$AV$1,
  _xlfn.AGGREGATE(15,6,
   (COLUMN($U$1:$AV$1)-COLUMN($U$1)+1)/
   TRANSPOSE(
    CHOOSE({1;2;3;4;5;6;7;8;9;10;11;12;13;14;15;16;17;18;19;20;21;22;23;24;25;26;27;28},
     COUNTIFS($U$2:$U$200,$G371)&gt;0,
     COUNTIFS($V$2:$V$200,$G371)&gt;0,
     COUNTIFS($W$2:$W$200,$G371)&gt;0,
     COUNTIFS($X$2:$X$200,$G371)&gt;0,
     COUNTIFS($Y$2:$Y$200,$G371)&gt;0,
     COUNTIFS($Z$2:$Z$200,$G371)&gt;0,
     COUNTIFS($AA$2:$AA$200,$G371)&gt;0,
     COUNTIFS($AB$2:$AB$200,$G371)&gt;0,
     COUNTIFS($AC$2:$AC$200,$G371)&gt;0,
     COUNTIFS($AD$2:$AD$200,$G371)&gt;0,
     COUNTIFS($AE$2:$AE$200,$G371)&gt;0,
     COUNTIFS($AF$2:$AF$200,$G371)&gt;0,
     COUNTIFS($AG$2:$AG$200,$G371)&gt;0,
     COUNTIFS($AH$2:$AH$200,$G371)&gt;0,
     COUNTIFS($AI$2:$AI$200,$G371)&gt;0,
     COUNTIFS($AJ$2:$AJ$200,$G371)&gt;0,
     COUNTIFS($AK$2:$AK$200,$G371)&gt;0,
     COUNTIFS($AL$2:$AL$200,$G371)&gt;0,
     COUNTIFS($AM$2:$AM$200,$G371)&gt;0,
     COUNTIFS($AN$2:$AN$200,$G371)&gt;0,
     COUNTIFS($AO$2:$AO$200,$G371)&gt;0,
     COUNTIFS($AP$2:$AP$200,$G371)&gt;0,
     COUNTIFS($AQ$2:$AQ$200,$G371)&gt;0,
     COUNTIFS($AR$2:$AR$200,$G371)&gt;0,
     COUNTIFS($AS$2:$AS$200,$G371)&gt;0,
     COUNTIFS($AT$2:$AT$200,$G371)&gt;0,
     COUNTIFS($AU$2:$AU$200,$G371)&gt;0,
     COUNTIFS($AV$2:$AV$200,$G371)&gt;0
   )),
  4)
 ),
"")</f>
        <v/>
      </c>
      <c r="G371" t="str">
        <f ca="1"/>
        <v>Training Center</v>
      </c>
    </row>
    <row r="372" spans="1:7" x14ac:dyDescent="0.25">
      <c r="A372" s="3" t="str">
        <f t="shared" ca="1" si="12"/>
        <v>2</v>
      </c>
      <c r="B372" s="3">
        <f t="shared" ca="1" si="13"/>
        <v>1</v>
      </c>
      <c r="C372" s="3" t="str">
        <f ca="1">IFERROR(
 INDEX($U$1:$AX$1,
  MATCH(TRUE,
   CHOOSE({1;2;3;4;5;6;7;8;9;10;11;12;13;14;15;16;17;18;19;20;21;22;23;24;25;26;27;28;29;30;31;32},
    COUNTIFS($U$2:$U$200,$G372)&gt;0,
    COUNTIFS($V$2:$V$200,$G372)&gt;0,
    COUNTIFS($W$2:$W$200,$G372)&gt;0,
    COUNTIFS($X$2:$X$200,$G372)&gt;0,
    COUNTIFS($Y$2:$Y$200,$G372)&gt;0,
    COUNTIFS($Z$2:$Z$200,$G372)&gt;0,
    COUNTIFS($AA$2:$AA$200,$G372)&gt;0,
    COUNTIFS($AB$2:$AB$200,$G372)&gt;0,
    COUNTIFS($AC$2:$AC$200,$G372)&gt;0,
    COUNTIFS($AD$2:$AD$200,$G372)&gt;0,
    COUNTIFS($AE$2:$AE$200,$G372)&gt;0,
    COUNTIFS($AF$2:$AF$200,$G372)&gt;0,
    COUNTIFS($AG$2:$AG$200,$G372)&gt;0,
    COUNTIFS($AH$2:$AH$200,$G372)&gt;0,
    COUNTIFS($AI$2:$AI$200,$G372)&gt;0,
    COUNTIFS($AJ$2:$AJ$200,$G372)&gt;0,
    COUNTIFS($AK$2:$AK$200,$G372)&gt;0,
    COUNTIFS($AL$2:$AL$200,$G372)&gt;0,
    COUNTIFS($AM$2:$AM$200,$G372)&gt;0,
    COUNTIFS($AN$2:$AN$200,$G372)&gt;0,
    COUNTIFS($AO$2:$AO$200,$G372)&gt;0,
    COUNTIFS($AP$2:$AP$200,$G372)&gt;0,
    COUNTIFS($AQ$2:$AQ$200,$G372)&gt;0,
    COUNTIFS($AR$2:$AR$200,$G372)&gt;0,
    COUNTIFS($AS$2:$AS$200,$G372)&gt;0,
    COUNTIFS($AT$2:$AT$200,$G372)&gt;0,
    COUNTIFS($AU$2:$AU$200,$G372)&gt;0,
    COUNTIFS($AV$2:$AV$200,$G372)&gt;0,
    COUNTIFS($AW$2:$AW$200,$G372)&gt;0,
    COUNTIFS($AX$2:$AX$200,$G372)&gt;0
   ),
  0)
 ),
"")</f>
        <v>Piratas</v>
      </c>
      <c r="D372" s="3" t="str" cm="1">
        <f t="array" aca="1" ref="D372" ca="1">IFERROR(
 INDEX(
  _xlfn._xlws.FILTER($U$1:$AV$1,
   TRANSPOSE(
    CHOOSE({1;2;3;4;5;6;7;8;9;10;11;12;13;14;15;16;17;18;19;20;21;22;23;24;25;26;27;28},
     COUNTIFS($U$2:$U$200,$G372)&gt;0,
     COUNTIFS($V$2:$V$200,$G372)&gt;0,
     COUNTIFS($W$2:$W$200,$G372)&gt;0,
     COUNTIFS($X$2:$X$200,$G372)&gt;0,
     COUNTIFS($Y$2:$Y$200,$G372)&gt;0,
     COUNTIFS($Z$2:$Z$200,$G372)&gt;0,
     COUNTIFS($AA$2:$AA$200,$G372)&gt;0,
     COUNTIFS($AB$2:$AB$200,$G372)&gt;0,
     COUNTIFS($AC$2:$AC$200,$G372)&gt;0,
     COUNTIFS($AD$2:$AD$200,$G372)&gt;0,
     COUNTIFS($AE$2:$AE$200,$G372)&gt;0,
     COUNTIFS($AF$2:$AF$200,$G372)&gt;0,
     COUNTIFS($AG$2:$AG$200,$G372)&gt;0,
     COUNTIFS($AH$2:$AH$200,$G372)&gt;0,
     COUNTIFS($AI$2:$AI$200,$G372)&gt;0,
     COUNTIFS($AJ$2:$AJ$200,$G372)&gt;0,
     COUNTIFS($AK$2:$AK$200,$G372)&gt;0,
     COUNTIFS($AL$2:$AL$200,$G372)&gt;0,
     COUNTIFS($AM$2:$AM$200,$G372)&gt;0,
     COUNTIFS($AN$2:$AN$200,$G372)&gt;0,
     COUNTIFS($AO$2:$AO$200,$G372)&gt;0,
     COUNTIFS($AP$2:$AP$200,$G372)&gt;0,
     COUNTIFS($AQ$2:$AQ$200,$G372)&gt;0,
     COUNTIFS($AR$2:$AR$200,$G372)&gt;0,
     COUNTIFS($AS$2:$AS$200,$G372)&gt;0,
     COUNTIFS($AT$2:$AT$200,$G372)&gt;0,
     COUNTIFS($AU$2:$AU$200,$G372)&gt;0,
     COUNTIFS($AV$2:$AV$200,$G372)&gt;0
   )),
  ),
  2
 ),
"")</f>
        <v/>
      </c>
      <c r="E372" s="3" t="str" cm="1">
        <f t="array" aca="1" ref="E372" ca="1">IFERROR(
 INDEX($U$1:$AV$1,
  _xlfn.AGGREGATE(15,6,
   (COLUMN($U$1:$AV$1)-COLUMN($U$1)+1)/
   TRANSPOSE(
    CHOOSE({1;2;3;4;5;6;7;8;9;10;11;12;13;14;15;16;17;18;19;20;21;22;23;24;25;26;27;28},
     COUNTIFS($U$2:$U$200,$G372)&gt;0,
     COUNTIFS($V$2:$V$200,$G372)&gt;0,
     COUNTIFS($W$2:$W$200,$G372)&gt;0,
     COUNTIFS($X$2:$X$200,$G372)&gt;0,
     COUNTIFS($Y$2:$Y$200,$G372)&gt;0,
     COUNTIFS($Z$2:$Z$200,$G372)&gt;0,
     COUNTIFS($AA$2:$AA$200,$G372)&gt;0,
     COUNTIFS($AB$2:$AB$200,$G372)&gt;0,
     COUNTIFS($AC$2:$AC$200,$G372)&gt;0,
     COUNTIFS($AD$2:$AD$200,$G372)&gt;0,
     COUNTIFS($AE$2:$AE$200,$G372)&gt;0,
     COUNTIFS($AF$2:$AF$200,$G372)&gt;0,
     COUNTIFS($AG$2:$AG$200,$G372)&gt;0,
     COUNTIFS($AH$2:$AH$200,$G372)&gt;0,
     COUNTIFS($AI$2:$AI$200,$G372)&gt;0,
     COUNTIFS($AJ$2:$AJ$200,$G372)&gt;0,
     COUNTIFS($AK$2:$AK$200,$G372)&gt;0,
     COUNTIFS($AL$2:$AL$200,$G372)&gt;0,
     COUNTIFS($AM$2:$AM$200,$G372)&gt;0,
     COUNTIFS($AN$2:$AN$200,$G372)&gt;0,
     COUNTIFS($AO$2:$AO$200,$G372)&gt;0,
     COUNTIFS($AP$2:$AP$200,$G372)&gt;0,
     COUNTIFS($AQ$2:$AQ$200,$G372)&gt;0,
     COUNTIFS($AR$2:$AR$200,$G372)&gt;0,
     COUNTIFS($AS$2:$AS$200,$G372)&gt;0,
     COUNTIFS($AT$2:$AT$200,$G372)&gt;0,
     COUNTIFS($AU$2:$AU$200,$G372)&gt;0,
     COUNTIFS($AV$2:$AV$200,$G372)&gt;0
   )),
  3)
 ),
"")</f>
        <v/>
      </c>
      <c r="F372" s="3" t="str" cm="1">
        <f t="array" aca="1" ref="F372" ca="1">IFERROR(
 INDEX($U$1:$AV$1,
  _xlfn.AGGREGATE(15,6,
   (COLUMN($U$1:$AV$1)-COLUMN($U$1)+1)/
   TRANSPOSE(
    CHOOSE({1;2;3;4;5;6;7;8;9;10;11;12;13;14;15;16;17;18;19;20;21;22;23;24;25;26;27;28},
     COUNTIFS($U$2:$U$200,$G372)&gt;0,
     COUNTIFS($V$2:$V$200,$G372)&gt;0,
     COUNTIFS($W$2:$W$200,$G372)&gt;0,
     COUNTIFS($X$2:$X$200,$G372)&gt;0,
     COUNTIFS($Y$2:$Y$200,$G372)&gt;0,
     COUNTIFS($Z$2:$Z$200,$G372)&gt;0,
     COUNTIFS($AA$2:$AA$200,$G372)&gt;0,
     COUNTIFS($AB$2:$AB$200,$G372)&gt;0,
     COUNTIFS($AC$2:$AC$200,$G372)&gt;0,
     COUNTIFS($AD$2:$AD$200,$G372)&gt;0,
     COUNTIFS($AE$2:$AE$200,$G372)&gt;0,
     COUNTIFS($AF$2:$AF$200,$G372)&gt;0,
     COUNTIFS($AG$2:$AG$200,$G372)&gt;0,
     COUNTIFS($AH$2:$AH$200,$G372)&gt;0,
     COUNTIFS($AI$2:$AI$200,$G372)&gt;0,
     COUNTIFS($AJ$2:$AJ$200,$G372)&gt;0,
     COUNTIFS($AK$2:$AK$200,$G372)&gt;0,
     COUNTIFS($AL$2:$AL$200,$G372)&gt;0,
     COUNTIFS($AM$2:$AM$200,$G372)&gt;0,
     COUNTIFS($AN$2:$AN$200,$G372)&gt;0,
     COUNTIFS($AO$2:$AO$200,$G372)&gt;0,
     COUNTIFS($AP$2:$AP$200,$G372)&gt;0,
     COUNTIFS($AQ$2:$AQ$200,$G372)&gt;0,
     COUNTIFS($AR$2:$AR$200,$G372)&gt;0,
     COUNTIFS($AS$2:$AS$200,$G372)&gt;0,
     COUNTIFS($AT$2:$AT$200,$G372)&gt;0,
     COUNTIFS($AU$2:$AU$200,$G372)&gt;0,
     COUNTIFS($AV$2:$AV$200,$G372)&gt;0
   )),
  4)
 ),
"")</f>
        <v/>
      </c>
      <c r="G372" t="str">
        <f ca="1"/>
        <v>Treasure Vault</v>
      </c>
    </row>
    <row r="373" spans="1:7" x14ac:dyDescent="0.25">
      <c r="A373" s="3" t="str">
        <f t="shared" ca="1" si="12"/>
        <v>1</v>
      </c>
      <c r="B373" s="3">
        <f t="shared" ca="1" si="13"/>
        <v>1</v>
      </c>
      <c r="C373" s="3" t="str">
        <f ca="1">IFERROR(
 INDEX($U$1:$AX$1,
  MATCH(TRUE,
   CHOOSE({1;2;3;4;5;6;7;8;9;10;11;12;13;14;15;16;17;18;19;20;21;22;23;24;25;26;27;28;29;30;31;32},
    COUNTIFS($U$2:$U$200,$G373)&gt;0,
    COUNTIFS($V$2:$V$200,$G373)&gt;0,
    COUNTIFS($W$2:$W$200,$G373)&gt;0,
    COUNTIFS($X$2:$X$200,$G373)&gt;0,
    COUNTIFS($Y$2:$Y$200,$G373)&gt;0,
    COUNTIFS($Z$2:$Z$200,$G373)&gt;0,
    COUNTIFS($AA$2:$AA$200,$G373)&gt;0,
    COUNTIFS($AB$2:$AB$200,$G373)&gt;0,
    COUNTIFS($AC$2:$AC$200,$G373)&gt;0,
    COUNTIFS($AD$2:$AD$200,$G373)&gt;0,
    COUNTIFS($AE$2:$AE$200,$G373)&gt;0,
    COUNTIFS($AF$2:$AF$200,$G373)&gt;0,
    COUNTIFS($AG$2:$AG$200,$G373)&gt;0,
    COUNTIFS($AH$2:$AH$200,$G373)&gt;0,
    COUNTIFS($AI$2:$AI$200,$G373)&gt;0,
    COUNTIFS($AJ$2:$AJ$200,$G373)&gt;0,
    COUNTIFS($AK$2:$AK$200,$G373)&gt;0,
    COUNTIFS($AL$2:$AL$200,$G373)&gt;0,
    COUNTIFS($AM$2:$AM$200,$G373)&gt;0,
    COUNTIFS($AN$2:$AN$200,$G373)&gt;0,
    COUNTIFS($AO$2:$AO$200,$G373)&gt;0,
    COUNTIFS($AP$2:$AP$200,$G373)&gt;0,
    COUNTIFS($AQ$2:$AQ$200,$G373)&gt;0,
    COUNTIFS($AR$2:$AR$200,$G373)&gt;0,
    COUNTIFS($AS$2:$AS$200,$G373)&gt;0,
    COUNTIFS($AT$2:$AT$200,$G373)&gt;0,
    COUNTIFS($AU$2:$AU$200,$G373)&gt;0,
    COUNTIFS($AV$2:$AV$200,$G373)&gt;0,
    COUNTIFS($AW$2:$AW$200,$G373)&gt;0,
    COUNTIFS($AX$2:$AX$200,$G373)&gt;0
   ),
  0)
 ),
"")</f>
        <v>Modular</v>
      </c>
      <c r="D373" s="3" t="str" cm="1">
        <f t="array" aca="1" ref="D373" ca="1">IFERROR(
 INDEX(
  _xlfn._xlws.FILTER($U$1:$AV$1,
   TRANSPOSE(
    CHOOSE({1;2;3;4;5;6;7;8;9;10;11;12;13;14;15;16;17;18;19;20;21;22;23;24;25;26;27;28},
     COUNTIFS($U$2:$U$200,$G373)&gt;0,
     COUNTIFS($V$2:$V$200,$G373)&gt;0,
     COUNTIFS($W$2:$W$200,$G373)&gt;0,
     COUNTIFS($X$2:$X$200,$G373)&gt;0,
     COUNTIFS($Y$2:$Y$200,$G373)&gt;0,
     COUNTIFS($Z$2:$Z$200,$G373)&gt;0,
     COUNTIFS($AA$2:$AA$200,$G373)&gt;0,
     COUNTIFS($AB$2:$AB$200,$G373)&gt;0,
     COUNTIFS($AC$2:$AC$200,$G373)&gt;0,
     COUNTIFS($AD$2:$AD$200,$G373)&gt;0,
     COUNTIFS($AE$2:$AE$200,$G373)&gt;0,
     COUNTIFS($AF$2:$AF$200,$G373)&gt;0,
     COUNTIFS($AG$2:$AG$200,$G373)&gt;0,
     COUNTIFS($AH$2:$AH$200,$G373)&gt;0,
     COUNTIFS($AI$2:$AI$200,$G373)&gt;0,
     COUNTIFS($AJ$2:$AJ$200,$G373)&gt;0,
     COUNTIFS($AK$2:$AK$200,$G373)&gt;0,
     COUNTIFS($AL$2:$AL$200,$G373)&gt;0,
     COUNTIFS($AM$2:$AM$200,$G373)&gt;0,
     COUNTIFS($AN$2:$AN$200,$G373)&gt;0,
     COUNTIFS($AO$2:$AO$200,$G373)&gt;0,
     COUNTIFS($AP$2:$AP$200,$G373)&gt;0,
     COUNTIFS($AQ$2:$AQ$200,$G373)&gt;0,
     COUNTIFS($AR$2:$AR$200,$G373)&gt;0,
     COUNTIFS($AS$2:$AS$200,$G373)&gt;0,
     COUNTIFS($AT$2:$AT$200,$G373)&gt;0,
     COUNTIFS($AU$2:$AU$200,$G373)&gt;0,
     COUNTIFS($AV$2:$AV$200,$G373)&gt;0
   )),
  ),
  2
 ),
"")</f>
        <v/>
      </c>
      <c r="E373" s="3" t="str" cm="1">
        <f t="array" aca="1" ref="E373" ca="1">IFERROR(
 INDEX($U$1:$AV$1,
  _xlfn.AGGREGATE(15,6,
   (COLUMN($U$1:$AV$1)-COLUMN($U$1)+1)/
   TRANSPOSE(
    CHOOSE({1;2;3;4;5;6;7;8;9;10;11;12;13;14;15;16;17;18;19;20;21;22;23;24;25;26;27;28},
     COUNTIFS($U$2:$U$200,$G373)&gt;0,
     COUNTIFS($V$2:$V$200,$G373)&gt;0,
     COUNTIFS($W$2:$W$200,$G373)&gt;0,
     COUNTIFS($X$2:$X$200,$G373)&gt;0,
     COUNTIFS($Y$2:$Y$200,$G373)&gt;0,
     COUNTIFS($Z$2:$Z$200,$G373)&gt;0,
     COUNTIFS($AA$2:$AA$200,$G373)&gt;0,
     COUNTIFS($AB$2:$AB$200,$G373)&gt;0,
     COUNTIFS($AC$2:$AC$200,$G373)&gt;0,
     COUNTIFS($AD$2:$AD$200,$G373)&gt;0,
     COUNTIFS($AE$2:$AE$200,$G373)&gt;0,
     COUNTIFS($AF$2:$AF$200,$G373)&gt;0,
     COUNTIFS($AG$2:$AG$200,$G373)&gt;0,
     COUNTIFS($AH$2:$AH$200,$G373)&gt;0,
     COUNTIFS($AI$2:$AI$200,$G373)&gt;0,
     COUNTIFS($AJ$2:$AJ$200,$G373)&gt;0,
     COUNTIFS($AK$2:$AK$200,$G373)&gt;0,
     COUNTIFS($AL$2:$AL$200,$G373)&gt;0,
     COUNTIFS($AM$2:$AM$200,$G373)&gt;0,
     COUNTIFS($AN$2:$AN$200,$G373)&gt;0,
     COUNTIFS($AO$2:$AO$200,$G373)&gt;0,
     COUNTIFS($AP$2:$AP$200,$G373)&gt;0,
     COUNTIFS($AQ$2:$AQ$200,$G373)&gt;0,
     COUNTIFS($AR$2:$AR$200,$G373)&gt;0,
     COUNTIFS($AS$2:$AS$200,$G373)&gt;0,
     COUNTIFS($AT$2:$AT$200,$G373)&gt;0,
     COUNTIFS($AU$2:$AU$200,$G373)&gt;0,
     COUNTIFS($AV$2:$AV$200,$G373)&gt;0
   )),
  3)
 ),
"")</f>
        <v/>
      </c>
      <c r="F373" s="3" t="str" cm="1">
        <f t="array" aca="1" ref="F373" ca="1">IFERROR(
 INDEX($U$1:$AV$1,
  _xlfn.AGGREGATE(15,6,
   (COLUMN($U$1:$AV$1)-COLUMN($U$1)+1)/
   TRANSPOSE(
    CHOOSE({1;2;3;4;5;6;7;8;9;10;11;12;13;14;15;16;17;18;19;20;21;22;23;24;25;26;27;28},
     COUNTIFS($U$2:$U$200,$G373)&gt;0,
     COUNTIFS($V$2:$V$200,$G373)&gt;0,
     COUNTIFS($W$2:$W$200,$G373)&gt;0,
     COUNTIFS($X$2:$X$200,$G373)&gt;0,
     COUNTIFS($Y$2:$Y$200,$G373)&gt;0,
     COUNTIFS($Z$2:$Z$200,$G373)&gt;0,
     COUNTIFS($AA$2:$AA$200,$G373)&gt;0,
     COUNTIFS($AB$2:$AB$200,$G373)&gt;0,
     COUNTIFS($AC$2:$AC$200,$G373)&gt;0,
     COUNTIFS($AD$2:$AD$200,$G373)&gt;0,
     COUNTIFS($AE$2:$AE$200,$G373)&gt;0,
     COUNTIFS($AF$2:$AF$200,$G373)&gt;0,
     COUNTIFS($AG$2:$AG$200,$G373)&gt;0,
     COUNTIFS($AH$2:$AH$200,$G373)&gt;0,
     COUNTIFS($AI$2:$AI$200,$G373)&gt;0,
     COUNTIFS($AJ$2:$AJ$200,$G373)&gt;0,
     COUNTIFS($AK$2:$AK$200,$G373)&gt;0,
     COUNTIFS($AL$2:$AL$200,$G373)&gt;0,
     COUNTIFS($AM$2:$AM$200,$G373)&gt;0,
     COUNTIFS($AN$2:$AN$200,$G373)&gt;0,
     COUNTIFS($AO$2:$AO$200,$G373)&gt;0,
     COUNTIFS($AP$2:$AP$200,$G373)&gt;0,
     COUNTIFS($AQ$2:$AQ$200,$G373)&gt;0,
     COUNTIFS($AR$2:$AR$200,$G373)&gt;0,
     COUNTIFS($AS$2:$AS$200,$G373)&gt;0,
     COUNTIFS($AT$2:$AT$200,$G373)&gt;0,
     COUNTIFS($AU$2:$AU$200,$G373)&gt;0,
     COUNTIFS($AV$2:$AV$200,$G373)&gt;0
   )),
  4)
 ),
"")</f>
        <v/>
      </c>
      <c r="G373" t="str">
        <f ca="1"/>
        <v>Tree of Tales</v>
      </c>
    </row>
    <row r="374" spans="1:7" x14ac:dyDescent="0.25">
      <c r="A374" s="3" t="str">
        <f t="shared" ca="1" si="12"/>
        <v>2</v>
      </c>
      <c r="B374" s="3">
        <f t="shared" ca="1" si="13"/>
        <v>1</v>
      </c>
      <c r="C374" s="3" t="str">
        <f ca="1">IFERROR(
 INDEX($U$1:$AX$1,
  MATCH(TRUE,
   CHOOSE({1;2;3;4;5;6;7;8;9;10;11;12;13;14;15;16;17;18;19;20;21;22;23;24;25;26;27;28;29;30;31;32},
    COUNTIFS($U$2:$U$200,$G374)&gt;0,
    COUNTIFS($V$2:$V$200,$G374)&gt;0,
    COUNTIFS($W$2:$W$200,$G374)&gt;0,
    COUNTIFS($X$2:$X$200,$G374)&gt;0,
    COUNTIFS($Y$2:$Y$200,$G374)&gt;0,
    COUNTIFS($Z$2:$Z$200,$G374)&gt;0,
    COUNTIFS($AA$2:$AA$200,$G374)&gt;0,
    COUNTIFS($AB$2:$AB$200,$G374)&gt;0,
    COUNTIFS($AC$2:$AC$200,$G374)&gt;0,
    COUNTIFS($AD$2:$AD$200,$G374)&gt;0,
    COUNTIFS($AE$2:$AE$200,$G374)&gt;0,
    COUNTIFS($AF$2:$AF$200,$G374)&gt;0,
    COUNTIFS($AG$2:$AG$200,$G374)&gt;0,
    COUNTIFS($AH$2:$AH$200,$G374)&gt;0,
    COUNTIFS($AI$2:$AI$200,$G374)&gt;0,
    COUNTIFS($AJ$2:$AJ$200,$G374)&gt;0,
    COUNTIFS($AK$2:$AK$200,$G374)&gt;0,
    COUNTIFS($AL$2:$AL$200,$G374)&gt;0,
    COUNTIFS($AM$2:$AM$200,$G374)&gt;0,
    COUNTIFS($AN$2:$AN$200,$G374)&gt;0,
    COUNTIFS($AO$2:$AO$200,$G374)&gt;0,
    COUNTIFS($AP$2:$AP$200,$G374)&gt;0,
    COUNTIFS($AQ$2:$AQ$200,$G374)&gt;0,
    COUNTIFS($AR$2:$AR$200,$G374)&gt;0,
    COUNTIFS($AS$2:$AS$200,$G374)&gt;0,
    COUNTIFS($AT$2:$AT$200,$G374)&gt;0,
    COUNTIFS($AU$2:$AU$200,$G374)&gt;0,
    COUNTIFS($AV$2:$AV$200,$G374)&gt;0,
    COUNTIFS($AW$2:$AW$200,$G374)&gt;0,
    COUNTIFS($AX$2:$AX$200,$G374)&gt;0
   ),
  0)
 ),
"")</f>
        <v>Rani</v>
      </c>
      <c r="D374" s="3" t="str" cm="1">
        <f t="array" aca="1" ref="D374" ca="1">IFERROR(
 INDEX(
  _xlfn._xlws.FILTER($U$1:$AV$1,
   TRANSPOSE(
    CHOOSE({1;2;3;4;5;6;7;8;9;10;11;12;13;14;15;16;17;18;19;20;21;22;23;24;25;26;27;28},
     COUNTIFS($U$2:$U$200,$G374)&gt;0,
     COUNTIFS($V$2:$V$200,$G374)&gt;0,
     COUNTIFS($W$2:$W$200,$G374)&gt;0,
     COUNTIFS($X$2:$X$200,$G374)&gt;0,
     COUNTIFS($Y$2:$Y$200,$G374)&gt;0,
     COUNTIFS($Z$2:$Z$200,$G374)&gt;0,
     COUNTIFS($AA$2:$AA$200,$G374)&gt;0,
     COUNTIFS($AB$2:$AB$200,$G374)&gt;0,
     COUNTIFS($AC$2:$AC$200,$G374)&gt;0,
     COUNTIFS($AD$2:$AD$200,$G374)&gt;0,
     COUNTIFS($AE$2:$AE$200,$G374)&gt;0,
     COUNTIFS($AF$2:$AF$200,$G374)&gt;0,
     COUNTIFS($AG$2:$AG$200,$G374)&gt;0,
     COUNTIFS($AH$2:$AH$200,$G374)&gt;0,
     COUNTIFS($AI$2:$AI$200,$G374)&gt;0,
     COUNTIFS($AJ$2:$AJ$200,$G374)&gt;0,
     COUNTIFS($AK$2:$AK$200,$G374)&gt;0,
     COUNTIFS($AL$2:$AL$200,$G374)&gt;0,
     COUNTIFS($AM$2:$AM$200,$G374)&gt;0,
     COUNTIFS($AN$2:$AN$200,$G374)&gt;0,
     COUNTIFS($AO$2:$AO$200,$G374)&gt;0,
     COUNTIFS($AP$2:$AP$200,$G374)&gt;0,
     COUNTIFS($AQ$2:$AQ$200,$G374)&gt;0,
     COUNTIFS($AR$2:$AR$200,$G374)&gt;0,
     COUNTIFS($AS$2:$AS$200,$G374)&gt;0,
     COUNTIFS($AT$2:$AT$200,$G374)&gt;0,
     COUNTIFS($AU$2:$AU$200,$G374)&gt;0,
     COUNTIFS($AV$2:$AV$200,$G374)&gt;0
   )),
  ),
  2
 ),
"")</f>
        <v/>
      </c>
      <c r="E374" s="3" t="str" cm="1">
        <f t="array" aca="1" ref="E374" ca="1">IFERROR(
 INDEX($U$1:$AV$1,
  _xlfn.AGGREGATE(15,6,
   (COLUMN($U$1:$AV$1)-COLUMN($U$1)+1)/
   TRANSPOSE(
    CHOOSE({1;2;3;4;5;6;7;8;9;10;11;12;13;14;15;16;17;18;19;20;21;22;23;24;25;26;27;28},
     COUNTIFS($U$2:$U$200,$G374)&gt;0,
     COUNTIFS($V$2:$V$200,$G374)&gt;0,
     COUNTIFS($W$2:$W$200,$G374)&gt;0,
     COUNTIFS($X$2:$X$200,$G374)&gt;0,
     COUNTIFS($Y$2:$Y$200,$G374)&gt;0,
     COUNTIFS($Z$2:$Z$200,$G374)&gt;0,
     COUNTIFS($AA$2:$AA$200,$G374)&gt;0,
     COUNTIFS($AB$2:$AB$200,$G374)&gt;0,
     COUNTIFS($AC$2:$AC$200,$G374)&gt;0,
     COUNTIFS($AD$2:$AD$200,$G374)&gt;0,
     COUNTIFS($AE$2:$AE$200,$G374)&gt;0,
     COUNTIFS($AF$2:$AF$200,$G374)&gt;0,
     COUNTIFS($AG$2:$AG$200,$G374)&gt;0,
     COUNTIFS($AH$2:$AH$200,$G374)&gt;0,
     COUNTIFS($AI$2:$AI$200,$G374)&gt;0,
     COUNTIFS($AJ$2:$AJ$200,$G374)&gt;0,
     COUNTIFS($AK$2:$AK$200,$G374)&gt;0,
     COUNTIFS($AL$2:$AL$200,$G374)&gt;0,
     COUNTIFS($AM$2:$AM$200,$G374)&gt;0,
     COUNTIFS($AN$2:$AN$200,$G374)&gt;0,
     COUNTIFS($AO$2:$AO$200,$G374)&gt;0,
     COUNTIFS($AP$2:$AP$200,$G374)&gt;0,
     COUNTIFS($AQ$2:$AQ$200,$G374)&gt;0,
     COUNTIFS($AR$2:$AR$200,$G374)&gt;0,
     COUNTIFS($AS$2:$AS$200,$G374)&gt;0,
     COUNTIFS($AT$2:$AT$200,$G374)&gt;0,
     COUNTIFS($AU$2:$AU$200,$G374)&gt;0,
     COUNTIFS($AV$2:$AV$200,$G374)&gt;0
   )),
  3)
 ),
"")</f>
        <v/>
      </c>
      <c r="F374" s="3" t="str" cm="1">
        <f t="array" aca="1" ref="F374" ca="1">IFERROR(
 INDEX($U$1:$AV$1,
  _xlfn.AGGREGATE(15,6,
   (COLUMN($U$1:$AV$1)-COLUMN($U$1)+1)/
   TRANSPOSE(
    CHOOSE({1;2;3;4;5;6;7;8;9;10;11;12;13;14;15;16;17;18;19;20;21;22;23;24;25;26;27;28},
     COUNTIFS($U$2:$U$200,$G374)&gt;0,
     COUNTIFS($V$2:$V$200,$G374)&gt;0,
     COUNTIFS($W$2:$W$200,$G374)&gt;0,
     COUNTIFS($X$2:$X$200,$G374)&gt;0,
     COUNTIFS($Y$2:$Y$200,$G374)&gt;0,
     COUNTIFS($Z$2:$Z$200,$G374)&gt;0,
     COUNTIFS($AA$2:$AA$200,$G374)&gt;0,
     COUNTIFS($AB$2:$AB$200,$G374)&gt;0,
     COUNTIFS($AC$2:$AC$200,$G374)&gt;0,
     COUNTIFS($AD$2:$AD$200,$G374)&gt;0,
     COUNTIFS($AE$2:$AE$200,$G374)&gt;0,
     COUNTIFS($AF$2:$AF$200,$G374)&gt;0,
     COUNTIFS($AG$2:$AG$200,$G374)&gt;0,
     COUNTIFS($AH$2:$AH$200,$G374)&gt;0,
     COUNTIFS($AI$2:$AI$200,$G374)&gt;0,
     COUNTIFS($AJ$2:$AJ$200,$G374)&gt;0,
     COUNTIFS($AK$2:$AK$200,$G374)&gt;0,
     COUNTIFS($AL$2:$AL$200,$G374)&gt;0,
     COUNTIFS($AM$2:$AM$200,$G374)&gt;0,
     COUNTIFS($AN$2:$AN$200,$G374)&gt;0,
     COUNTIFS($AO$2:$AO$200,$G374)&gt;0,
     COUNTIFS($AP$2:$AP$200,$G374)&gt;0,
     COUNTIFS($AQ$2:$AQ$200,$G374)&gt;0,
     COUNTIFS($AR$2:$AR$200,$G374)&gt;0,
     COUNTIFS($AS$2:$AS$200,$G374)&gt;0,
     COUNTIFS($AT$2:$AT$200,$G374)&gt;0,
     COUNTIFS($AU$2:$AU$200,$G374)&gt;0,
     COUNTIFS($AV$2:$AV$200,$G374)&gt;0
   )),
  4)
 ),
"")</f>
        <v/>
      </c>
      <c r="G374" t="str">
        <f ca="1"/>
        <v>Trenzalore Clocktower</v>
      </c>
    </row>
    <row r="375" spans="1:7" x14ac:dyDescent="0.25">
      <c r="A375" s="3" t="str">
        <f t="shared" ca="1" si="12"/>
        <v>4</v>
      </c>
      <c r="B375" s="3">
        <f t="shared" ca="1" si="13"/>
        <v>1</v>
      </c>
      <c r="C375" s="3" t="str">
        <f ca="1">IFERROR(
 INDEX($U$1:$AX$1,
  MATCH(TRUE,
   CHOOSE({1;2;3;4;5;6;7;8;9;10;11;12;13;14;15;16;17;18;19;20;21;22;23;24;25;26;27;28;29;30;31;32},
    COUNTIFS($U$2:$U$200,$G375)&gt;0,
    COUNTIFS($V$2:$V$200,$G375)&gt;0,
    COUNTIFS($W$2:$W$200,$G375)&gt;0,
    COUNTIFS($X$2:$X$200,$G375)&gt;0,
    COUNTIFS($Y$2:$Y$200,$G375)&gt;0,
    COUNTIFS($Z$2:$Z$200,$G375)&gt;0,
    COUNTIFS($AA$2:$AA$200,$G375)&gt;0,
    COUNTIFS($AB$2:$AB$200,$G375)&gt;0,
    COUNTIFS($AC$2:$AC$200,$G375)&gt;0,
    COUNTIFS($AD$2:$AD$200,$G375)&gt;0,
    COUNTIFS($AE$2:$AE$200,$G375)&gt;0,
    COUNTIFS($AF$2:$AF$200,$G375)&gt;0,
    COUNTIFS($AG$2:$AG$200,$G375)&gt;0,
    COUNTIFS($AH$2:$AH$200,$G375)&gt;0,
    COUNTIFS($AI$2:$AI$200,$G375)&gt;0,
    COUNTIFS($AJ$2:$AJ$200,$G375)&gt;0,
    COUNTIFS($AK$2:$AK$200,$G375)&gt;0,
    COUNTIFS($AL$2:$AL$200,$G375)&gt;0,
    COUNTIFS($AM$2:$AM$200,$G375)&gt;0,
    COUNTIFS($AN$2:$AN$200,$G375)&gt;0,
    COUNTIFS($AO$2:$AO$200,$G375)&gt;0,
    COUNTIFS($AP$2:$AP$200,$G375)&gt;0,
    COUNTIFS($AQ$2:$AQ$200,$G375)&gt;0,
    COUNTIFS($AR$2:$AR$200,$G375)&gt;0,
    COUNTIFS($AS$2:$AS$200,$G375)&gt;0,
    COUNTIFS($AT$2:$AT$200,$G375)&gt;0,
    COUNTIFS($AU$2:$AU$200,$G375)&gt;0,
    COUNTIFS($AV$2:$AV$200,$G375)&gt;0,
    COUNTIFS($AW$2:$AW$200,$G375)&gt;0,
    COUNTIFS($AX$2:$AX$200,$G375)&gt;0
   ),
  0)
 ),
"")</f>
        <v>Oona</v>
      </c>
      <c r="D375" s="3" t="str" cm="1">
        <f t="array" aca="1" ref="D375" ca="1">IFERROR(
 INDEX(
  _xlfn._xlws.FILTER($U$1:$AV$1,
   TRANSPOSE(
    CHOOSE({1;2;3;4;5;6;7;8;9;10;11;12;13;14;15;16;17;18;19;20;21;22;23;24;25;26;27;28},
     COUNTIFS($U$2:$U$200,$G375)&gt;0,
     COUNTIFS($V$2:$V$200,$G375)&gt;0,
     COUNTIFS($W$2:$W$200,$G375)&gt;0,
     COUNTIFS($X$2:$X$200,$G375)&gt;0,
     COUNTIFS($Y$2:$Y$200,$G375)&gt;0,
     COUNTIFS($Z$2:$Z$200,$G375)&gt;0,
     COUNTIFS($AA$2:$AA$200,$G375)&gt;0,
     COUNTIFS($AB$2:$AB$200,$G375)&gt;0,
     COUNTIFS($AC$2:$AC$200,$G375)&gt;0,
     COUNTIFS($AD$2:$AD$200,$G375)&gt;0,
     COUNTIFS($AE$2:$AE$200,$G375)&gt;0,
     COUNTIFS($AF$2:$AF$200,$G375)&gt;0,
     COUNTIFS($AG$2:$AG$200,$G375)&gt;0,
     COUNTIFS($AH$2:$AH$200,$G375)&gt;0,
     COUNTIFS($AI$2:$AI$200,$G375)&gt;0,
     COUNTIFS($AJ$2:$AJ$200,$G375)&gt;0,
     COUNTIFS($AK$2:$AK$200,$G375)&gt;0,
     COUNTIFS($AL$2:$AL$200,$G375)&gt;0,
     COUNTIFS($AM$2:$AM$200,$G375)&gt;0,
     COUNTIFS($AN$2:$AN$200,$G375)&gt;0,
     COUNTIFS($AO$2:$AO$200,$G375)&gt;0,
     COUNTIFS($AP$2:$AP$200,$G375)&gt;0,
     COUNTIFS($AQ$2:$AQ$200,$G375)&gt;0,
     COUNTIFS($AR$2:$AR$200,$G375)&gt;0,
     COUNTIFS($AS$2:$AS$200,$G375)&gt;0,
     COUNTIFS($AT$2:$AT$200,$G375)&gt;0,
     COUNTIFS($AU$2:$AU$200,$G375)&gt;0,
     COUNTIFS($AV$2:$AV$200,$G375)&gt;0
   )),
  ),
  2
 ),
"")</f>
        <v/>
      </c>
      <c r="E375" s="3" t="str" cm="1">
        <f t="array" aca="1" ref="E375" ca="1">IFERROR(
 INDEX($U$1:$AV$1,
  _xlfn.AGGREGATE(15,6,
   (COLUMN($U$1:$AV$1)-COLUMN($U$1)+1)/
   TRANSPOSE(
    CHOOSE({1;2;3;4;5;6;7;8;9;10;11;12;13;14;15;16;17;18;19;20;21;22;23;24;25;26;27;28},
     COUNTIFS($U$2:$U$200,$G375)&gt;0,
     COUNTIFS($V$2:$V$200,$G375)&gt;0,
     COUNTIFS($W$2:$W$200,$G375)&gt;0,
     COUNTIFS($X$2:$X$200,$G375)&gt;0,
     COUNTIFS($Y$2:$Y$200,$G375)&gt;0,
     COUNTIFS($Z$2:$Z$200,$G375)&gt;0,
     COUNTIFS($AA$2:$AA$200,$G375)&gt;0,
     COUNTIFS($AB$2:$AB$200,$G375)&gt;0,
     COUNTIFS($AC$2:$AC$200,$G375)&gt;0,
     COUNTIFS($AD$2:$AD$200,$G375)&gt;0,
     COUNTIFS($AE$2:$AE$200,$G375)&gt;0,
     COUNTIFS($AF$2:$AF$200,$G375)&gt;0,
     COUNTIFS($AG$2:$AG$200,$G375)&gt;0,
     COUNTIFS($AH$2:$AH$200,$G375)&gt;0,
     COUNTIFS($AI$2:$AI$200,$G375)&gt;0,
     COUNTIFS($AJ$2:$AJ$200,$G375)&gt;0,
     COUNTIFS($AK$2:$AK$200,$G375)&gt;0,
     COUNTIFS($AL$2:$AL$200,$G375)&gt;0,
     COUNTIFS($AM$2:$AM$200,$G375)&gt;0,
     COUNTIFS($AN$2:$AN$200,$G375)&gt;0,
     COUNTIFS($AO$2:$AO$200,$G375)&gt;0,
     COUNTIFS($AP$2:$AP$200,$G375)&gt;0,
     COUNTIFS($AQ$2:$AQ$200,$G375)&gt;0,
     COUNTIFS($AR$2:$AR$200,$G375)&gt;0,
     COUNTIFS($AS$2:$AS$200,$G375)&gt;0,
     COUNTIFS($AT$2:$AT$200,$G375)&gt;0,
     COUNTIFS($AU$2:$AU$200,$G375)&gt;0,
     COUNTIFS($AV$2:$AV$200,$G375)&gt;0
   )),
  3)
 ),
"")</f>
        <v/>
      </c>
      <c r="F375" s="3" t="str" cm="1">
        <f t="array" aca="1" ref="F375" ca="1">IFERROR(
 INDEX($U$1:$AV$1,
  _xlfn.AGGREGATE(15,6,
   (COLUMN($U$1:$AV$1)-COLUMN($U$1)+1)/
   TRANSPOSE(
    CHOOSE({1;2;3;4;5;6;7;8;9;10;11;12;13;14;15;16;17;18;19;20;21;22;23;24;25;26;27;28},
     COUNTIFS($U$2:$U$200,$G375)&gt;0,
     COUNTIFS($V$2:$V$200,$G375)&gt;0,
     COUNTIFS($W$2:$W$200,$G375)&gt;0,
     COUNTIFS($X$2:$X$200,$G375)&gt;0,
     COUNTIFS($Y$2:$Y$200,$G375)&gt;0,
     COUNTIFS($Z$2:$Z$200,$G375)&gt;0,
     COUNTIFS($AA$2:$AA$200,$G375)&gt;0,
     COUNTIFS($AB$2:$AB$200,$G375)&gt;0,
     COUNTIFS($AC$2:$AC$200,$G375)&gt;0,
     COUNTIFS($AD$2:$AD$200,$G375)&gt;0,
     COUNTIFS($AE$2:$AE$200,$G375)&gt;0,
     COUNTIFS($AF$2:$AF$200,$G375)&gt;0,
     COUNTIFS($AG$2:$AG$200,$G375)&gt;0,
     COUNTIFS($AH$2:$AH$200,$G375)&gt;0,
     COUNTIFS($AI$2:$AI$200,$G375)&gt;0,
     COUNTIFS($AJ$2:$AJ$200,$G375)&gt;0,
     COUNTIFS($AK$2:$AK$200,$G375)&gt;0,
     COUNTIFS($AL$2:$AL$200,$G375)&gt;0,
     COUNTIFS($AM$2:$AM$200,$G375)&gt;0,
     COUNTIFS($AN$2:$AN$200,$G375)&gt;0,
     COUNTIFS($AO$2:$AO$200,$G375)&gt;0,
     COUNTIFS($AP$2:$AP$200,$G375)&gt;0,
     COUNTIFS($AQ$2:$AQ$200,$G375)&gt;0,
     COUNTIFS($AR$2:$AR$200,$G375)&gt;0,
     COUNTIFS($AS$2:$AS$200,$G375)&gt;0,
     COUNTIFS($AT$2:$AT$200,$G375)&gt;0,
     COUNTIFS($AU$2:$AU$200,$G375)&gt;0,
     COUNTIFS($AV$2:$AV$200,$G375)&gt;0
   )),
  4)
 ),
"")</f>
        <v/>
      </c>
      <c r="G375" t="str">
        <f ca="1"/>
        <v>Três Passos à Frente</v>
      </c>
    </row>
    <row r="376" spans="1:7" x14ac:dyDescent="0.25">
      <c r="A376" s="3" t="str">
        <f t="shared" ca="1" si="12"/>
        <v>4</v>
      </c>
      <c r="B376" s="3">
        <f t="shared" ca="1" si="13"/>
        <v>1</v>
      </c>
      <c r="C376" s="3" t="str">
        <f ca="1">IFERROR(
 INDEX($U$1:$AX$1,
  MATCH(TRUE,
   CHOOSE({1;2;3;4;5;6;7;8;9;10;11;12;13;14;15;16;17;18;19;20;21;22;23;24;25;26;27;28;29;30;31;32},
    COUNTIFS($U$2:$U$200,$G376)&gt;0,
    COUNTIFS($V$2:$V$200,$G376)&gt;0,
    COUNTIFS($W$2:$W$200,$G376)&gt;0,
    COUNTIFS($X$2:$X$200,$G376)&gt;0,
    COUNTIFS($Y$2:$Y$200,$G376)&gt;0,
    COUNTIFS($Z$2:$Z$200,$G376)&gt;0,
    COUNTIFS($AA$2:$AA$200,$G376)&gt;0,
    COUNTIFS($AB$2:$AB$200,$G376)&gt;0,
    COUNTIFS($AC$2:$AC$200,$G376)&gt;0,
    COUNTIFS($AD$2:$AD$200,$G376)&gt;0,
    COUNTIFS($AE$2:$AE$200,$G376)&gt;0,
    COUNTIFS($AF$2:$AF$200,$G376)&gt;0,
    COUNTIFS($AG$2:$AG$200,$G376)&gt;0,
    COUNTIFS($AH$2:$AH$200,$G376)&gt;0,
    COUNTIFS($AI$2:$AI$200,$G376)&gt;0,
    COUNTIFS($AJ$2:$AJ$200,$G376)&gt;0,
    COUNTIFS($AK$2:$AK$200,$G376)&gt;0,
    COUNTIFS($AL$2:$AL$200,$G376)&gt;0,
    COUNTIFS($AM$2:$AM$200,$G376)&gt;0,
    COUNTIFS($AN$2:$AN$200,$G376)&gt;0,
    COUNTIFS($AO$2:$AO$200,$G376)&gt;0,
    COUNTIFS($AP$2:$AP$200,$G376)&gt;0,
    COUNTIFS($AQ$2:$AQ$200,$G376)&gt;0,
    COUNTIFS($AR$2:$AR$200,$G376)&gt;0,
    COUNTIFS($AS$2:$AS$200,$G376)&gt;0,
    COUNTIFS($AT$2:$AT$200,$G376)&gt;0,
    COUNTIFS($AU$2:$AU$200,$G376)&gt;0,
    COUNTIFS($AV$2:$AV$200,$G376)&gt;0,
    COUNTIFS($AW$2:$AW$200,$G376)&gt;0,
    COUNTIFS($AX$2:$AX$200,$G376)&gt;0
   ),
  0)
 ),
"")</f>
        <v>Fractius</v>
      </c>
      <c r="D376" s="3" t="str" cm="1">
        <f t="array" aca="1" ref="D376" ca="1">IFERROR(
 INDEX(
  _xlfn._xlws.FILTER($U$1:$AV$1,
   TRANSPOSE(
    CHOOSE({1;2;3;4;5;6;7;8;9;10;11;12;13;14;15;16;17;18;19;20;21;22;23;24;25;26;27;28},
     COUNTIFS($U$2:$U$200,$G376)&gt;0,
     COUNTIFS($V$2:$V$200,$G376)&gt;0,
     COUNTIFS($W$2:$W$200,$G376)&gt;0,
     COUNTIFS($X$2:$X$200,$G376)&gt;0,
     COUNTIFS($Y$2:$Y$200,$G376)&gt;0,
     COUNTIFS($Z$2:$Z$200,$G376)&gt;0,
     COUNTIFS($AA$2:$AA$200,$G376)&gt;0,
     COUNTIFS($AB$2:$AB$200,$G376)&gt;0,
     COUNTIFS($AC$2:$AC$200,$G376)&gt;0,
     COUNTIFS($AD$2:$AD$200,$G376)&gt;0,
     COUNTIFS($AE$2:$AE$200,$G376)&gt;0,
     COUNTIFS($AF$2:$AF$200,$G376)&gt;0,
     COUNTIFS($AG$2:$AG$200,$G376)&gt;0,
     COUNTIFS($AH$2:$AH$200,$G376)&gt;0,
     COUNTIFS($AI$2:$AI$200,$G376)&gt;0,
     COUNTIFS($AJ$2:$AJ$200,$G376)&gt;0,
     COUNTIFS($AK$2:$AK$200,$G376)&gt;0,
     COUNTIFS($AL$2:$AL$200,$G376)&gt;0,
     COUNTIFS($AM$2:$AM$200,$G376)&gt;0,
     COUNTIFS($AN$2:$AN$200,$G376)&gt;0,
     COUNTIFS($AO$2:$AO$200,$G376)&gt;0,
     COUNTIFS($AP$2:$AP$200,$G376)&gt;0,
     COUNTIFS($AQ$2:$AQ$200,$G376)&gt;0,
     COUNTIFS($AR$2:$AR$200,$G376)&gt;0,
     COUNTIFS($AS$2:$AS$200,$G376)&gt;0,
     COUNTIFS($AT$2:$AT$200,$G376)&gt;0,
     COUNTIFS($AU$2:$AU$200,$G376)&gt;0,
     COUNTIFS($AV$2:$AV$200,$G376)&gt;0
   )),
  ),
  2
 ),
"")</f>
        <v/>
      </c>
      <c r="E376" s="3" t="str" cm="1">
        <f t="array" aca="1" ref="E376" ca="1">IFERROR(
 INDEX($U$1:$AV$1,
  _xlfn.AGGREGATE(15,6,
   (COLUMN($U$1:$AV$1)-COLUMN($U$1)+1)/
   TRANSPOSE(
    CHOOSE({1;2;3;4;5;6;7;8;9;10;11;12;13;14;15;16;17;18;19;20;21;22;23;24;25;26;27;28},
     COUNTIFS($U$2:$U$200,$G376)&gt;0,
     COUNTIFS($V$2:$V$200,$G376)&gt;0,
     COUNTIFS($W$2:$W$200,$G376)&gt;0,
     COUNTIFS($X$2:$X$200,$G376)&gt;0,
     COUNTIFS($Y$2:$Y$200,$G376)&gt;0,
     COUNTIFS($Z$2:$Z$200,$G376)&gt;0,
     COUNTIFS($AA$2:$AA$200,$G376)&gt;0,
     COUNTIFS($AB$2:$AB$200,$G376)&gt;0,
     COUNTIFS($AC$2:$AC$200,$G376)&gt;0,
     COUNTIFS($AD$2:$AD$200,$G376)&gt;0,
     COUNTIFS($AE$2:$AE$200,$G376)&gt;0,
     COUNTIFS($AF$2:$AF$200,$G376)&gt;0,
     COUNTIFS($AG$2:$AG$200,$G376)&gt;0,
     COUNTIFS($AH$2:$AH$200,$G376)&gt;0,
     COUNTIFS($AI$2:$AI$200,$G376)&gt;0,
     COUNTIFS($AJ$2:$AJ$200,$G376)&gt;0,
     COUNTIFS($AK$2:$AK$200,$G376)&gt;0,
     COUNTIFS($AL$2:$AL$200,$G376)&gt;0,
     COUNTIFS($AM$2:$AM$200,$G376)&gt;0,
     COUNTIFS($AN$2:$AN$200,$G376)&gt;0,
     COUNTIFS($AO$2:$AO$200,$G376)&gt;0,
     COUNTIFS($AP$2:$AP$200,$G376)&gt;0,
     COUNTIFS($AQ$2:$AQ$200,$G376)&gt;0,
     COUNTIFS($AR$2:$AR$200,$G376)&gt;0,
     COUNTIFS($AS$2:$AS$200,$G376)&gt;0,
     COUNTIFS($AT$2:$AT$200,$G376)&gt;0,
     COUNTIFS($AU$2:$AU$200,$G376)&gt;0,
     COUNTIFS($AV$2:$AV$200,$G376)&gt;0
   )),
  3)
 ),
"")</f>
        <v/>
      </c>
      <c r="F376" s="3" t="str" cm="1">
        <f t="array" aca="1" ref="F376" ca="1">IFERROR(
 INDEX($U$1:$AV$1,
  _xlfn.AGGREGATE(15,6,
   (COLUMN($U$1:$AV$1)-COLUMN($U$1)+1)/
   TRANSPOSE(
    CHOOSE({1;2;3;4;5;6;7;8;9;10;11;12;13;14;15;16;17;18;19;20;21;22;23;24;25;26;27;28},
     COUNTIFS($U$2:$U$200,$G376)&gt;0,
     COUNTIFS($V$2:$V$200,$G376)&gt;0,
     COUNTIFS($W$2:$W$200,$G376)&gt;0,
     COUNTIFS($X$2:$X$200,$G376)&gt;0,
     COUNTIFS($Y$2:$Y$200,$G376)&gt;0,
     COUNTIFS($Z$2:$Z$200,$G376)&gt;0,
     COUNTIFS($AA$2:$AA$200,$G376)&gt;0,
     COUNTIFS($AB$2:$AB$200,$G376)&gt;0,
     COUNTIFS($AC$2:$AC$200,$G376)&gt;0,
     COUNTIFS($AD$2:$AD$200,$G376)&gt;0,
     COUNTIFS($AE$2:$AE$200,$G376)&gt;0,
     COUNTIFS($AF$2:$AF$200,$G376)&gt;0,
     COUNTIFS($AG$2:$AG$200,$G376)&gt;0,
     COUNTIFS($AH$2:$AH$200,$G376)&gt;0,
     COUNTIFS($AI$2:$AI$200,$G376)&gt;0,
     COUNTIFS($AJ$2:$AJ$200,$G376)&gt;0,
     COUNTIFS($AK$2:$AK$200,$G376)&gt;0,
     COUNTIFS($AL$2:$AL$200,$G376)&gt;0,
     COUNTIFS($AM$2:$AM$200,$G376)&gt;0,
     COUNTIFS($AN$2:$AN$200,$G376)&gt;0,
     COUNTIFS($AO$2:$AO$200,$G376)&gt;0,
     COUNTIFS($AP$2:$AP$200,$G376)&gt;0,
     COUNTIFS($AQ$2:$AQ$200,$G376)&gt;0,
     COUNTIFS($AR$2:$AR$200,$G376)&gt;0,
     COUNTIFS($AS$2:$AS$200,$G376)&gt;0,
     COUNTIFS($AT$2:$AT$200,$G376)&gt;0,
     COUNTIFS($AU$2:$AU$200,$G376)&gt;0,
     COUNTIFS($AV$2:$AV$200,$G376)&gt;0
   )),
  4)
 ),
"")</f>
        <v/>
      </c>
      <c r="G376" t="str">
        <f ca="1"/>
        <v>Trioma de Indatha</v>
      </c>
    </row>
    <row r="377" spans="1:7" x14ac:dyDescent="0.25">
      <c r="A377" s="3" t="str">
        <f t="shared" ca="1" si="12"/>
        <v>4</v>
      </c>
      <c r="B377" s="3">
        <f t="shared" ca="1" si="13"/>
        <v>1</v>
      </c>
      <c r="C377" s="3" t="str">
        <f ca="1">IFERROR(
 INDEX($U$1:$AX$1,
  MATCH(TRUE,
   CHOOSE({1;2;3;4;5;6;7;8;9;10;11;12;13;14;15;16;17;18;19;20;21;22;23;24;25;26;27;28;29;30;31;32},
    COUNTIFS($U$2:$U$200,$G377)&gt;0,
    COUNTIFS($V$2:$V$200,$G377)&gt;0,
    COUNTIFS($W$2:$W$200,$G377)&gt;0,
    COUNTIFS($X$2:$X$200,$G377)&gt;0,
    COUNTIFS($Y$2:$Y$200,$G377)&gt;0,
    COUNTIFS($Z$2:$Z$200,$G377)&gt;0,
    COUNTIFS($AA$2:$AA$200,$G377)&gt;0,
    COUNTIFS($AB$2:$AB$200,$G377)&gt;0,
    COUNTIFS($AC$2:$AC$200,$G377)&gt;0,
    COUNTIFS($AD$2:$AD$200,$G377)&gt;0,
    COUNTIFS($AE$2:$AE$200,$G377)&gt;0,
    COUNTIFS($AF$2:$AF$200,$G377)&gt;0,
    COUNTIFS($AG$2:$AG$200,$G377)&gt;0,
    COUNTIFS($AH$2:$AH$200,$G377)&gt;0,
    COUNTIFS($AI$2:$AI$200,$G377)&gt;0,
    COUNTIFS($AJ$2:$AJ$200,$G377)&gt;0,
    COUNTIFS($AK$2:$AK$200,$G377)&gt;0,
    COUNTIFS($AL$2:$AL$200,$G377)&gt;0,
    COUNTIFS($AM$2:$AM$200,$G377)&gt;0,
    COUNTIFS($AN$2:$AN$200,$G377)&gt;0,
    COUNTIFS($AO$2:$AO$200,$G377)&gt;0,
    COUNTIFS($AP$2:$AP$200,$G377)&gt;0,
    COUNTIFS($AQ$2:$AQ$200,$G377)&gt;0,
    COUNTIFS($AR$2:$AR$200,$G377)&gt;0,
    COUNTIFS($AS$2:$AS$200,$G377)&gt;0,
    COUNTIFS($AT$2:$AT$200,$G377)&gt;0,
    COUNTIFS($AU$2:$AU$200,$G377)&gt;0,
    COUNTIFS($AV$2:$AV$200,$G377)&gt;0,
    COUNTIFS($AW$2:$AW$200,$G377)&gt;0,
    COUNTIFS($AX$2:$AX$200,$G377)&gt;0
   ),
  0)
 ),
"")</f>
        <v>Fractius</v>
      </c>
      <c r="D377" s="3" t="str" cm="1">
        <f t="array" aca="1" ref="D377" ca="1">IFERROR(
 INDEX(
  _xlfn._xlws.FILTER($U$1:$AV$1,
   TRANSPOSE(
    CHOOSE({1;2;3;4;5;6;7;8;9;10;11;12;13;14;15;16;17;18;19;20;21;22;23;24;25;26;27;28},
     COUNTIFS($U$2:$U$200,$G377)&gt;0,
     COUNTIFS($V$2:$V$200,$G377)&gt;0,
     COUNTIFS($W$2:$W$200,$G377)&gt;0,
     COUNTIFS($X$2:$X$200,$G377)&gt;0,
     COUNTIFS($Y$2:$Y$200,$G377)&gt;0,
     COUNTIFS($Z$2:$Z$200,$G377)&gt;0,
     COUNTIFS($AA$2:$AA$200,$G377)&gt;0,
     COUNTIFS($AB$2:$AB$200,$G377)&gt;0,
     COUNTIFS($AC$2:$AC$200,$G377)&gt;0,
     COUNTIFS($AD$2:$AD$200,$G377)&gt;0,
     COUNTIFS($AE$2:$AE$200,$G377)&gt;0,
     COUNTIFS($AF$2:$AF$200,$G377)&gt;0,
     COUNTIFS($AG$2:$AG$200,$G377)&gt;0,
     COUNTIFS($AH$2:$AH$200,$G377)&gt;0,
     COUNTIFS($AI$2:$AI$200,$G377)&gt;0,
     COUNTIFS($AJ$2:$AJ$200,$G377)&gt;0,
     COUNTIFS($AK$2:$AK$200,$G377)&gt;0,
     COUNTIFS($AL$2:$AL$200,$G377)&gt;0,
     COUNTIFS($AM$2:$AM$200,$G377)&gt;0,
     COUNTIFS($AN$2:$AN$200,$G377)&gt;0,
     COUNTIFS($AO$2:$AO$200,$G377)&gt;0,
     COUNTIFS($AP$2:$AP$200,$G377)&gt;0,
     COUNTIFS($AQ$2:$AQ$200,$G377)&gt;0,
     COUNTIFS($AR$2:$AR$200,$G377)&gt;0,
     COUNTIFS($AS$2:$AS$200,$G377)&gt;0,
     COUNTIFS($AT$2:$AT$200,$G377)&gt;0,
     COUNTIFS($AU$2:$AU$200,$G377)&gt;0,
     COUNTIFS($AV$2:$AV$200,$G377)&gt;0
   )),
  ),
  2
 ),
"")</f>
        <v/>
      </c>
      <c r="E377" s="3" t="str" cm="1">
        <f t="array" aca="1" ref="E377" ca="1">IFERROR(
 INDEX($U$1:$AV$1,
  _xlfn.AGGREGATE(15,6,
   (COLUMN($U$1:$AV$1)-COLUMN($U$1)+1)/
   TRANSPOSE(
    CHOOSE({1;2;3;4;5;6;7;8;9;10;11;12;13;14;15;16;17;18;19;20;21;22;23;24;25;26;27;28},
     COUNTIFS($U$2:$U$200,$G377)&gt;0,
     COUNTIFS($V$2:$V$200,$G377)&gt;0,
     COUNTIFS($W$2:$W$200,$G377)&gt;0,
     COUNTIFS($X$2:$X$200,$G377)&gt;0,
     COUNTIFS($Y$2:$Y$200,$G377)&gt;0,
     COUNTIFS($Z$2:$Z$200,$G377)&gt;0,
     COUNTIFS($AA$2:$AA$200,$G377)&gt;0,
     COUNTIFS($AB$2:$AB$200,$G377)&gt;0,
     COUNTIFS($AC$2:$AC$200,$G377)&gt;0,
     COUNTIFS($AD$2:$AD$200,$G377)&gt;0,
     COUNTIFS($AE$2:$AE$200,$G377)&gt;0,
     COUNTIFS($AF$2:$AF$200,$G377)&gt;0,
     COUNTIFS($AG$2:$AG$200,$G377)&gt;0,
     COUNTIFS($AH$2:$AH$200,$G377)&gt;0,
     COUNTIFS($AI$2:$AI$200,$G377)&gt;0,
     COUNTIFS($AJ$2:$AJ$200,$G377)&gt;0,
     COUNTIFS($AK$2:$AK$200,$G377)&gt;0,
     COUNTIFS($AL$2:$AL$200,$G377)&gt;0,
     COUNTIFS($AM$2:$AM$200,$G377)&gt;0,
     COUNTIFS($AN$2:$AN$200,$G377)&gt;0,
     COUNTIFS($AO$2:$AO$200,$G377)&gt;0,
     COUNTIFS($AP$2:$AP$200,$G377)&gt;0,
     COUNTIFS($AQ$2:$AQ$200,$G377)&gt;0,
     COUNTIFS($AR$2:$AR$200,$G377)&gt;0,
     COUNTIFS($AS$2:$AS$200,$G377)&gt;0,
     COUNTIFS($AT$2:$AT$200,$G377)&gt;0,
     COUNTIFS($AU$2:$AU$200,$G377)&gt;0,
     COUNTIFS($AV$2:$AV$200,$G377)&gt;0
   )),
  3)
 ),
"")</f>
        <v/>
      </c>
      <c r="F377" s="3" t="str" cm="1">
        <f t="array" aca="1" ref="F377" ca="1">IFERROR(
 INDEX($U$1:$AV$1,
  _xlfn.AGGREGATE(15,6,
   (COLUMN($U$1:$AV$1)-COLUMN($U$1)+1)/
   TRANSPOSE(
    CHOOSE({1;2;3;4;5;6;7;8;9;10;11;12;13;14;15;16;17;18;19;20;21;22;23;24;25;26;27;28},
     COUNTIFS($U$2:$U$200,$G377)&gt;0,
     COUNTIFS($V$2:$V$200,$G377)&gt;0,
     COUNTIFS($W$2:$W$200,$G377)&gt;0,
     COUNTIFS($X$2:$X$200,$G377)&gt;0,
     COUNTIFS($Y$2:$Y$200,$G377)&gt;0,
     COUNTIFS($Z$2:$Z$200,$G377)&gt;0,
     COUNTIFS($AA$2:$AA$200,$G377)&gt;0,
     COUNTIFS($AB$2:$AB$200,$G377)&gt;0,
     COUNTIFS($AC$2:$AC$200,$G377)&gt;0,
     COUNTIFS($AD$2:$AD$200,$G377)&gt;0,
     COUNTIFS($AE$2:$AE$200,$G377)&gt;0,
     COUNTIFS($AF$2:$AF$200,$G377)&gt;0,
     COUNTIFS($AG$2:$AG$200,$G377)&gt;0,
     COUNTIFS($AH$2:$AH$200,$G377)&gt;0,
     COUNTIFS($AI$2:$AI$200,$G377)&gt;0,
     COUNTIFS($AJ$2:$AJ$200,$G377)&gt;0,
     COUNTIFS($AK$2:$AK$200,$G377)&gt;0,
     COUNTIFS($AL$2:$AL$200,$G377)&gt;0,
     COUNTIFS($AM$2:$AM$200,$G377)&gt;0,
     COUNTIFS($AN$2:$AN$200,$G377)&gt;0,
     COUNTIFS($AO$2:$AO$200,$G377)&gt;0,
     COUNTIFS($AP$2:$AP$200,$G377)&gt;0,
     COUNTIFS($AQ$2:$AQ$200,$G377)&gt;0,
     COUNTIFS($AR$2:$AR$200,$G377)&gt;0,
     COUNTIFS($AS$2:$AS$200,$G377)&gt;0,
     COUNTIFS($AT$2:$AT$200,$G377)&gt;0,
     COUNTIFS($AU$2:$AU$200,$G377)&gt;0,
     COUNTIFS($AV$2:$AV$200,$G377)&gt;0
   )),
  4)
 ),
"")</f>
        <v/>
      </c>
      <c r="G377" t="str">
        <f ca="1"/>
        <v>Trioma de Raugrin</v>
      </c>
    </row>
    <row r="378" spans="1:7" x14ac:dyDescent="0.25">
      <c r="A378" s="3" t="str">
        <f t="shared" ca="1" si="12"/>
        <v>4</v>
      </c>
      <c r="B378" s="3">
        <f t="shared" ca="1" si="13"/>
        <v>1</v>
      </c>
      <c r="C378" s="3" t="str">
        <f ca="1">IFERROR(
 INDEX($U$1:$AX$1,
  MATCH(TRUE,
   CHOOSE({1;2;3;4;5;6;7;8;9;10;11;12;13;14;15;16;17;18;19;20;21;22;23;24;25;26;27;28;29;30;31;32},
    COUNTIFS($U$2:$U$200,$G378)&gt;0,
    COUNTIFS($V$2:$V$200,$G378)&gt;0,
    COUNTIFS($W$2:$W$200,$G378)&gt;0,
    COUNTIFS($X$2:$X$200,$G378)&gt;0,
    COUNTIFS($Y$2:$Y$200,$G378)&gt;0,
    COUNTIFS($Z$2:$Z$200,$G378)&gt;0,
    COUNTIFS($AA$2:$AA$200,$G378)&gt;0,
    COUNTIFS($AB$2:$AB$200,$G378)&gt;0,
    COUNTIFS($AC$2:$AC$200,$G378)&gt;0,
    COUNTIFS($AD$2:$AD$200,$G378)&gt;0,
    COUNTIFS($AE$2:$AE$200,$G378)&gt;0,
    COUNTIFS($AF$2:$AF$200,$G378)&gt;0,
    COUNTIFS($AG$2:$AG$200,$G378)&gt;0,
    COUNTIFS($AH$2:$AH$200,$G378)&gt;0,
    COUNTIFS($AI$2:$AI$200,$G378)&gt;0,
    COUNTIFS($AJ$2:$AJ$200,$G378)&gt;0,
    COUNTIFS($AK$2:$AK$200,$G378)&gt;0,
    COUNTIFS($AL$2:$AL$200,$G378)&gt;0,
    COUNTIFS($AM$2:$AM$200,$G378)&gt;0,
    COUNTIFS($AN$2:$AN$200,$G378)&gt;0,
    COUNTIFS($AO$2:$AO$200,$G378)&gt;0,
    COUNTIFS($AP$2:$AP$200,$G378)&gt;0,
    COUNTIFS($AQ$2:$AQ$200,$G378)&gt;0,
    COUNTIFS($AR$2:$AR$200,$G378)&gt;0,
    COUNTIFS($AS$2:$AS$200,$G378)&gt;0,
    COUNTIFS($AT$2:$AT$200,$G378)&gt;0,
    COUNTIFS($AU$2:$AU$200,$G378)&gt;0,
    COUNTIFS($AV$2:$AV$200,$G378)&gt;0,
    COUNTIFS($AW$2:$AW$200,$G378)&gt;0,
    COUNTIFS($AX$2:$AX$200,$G378)&gt;0
   ),
  0)
 ),
"")</f>
        <v>Fractius</v>
      </c>
      <c r="D378" s="3" t="str" cm="1">
        <f t="array" aca="1" ref="D378" ca="1">IFERROR(
 INDEX(
  _xlfn._xlws.FILTER($U$1:$AV$1,
   TRANSPOSE(
    CHOOSE({1;2;3;4;5;6;7;8;9;10;11;12;13;14;15;16;17;18;19;20;21;22;23;24;25;26;27;28},
     COUNTIFS($U$2:$U$200,$G378)&gt;0,
     COUNTIFS($V$2:$V$200,$G378)&gt;0,
     COUNTIFS($W$2:$W$200,$G378)&gt;0,
     COUNTIFS($X$2:$X$200,$G378)&gt;0,
     COUNTIFS($Y$2:$Y$200,$G378)&gt;0,
     COUNTIFS($Z$2:$Z$200,$G378)&gt;0,
     COUNTIFS($AA$2:$AA$200,$G378)&gt;0,
     COUNTIFS($AB$2:$AB$200,$G378)&gt;0,
     COUNTIFS($AC$2:$AC$200,$G378)&gt;0,
     COUNTIFS($AD$2:$AD$200,$G378)&gt;0,
     COUNTIFS($AE$2:$AE$200,$G378)&gt;0,
     COUNTIFS($AF$2:$AF$200,$G378)&gt;0,
     COUNTIFS($AG$2:$AG$200,$G378)&gt;0,
     COUNTIFS($AH$2:$AH$200,$G378)&gt;0,
     COUNTIFS($AI$2:$AI$200,$G378)&gt;0,
     COUNTIFS($AJ$2:$AJ$200,$G378)&gt;0,
     COUNTIFS($AK$2:$AK$200,$G378)&gt;0,
     COUNTIFS($AL$2:$AL$200,$G378)&gt;0,
     COUNTIFS($AM$2:$AM$200,$G378)&gt;0,
     COUNTIFS($AN$2:$AN$200,$G378)&gt;0,
     COUNTIFS($AO$2:$AO$200,$G378)&gt;0,
     COUNTIFS($AP$2:$AP$200,$G378)&gt;0,
     COUNTIFS($AQ$2:$AQ$200,$G378)&gt;0,
     COUNTIFS($AR$2:$AR$200,$G378)&gt;0,
     COUNTIFS($AS$2:$AS$200,$G378)&gt;0,
     COUNTIFS($AT$2:$AT$200,$G378)&gt;0,
     COUNTIFS($AU$2:$AU$200,$G378)&gt;0,
     COUNTIFS($AV$2:$AV$200,$G378)&gt;0
   )),
  ),
  2
 ),
"")</f>
        <v/>
      </c>
      <c r="E378" s="3" t="str" cm="1">
        <f t="array" aca="1" ref="E378" ca="1">IFERROR(
 INDEX($U$1:$AV$1,
  _xlfn.AGGREGATE(15,6,
   (COLUMN($U$1:$AV$1)-COLUMN($U$1)+1)/
   TRANSPOSE(
    CHOOSE({1;2;3;4;5;6;7;8;9;10;11;12;13;14;15;16;17;18;19;20;21;22;23;24;25;26;27;28},
     COUNTIFS($U$2:$U$200,$G378)&gt;0,
     COUNTIFS($V$2:$V$200,$G378)&gt;0,
     COUNTIFS($W$2:$W$200,$G378)&gt;0,
     COUNTIFS($X$2:$X$200,$G378)&gt;0,
     COUNTIFS($Y$2:$Y$200,$G378)&gt;0,
     COUNTIFS($Z$2:$Z$200,$G378)&gt;0,
     COUNTIFS($AA$2:$AA$200,$G378)&gt;0,
     COUNTIFS($AB$2:$AB$200,$G378)&gt;0,
     COUNTIFS($AC$2:$AC$200,$G378)&gt;0,
     COUNTIFS($AD$2:$AD$200,$G378)&gt;0,
     COUNTIFS($AE$2:$AE$200,$G378)&gt;0,
     COUNTIFS($AF$2:$AF$200,$G378)&gt;0,
     COUNTIFS($AG$2:$AG$200,$G378)&gt;0,
     COUNTIFS($AH$2:$AH$200,$G378)&gt;0,
     COUNTIFS($AI$2:$AI$200,$G378)&gt;0,
     COUNTIFS($AJ$2:$AJ$200,$G378)&gt;0,
     COUNTIFS($AK$2:$AK$200,$G378)&gt;0,
     COUNTIFS($AL$2:$AL$200,$G378)&gt;0,
     COUNTIFS($AM$2:$AM$200,$G378)&gt;0,
     COUNTIFS($AN$2:$AN$200,$G378)&gt;0,
     COUNTIFS($AO$2:$AO$200,$G378)&gt;0,
     COUNTIFS($AP$2:$AP$200,$G378)&gt;0,
     COUNTIFS($AQ$2:$AQ$200,$G378)&gt;0,
     COUNTIFS($AR$2:$AR$200,$G378)&gt;0,
     COUNTIFS($AS$2:$AS$200,$G378)&gt;0,
     COUNTIFS($AT$2:$AT$200,$G378)&gt;0,
     COUNTIFS($AU$2:$AU$200,$G378)&gt;0,
     COUNTIFS($AV$2:$AV$200,$G378)&gt;0
   )),
  3)
 ),
"")</f>
        <v/>
      </c>
      <c r="F378" s="3" t="str" cm="1">
        <f t="array" aca="1" ref="F378" ca="1">IFERROR(
 INDEX($U$1:$AV$1,
  _xlfn.AGGREGATE(15,6,
   (COLUMN($U$1:$AV$1)-COLUMN($U$1)+1)/
   TRANSPOSE(
    CHOOSE({1;2;3;4;5;6;7;8;9;10;11;12;13;14;15;16;17;18;19;20;21;22;23;24;25;26;27;28},
     COUNTIFS($U$2:$U$200,$G378)&gt;0,
     COUNTIFS($V$2:$V$200,$G378)&gt;0,
     COUNTIFS($W$2:$W$200,$G378)&gt;0,
     COUNTIFS($X$2:$X$200,$G378)&gt;0,
     COUNTIFS($Y$2:$Y$200,$G378)&gt;0,
     COUNTIFS($Z$2:$Z$200,$G378)&gt;0,
     COUNTIFS($AA$2:$AA$200,$G378)&gt;0,
     COUNTIFS($AB$2:$AB$200,$G378)&gt;0,
     COUNTIFS($AC$2:$AC$200,$G378)&gt;0,
     COUNTIFS($AD$2:$AD$200,$G378)&gt;0,
     COUNTIFS($AE$2:$AE$200,$G378)&gt;0,
     COUNTIFS($AF$2:$AF$200,$G378)&gt;0,
     COUNTIFS($AG$2:$AG$200,$G378)&gt;0,
     COUNTIFS($AH$2:$AH$200,$G378)&gt;0,
     COUNTIFS($AI$2:$AI$200,$G378)&gt;0,
     COUNTIFS($AJ$2:$AJ$200,$G378)&gt;0,
     COUNTIFS($AK$2:$AK$200,$G378)&gt;0,
     COUNTIFS($AL$2:$AL$200,$G378)&gt;0,
     COUNTIFS($AM$2:$AM$200,$G378)&gt;0,
     COUNTIFS($AN$2:$AN$200,$G378)&gt;0,
     COUNTIFS($AO$2:$AO$200,$G378)&gt;0,
     COUNTIFS($AP$2:$AP$200,$G378)&gt;0,
     COUNTIFS($AQ$2:$AQ$200,$G378)&gt;0,
     COUNTIFS($AR$2:$AR$200,$G378)&gt;0,
     COUNTIFS($AS$2:$AS$200,$G378)&gt;0,
     COUNTIFS($AT$2:$AT$200,$G378)&gt;0,
     COUNTIFS($AU$2:$AU$200,$G378)&gt;0,
     COUNTIFS($AV$2:$AV$200,$G378)&gt;0
   )),
  4)
 ),
"")</f>
        <v/>
      </c>
      <c r="G378" t="str">
        <f ca="1"/>
        <v>Trioma de Zagoth</v>
      </c>
    </row>
    <row r="379" spans="1:7" x14ac:dyDescent="0.25">
      <c r="A379" s="3" t="str">
        <f t="shared" ca="1" si="12"/>
        <v>1</v>
      </c>
      <c r="B379" s="3">
        <f t="shared" ca="1" si="13"/>
        <v>1</v>
      </c>
      <c r="C379" s="3" t="str">
        <f ca="1">IFERROR(
 INDEX($U$1:$AX$1,
  MATCH(TRUE,
   CHOOSE({1;2;3;4;5;6;7;8;9;10;11;12;13;14;15;16;17;18;19;20;21;22;23;24;25;26;27;28;29;30;31;32},
    COUNTIFS($U$2:$U$200,$G379)&gt;0,
    COUNTIFS($V$2:$V$200,$G379)&gt;0,
    COUNTIFS($W$2:$W$200,$G379)&gt;0,
    COUNTIFS($X$2:$X$200,$G379)&gt;0,
    COUNTIFS($Y$2:$Y$200,$G379)&gt;0,
    COUNTIFS($Z$2:$Z$200,$G379)&gt;0,
    COUNTIFS($AA$2:$AA$200,$G379)&gt;0,
    COUNTIFS($AB$2:$AB$200,$G379)&gt;0,
    COUNTIFS($AC$2:$AC$200,$G379)&gt;0,
    COUNTIFS($AD$2:$AD$200,$G379)&gt;0,
    COUNTIFS($AE$2:$AE$200,$G379)&gt;0,
    COUNTIFS($AF$2:$AF$200,$G379)&gt;0,
    COUNTIFS($AG$2:$AG$200,$G379)&gt;0,
    COUNTIFS($AH$2:$AH$200,$G379)&gt;0,
    COUNTIFS($AI$2:$AI$200,$G379)&gt;0,
    COUNTIFS($AJ$2:$AJ$200,$G379)&gt;0,
    COUNTIFS($AK$2:$AK$200,$G379)&gt;0,
    COUNTIFS($AL$2:$AL$200,$G379)&gt;0,
    COUNTIFS($AM$2:$AM$200,$G379)&gt;0,
    COUNTIFS($AN$2:$AN$200,$G379)&gt;0,
    COUNTIFS($AO$2:$AO$200,$G379)&gt;0,
    COUNTIFS($AP$2:$AP$200,$G379)&gt;0,
    COUNTIFS($AQ$2:$AQ$200,$G379)&gt;0,
    COUNTIFS($AR$2:$AR$200,$G379)&gt;0,
    COUNTIFS($AS$2:$AS$200,$G379)&gt;0,
    COUNTIFS($AT$2:$AT$200,$G379)&gt;0,
    COUNTIFS($AU$2:$AU$200,$G379)&gt;0,
    COUNTIFS($AV$2:$AV$200,$G379)&gt;0,
    COUNTIFS($AW$2:$AW$200,$G379)&gt;0,
    COUNTIFS($AX$2:$AX$200,$G379)&gt;0
   ),
  0)
 ),
"")</f>
        <v>Tayam</v>
      </c>
      <c r="G379" t="str">
        <f ca="1"/>
        <v>Tromell, Seymour's Butler</v>
      </c>
    </row>
    <row r="380" spans="1:7" x14ac:dyDescent="0.25">
      <c r="A380" s="3" t="str">
        <f t="shared" ca="1" si="12"/>
        <v>3</v>
      </c>
      <c r="B380" s="3">
        <f t="shared" ca="1" si="13"/>
        <v>2</v>
      </c>
      <c r="C380" s="3" t="str">
        <f ca="1">IFERROR(
 INDEX($U$1:$AX$1,
  MATCH(TRUE,
   CHOOSE({1;2;3;4;5;6;7;8;9;10;11;12;13;14;15;16;17;18;19;20;21;22;23;24;25;26;27;28;29;30;31;32},
    COUNTIFS($U$2:$U$200,$G380)&gt;0,
    COUNTIFS($V$2:$V$200,$G380)&gt;0,
    COUNTIFS($W$2:$W$200,$G380)&gt;0,
    COUNTIFS($X$2:$X$200,$G380)&gt;0,
    COUNTIFS($Y$2:$Y$200,$G380)&gt;0,
    COUNTIFS($Z$2:$Z$200,$G380)&gt;0,
    COUNTIFS($AA$2:$AA$200,$G380)&gt;0,
    COUNTIFS($AB$2:$AB$200,$G380)&gt;0,
    COUNTIFS($AC$2:$AC$200,$G380)&gt;0,
    COUNTIFS($AD$2:$AD$200,$G380)&gt;0,
    COUNTIFS($AE$2:$AE$200,$G380)&gt;0,
    COUNTIFS($AF$2:$AF$200,$G380)&gt;0,
    COUNTIFS($AG$2:$AG$200,$G380)&gt;0,
    COUNTIFS($AH$2:$AH$200,$G380)&gt;0,
    COUNTIFS($AI$2:$AI$200,$G380)&gt;0,
    COUNTIFS($AJ$2:$AJ$200,$G380)&gt;0,
    COUNTIFS($AK$2:$AK$200,$G380)&gt;0,
    COUNTIFS($AL$2:$AL$200,$G380)&gt;0,
    COUNTIFS($AM$2:$AM$200,$G380)&gt;0,
    COUNTIFS($AN$2:$AN$200,$G380)&gt;0,
    COUNTIFS($AO$2:$AO$200,$G380)&gt;0,
    COUNTIFS($AP$2:$AP$200,$G380)&gt;0,
    COUNTIFS($AQ$2:$AQ$200,$G380)&gt;0,
    COUNTIFS($AR$2:$AR$200,$G380)&gt;0,
    COUNTIFS($AS$2:$AS$200,$G380)&gt;0,
    COUNTIFS($AT$2:$AT$200,$G380)&gt;0,
    COUNTIFS($AU$2:$AU$200,$G380)&gt;0,
    COUNTIFS($AV$2:$AV$200,$G380)&gt;0,
    COUNTIFS($AW$2:$AW$200,$G380)&gt;0,
    COUNTIFS($AX$2:$AX$200,$G380)&gt;0
   ),
  0)
 ),
"")</f>
        <v>JhoiraB</v>
      </c>
      <c r="G380" t="str">
        <f ca="1"/>
        <v>Ulamog, o Profanador</v>
      </c>
    </row>
    <row r="381" spans="1:7" x14ac:dyDescent="0.25">
      <c r="A381" s="3" t="str">
        <f t="shared" ca="1" si="12"/>
        <v>3</v>
      </c>
      <c r="B381" s="3">
        <f t="shared" ca="1" si="13"/>
        <v>1</v>
      </c>
      <c r="C381" s="3" t="str">
        <f ca="1">IFERROR(
 INDEX($U$1:$AX$1,
  MATCH(TRUE,
   CHOOSE({1;2;3;4;5;6;7;8;9;10;11;12;13;14;15;16;17;18;19;20;21;22;23;24;25;26;27;28;29;30;31;32},
    COUNTIFS($U$2:$U$200,$G381)&gt;0,
    COUNTIFS($V$2:$V$200,$G381)&gt;0,
    COUNTIFS($W$2:$W$200,$G381)&gt;0,
    COUNTIFS($X$2:$X$200,$G381)&gt;0,
    COUNTIFS($Y$2:$Y$200,$G381)&gt;0,
    COUNTIFS($Z$2:$Z$200,$G381)&gt;0,
    COUNTIFS($AA$2:$AA$200,$G381)&gt;0,
    COUNTIFS($AB$2:$AB$200,$G381)&gt;0,
    COUNTIFS($AC$2:$AC$200,$G381)&gt;0,
    COUNTIFS($AD$2:$AD$200,$G381)&gt;0,
    COUNTIFS($AE$2:$AE$200,$G381)&gt;0,
    COUNTIFS($AF$2:$AF$200,$G381)&gt;0,
    COUNTIFS($AG$2:$AG$200,$G381)&gt;0,
    COUNTIFS($AH$2:$AH$200,$G381)&gt;0,
    COUNTIFS($AI$2:$AI$200,$G381)&gt;0,
    COUNTIFS($AJ$2:$AJ$200,$G381)&gt;0,
    COUNTIFS($AK$2:$AK$200,$G381)&gt;0,
    COUNTIFS($AL$2:$AL$200,$G381)&gt;0,
    COUNTIFS($AM$2:$AM$200,$G381)&gt;0,
    COUNTIFS($AN$2:$AN$200,$G381)&gt;0,
    COUNTIFS($AO$2:$AO$200,$G381)&gt;0,
    COUNTIFS($AP$2:$AP$200,$G381)&gt;0,
    COUNTIFS($AQ$2:$AQ$200,$G381)&gt;0,
    COUNTIFS($AR$2:$AR$200,$G381)&gt;0,
    COUNTIFS($AS$2:$AS$200,$G381)&gt;0,
    COUNTIFS($AT$2:$AT$200,$G381)&gt;0,
    COUNTIFS($AU$2:$AU$200,$G381)&gt;0,
    COUNTIFS($AV$2:$AV$200,$G381)&gt;0,
    COUNTIFS($AW$2:$AW$200,$G381)&gt;0,
    COUNTIFS($AX$2:$AX$200,$G381)&gt;0
   ),
  0)
 ),
"")</f>
        <v>Gritrog</v>
      </c>
      <c r="G381" t="str">
        <f ca="1"/>
        <v>Ulamog, the Infinite Gyre</v>
      </c>
    </row>
    <row r="382" spans="1:7" x14ac:dyDescent="0.25">
      <c r="A382" s="3" t="str">
        <f t="shared" ca="1" si="12"/>
        <v>3</v>
      </c>
      <c r="B382" s="3">
        <f t="shared" ca="1" si="13"/>
        <v>1</v>
      </c>
      <c r="C382" s="3" t="str">
        <f ca="1">IFERROR(
 INDEX($U$1:$AX$1,
  MATCH(TRUE,
   CHOOSE({1;2;3;4;5;6;7;8;9;10;11;12;13;14;15;16;17;18;19;20;21;22;23;24;25;26;27;28;29;30;31;32},
    COUNTIFS($U$2:$U$200,$G382)&gt;0,
    COUNTIFS($V$2:$V$200,$G382)&gt;0,
    COUNTIFS($W$2:$W$200,$G382)&gt;0,
    COUNTIFS($X$2:$X$200,$G382)&gt;0,
    COUNTIFS($Y$2:$Y$200,$G382)&gt;0,
    COUNTIFS($Z$2:$Z$200,$G382)&gt;0,
    COUNTIFS($AA$2:$AA$200,$G382)&gt;0,
    COUNTIFS($AB$2:$AB$200,$G382)&gt;0,
    COUNTIFS($AC$2:$AC$200,$G382)&gt;0,
    COUNTIFS($AD$2:$AD$200,$G382)&gt;0,
    COUNTIFS($AE$2:$AE$200,$G382)&gt;0,
    COUNTIFS($AF$2:$AF$200,$G382)&gt;0,
    COUNTIFS($AG$2:$AG$200,$G382)&gt;0,
    COUNTIFS($AH$2:$AH$200,$G382)&gt;0,
    COUNTIFS($AI$2:$AI$200,$G382)&gt;0,
    COUNTIFS($AJ$2:$AJ$200,$G382)&gt;0,
    COUNTIFS($AK$2:$AK$200,$G382)&gt;0,
    COUNTIFS($AL$2:$AL$200,$G382)&gt;0,
    COUNTIFS($AM$2:$AM$200,$G382)&gt;0,
    COUNTIFS($AN$2:$AN$200,$G382)&gt;0,
    COUNTIFS($AO$2:$AO$200,$G382)&gt;0,
    COUNTIFS($AP$2:$AP$200,$G382)&gt;0,
    COUNTIFS($AQ$2:$AQ$200,$G382)&gt;0,
    COUNTIFS($AR$2:$AR$200,$G382)&gt;0,
    COUNTIFS($AS$2:$AS$200,$G382)&gt;0,
    COUNTIFS($AT$2:$AT$200,$G382)&gt;0,
    COUNTIFS($AU$2:$AU$200,$G382)&gt;0,
    COUNTIFS($AV$2:$AV$200,$G382)&gt;0,
    COUNTIFS($AW$2:$AW$200,$G382)&gt;0,
    COUNTIFS($AX$2:$AX$200,$G382)&gt;0
   ),
  0)
 ),
"")</f>
        <v>JhoiraB</v>
      </c>
      <c r="G382" t="str">
        <f ca="1"/>
        <v>Ulamog's Dreadsire</v>
      </c>
    </row>
    <row r="383" spans="1:7" x14ac:dyDescent="0.25">
      <c r="A383" s="3" t="str">
        <f t="shared" ca="1" si="12"/>
        <v>1</v>
      </c>
      <c r="B383" s="3">
        <f t="shared" ca="1" si="13"/>
        <v>1</v>
      </c>
      <c r="C383" s="3" t="str">
        <f ca="1">IFERROR(
 INDEX($U$1:$AX$1,
  MATCH(TRUE,
   CHOOSE({1;2;3;4;5;6;7;8;9;10;11;12;13;14;15;16;17;18;19;20;21;22;23;24;25;26;27;28;29;30;31;32},
    COUNTIFS($U$2:$U$200,$G383)&gt;0,
    COUNTIFS($V$2:$V$200,$G383)&gt;0,
    COUNTIFS($W$2:$W$200,$G383)&gt;0,
    COUNTIFS($X$2:$X$200,$G383)&gt;0,
    COUNTIFS($Y$2:$Y$200,$G383)&gt;0,
    COUNTIFS($Z$2:$Z$200,$G383)&gt;0,
    COUNTIFS($AA$2:$AA$200,$G383)&gt;0,
    COUNTIFS($AB$2:$AB$200,$G383)&gt;0,
    COUNTIFS($AC$2:$AC$200,$G383)&gt;0,
    COUNTIFS($AD$2:$AD$200,$G383)&gt;0,
    COUNTIFS($AE$2:$AE$200,$G383)&gt;0,
    COUNTIFS($AF$2:$AF$200,$G383)&gt;0,
    COUNTIFS($AG$2:$AG$200,$G383)&gt;0,
    COUNTIFS($AH$2:$AH$200,$G383)&gt;0,
    COUNTIFS($AI$2:$AI$200,$G383)&gt;0,
    COUNTIFS($AJ$2:$AJ$200,$G383)&gt;0,
    COUNTIFS($AK$2:$AK$200,$G383)&gt;0,
    COUNTIFS($AL$2:$AL$200,$G383)&gt;0,
    COUNTIFS($AM$2:$AM$200,$G383)&gt;0,
    COUNTIFS($AN$2:$AN$200,$G383)&gt;0,
    COUNTIFS($AO$2:$AO$200,$G383)&gt;0,
    COUNTIFS($AP$2:$AP$200,$G383)&gt;0,
    COUNTIFS($AQ$2:$AQ$200,$G383)&gt;0,
    COUNTIFS($AR$2:$AR$200,$G383)&gt;0,
    COUNTIFS($AS$2:$AS$200,$G383)&gt;0,
    COUNTIFS($AT$2:$AT$200,$G383)&gt;0,
    COUNTIFS($AU$2:$AU$200,$G383)&gt;0,
    COUNTIFS($AV$2:$AV$200,$G383)&gt;0,
    COUNTIFS($AW$2:$AW$200,$G383)&gt;0,
    COUNTIFS($AX$2:$AX$200,$G383)&gt;0
   ),
  0)
 ),
"")</f>
        <v>Tayam</v>
      </c>
      <c r="G383" t="str">
        <f ca="1"/>
        <v>Unbreakable Formation</v>
      </c>
    </row>
    <row r="384" spans="1:7" x14ac:dyDescent="0.25">
      <c r="A384" s="3" t="str">
        <f t="shared" ca="1" si="12"/>
        <v>3</v>
      </c>
      <c r="B384" s="3">
        <f t="shared" ca="1" si="13"/>
        <v>1</v>
      </c>
      <c r="C384" s="3" t="str">
        <f ca="1">IFERROR(
 INDEX($U$1:$AX$1,
  MATCH(TRUE,
   CHOOSE({1;2;3;4;5;6;7;8;9;10;11;12;13;14;15;16;17;18;19;20;21;22;23;24;25;26;27;28;29;30;31;32},
    COUNTIFS($U$2:$U$200,$G384)&gt;0,
    COUNTIFS($V$2:$V$200,$G384)&gt;0,
    COUNTIFS($W$2:$W$200,$G384)&gt;0,
    COUNTIFS($X$2:$X$200,$G384)&gt;0,
    COUNTIFS($Y$2:$Y$200,$G384)&gt;0,
    COUNTIFS($Z$2:$Z$200,$G384)&gt;0,
    COUNTIFS($AA$2:$AA$200,$G384)&gt;0,
    COUNTIFS($AB$2:$AB$200,$G384)&gt;0,
    COUNTIFS($AC$2:$AC$200,$G384)&gt;0,
    COUNTIFS($AD$2:$AD$200,$G384)&gt;0,
    COUNTIFS($AE$2:$AE$200,$G384)&gt;0,
    COUNTIFS($AF$2:$AF$200,$G384)&gt;0,
    COUNTIFS($AG$2:$AG$200,$G384)&gt;0,
    COUNTIFS($AH$2:$AH$200,$G384)&gt;0,
    COUNTIFS($AI$2:$AI$200,$G384)&gt;0,
    COUNTIFS($AJ$2:$AJ$200,$G384)&gt;0,
    COUNTIFS($AK$2:$AK$200,$G384)&gt;0,
    COUNTIFS($AL$2:$AL$200,$G384)&gt;0,
    COUNTIFS($AM$2:$AM$200,$G384)&gt;0,
    COUNTIFS($AN$2:$AN$200,$G384)&gt;0,
    COUNTIFS($AO$2:$AO$200,$G384)&gt;0,
    COUNTIFS($AP$2:$AP$200,$G384)&gt;0,
    COUNTIFS($AQ$2:$AQ$200,$G384)&gt;0,
    COUNTIFS($AR$2:$AR$200,$G384)&gt;0,
    COUNTIFS($AS$2:$AS$200,$G384)&gt;0,
    COUNTIFS($AT$2:$AT$200,$G384)&gt;0,
    COUNTIFS($AU$2:$AU$200,$G384)&gt;0,
    COUNTIFS($AV$2:$AV$200,$G384)&gt;0,
    COUNTIFS($AW$2:$AW$200,$G384)&gt;0,
    COUNTIFS($AX$2:$AX$200,$G384)&gt;0
   ),
  0)
 ),
"")</f>
        <v>Carlos</v>
      </c>
      <c r="G384" t="str">
        <f ca="1"/>
        <v>Unholy Annex // Ritual Chamber</v>
      </c>
    </row>
    <row r="385" spans="1:7" x14ac:dyDescent="0.25">
      <c r="A385" s="3" t="str">
        <f t="shared" ca="1" si="12"/>
        <v>4</v>
      </c>
      <c r="B385" s="3">
        <f t="shared" ca="1" si="13"/>
        <v>1</v>
      </c>
      <c r="C385" s="3" t="str">
        <f ca="1">IFERROR(
 INDEX($U$1:$AX$1,
  MATCH(TRUE,
   CHOOSE({1;2;3;4;5;6;7;8;9;10;11;12;13;14;15;16;17;18;19;20;21;22;23;24;25;26;27;28;29;30;31;32},
    COUNTIFS($U$2:$U$200,$G385)&gt;0,
    COUNTIFS($V$2:$V$200,$G385)&gt;0,
    COUNTIFS($W$2:$W$200,$G385)&gt;0,
    COUNTIFS($X$2:$X$200,$G385)&gt;0,
    COUNTIFS($Y$2:$Y$200,$G385)&gt;0,
    COUNTIFS($Z$2:$Z$200,$G385)&gt;0,
    COUNTIFS($AA$2:$AA$200,$G385)&gt;0,
    COUNTIFS($AB$2:$AB$200,$G385)&gt;0,
    COUNTIFS($AC$2:$AC$200,$G385)&gt;0,
    COUNTIFS($AD$2:$AD$200,$G385)&gt;0,
    COUNTIFS($AE$2:$AE$200,$G385)&gt;0,
    COUNTIFS($AF$2:$AF$200,$G385)&gt;0,
    COUNTIFS($AG$2:$AG$200,$G385)&gt;0,
    COUNTIFS($AH$2:$AH$200,$G385)&gt;0,
    COUNTIFS($AI$2:$AI$200,$G385)&gt;0,
    COUNTIFS($AJ$2:$AJ$200,$G385)&gt;0,
    COUNTIFS($AK$2:$AK$200,$G385)&gt;0,
    COUNTIFS($AL$2:$AL$200,$G385)&gt;0,
    COUNTIFS($AM$2:$AM$200,$G385)&gt;0,
    COUNTIFS($AN$2:$AN$200,$G385)&gt;0,
    COUNTIFS($AO$2:$AO$200,$G385)&gt;0,
    COUNTIFS($AP$2:$AP$200,$G385)&gt;0,
    COUNTIFS($AQ$2:$AQ$200,$G385)&gt;0,
    COUNTIFS($AR$2:$AR$200,$G385)&gt;0,
    COUNTIFS($AS$2:$AS$200,$G385)&gt;0,
    COUNTIFS($AT$2:$AT$200,$G385)&gt;0,
    COUNTIFS($AU$2:$AU$200,$G385)&gt;0,
    COUNTIFS($AV$2:$AV$200,$G385)&gt;0,
    COUNTIFS($AW$2:$AW$200,$G385)&gt;0,
    COUNTIFS($AX$2:$AX$200,$G385)&gt;0
   ),
  0)
 ),
"")</f>
        <v>Oona</v>
      </c>
      <c r="G385" t="str">
        <f ca="1"/>
        <v>Unstoppable Plan</v>
      </c>
    </row>
    <row r="386" spans="1:7" x14ac:dyDescent="0.25">
      <c r="A386" s="3" t="str">
        <f t="shared" ca="1" si="12"/>
        <v>5</v>
      </c>
      <c r="B386" s="3">
        <f t="shared" ca="1" si="13"/>
        <v>1</v>
      </c>
      <c r="C386" s="3" t="str">
        <f ca="1">IFERROR(
 INDEX($U$1:$AX$1,
  MATCH(TRUE,
   CHOOSE({1;2;3;4;5;6;7;8;9;10;11;12;13;14;15;16;17;18;19;20;21;22;23;24;25;26;27;28;29;30;31;32},
    COUNTIFS($U$2:$U$200,$G386)&gt;0,
    COUNTIFS($V$2:$V$200,$G386)&gt;0,
    COUNTIFS($W$2:$W$200,$G386)&gt;0,
    COUNTIFS($X$2:$X$200,$G386)&gt;0,
    COUNTIFS($Y$2:$Y$200,$G386)&gt;0,
    COUNTIFS($Z$2:$Z$200,$G386)&gt;0,
    COUNTIFS($AA$2:$AA$200,$G386)&gt;0,
    COUNTIFS($AB$2:$AB$200,$G386)&gt;0,
    COUNTIFS($AC$2:$AC$200,$G386)&gt;0,
    COUNTIFS($AD$2:$AD$200,$G386)&gt;0,
    COUNTIFS($AE$2:$AE$200,$G386)&gt;0,
    COUNTIFS($AF$2:$AF$200,$G386)&gt;0,
    COUNTIFS($AG$2:$AG$200,$G386)&gt;0,
    COUNTIFS($AH$2:$AH$200,$G386)&gt;0,
    COUNTIFS($AI$2:$AI$200,$G386)&gt;0,
    COUNTIFS($AJ$2:$AJ$200,$G386)&gt;0,
    COUNTIFS($AK$2:$AK$200,$G386)&gt;0,
    COUNTIFS($AL$2:$AL$200,$G386)&gt;0,
    COUNTIFS($AM$2:$AM$200,$G386)&gt;0,
    COUNTIFS($AN$2:$AN$200,$G386)&gt;0,
    COUNTIFS($AO$2:$AO$200,$G386)&gt;0,
    COUNTIFS($AP$2:$AP$200,$G386)&gt;0,
    COUNTIFS($AQ$2:$AQ$200,$G386)&gt;0,
    COUNTIFS($AR$2:$AR$200,$G386)&gt;0,
    COUNTIFS($AS$2:$AS$200,$G386)&gt;0,
    COUNTIFS($AT$2:$AT$200,$G386)&gt;0,
    COUNTIFS($AU$2:$AU$200,$G386)&gt;0,
    COUNTIFS($AV$2:$AV$200,$G386)&gt;0,
    COUNTIFS($AW$2:$AW$200,$G386)&gt;0,
    COUNTIFS($AX$2:$AX$200,$G386)&gt;0
   ),
  0)
 ),
"")</f>
        <v>Thrakiri</v>
      </c>
      <c r="G386" t="str">
        <f ca="1"/>
        <v>Uthros, Titanic Godcore</v>
      </c>
    </row>
    <row r="387" spans="1:7" x14ac:dyDescent="0.25">
      <c r="A387" s="3" t="str">
        <f t="shared" ref="A387:A450" ca="1" si="14">IFERROR(INDEX($S$3:$S$200, MATCH($C387, $I$3:$I$200, 0)), "")</f>
        <v>3</v>
      </c>
      <c r="B387" s="3">
        <f t="shared" ref="B387:B450" ca="1" si="15">COUNTIF(U:AX,G387)</f>
        <v>3</v>
      </c>
      <c r="C387" s="3" t="str">
        <f ca="1">IFERROR(
 INDEX($U$1:$AX$1,
  MATCH(TRUE,
   CHOOSE({1;2;3;4;5;6;7;8;9;10;11;12;13;14;15;16;17;18;19;20;21;22;23;24;25;26;27;28;29;30;31;32},
    COUNTIFS($U$2:$U$200,$G387)&gt;0,
    COUNTIFS($V$2:$V$200,$G387)&gt;0,
    COUNTIFS($W$2:$W$200,$G387)&gt;0,
    COUNTIFS($X$2:$X$200,$G387)&gt;0,
    COUNTIFS($Y$2:$Y$200,$G387)&gt;0,
    COUNTIFS($Z$2:$Z$200,$G387)&gt;0,
    COUNTIFS($AA$2:$AA$200,$G387)&gt;0,
    COUNTIFS($AB$2:$AB$200,$G387)&gt;0,
    COUNTIFS($AC$2:$AC$200,$G387)&gt;0,
    COUNTIFS($AD$2:$AD$200,$G387)&gt;0,
    COUNTIFS($AE$2:$AE$200,$G387)&gt;0,
    COUNTIFS($AF$2:$AF$200,$G387)&gt;0,
    COUNTIFS($AG$2:$AG$200,$G387)&gt;0,
    COUNTIFS($AH$2:$AH$200,$G387)&gt;0,
    COUNTIFS($AI$2:$AI$200,$G387)&gt;0,
    COUNTIFS($AJ$2:$AJ$200,$G387)&gt;0,
    COUNTIFS($AK$2:$AK$200,$G387)&gt;0,
    COUNTIFS($AL$2:$AL$200,$G387)&gt;0,
    COUNTIFS($AM$2:$AM$200,$G387)&gt;0,
    COUNTIFS($AN$2:$AN$200,$G387)&gt;0,
    COUNTIFS($AO$2:$AO$200,$G387)&gt;0,
    COUNTIFS($AP$2:$AP$200,$G387)&gt;0,
    COUNTIFS($AQ$2:$AQ$200,$G387)&gt;0,
    COUNTIFS($AR$2:$AR$200,$G387)&gt;0,
    COUNTIFS($AS$2:$AS$200,$G387)&gt;0,
    COUNTIFS($AT$2:$AT$200,$G387)&gt;0,
    COUNTIFS($AU$2:$AU$200,$G387)&gt;0,
    COUNTIFS($AV$2:$AV$200,$G387)&gt;0,
    COUNTIFS($AW$2:$AW$200,$G387)&gt;0,
    COUNTIFS($AX$2:$AX$200,$G387)&gt;0
   ),
  0)
 ),
"")</f>
        <v>JhoiraB</v>
      </c>
      <c r="G387" t="str">
        <f ca="1"/>
        <v>Valfenda</v>
      </c>
    </row>
    <row r="388" spans="1:7" x14ac:dyDescent="0.25">
      <c r="A388" s="3" t="str">
        <f t="shared" ca="1" si="14"/>
        <v>2</v>
      </c>
      <c r="B388" s="3">
        <f t="shared" ca="1" si="15"/>
        <v>1</v>
      </c>
      <c r="C388" s="3" t="str">
        <f ca="1">IFERROR(
 INDEX($U$1:$AX$1,
  MATCH(TRUE,
   CHOOSE({1;2;3;4;5;6;7;8;9;10;11;12;13;14;15;16;17;18;19;20;21;22;23;24;25;26;27;28;29;30;31;32},
    COUNTIFS($U$2:$U$200,$G388)&gt;0,
    COUNTIFS($V$2:$V$200,$G388)&gt;0,
    COUNTIFS($W$2:$W$200,$G388)&gt;0,
    COUNTIFS($X$2:$X$200,$G388)&gt;0,
    COUNTIFS($Y$2:$Y$200,$G388)&gt;0,
    COUNTIFS($Z$2:$Z$200,$G388)&gt;0,
    COUNTIFS($AA$2:$AA$200,$G388)&gt;0,
    COUNTIFS($AB$2:$AB$200,$G388)&gt;0,
    COUNTIFS($AC$2:$AC$200,$G388)&gt;0,
    COUNTIFS($AD$2:$AD$200,$G388)&gt;0,
    COUNTIFS($AE$2:$AE$200,$G388)&gt;0,
    COUNTIFS($AF$2:$AF$200,$G388)&gt;0,
    COUNTIFS($AG$2:$AG$200,$G388)&gt;0,
    COUNTIFS($AH$2:$AH$200,$G388)&gt;0,
    COUNTIFS($AI$2:$AI$200,$G388)&gt;0,
    COUNTIFS($AJ$2:$AJ$200,$G388)&gt;0,
    COUNTIFS($AK$2:$AK$200,$G388)&gt;0,
    COUNTIFS($AL$2:$AL$200,$G388)&gt;0,
    COUNTIFS($AM$2:$AM$200,$G388)&gt;0,
    COUNTIFS($AN$2:$AN$200,$G388)&gt;0,
    COUNTIFS($AO$2:$AO$200,$G388)&gt;0,
    COUNTIFS($AP$2:$AP$200,$G388)&gt;0,
    COUNTIFS($AQ$2:$AQ$200,$G388)&gt;0,
    COUNTIFS($AR$2:$AR$200,$G388)&gt;0,
    COUNTIFS($AS$2:$AS$200,$G388)&gt;0,
    COUNTIFS($AT$2:$AT$200,$G388)&gt;0,
    COUNTIFS($AU$2:$AU$200,$G388)&gt;0,
    COUNTIFS($AV$2:$AV$200,$G388)&gt;0,
    COUNTIFS($AW$2:$AW$200,$G388)&gt;0,
    COUNTIFS($AX$2:$AX$200,$G388)&gt;0
   ),
  0)
 ),
"")</f>
        <v>Kumena</v>
      </c>
      <c r="G388" t="str">
        <f ca="1"/>
        <v>Vanquisher's Banner</v>
      </c>
    </row>
    <row r="389" spans="1:7" x14ac:dyDescent="0.25">
      <c r="A389" s="3" t="str">
        <f t="shared" ca="1" si="14"/>
        <v>3</v>
      </c>
      <c r="B389" s="3">
        <f t="shared" ca="1" si="15"/>
        <v>1</v>
      </c>
      <c r="C389" s="3" t="str">
        <f ca="1">IFERROR(
 INDEX($U$1:$AX$1,
  MATCH(TRUE,
   CHOOSE({1;2;3;4;5;6;7;8;9;10;11;12;13;14;15;16;17;18;19;20;21;22;23;24;25;26;27;28;29;30;31;32},
    COUNTIFS($U$2:$U$200,$G389)&gt;0,
    COUNTIFS($V$2:$V$200,$G389)&gt;0,
    COUNTIFS($W$2:$W$200,$G389)&gt;0,
    COUNTIFS($X$2:$X$200,$G389)&gt;0,
    COUNTIFS($Y$2:$Y$200,$G389)&gt;0,
    COUNTIFS($Z$2:$Z$200,$G389)&gt;0,
    COUNTIFS($AA$2:$AA$200,$G389)&gt;0,
    COUNTIFS($AB$2:$AB$200,$G389)&gt;0,
    COUNTIFS($AC$2:$AC$200,$G389)&gt;0,
    COUNTIFS($AD$2:$AD$200,$G389)&gt;0,
    COUNTIFS($AE$2:$AE$200,$G389)&gt;0,
    COUNTIFS($AF$2:$AF$200,$G389)&gt;0,
    COUNTIFS($AG$2:$AG$200,$G389)&gt;0,
    COUNTIFS($AH$2:$AH$200,$G389)&gt;0,
    COUNTIFS($AI$2:$AI$200,$G389)&gt;0,
    COUNTIFS($AJ$2:$AJ$200,$G389)&gt;0,
    COUNTIFS($AK$2:$AK$200,$G389)&gt;0,
    COUNTIFS($AL$2:$AL$200,$G389)&gt;0,
    COUNTIFS($AM$2:$AM$200,$G389)&gt;0,
    COUNTIFS($AN$2:$AN$200,$G389)&gt;0,
    COUNTIFS($AO$2:$AO$200,$G389)&gt;0,
    COUNTIFS($AP$2:$AP$200,$G389)&gt;0,
    COUNTIFS($AQ$2:$AQ$200,$G389)&gt;0,
    COUNTIFS($AR$2:$AR$200,$G389)&gt;0,
    COUNTIFS($AS$2:$AS$200,$G389)&gt;0,
    COUNTIFS($AT$2:$AT$200,$G389)&gt;0,
    COUNTIFS($AU$2:$AU$200,$G389)&gt;0,
    COUNTIFS($AV$2:$AV$200,$G389)&gt;0,
    COUNTIFS($AW$2:$AW$200,$G389)&gt;0,
    COUNTIFS($AX$2:$AX$200,$G389)&gt;0
   ),
  0)
 ),
"")</f>
        <v>Carlos</v>
      </c>
      <c r="G389" t="str">
        <f ca="1"/>
        <v>Vault of the Archangel</v>
      </c>
    </row>
    <row r="390" spans="1:7" x14ac:dyDescent="0.25">
      <c r="A390" s="3" t="str">
        <f t="shared" ca="1" si="14"/>
        <v>3</v>
      </c>
      <c r="B390" s="3">
        <f t="shared" ca="1" si="15"/>
        <v>1</v>
      </c>
      <c r="C390" s="3" t="str">
        <f ca="1">IFERROR(
 INDEX($U$1:$AX$1,
  MATCH(TRUE,
   CHOOSE({1;2;3;4;5;6;7;8;9;10;11;12;13;14;15;16;17;18;19;20;21;22;23;24;25;26;27;28;29;30;31;32},
    COUNTIFS($U$2:$U$200,$G390)&gt;0,
    COUNTIFS($V$2:$V$200,$G390)&gt;0,
    COUNTIFS($W$2:$W$200,$G390)&gt;0,
    COUNTIFS($X$2:$X$200,$G390)&gt;0,
    COUNTIFS($Y$2:$Y$200,$G390)&gt;0,
    COUNTIFS($Z$2:$Z$200,$G390)&gt;0,
    COUNTIFS($AA$2:$AA$200,$G390)&gt;0,
    COUNTIFS($AB$2:$AB$200,$G390)&gt;0,
    COUNTIFS($AC$2:$AC$200,$G390)&gt;0,
    COUNTIFS($AD$2:$AD$200,$G390)&gt;0,
    COUNTIFS($AE$2:$AE$200,$G390)&gt;0,
    COUNTIFS($AF$2:$AF$200,$G390)&gt;0,
    COUNTIFS($AG$2:$AG$200,$G390)&gt;0,
    COUNTIFS($AH$2:$AH$200,$G390)&gt;0,
    COUNTIFS($AI$2:$AI$200,$G390)&gt;0,
    COUNTIFS($AJ$2:$AJ$200,$G390)&gt;0,
    COUNTIFS($AK$2:$AK$200,$G390)&gt;0,
    COUNTIFS($AL$2:$AL$200,$G390)&gt;0,
    COUNTIFS($AM$2:$AM$200,$G390)&gt;0,
    COUNTIFS($AN$2:$AN$200,$G390)&gt;0,
    COUNTIFS($AO$2:$AO$200,$G390)&gt;0,
    COUNTIFS($AP$2:$AP$200,$G390)&gt;0,
    COUNTIFS($AQ$2:$AQ$200,$G390)&gt;0,
    COUNTIFS($AR$2:$AR$200,$G390)&gt;0,
    COUNTIFS($AS$2:$AS$200,$G390)&gt;0,
    COUNTIFS($AT$2:$AT$200,$G390)&gt;0,
    COUNTIFS($AU$2:$AU$200,$G390)&gt;0,
    COUNTIFS($AV$2:$AV$200,$G390)&gt;0,
    COUNTIFS($AW$2:$AW$200,$G390)&gt;0,
    COUNTIFS($AX$2:$AX$200,$G390)&gt;0
   ),
  0)
 ),
"")</f>
        <v>Muzzio</v>
      </c>
      <c r="G390" t="str">
        <f ca="1"/>
        <v>Vexing Puzzlebox</v>
      </c>
    </row>
    <row r="391" spans="1:7" x14ac:dyDescent="0.25">
      <c r="A391" s="3" t="str">
        <f t="shared" ca="1" si="14"/>
        <v>1</v>
      </c>
      <c r="B391" s="3">
        <f t="shared" ca="1" si="15"/>
        <v>1</v>
      </c>
      <c r="C391" s="3" t="str">
        <f ca="1">IFERROR(
 INDEX($U$1:$AX$1,
  MATCH(TRUE,
   CHOOSE({1;2;3;4;5;6;7;8;9;10;11;12;13;14;15;16;17;18;19;20;21;22;23;24;25;26;27;28;29;30;31;32},
    COUNTIFS($U$2:$U$200,$G391)&gt;0,
    COUNTIFS($V$2:$V$200,$G391)&gt;0,
    COUNTIFS($W$2:$W$200,$G391)&gt;0,
    COUNTIFS($X$2:$X$200,$G391)&gt;0,
    COUNTIFS($Y$2:$Y$200,$G391)&gt;0,
    COUNTIFS($Z$2:$Z$200,$G391)&gt;0,
    COUNTIFS($AA$2:$AA$200,$G391)&gt;0,
    COUNTIFS($AB$2:$AB$200,$G391)&gt;0,
    COUNTIFS($AC$2:$AC$200,$G391)&gt;0,
    COUNTIFS($AD$2:$AD$200,$G391)&gt;0,
    COUNTIFS($AE$2:$AE$200,$G391)&gt;0,
    COUNTIFS($AF$2:$AF$200,$G391)&gt;0,
    COUNTIFS($AG$2:$AG$200,$G391)&gt;0,
    COUNTIFS($AH$2:$AH$200,$G391)&gt;0,
    COUNTIFS($AI$2:$AI$200,$G391)&gt;0,
    COUNTIFS($AJ$2:$AJ$200,$G391)&gt;0,
    COUNTIFS($AK$2:$AK$200,$G391)&gt;0,
    COUNTIFS($AL$2:$AL$200,$G391)&gt;0,
    COUNTIFS($AM$2:$AM$200,$G391)&gt;0,
    COUNTIFS($AN$2:$AN$200,$G391)&gt;0,
    COUNTIFS($AO$2:$AO$200,$G391)&gt;0,
    COUNTIFS($AP$2:$AP$200,$G391)&gt;0,
    COUNTIFS($AQ$2:$AQ$200,$G391)&gt;0,
    COUNTIFS($AR$2:$AR$200,$G391)&gt;0,
    COUNTIFS($AS$2:$AS$200,$G391)&gt;0,
    COUNTIFS($AT$2:$AT$200,$G391)&gt;0,
    COUNTIFS($AU$2:$AU$200,$G391)&gt;0,
    COUNTIFS($AV$2:$AV$200,$G391)&gt;0,
    COUNTIFS($AW$2:$AW$200,$G391)&gt;0,
    COUNTIFS($AX$2:$AX$200,$G391)&gt;0
   ),
  0)
 ),
"")</f>
        <v>Baylen</v>
      </c>
      <c r="G391" t="str">
        <f ca="1"/>
        <v>Virtue of Loyalty // Ardenvale Fealty</v>
      </c>
    </row>
    <row r="392" spans="1:7" x14ac:dyDescent="0.25">
      <c r="A392" s="3" t="str">
        <f t="shared" ca="1" si="14"/>
        <v>3</v>
      </c>
      <c r="B392" s="3">
        <f t="shared" ca="1" si="15"/>
        <v>1</v>
      </c>
      <c r="C392" s="3" t="str">
        <f ca="1">IFERROR(
 INDEX($U$1:$AX$1,
  MATCH(TRUE,
   CHOOSE({1;2;3;4;5;6;7;8;9;10;11;12;13;14;15;16;17;18;19;20;21;22;23;24;25;26;27;28;29;30;31;32},
    COUNTIFS($U$2:$U$200,$G392)&gt;0,
    COUNTIFS($V$2:$V$200,$G392)&gt;0,
    COUNTIFS($W$2:$W$200,$G392)&gt;0,
    COUNTIFS($X$2:$X$200,$G392)&gt;0,
    COUNTIFS($Y$2:$Y$200,$G392)&gt;0,
    COUNTIFS($Z$2:$Z$200,$G392)&gt;0,
    COUNTIFS($AA$2:$AA$200,$G392)&gt;0,
    COUNTIFS($AB$2:$AB$200,$G392)&gt;0,
    COUNTIFS($AC$2:$AC$200,$G392)&gt;0,
    COUNTIFS($AD$2:$AD$200,$G392)&gt;0,
    COUNTIFS($AE$2:$AE$200,$G392)&gt;0,
    COUNTIFS($AF$2:$AF$200,$G392)&gt;0,
    COUNTIFS($AG$2:$AG$200,$G392)&gt;0,
    COUNTIFS($AH$2:$AH$200,$G392)&gt;0,
    COUNTIFS($AI$2:$AI$200,$G392)&gt;0,
    COUNTIFS($AJ$2:$AJ$200,$G392)&gt;0,
    COUNTIFS($AK$2:$AK$200,$G392)&gt;0,
    COUNTIFS($AL$2:$AL$200,$G392)&gt;0,
    COUNTIFS($AM$2:$AM$200,$G392)&gt;0,
    COUNTIFS($AN$2:$AN$200,$G392)&gt;0,
    COUNTIFS($AO$2:$AO$200,$G392)&gt;0,
    COUNTIFS($AP$2:$AP$200,$G392)&gt;0,
    COUNTIFS($AQ$2:$AQ$200,$G392)&gt;0,
    COUNTIFS($AR$2:$AR$200,$G392)&gt;0,
    COUNTIFS($AS$2:$AS$200,$G392)&gt;0,
    COUNTIFS($AT$2:$AT$200,$G392)&gt;0,
    COUNTIFS($AU$2:$AU$200,$G392)&gt;0,
    COUNTIFS($AV$2:$AV$200,$G392)&gt;0,
    COUNTIFS($AW$2:$AW$200,$G392)&gt;0,
    COUNTIFS($AX$2:$AX$200,$G392)&gt;0
   ),
  0)
 ),
"")</f>
        <v>VialIshai</v>
      </c>
      <c r="G392" t="str">
        <f ca="1"/>
        <v>Vontade Dominadora</v>
      </c>
    </row>
    <row r="393" spans="1:7" x14ac:dyDescent="0.25">
      <c r="A393" s="3" t="str">
        <f t="shared" ca="1" si="14"/>
        <v>3</v>
      </c>
      <c r="B393" s="3">
        <f t="shared" ca="1" si="15"/>
        <v>1</v>
      </c>
      <c r="C393" s="3" t="str">
        <f ca="1">IFERROR(
 INDEX($U$1:$AX$1,
  MATCH(TRUE,
   CHOOSE({1;2;3;4;5;6;7;8;9;10;11;12;13;14;15;16;17;18;19;20;21;22;23;24;25;26;27;28;29;30;31;32},
    COUNTIFS($U$2:$U$200,$G393)&gt;0,
    COUNTIFS($V$2:$V$200,$G393)&gt;0,
    COUNTIFS($W$2:$W$200,$G393)&gt;0,
    COUNTIFS($X$2:$X$200,$G393)&gt;0,
    COUNTIFS($Y$2:$Y$200,$G393)&gt;0,
    COUNTIFS($Z$2:$Z$200,$G393)&gt;0,
    COUNTIFS($AA$2:$AA$200,$G393)&gt;0,
    COUNTIFS($AB$2:$AB$200,$G393)&gt;0,
    COUNTIFS($AC$2:$AC$200,$G393)&gt;0,
    COUNTIFS($AD$2:$AD$200,$G393)&gt;0,
    COUNTIFS($AE$2:$AE$200,$G393)&gt;0,
    COUNTIFS($AF$2:$AF$200,$G393)&gt;0,
    COUNTIFS($AG$2:$AG$200,$G393)&gt;0,
    COUNTIFS($AH$2:$AH$200,$G393)&gt;0,
    COUNTIFS($AI$2:$AI$200,$G393)&gt;0,
    COUNTIFS($AJ$2:$AJ$200,$G393)&gt;0,
    COUNTIFS($AK$2:$AK$200,$G393)&gt;0,
    COUNTIFS($AL$2:$AL$200,$G393)&gt;0,
    COUNTIFS($AM$2:$AM$200,$G393)&gt;0,
    COUNTIFS($AN$2:$AN$200,$G393)&gt;0,
    COUNTIFS($AO$2:$AO$200,$G393)&gt;0,
    COUNTIFS($AP$2:$AP$200,$G393)&gt;0,
    COUNTIFS($AQ$2:$AQ$200,$G393)&gt;0,
    COUNTIFS($AR$2:$AR$200,$G393)&gt;0,
    COUNTIFS($AS$2:$AS$200,$G393)&gt;0,
    COUNTIFS($AT$2:$AT$200,$G393)&gt;0,
    COUNTIFS($AU$2:$AU$200,$G393)&gt;0,
    COUNTIFS($AV$2:$AV$200,$G393)&gt;0,
    COUNTIFS($AW$2:$AW$200,$G393)&gt;0,
    COUNTIFS($AX$2:$AX$200,$G393)&gt;0
   ),
  0)
 ),
"")</f>
        <v>Sisay</v>
      </c>
      <c r="G393" t="str">
        <f ca="1"/>
        <v>Vronos, Masked Inquisitor</v>
      </c>
    </row>
    <row r="394" spans="1:7" x14ac:dyDescent="0.25">
      <c r="A394" s="3" t="str">
        <f t="shared" ca="1" si="14"/>
        <v>1</v>
      </c>
      <c r="B394" s="3">
        <f t="shared" ca="1" si="15"/>
        <v>1</v>
      </c>
      <c r="C394" s="3" t="str">
        <f ca="1">IFERROR(
 INDEX($U$1:$AX$1,
  MATCH(TRUE,
   CHOOSE({1;2;3;4;5;6;7;8;9;10;11;12;13;14;15;16;17;18;19;20;21;22;23;24;25;26;27;28;29;30;31;32},
    COUNTIFS($U$2:$U$200,$G394)&gt;0,
    COUNTIFS($V$2:$V$200,$G394)&gt;0,
    COUNTIFS($W$2:$W$200,$G394)&gt;0,
    COUNTIFS($X$2:$X$200,$G394)&gt;0,
    COUNTIFS($Y$2:$Y$200,$G394)&gt;0,
    COUNTIFS($Z$2:$Z$200,$G394)&gt;0,
    COUNTIFS($AA$2:$AA$200,$G394)&gt;0,
    COUNTIFS($AB$2:$AB$200,$G394)&gt;0,
    COUNTIFS($AC$2:$AC$200,$G394)&gt;0,
    COUNTIFS($AD$2:$AD$200,$G394)&gt;0,
    COUNTIFS($AE$2:$AE$200,$G394)&gt;0,
    COUNTIFS($AF$2:$AF$200,$G394)&gt;0,
    COUNTIFS($AG$2:$AG$200,$G394)&gt;0,
    COUNTIFS($AH$2:$AH$200,$G394)&gt;0,
    COUNTIFS($AI$2:$AI$200,$G394)&gt;0,
    COUNTIFS($AJ$2:$AJ$200,$G394)&gt;0,
    COUNTIFS($AK$2:$AK$200,$G394)&gt;0,
    COUNTIFS($AL$2:$AL$200,$G394)&gt;0,
    COUNTIFS($AM$2:$AM$200,$G394)&gt;0,
    COUNTIFS($AN$2:$AN$200,$G394)&gt;0,
    COUNTIFS($AO$2:$AO$200,$G394)&gt;0,
    COUNTIFS($AP$2:$AP$200,$G394)&gt;0,
    COUNTIFS($AQ$2:$AQ$200,$G394)&gt;0,
    COUNTIFS($AR$2:$AR$200,$G394)&gt;0,
    COUNTIFS($AS$2:$AS$200,$G394)&gt;0,
    COUNTIFS($AT$2:$AT$200,$G394)&gt;0,
    COUNTIFS($AU$2:$AU$200,$G394)&gt;0,
    COUNTIFS($AV$2:$AV$200,$G394)&gt;0,
    COUNTIFS($AW$2:$AW$200,$G394)&gt;0,
    COUNTIFS($AX$2:$AX$200,$G394)&gt;0
   ),
  0)
 ),
"")</f>
        <v>Modular</v>
      </c>
      <c r="G394" t="str">
        <f ca="1"/>
        <v>Walking Ballista</v>
      </c>
    </row>
    <row r="395" spans="1:7" x14ac:dyDescent="0.25">
      <c r="A395" s="3" t="str">
        <f t="shared" ca="1" si="14"/>
        <v>1</v>
      </c>
      <c r="B395" s="3">
        <f t="shared" ca="1" si="15"/>
        <v>1</v>
      </c>
      <c r="C395" s="3" t="str">
        <f ca="1">IFERROR(
 INDEX($U$1:$AX$1,
  MATCH(TRUE,
   CHOOSE({1;2;3;4;5;6;7;8;9;10;11;12;13;14;15;16;17;18;19;20;21;22;23;24;25;26;27;28;29;30;31;32},
    COUNTIFS($U$2:$U$200,$G395)&gt;0,
    COUNTIFS($V$2:$V$200,$G395)&gt;0,
    COUNTIFS($W$2:$W$200,$G395)&gt;0,
    COUNTIFS($X$2:$X$200,$G395)&gt;0,
    COUNTIFS($Y$2:$Y$200,$G395)&gt;0,
    COUNTIFS($Z$2:$Z$200,$G395)&gt;0,
    COUNTIFS($AA$2:$AA$200,$G395)&gt;0,
    COUNTIFS($AB$2:$AB$200,$G395)&gt;0,
    COUNTIFS($AC$2:$AC$200,$G395)&gt;0,
    COUNTIFS($AD$2:$AD$200,$G395)&gt;0,
    COUNTIFS($AE$2:$AE$200,$G395)&gt;0,
    COUNTIFS($AF$2:$AF$200,$G395)&gt;0,
    COUNTIFS($AG$2:$AG$200,$G395)&gt;0,
    COUNTIFS($AH$2:$AH$200,$G395)&gt;0,
    COUNTIFS($AI$2:$AI$200,$G395)&gt;0,
    COUNTIFS($AJ$2:$AJ$200,$G395)&gt;0,
    COUNTIFS($AK$2:$AK$200,$G395)&gt;0,
    COUNTIFS($AL$2:$AL$200,$G395)&gt;0,
    COUNTIFS($AM$2:$AM$200,$G395)&gt;0,
    COUNTIFS($AN$2:$AN$200,$G395)&gt;0,
    COUNTIFS($AO$2:$AO$200,$G395)&gt;0,
    COUNTIFS($AP$2:$AP$200,$G395)&gt;0,
    COUNTIFS($AQ$2:$AQ$200,$G395)&gt;0,
    COUNTIFS($AR$2:$AR$200,$G395)&gt;0,
    COUNTIFS($AS$2:$AS$200,$G395)&gt;0,
    COUNTIFS($AT$2:$AT$200,$G395)&gt;0,
    COUNTIFS($AU$2:$AU$200,$G395)&gt;0,
    COUNTIFS($AV$2:$AV$200,$G395)&gt;0,
    COUNTIFS($AW$2:$AW$200,$G395)&gt;0,
    COUNTIFS($AX$2:$AX$200,$G395)&gt;0
   ),
  0)
 ),
"")</f>
        <v>Tayam</v>
      </c>
      <c r="G395" t="str">
        <f ca="1"/>
        <v>Warden of the Grove</v>
      </c>
    </row>
    <row r="396" spans="1:7" x14ac:dyDescent="0.25">
      <c r="A396" s="3" t="str">
        <f t="shared" ca="1" si="14"/>
        <v>1</v>
      </c>
      <c r="B396" s="3">
        <f t="shared" ca="1" si="15"/>
        <v>1</v>
      </c>
      <c r="C396" s="3" t="str">
        <f ca="1">IFERROR(
 INDEX($U$1:$AX$1,
  MATCH(TRUE,
   CHOOSE({1;2;3;4;5;6;7;8;9;10;11;12;13;14;15;16;17;18;19;20;21;22;23;24;25;26;27;28;29;30;31;32},
    COUNTIFS($U$2:$U$200,$G396)&gt;0,
    COUNTIFS($V$2:$V$200,$G396)&gt;0,
    COUNTIFS($W$2:$W$200,$G396)&gt;0,
    COUNTIFS($X$2:$X$200,$G396)&gt;0,
    COUNTIFS($Y$2:$Y$200,$G396)&gt;0,
    COUNTIFS($Z$2:$Z$200,$G396)&gt;0,
    COUNTIFS($AA$2:$AA$200,$G396)&gt;0,
    COUNTIFS($AB$2:$AB$200,$G396)&gt;0,
    COUNTIFS($AC$2:$AC$200,$G396)&gt;0,
    COUNTIFS($AD$2:$AD$200,$G396)&gt;0,
    COUNTIFS($AE$2:$AE$200,$G396)&gt;0,
    COUNTIFS($AF$2:$AF$200,$G396)&gt;0,
    COUNTIFS($AG$2:$AG$200,$G396)&gt;0,
    COUNTIFS($AH$2:$AH$200,$G396)&gt;0,
    COUNTIFS($AI$2:$AI$200,$G396)&gt;0,
    COUNTIFS($AJ$2:$AJ$200,$G396)&gt;0,
    COUNTIFS($AK$2:$AK$200,$G396)&gt;0,
    COUNTIFS($AL$2:$AL$200,$G396)&gt;0,
    COUNTIFS($AM$2:$AM$200,$G396)&gt;0,
    COUNTIFS($AN$2:$AN$200,$G396)&gt;0,
    COUNTIFS($AO$2:$AO$200,$G396)&gt;0,
    COUNTIFS($AP$2:$AP$200,$G396)&gt;0,
    COUNTIFS($AQ$2:$AQ$200,$G396)&gt;0,
    COUNTIFS($AR$2:$AR$200,$G396)&gt;0,
    COUNTIFS($AS$2:$AS$200,$G396)&gt;0,
    COUNTIFS($AT$2:$AT$200,$G396)&gt;0,
    COUNTIFS($AU$2:$AU$200,$G396)&gt;0,
    COUNTIFS($AV$2:$AV$200,$G396)&gt;0,
    COUNTIFS($AW$2:$AW$200,$G396)&gt;0,
    COUNTIFS($AX$2:$AX$200,$G396)&gt;0
   ),
  0)
 ),
"")</f>
        <v>Baylen</v>
      </c>
      <c r="G396" t="str">
        <f ca="1"/>
        <v>Warleader's Call</v>
      </c>
    </row>
    <row r="397" spans="1:7" x14ac:dyDescent="0.25">
      <c r="A397" s="3" t="str">
        <f t="shared" ca="1" si="14"/>
        <v>3</v>
      </c>
      <c r="B397" s="3">
        <f t="shared" ca="1" si="15"/>
        <v>2</v>
      </c>
      <c r="C397" s="3" t="str">
        <f ca="1">IFERROR(
 INDEX($U$1:$AX$1,
  MATCH(TRUE,
   CHOOSE({1;2;3;4;5;6;7;8;9;10;11;12;13;14;15;16;17;18;19;20;21;22;23;24;25;26;27;28;29;30;31;32},
    COUNTIFS($U$2:$U$200,$G397)&gt;0,
    COUNTIFS($V$2:$V$200,$G397)&gt;0,
    COUNTIFS($W$2:$W$200,$G397)&gt;0,
    COUNTIFS($X$2:$X$200,$G397)&gt;0,
    COUNTIFS($Y$2:$Y$200,$G397)&gt;0,
    COUNTIFS($Z$2:$Z$200,$G397)&gt;0,
    COUNTIFS($AA$2:$AA$200,$G397)&gt;0,
    COUNTIFS($AB$2:$AB$200,$G397)&gt;0,
    COUNTIFS($AC$2:$AC$200,$G397)&gt;0,
    COUNTIFS($AD$2:$AD$200,$G397)&gt;0,
    COUNTIFS($AE$2:$AE$200,$G397)&gt;0,
    COUNTIFS($AF$2:$AF$200,$G397)&gt;0,
    COUNTIFS($AG$2:$AG$200,$G397)&gt;0,
    COUNTIFS($AH$2:$AH$200,$G397)&gt;0,
    COUNTIFS($AI$2:$AI$200,$G397)&gt;0,
    COUNTIFS($AJ$2:$AJ$200,$G397)&gt;0,
    COUNTIFS($AK$2:$AK$200,$G397)&gt;0,
    COUNTIFS($AL$2:$AL$200,$G397)&gt;0,
    COUNTIFS($AM$2:$AM$200,$G397)&gt;0,
    COUNTIFS($AN$2:$AN$200,$G397)&gt;0,
    COUNTIFS($AO$2:$AO$200,$G397)&gt;0,
    COUNTIFS($AP$2:$AP$200,$G397)&gt;0,
    COUNTIFS($AQ$2:$AQ$200,$G397)&gt;0,
    COUNTIFS($AR$2:$AR$200,$G397)&gt;0,
    COUNTIFS($AS$2:$AS$200,$G397)&gt;0,
    COUNTIFS($AT$2:$AT$200,$G397)&gt;0,
    COUNTIFS($AU$2:$AU$200,$G397)&gt;0,
    COUNTIFS($AV$2:$AV$200,$G397)&gt;0,
    COUNTIFS($AW$2:$AW$200,$G397)&gt;0,
    COUNTIFS($AX$2:$AX$200,$G397)&gt;0
   ),
  0)
 ),
"")</f>
        <v>Inalla</v>
      </c>
      <c r="G397" t="str">
        <f ca="1"/>
        <v>Warren Soultrader</v>
      </c>
    </row>
    <row r="398" spans="1:7" x14ac:dyDescent="0.25">
      <c r="A398" s="3" t="str">
        <f t="shared" ca="1" si="14"/>
        <v>3</v>
      </c>
      <c r="B398" s="3">
        <f t="shared" ca="1" si="15"/>
        <v>2</v>
      </c>
      <c r="C398" s="3" t="str">
        <f ca="1">IFERROR(
 INDEX($U$1:$AX$1,
  MATCH(TRUE,
   CHOOSE({1;2;3;4;5;6;7;8;9;10;11;12;13;14;15;16;17;18;19;20;21;22;23;24;25;26;27;28;29;30;31;32},
    COUNTIFS($U$2:$U$200,$G398)&gt;0,
    COUNTIFS($V$2:$V$200,$G398)&gt;0,
    COUNTIFS($W$2:$W$200,$G398)&gt;0,
    COUNTIFS($X$2:$X$200,$G398)&gt;0,
    COUNTIFS($Y$2:$Y$200,$G398)&gt;0,
    COUNTIFS($Z$2:$Z$200,$G398)&gt;0,
    COUNTIFS($AA$2:$AA$200,$G398)&gt;0,
    COUNTIFS($AB$2:$AB$200,$G398)&gt;0,
    COUNTIFS($AC$2:$AC$200,$G398)&gt;0,
    COUNTIFS($AD$2:$AD$200,$G398)&gt;0,
    COUNTIFS($AE$2:$AE$200,$G398)&gt;0,
    COUNTIFS($AF$2:$AF$200,$G398)&gt;0,
    COUNTIFS($AG$2:$AG$200,$G398)&gt;0,
    COUNTIFS($AH$2:$AH$200,$G398)&gt;0,
    COUNTIFS($AI$2:$AI$200,$G398)&gt;0,
    COUNTIFS($AJ$2:$AJ$200,$G398)&gt;0,
    COUNTIFS($AK$2:$AK$200,$G398)&gt;0,
    COUNTIFS($AL$2:$AL$200,$G398)&gt;0,
    COUNTIFS($AM$2:$AM$200,$G398)&gt;0,
    COUNTIFS($AN$2:$AN$200,$G398)&gt;0,
    COUNTIFS($AO$2:$AO$200,$G398)&gt;0,
    COUNTIFS($AP$2:$AP$200,$G398)&gt;0,
    COUNTIFS($AQ$2:$AQ$200,$G398)&gt;0,
    COUNTIFS($AR$2:$AR$200,$G398)&gt;0,
    COUNTIFS($AS$2:$AS$200,$G398)&gt;0,
    COUNTIFS($AT$2:$AT$200,$G398)&gt;0,
    COUNTIFS($AU$2:$AU$200,$G398)&gt;0,
    COUNTIFS($AV$2:$AV$200,$G398)&gt;0,
    COUNTIFS($AW$2:$AW$200,$G398)&gt;0,
    COUNTIFS($AX$2:$AX$200,$G398)&gt;0
   ),
  0)
 ),
"")</f>
        <v>VialIshai</v>
      </c>
      <c r="G398" t="str">
        <f ca="1"/>
        <v>Watery Grave</v>
      </c>
    </row>
    <row r="399" spans="1:7" x14ac:dyDescent="0.25">
      <c r="A399" s="3" t="str">
        <f t="shared" ca="1" si="14"/>
        <v>5</v>
      </c>
      <c r="B399" s="3">
        <f t="shared" ca="1" si="15"/>
        <v>1</v>
      </c>
      <c r="C399" s="3" t="str">
        <f ca="1">IFERROR(
 INDEX($U$1:$AX$1,
  MATCH(TRUE,
   CHOOSE({1;2;3;4;5;6;7;8;9;10;11;12;13;14;15;16;17;18;19;20;21;22;23;24;25;26;27;28;29;30;31;32},
    COUNTIFS($U$2:$U$200,$G399)&gt;0,
    COUNTIFS($V$2:$V$200,$G399)&gt;0,
    COUNTIFS($W$2:$W$200,$G399)&gt;0,
    COUNTIFS($X$2:$X$200,$G399)&gt;0,
    COUNTIFS($Y$2:$Y$200,$G399)&gt;0,
    COUNTIFS($Z$2:$Z$200,$G399)&gt;0,
    COUNTIFS($AA$2:$AA$200,$G399)&gt;0,
    COUNTIFS($AB$2:$AB$200,$G399)&gt;0,
    COUNTIFS($AC$2:$AC$200,$G399)&gt;0,
    COUNTIFS($AD$2:$AD$200,$G399)&gt;0,
    COUNTIFS($AE$2:$AE$200,$G399)&gt;0,
    COUNTIFS($AF$2:$AF$200,$G399)&gt;0,
    COUNTIFS($AG$2:$AG$200,$G399)&gt;0,
    COUNTIFS($AH$2:$AH$200,$G399)&gt;0,
    COUNTIFS($AI$2:$AI$200,$G399)&gt;0,
    COUNTIFS($AJ$2:$AJ$200,$G399)&gt;0,
    COUNTIFS($AK$2:$AK$200,$G399)&gt;0,
    COUNTIFS($AL$2:$AL$200,$G399)&gt;0,
    COUNTIFS($AM$2:$AM$200,$G399)&gt;0,
    COUNTIFS($AN$2:$AN$200,$G399)&gt;0,
    COUNTIFS($AO$2:$AO$200,$G399)&gt;0,
    COUNTIFS($AP$2:$AP$200,$G399)&gt;0,
    COUNTIFS($AQ$2:$AQ$200,$G399)&gt;0,
    COUNTIFS($AR$2:$AR$200,$G399)&gt;0,
    COUNTIFS($AS$2:$AS$200,$G399)&gt;0,
    COUNTIFS($AT$2:$AT$200,$G399)&gt;0,
    COUNTIFS($AU$2:$AU$200,$G399)&gt;0,
    COUNTIFS($AV$2:$AV$200,$G399)&gt;0,
    COUNTIFS($AW$2:$AW$200,$G399)&gt;0,
    COUNTIFS($AX$2:$AX$200,$G399)&gt;0
   ),
  0)
 ),
"")</f>
        <v>Alela</v>
      </c>
      <c r="G399" t="str">
        <f ca="1"/>
        <v>Westvale Abbey</v>
      </c>
    </row>
    <row r="400" spans="1:7" x14ac:dyDescent="0.25">
      <c r="A400" s="3" t="str">
        <f t="shared" ca="1" si="14"/>
        <v>2</v>
      </c>
      <c r="B400" s="3">
        <f t="shared" ca="1" si="15"/>
        <v>1</v>
      </c>
      <c r="C400" s="3" t="str">
        <f ca="1">IFERROR(
 INDEX($U$1:$AX$1,
  MATCH(TRUE,
   CHOOSE({1;2;3;4;5;6;7;8;9;10;11;12;13;14;15;16;17;18;19;20;21;22;23;24;25;26;27;28;29;30;31;32},
    COUNTIFS($U$2:$U$200,$G400)&gt;0,
    COUNTIFS($V$2:$V$200,$G400)&gt;0,
    COUNTIFS($W$2:$W$200,$G400)&gt;0,
    COUNTIFS($X$2:$X$200,$G400)&gt;0,
    COUNTIFS($Y$2:$Y$200,$G400)&gt;0,
    COUNTIFS($Z$2:$Z$200,$G400)&gt;0,
    COUNTIFS($AA$2:$AA$200,$G400)&gt;0,
    COUNTIFS($AB$2:$AB$200,$G400)&gt;0,
    COUNTIFS($AC$2:$AC$200,$G400)&gt;0,
    COUNTIFS($AD$2:$AD$200,$G400)&gt;0,
    COUNTIFS($AE$2:$AE$200,$G400)&gt;0,
    COUNTIFS($AF$2:$AF$200,$G400)&gt;0,
    COUNTIFS($AG$2:$AG$200,$G400)&gt;0,
    COUNTIFS($AH$2:$AH$200,$G400)&gt;0,
    COUNTIFS($AI$2:$AI$200,$G400)&gt;0,
    COUNTIFS($AJ$2:$AJ$200,$G400)&gt;0,
    COUNTIFS($AK$2:$AK$200,$G400)&gt;0,
    COUNTIFS($AL$2:$AL$200,$G400)&gt;0,
    COUNTIFS($AM$2:$AM$200,$G400)&gt;0,
    COUNTIFS($AN$2:$AN$200,$G400)&gt;0,
    COUNTIFS($AO$2:$AO$200,$G400)&gt;0,
    COUNTIFS($AP$2:$AP$200,$G400)&gt;0,
    COUNTIFS($AQ$2:$AQ$200,$G400)&gt;0,
    COUNTIFS($AR$2:$AR$200,$G400)&gt;0,
    COUNTIFS($AS$2:$AS$200,$G400)&gt;0,
    COUNTIFS($AT$2:$AT$200,$G400)&gt;0,
    COUNTIFS($AU$2:$AU$200,$G400)&gt;0,
    COUNTIFS($AV$2:$AV$200,$G400)&gt;0,
    COUNTIFS($AW$2:$AW$200,$G400)&gt;0,
    COUNTIFS($AX$2:$AX$200,$G400)&gt;0
   ),
  0)
 ),
"")</f>
        <v>Narset</v>
      </c>
      <c r="G400" t="str">
        <f ca="1"/>
        <v>Windcrag Siege</v>
      </c>
    </row>
    <row r="401" spans="1:7" x14ac:dyDescent="0.25">
      <c r="A401" s="3" t="str">
        <f t="shared" ca="1" si="14"/>
        <v>2</v>
      </c>
      <c r="B401" s="3">
        <f t="shared" ca="1" si="15"/>
        <v>1</v>
      </c>
      <c r="C401" s="3" t="str">
        <f ca="1">IFERROR(
 INDEX($U$1:$AX$1,
  MATCH(TRUE,
   CHOOSE({1;2;3;4;5;6;7;8;9;10;11;12;13;14;15;16;17;18;19;20;21;22;23;24;25;26;27;28;29;30;31;32},
    COUNTIFS($U$2:$U$200,$G401)&gt;0,
    COUNTIFS($V$2:$V$200,$G401)&gt;0,
    COUNTIFS($W$2:$W$200,$G401)&gt;0,
    COUNTIFS($X$2:$X$200,$G401)&gt;0,
    COUNTIFS($Y$2:$Y$200,$G401)&gt;0,
    COUNTIFS($Z$2:$Z$200,$G401)&gt;0,
    COUNTIFS($AA$2:$AA$200,$G401)&gt;0,
    COUNTIFS($AB$2:$AB$200,$G401)&gt;0,
    COUNTIFS($AC$2:$AC$200,$G401)&gt;0,
    COUNTIFS($AD$2:$AD$200,$G401)&gt;0,
    COUNTIFS($AE$2:$AE$200,$G401)&gt;0,
    COUNTIFS($AF$2:$AF$200,$G401)&gt;0,
    COUNTIFS($AG$2:$AG$200,$G401)&gt;0,
    COUNTIFS($AH$2:$AH$200,$G401)&gt;0,
    COUNTIFS($AI$2:$AI$200,$G401)&gt;0,
    COUNTIFS($AJ$2:$AJ$200,$G401)&gt;0,
    COUNTIFS($AK$2:$AK$200,$G401)&gt;0,
    COUNTIFS($AL$2:$AL$200,$G401)&gt;0,
    COUNTIFS($AM$2:$AM$200,$G401)&gt;0,
    COUNTIFS($AN$2:$AN$200,$G401)&gt;0,
    COUNTIFS($AO$2:$AO$200,$G401)&gt;0,
    COUNTIFS($AP$2:$AP$200,$G401)&gt;0,
    COUNTIFS($AQ$2:$AQ$200,$G401)&gt;0,
    COUNTIFS($AR$2:$AR$200,$G401)&gt;0,
    COUNTIFS($AS$2:$AS$200,$G401)&gt;0,
    COUNTIFS($AT$2:$AT$200,$G401)&gt;0,
    COUNTIFS($AU$2:$AU$200,$G401)&gt;0,
    COUNTIFS($AV$2:$AV$200,$G401)&gt;0,
    COUNTIFS($AW$2:$AW$200,$G401)&gt;0,
    COUNTIFS($AX$2:$AX$200,$G401)&gt;0
   ),
  0)
 ),
"")</f>
        <v>Narset</v>
      </c>
      <c r="G401" t="str">
        <f ca="1"/>
        <v>World at War</v>
      </c>
    </row>
    <row r="402" spans="1:7" x14ac:dyDescent="0.25">
      <c r="A402" s="3" t="str">
        <f t="shared" ca="1" si="14"/>
        <v>2</v>
      </c>
      <c r="B402" s="3">
        <f t="shared" ca="1" si="15"/>
        <v>1</v>
      </c>
      <c r="C402" s="3" t="str">
        <f ca="1">IFERROR(
 INDEX($U$1:$AX$1,
  MATCH(TRUE,
   CHOOSE({1;2;3;4;5;6;7;8;9;10;11;12;13;14;15;16;17;18;19;20;21;22;23;24;25;26;27;28;29;30;31;32},
    COUNTIFS($U$2:$U$200,$G402)&gt;0,
    COUNTIFS($V$2:$V$200,$G402)&gt;0,
    COUNTIFS($W$2:$W$200,$G402)&gt;0,
    COUNTIFS($X$2:$X$200,$G402)&gt;0,
    COUNTIFS($Y$2:$Y$200,$G402)&gt;0,
    COUNTIFS($Z$2:$Z$200,$G402)&gt;0,
    COUNTIFS($AA$2:$AA$200,$G402)&gt;0,
    COUNTIFS($AB$2:$AB$200,$G402)&gt;0,
    COUNTIFS($AC$2:$AC$200,$G402)&gt;0,
    COUNTIFS($AD$2:$AD$200,$G402)&gt;0,
    COUNTIFS($AE$2:$AE$200,$G402)&gt;0,
    COUNTIFS($AF$2:$AF$200,$G402)&gt;0,
    COUNTIFS($AG$2:$AG$200,$G402)&gt;0,
    COUNTIFS($AH$2:$AH$200,$G402)&gt;0,
    COUNTIFS($AI$2:$AI$200,$G402)&gt;0,
    COUNTIFS($AJ$2:$AJ$200,$G402)&gt;0,
    COUNTIFS($AK$2:$AK$200,$G402)&gt;0,
    COUNTIFS($AL$2:$AL$200,$G402)&gt;0,
    COUNTIFS($AM$2:$AM$200,$G402)&gt;0,
    COUNTIFS($AN$2:$AN$200,$G402)&gt;0,
    COUNTIFS($AO$2:$AO$200,$G402)&gt;0,
    COUNTIFS($AP$2:$AP$200,$G402)&gt;0,
    COUNTIFS($AQ$2:$AQ$200,$G402)&gt;0,
    COUNTIFS($AR$2:$AR$200,$G402)&gt;0,
    COUNTIFS($AS$2:$AS$200,$G402)&gt;0,
    COUNTIFS($AT$2:$AT$200,$G402)&gt;0,
    COUNTIFS($AU$2:$AU$200,$G402)&gt;0,
    COUNTIFS($AV$2:$AV$200,$G402)&gt;0,
    COUNTIFS($AW$2:$AW$200,$G402)&gt;0,
    COUNTIFS($AX$2:$AX$200,$G402)&gt;0
   ),
  0)
 ),
"")</f>
        <v>Rani</v>
      </c>
      <c r="G402" t="str">
        <f ca="1"/>
        <v>Xantcha, Agente Adormecida</v>
      </c>
    </row>
    <row r="403" spans="1:7" x14ac:dyDescent="0.25">
      <c r="A403" s="3" t="str">
        <f t="shared" ca="1" si="14"/>
        <v>2</v>
      </c>
      <c r="B403" s="3">
        <f t="shared" ca="1" si="15"/>
        <v>1</v>
      </c>
      <c r="C403" s="3" t="str">
        <f ca="1">IFERROR(
 INDEX($U$1:$AX$1,
  MATCH(TRUE,
   CHOOSE({1;2;3;4;5;6;7;8;9;10;11;12;13;14;15;16;17;18;19;20;21;22;23;24;25;26;27;28;29;30;31;32},
    COUNTIFS($U$2:$U$200,$G403)&gt;0,
    COUNTIFS($V$2:$V$200,$G403)&gt;0,
    COUNTIFS($W$2:$W$200,$G403)&gt;0,
    COUNTIFS($X$2:$X$200,$G403)&gt;0,
    COUNTIFS($Y$2:$Y$200,$G403)&gt;0,
    COUNTIFS($Z$2:$Z$200,$G403)&gt;0,
    COUNTIFS($AA$2:$AA$200,$G403)&gt;0,
    COUNTIFS($AB$2:$AB$200,$G403)&gt;0,
    COUNTIFS($AC$2:$AC$200,$G403)&gt;0,
    COUNTIFS($AD$2:$AD$200,$G403)&gt;0,
    COUNTIFS($AE$2:$AE$200,$G403)&gt;0,
    COUNTIFS($AF$2:$AF$200,$G403)&gt;0,
    COUNTIFS($AG$2:$AG$200,$G403)&gt;0,
    COUNTIFS($AH$2:$AH$200,$G403)&gt;0,
    COUNTIFS($AI$2:$AI$200,$G403)&gt;0,
    COUNTIFS($AJ$2:$AJ$200,$G403)&gt;0,
    COUNTIFS($AK$2:$AK$200,$G403)&gt;0,
    COUNTIFS($AL$2:$AL$200,$G403)&gt;0,
    COUNTIFS($AM$2:$AM$200,$G403)&gt;0,
    COUNTIFS($AN$2:$AN$200,$G403)&gt;0,
    COUNTIFS($AO$2:$AO$200,$G403)&gt;0,
    COUNTIFS($AP$2:$AP$200,$G403)&gt;0,
    COUNTIFS($AQ$2:$AQ$200,$G403)&gt;0,
    COUNTIFS($AR$2:$AR$200,$G403)&gt;0,
    COUNTIFS($AS$2:$AS$200,$G403)&gt;0,
    COUNTIFS($AT$2:$AT$200,$G403)&gt;0,
    COUNTIFS($AU$2:$AU$200,$G403)&gt;0,
    COUNTIFS($AV$2:$AV$200,$G403)&gt;0,
    COUNTIFS($AW$2:$AW$200,$G403)&gt;0,
    COUNTIFS($AX$2:$AX$200,$G403)&gt;0
   ),
  0)
 ),
"")</f>
        <v>Piratas</v>
      </c>
      <c r="G403" t="str">
        <f ca="1"/>
        <v>Xorn</v>
      </c>
    </row>
    <row r="404" spans="1:7" x14ac:dyDescent="0.25">
      <c r="A404" s="3" t="str">
        <f t="shared" ca="1" si="14"/>
        <v>1</v>
      </c>
      <c r="B404" s="3">
        <f t="shared" ca="1" si="15"/>
        <v>1</v>
      </c>
      <c r="C404" s="3" t="str">
        <f ca="1">IFERROR(
 INDEX($U$1:$AX$1,
  MATCH(TRUE,
   CHOOSE({1;2;3;4;5;6;7;8;9;10;11;12;13;14;15;16;17;18;19;20;21;22;23;24;25;26;27;28;29;30;31;32},
    COUNTIFS($U$2:$U$200,$G404)&gt;0,
    COUNTIFS($V$2:$V$200,$G404)&gt;0,
    COUNTIFS($W$2:$W$200,$G404)&gt;0,
    COUNTIFS($X$2:$X$200,$G404)&gt;0,
    COUNTIFS($Y$2:$Y$200,$G404)&gt;0,
    COUNTIFS($Z$2:$Z$200,$G404)&gt;0,
    COUNTIFS($AA$2:$AA$200,$G404)&gt;0,
    COUNTIFS($AB$2:$AB$200,$G404)&gt;0,
    COUNTIFS($AC$2:$AC$200,$G404)&gt;0,
    COUNTIFS($AD$2:$AD$200,$G404)&gt;0,
    COUNTIFS($AE$2:$AE$200,$G404)&gt;0,
    COUNTIFS($AF$2:$AF$200,$G404)&gt;0,
    COUNTIFS($AG$2:$AG$200,$G404)&gt;0,
    COUNTIFS($AH$2:$AH$200,$G404)&gt;0,
    COUNTIFS($AI$2:$AI$200,$G404)&gt;0,
    COUNTIFS($AJ$2:$AJ$200,$G404)&gt;0,
    COUNTIFS($AK$2:$AK$200,$G404)&gt;0,
    COUNTIFS($AL$2:$AL$200,$G404)&gt;0,
    COUNTIFS($AM$2:$AM$200,$G404)&gt;0,
    COUNTIFS($AN$2:$AN$200,$G404)&gt;0,
    COUNTIFS($AO$2:$AO$200,$G404)&gt;0,
    COUNTIFS($AP$2:$AP$200,$G404)&gt;0,
    COUNTIFS($AQ$2:$AQ$200,$G404)&gt;0,
    COUNTIFS($AR$2:$AR$200,$G404)&gt;0,
    COUNTIFS($AS$2:$AS$200,$G404)&gt;0,
    COUNTIFS($AT$2:$AT$200,$G404)&gt;0,
    COUNTIFS($AU$2:$AU$200,$G404)&gt;0,
    COUNTIFS($AV$2:$AV$200,$G404)&gt;0,
    COUNTIFS($AW$2:$AW$200,$G404)&gt;0,
    COUNTIFS($AX$2:$AX$200,$G404)&gt;0
   ),
  0)
 ),
"")</f>
        <v>Modular</v>
      </c>
      <c r="G404" t="str">
        <f ca="1"/>
        <v>Zabaz, the Glimmerwasp</v>
      </c>
    </row>
    <row r="405" spans="1:7" x14ac:dyDescent="0.25">
      <c r="A405" s="3" t="str">
        <f t="shared" ca="1" si="14"/>
        <v>1</v>
      </c>
      <c r="B405" s="3">
        <f t="shared" ca="1" si="15"/>
        <v>1</v>
      </c>
      <c r="C405" s="3" t="str">
        <f ca="1">IFERROR(
 INDEX($U$1:$AX$1,
  MATCH(TRUE,
   CHOOSE({1;2;3;4;5;6;7;8;9;10;11;12;13;14;15;16;17;18;19;20;21;22;23;24;25;26;27;28;29;30;31;32},
    COUNTIFS($U$2:$U$200,$G405)&gt;0,
    COUNTIFS($V$2:$V$200,$G405)&gt;0,
    COUNTIFS($W$2:$W$200,$G405)&gt;0,
    COUNTIFS($X$2:$X$200,$G405)&gt;0,
    COUNTIFS($Y$2:$Y$200,$G405)&gt;0,
    COUNTIFS($Z$2:$Z$200,$G405)&gt;0,
    COUNTIFS($AA$2:$AA$200,$G405)&gt;0,
    COUNTIFS($AB$2:$AB$200,$G405)&gt;0,
    COUNTIFS($AC$2:$AC$200,$G405)&gt;0,
    COUNTIFS($AD$2:$AD$200,$G405)&gt;0,
    COUNTIFS($AE$2:$AE$200,$G405)&gt;0,
    COUNTIFS($AF$2:$AF$200,$G405)&gt;0,
    COUNTIFS($AG$2:$AG$200,$G405)&gt;0,
    COUNTIFS($AH$2:$AH$200,$G405)&gt;0,
    COUNTIFS($AI$2:$AI$200,$G405)&gt;0,
    COUNTIFS($AJ$2:$AJ$200,$G405)&gt;0,
    COUNTIFS($AK$2:$AK$200,$G405)&gt;0,
    COUNTIFS($AL$2:$AL$200,$G405)&gt;0,
    COUNTIFS($AM$2:$AM$200,$G405)&gt;0,
    COUNTIFS($AN$2:$AN$200,$G405)&gt;0,
    COUNTIFS($AO$2:$AO$200,$G405)&gt;0,
    COUNTIFS($AP$2:$AP$200,$G405)&gt;0,
    COUNTIFS($AQ$2:$AQ$200,$G405)&gt;0,
    COUNTIFS($AR$2:$AR$200,$G405)&gt;0,
    COUNTIFS($AS$2:$AS$200,$G405)&gt;0,
    COUNTIFS($AT$2:$AT$200,$G405)&gt;0,
    COUNTIFS($AU$2:$AU$200,$G405)&gt;0,
    COUNTIFS($AV$2:$AV$200,$G405)&gt;0,
    COUNTIFS($AW$2:$AW$200,$G405)&gt;0,
    COUNTIFS($AX$2:$AX$200,$G405)&gt;0
   ),
  0)
 ),
"")</f>
        <v>Tayam</v>
      </c>
      <c r="G405" t="str">
        <f ca="1"/>
        <v>Zack Fair</v>
      </c>
    </row>
    <row r="406" spans="1:7" x14ac:dyDescent="0.25">
      <c r="A406" s="3" t="str">
        <f t="shared" ca="1" si="14"/>
        <v>3</v>
      </c>
      <c r="B406" s="3">
        <f t="shared" ca="1" si="15"/>
        <v>2</v>
      </c>
      <c r="C406" s="3" t="str">
        <f ca="1">IFERROR(
 INDEX($U$1:$AX$1,
  MATCH(TRUE,
   CHOOSE({1;2;3;4;5;6;7;8;9;10;11;12;13;14;15;16;17;18;19;20;21;22;23;24;25;26;27;28;29;30;31;32},
    COUNTIFS($U$2:$U$200,$G406)&gt;0,
    COUNTIFS($V$2:$V$200,$G406)&gt;0,
    COUNTIFS($W$2:$W$200,$G406)&gt;0,
    COUNTIFS($X$2:$X$200,$G406)&gt;0,
    COUNTIFS($Y$2:$Y$200,$G406)&gt;0,
    COUNTIFS($Z$2:$Z$200,$G406)&gt;0,
    COUNTIFS($AA$2:$AA$200,$G406)&gt;0,
    COUNTIFS($AB$2:$AB$200,$G406)&gt;0,
    COUNTIFS($AC$2:$AC$200,$G406)&gt;0,
    COUNTIFS($AD$2:$AD$200,$G406)&gt;0,
    COUNTIFS($AE$2:$AE$200,$G406)&gt;0,
    COUNTIFS($AF$2:$AF$200,$G406)&gt;0,
    COUNTIFS($AG$2:$AG$200,$G406)&gt;0,
    COUNTIFS($AH$2:$AH$200,$G406)&gt;0,
    COUNTIFS($AI$2:$AI$200,$G406)&gt;0,
    COUNTIFS($AJ$2:$AJ$200,$G406)&gt;0,
    COUNTIFS($AK$2:$AK$200,$G406)&gt;0,
    COUNTIFS($AL$2:$AL$200,$G406)&gt;0,
    COUNTIFS($AM$2:$AM$200,$G406)&gt;0,
    COUNTIFS($AN$2:$AN$200,$G406)&gt;0,
    COUNTIFS($AO$2:$AO$200,$G406)&gt;0,
    COUNTIFS($AP$2:$AP$200,$G406)&gt;0,
    COUNTIFS($AQ$2:$AQ$200,$G406)&gt;0,
    COUNTIFS($AR$2:$AR$200,$G406)&gt;0,
    COUNTIFS($AS$2:$AS$200,$G406)&gt;0,
    COUNTIFS($AT$2:$AT$200,$G406)&gt;0,
    COUNTIFS($AU$2:$AU$200,$G406)&gt;0,
    COUNTIFS($AV$2:$AV$200,$G406)&gt;0,
    COUNTIFS($AW$2:$AW$200,$G406)&gt;0,
    COUNTIFS($AX$2:$AX$200,$G406)&gt;0
   ),
  0)
 ),
"")</f>
        <v>Zimone</v>
      </c>
      <c r="G406" t="str">
        <f ca="1"/>
        <v>Zagoth Triome</v>
      </c>
    </row>
    <row r="407" spans="1:7" x14ac:dyDescent="0.25">
      <c r="A407" s="3" t="str">
        <f t="shared" ca="1" si="14"/>
        <v>2</v>
      </c>
      <c r="B407" s="3">
        <f t="shared" ca="1" si="15"/>
        <v>1</v>
      </c>
      <c r="C407" s="3" t="str">
        <f ca="1">IFERROR(
 INDEX($U$1:$AX$1,
  MATCH(TRUE,
   CHOOSE({1;2;3;4;5;6;7;8;9;10;11;12;13;14;15;16;17;18;19;20;21;22;23;24;25;26;27;28;29;30;31;32},
    COUNTIFS($U$2:$U$200,$G407)&gt;0,
    COUNTIFS($V$2:$V$200,$G407)&gt;0,
    COUNTIFS($W$2:$W$200,$G407)&gt;0,
    COUNTIFS($X$2:$X$200,$G407)&gt;0,
    COUNTIFS($Y$2:$Y$200,$G407)&gt;0,
    COUNTIFS($Z$2:$Z$200,$G407)&gt;0,
    COUNTIFS($AA$2:$AA$200,$G407)&gt;0,
    COUNTIFS($AB$2:$AB$200,$G407)&gt;0,
    COUNTIFS($AC$2:$AC$200,$G407)&gt;0,
    COUNTIFS($AD$2:$AD$200,$G407)&gt;0,
    COUNTIFS($AE$2:$AE$200,$G407)&gt;0,
    COUNTIFS($AF$2:$AF$200,$G407)&gt;0,
    COUNTIFS($AG$2:$AG$200,$G407)&gt;0,
    COUNTIFS($AH$2:$AH$200,$G407)&gt;0,
    COUNTIFS($AI$2:$AI$200,$G407)&gt;0,
    COUNTIFS($AJ$2:$AJ$200,$G407)&gt;0,
    COUNTIFS($AK$2:$AK$200,$G407)&gt;0,
    COUNTIFS($AL$2:$AL$200,$G407)&gt;0,
    COUNTIFS($AM$2:$AM$200,$G407)&gt;0,
    COUNTIFS($AN$2:$AN$200,$G407)&gt;0,
    COUNTIFS($AO$2:$AO$200,$G407)&gt;0,
    COUNTIFS($AP$2:$AP$200,$G407)&gt;0,
    COUNTIFS($AQ$2:$AQ$200,$G407)&gt;0,
    COUNTIFS($AR$2:$AR$200,$G407)&gt;0,
    COUNTIFS($AS$2:$AS$200,$G407)&gt;0,
    COUNTIFS($AT$2:$AT$200,$G407)&gt;0,
    COUNTIFS($AU$2:$AU$200,$G407)&gt;0,
    COUNTIFS($AV$2:$AV$200,$G407)&gt;0,
    COUNTIFS($AW$2:$AW$200,$G407)&gt;0,
    COUNTIFS($AX$2:$AX$200,$G407)&gt;0
   ),
  0)
 ),
"")</f>
        <v>Narset</v>
      </c>
      <c r="G407" t="str">
        <f ca="1"/>
        <v>Zellix, Sanity Flayer</v>
      </c>
    </row>
    <row r="408" spans="1:7" x14ac:dyDescent="0.25">
      <c r="A408" s="3" t="str">
        <f t="shared" ca="1" si="14"/>
        <v/>
      </c>
      <c r="B408" s="3">
        <f t="shared" ca="1" si="15"/>
        <v>0</v>
      </c>
      <c r="C408" s="3" t="str">
        <f ca="1">IFERROR(
 INDEX($U$1:$AX$1,
  MATCH(TRUE,
   CHOOSE({1;2;3;4;5;6;7;8;9;10;11;12;13;14;15;16;17;18;19;20;21;22;23;24;25;26;27;28;29;30;31;32},
    COUNTIFS($U$2:$U$200,$G408)&gt;0,
    COUNTIFS($V$2:$V$200,$G408)&gt;0,
    COUNTIFS($W$2:$W$200,$G408)&gt;0,
    COUNTIFS($X$2:$X$200,$G408)&gt;0,
    COUNTIFS($Y$2:$Y$200,$G408)&gt;0,
    COUNTIFS($Z$2:$Z$200,$G408)&gt;0,
    COUNTIFS($AA$2:$AA$200,$G408)&gt;0,
    COUNTIFS($AB$2:$AB$200,$G408)&gt;0,
    COUNTIFS($AC$2:$AC$200,$G408)&gt;0,
    COUNTIFS($AD$2:$AD$200,$G408)&gt;0,
    COUNTIFS($AE$2:$AE$200,$G408)&gt;0,
    COUNTIFS($AF$2:$AF$200,$G408)&gt;0,
    COUNTIFS($AG$2:$AG$200,$G408)&gt;0,
    COUNTIFS($AH$2:$AH$200,$G408)&gt;0,
    COUNTIFS($AI$2:$AI$200,$G408)&gt;0,
    COUNTIFS($AJ$2:$AJ$200,$G408)&gt;0,
    COUNTIFS($AK$2:$AK$200,$G408)&gt;0,
    COUNTIFS($AL$2:$AL$200,$G408)&gt;0,
    COUNTIFS($AM$2:$AM$200,$G408)&gt;0,
    COUNTIFS($AN$2:$AN$200,$G408)&gt;0,
    COUNTIFS($AO$2:$AO$200,$G408)&gt;0,
    COUNTIFS($AP$2:$AP$200,$G408)&gt;0,
    COUNTIFS($AQ$2:$AQ$200,$G408)&gt;0,
    COUNTIFS($AR$2:$AR$200,$G408)&gt;0,
    COUNTIFS($AS$2:$AS$200,$G408)&gt;0,
    COUNTIFS($AT$2:$AT$200,$G408)&gt;0,
    COUNTIFS($AU$2:$AU$200,$G408)&gt;0,
    COUNTIFS($AV$2:$AV$200,$G408)&gt;0,
    COUNTIFS($AW$2:$AW$200,$G408)&gt;0,
    COUNTIFS($AX$2:$AX$200,$G408)&gt;0
   ),
  0)
 ),
"")</f>
        <v/>
      </c>
      <c r="G408" t="e">
        <f ca="1"/>
        <v>#REF!</v>
      </c>
    </row>
    <row r="409" spans="1:7" x14ac:dyDescent="0.25">
      <c r="A409" s="3" t="str">
        <f t="shared" si="14"/>
        <v/>
      </c>
      <c r="B409" s="3">
        <f t="shared" si="15"/>
        <v>0</v>
      </c>
      <c r="C409" s="3" t="str">
        <f>IFERROR(
 INDEX($U$1:$AX$1,
  MATCH(TRUE,
   CHOOSE({1;2;3;4;5;6;7;8;9;10;11;12;13;14;15;16;17;18;19;20;21;22;23;24;25;26;27;28;29;30;31;32},
    COUNTIFS($U$2:$U$200,$G409)&gt;0,
    COUNTIFS($V$2:$V$200,$G409)&gt;0,
    COUNTIFS($W$2:$W$200,$G409)&gt;0,
    COUNTIFS($X$2:$X$200,$G409)&gt;0,
    COUNTIFS($Y$2:$Y$200,$G409)&gt;0,
    COUNTIFS($Z$2:$Z$200,$G409)&gt;0,
    COUNTIFS($AA$2:$AA$200,$G409)&gt;0,
    COUNTIFS($AB$2:$AB$200,$G409)&gt;0,
    COUNTIFS($AC$2:$AC$200,$G409)&gt;0,
    COUNTIFS($AD$2:$AD$200,$G409)&gt;0,
    COUNTIFS($AE$2:$AE$200,$G409)&gt;0,
    COUNTIFS($AF$2:$AF$200,$G409)&gt;0,
    COUNTIFS($AG$2:$AG$200,$G409)&gt;0,
    COUNTIFS($AH$2:$AH$200,$G409)&gt;0,
    COUNTIFS($AI$2:$AI$200,$G409)&gt;0,
    COUNTIFS($AJ$2:$AJ$200,$G409)&gt;0,
    COUNTIFS($AK$2:$AK$200,$G409)&gt;0,
    COUNTIFS($AL$2:$AL$200,$G409)&gt;0,
    COUNTIFS($AM$2:$AM$200,$G409)&gt;0,
    COUNTIFS($AN$2:$AN$200,$G409)&gt;0,
    COUNTIFS($AO$2:$AO$200,$G409)&gt;0,
    COUNTIFS($AP$2:$AP$200,$G409)&gt;0,
    COUNTIFS($AQ$2:$AQ$200,$G409)&gt;0,
    COUNTIFS($AR$2:$AR$200,$G409)&gt;0,
    COUNTIFS($AS$2:$AS$200,$G409)&gt;0,
    COUNTIFS($AT$2:$AT$200,$G409)&gt;0,
    COUNTIFS($AU$2:$AU$200,$G409)&gt;0,
    COUNTIFS($AV$2:$AV$200,$G409)&gt;0,
    COUNTIFS($AW$2:$AW$200,$G409)&gt;0,
    COUNTIFS($AX$2:$AX$200,$G409)&gt;0
   ),
  0)
 ),
"")</f>
        <v/>
      </c>
    </row>
    <row r="410" spans="1:7" x14ac:dyDescent="0.25">
      <c r="A410" s="3" t="str">
        <f t="shared" si="14"/>
        <v/>
      </c>
      <c r="B410" s="3">
        <f t="shared" si="15"/>
        <v>0</v>
      </c>
      <c r="C410" s="3" t="str">
        <f>IFERROR(
 INDEX($U$1:$AX$1,
  MATCH(TRUE,
   CHOOSE({1;2;3;4;5;6;7;8;9;10;11;12;13;14;15;16;17;18;19;20;21;22;23;24;25;26;27;28;29;30;31;32},
    COUNTIFS($U$2:$U$200,$G410)&gt;0,
    COUNTIFS($V$2:$V$200,$G410)&gt;0,
    COUNTIFS($W$2:$W$200,$G410)&gt;0,
    COUNTIFS($X$2:$X$200,$G410)&gt;0,
    COUNTIFS($Y$2:$Y$200,$G410)&gt;0,
    COUNTIFS($Z$2:$Z$200,$G410)&gt;0,
    COUNTIFS($AA$2:$AA$200,$G410)&gt;0,
    COUNTIFS($AB$2:$AB$200,$G410)&gt;0,
    COUNTIFS($AC$2:$AC$200,$G410)&gt;0,
    COUNTIFS($AD$2:$AD$200,$G410)&gt;0,
    COUNTIFS($AE$2:$AE$200,$G410)&gt;0,
    COUNTIFS($AF$2:$AF$200,$G410)&gt;0,
    COUNTIFS($AG$2:$AG$200,$G410)&gt;0,
    COUNTIFS($AH$2:$AH$200,$G410)&gt;0,
    COUNTIFS($AI$2:$AI$200,$G410)&gt;0,
    COUNTIFS($AJ$2:$AJ$200,$G410)&gt;0,
    COUNTIFS($AK$2:$AK$200,$G410)&gt;0,
    COUNTIFS($AL$2:$AL$200,$G410)&gt;0,
    COUNTIFS($AM$2:$AM$200,$G410)&gt;0,
    COUNTIFS($AN$2:$AN$200,$G410)&gt;0,
    COUNTIFS($AO$2:$AO$200,$G410)&gt;0,
    COUNTIFS($AP$2:$AP$200,$G410)&gt;0,
    COUNTIFS($AQ$2:$AQ$200,$G410)&gt;0,
    COUNTIFS($AR$2:$AR$200,$G410)&gt;0,
    COUNTIFS($AS$2:$AS$200,$G410)&gt;0,
    COUNTIFS($AT$2:$AT$200,$G410)&gt;0,
    COUNTIFS($AU$2:$AU$200,$G410)&gt;0,
    COUNTIFS($AV$2:$AV$200,$G410)&gt;0,
    COUNTIFS($AW$2:$AW$200,$G410)&gt;0,
    COUNTIFS($AX$2:$AX$200,$G410)&gt;0
   ),
  0)
 ),
"")</f>
        <v/>
      </c>
    </row>
    <row r="411" spans="1:7" x14ac:dyDescent="0.25">
      <c r="A411" s="3" t="str">
        <f t="shared" si="14"/>
        <v/>
      </c>
      <c r="B411" s="3">
        <f t="shared" si="15"/>
        <v>0</v>
      </c>
      <c r="C411" s="3" t="str">
        <f>IFERROR(
 INDEX($U$1:$AX$1,
  MATCH(TRUE,
   CHOOSE({1;2;3;4;5;6;7;8;9;10;11;12;13;14;15;16;17;18;19;20;21;22;23;24;25;26;27;28;29;30;31;32},
    COUNTIFS($U$2:$U$200,$G411)&gt;0,
    COUNTIFS($V$2:$V$200,$G411)&gt;0,
    COUNTIFS($W$2:$W$200,$G411)&gt;0,
    COUNTIFS($X$2:$X$200,$G411)&gt;0,
    COUNTIFS($Y$2:$Y$200,$G411)&gt;0,
    COUNTIFS($Z$2:$Z$200,$G411)&gt;0,
    COUNTIFS($AA$2:$AA$200,$G411)&gt;0,
    COUNTIFS($AB$2:$AB$200,$G411)&gt;0,
    COUNTIFS($AC$2:$AC$200,$G411)&gt;0,
    COUNTIFS($AD$2:$AD$200,$G411)&gt;0,
    COUNTIFS($AE$2:$AE$200,$G411)&gt;0,
    COUNTIFS($AF$2:$AF$200,$G411)&gt;0,
    COUNTIFS($AG$2:$AG$200,$G411)&gt;0,
    COUNTIFS($AH$2:$AH$200,$G411)&gt;0,
    COUNTIFS($AI$2:$AI$200,$G411)&gt;0,
    COUNTIFS($AJ$2:$AJ$200,$G411)&gt;0,
    COUNTIFS($AK$2:$AK$200,$G411)&gt;0,
    COUNTIFS($AL$2:$AL$200,$G411)&gt;0,
    COUNTIFS($AM$2:$AM$200,$G411)&gt;0,
    COUNTIFS($AN$2:$AN$200,$G411)&gt;0,
    COUNTIFS($AO$2:$AO$200,$G411)&gt;0,
    COUNTIFS($AP$2:$AP$200,$G411)&gt;0,
    COUNTIFS($AQ$2:$AQ$200,$G411)&gt;0,
    COUNTIFS($AR$2:$AR$200,$G411)&gt;0,
    COUNTIFS($AS$2:$AS$200,$G411)&gt;0,
    COUNTIFS($AT$2:$AT$200,$G411)&gt;0,
    COUNTIFS($AU$2:$AU$200,$G411)&gt;0,
    COUNTIFS($AV$2:$AV$200,$G411)&gt;0,
    COUNTIFS($AW$2:$AW$200,$G411)&gt;0,
    COUNTIFS($AX$2:$AX$200,$G411)&gt;0
   ),
  0)
 ),
"")</f>
        <v/>
      </c>
    </row>
    <row r="412" spans="1:7" x14ac:dyDescent="0.25">
      <c r="A412" s="3" t="str">
        <f t="shared" si="14"/>
        <v/>
      </c>
      <c r="B412" s="3">
        <f t="shared" si="15"/>
        <v>0</v>
      </c>
      <c r="C412" s="3" t="str">
        <f>IFERROR(
 INDEX($U$1:$AX$1,
  MATCH(TRUE,
   CHOOSE({1;2;3;4;5;6;7;8;9;10;11;12;13;14;15;16;17;18;19;20;21;22;23;24;25;26;27;28;29;30;31;32},
    COUNTIFS($U$2:$U$200,$G412)&gt;0,
    COUNTIFS($V$2:$V$200,$G412)&gt;0,
    COUNTIFS($W$2:$W$200,$G412)&gt;0,
    COUNTIFS($X$2:$X$200,$G412)&gt;0,
    COUNTIFS($Y$2:$Y$200,$G412)&gt;0,
    COUNTIFS($Z$2:$Z$200,$G412)&gt;0,
    COUNTIFS($AA$2:$AA$200,$G412)&gt;0,
    COUNTIFS($AB$2:$AB$200,$G412)&gt;0,
    COUNTIFS($AC$2:$AC$200,$G412)&gt;0,
    COUNTIFS($AD$2:$AD$200,$G412)&gt;0,
    COUNTIFS($AE$2:$AE$200,$G412)&gt;0,
    COUNTIFS($AF$2:$AF$200,$G412)&gt;0,
    COUNTIFS($AG$2:$AG$200,$G412)&gt;0,
    COUNTIFS($AH$2:$AH$200,$G412)&gt;0,
    COUNTIFS($AI$2:$AI$200,$G412)&gt;0,
    COUNTIFS($AJ$2:$AJ$200,$G412)&gt;0,
    COUNTIFS($AK$2:$AK$200,$G412)&gt;0,
    COUNTIFS($AL$2:$AL$200,$G412)&gt;0,
    COUNTIFS($AM$2:$AM$200,$G412)&gt;0,
    COUNTIFS($AN$2:$AN$200,$G412)&gt;0,
    COUNTIFS($AO$2:$AO$200,$G412)&gt;0,
    COUNTIFS($AP$2:$AP$200,$G412)&gt;0,
    COUNTIFS($AQ$2:$AQ$200,$G412)&gt;0,
    COUNTIFS($AR$2:$AR$200,$G412)&gt;0,
    COUNTIFS($AS$2:$AS$200,$G412)&gt;0,
    COUNTIFS($AT$2:$AT$200,$G412)&gt;0,
    COUNTIFS($AU$2:$AU$200,$G412)&gt;0,
    COUNTIFS($AV$2:$AV$200,$G412)&gt;0,
    COUNTIFS($AW$2:$AW$200,$G412)&gt;0,
    COUNTIFS($AX$2:$AX$200,$G412)&gt;0
   ),
  0)
 ),
"")</f>
        <v/>
      </c>
    </row>
    <row r="413" spans="1:7" x14ac:dyDescent="0.25">
      <c r="A413" s="3" t="str">
        <f t="shared" si="14"/>
        <v/>
      </c>
      <c r="B413" s="3">
        <f t="shared" si="15"/>
        <v>0</v>
      </c>
      <c r="C413" s="3" t="str">
        <f>IFERROR(
 INDEX($U$1:$AX$1,
  MATCH(TRUE,
   CHOOSE({1;2;3;4;5;6;7;8;9;10;11;12;13;14;15;16;17;18;19;20;21;22;23;24;25;26;27;28;29;30;31;32},
    COUNTIFS($U$2:$U$200,$G413)&gt;0,
    COUNTIFS($V$2:$V$200,$G413)&gt;0,
    COUNTIFS($W$2:$W$200,$G413)&gt;0,
    COUNTIFS($X$2:$X$200,$G413)&gt;0,
    COUNTIFS($Y$2:$Y$200,$G413)&gt;0,
    COUNTIFS($Z$2:$Z$200,$G413)&gt;0,
    COUNTIFS($AA$2:$AA$200,$G413)&gt;0,
    COUNTIFS($AB$2:$AB$200,$G413)&gt;0,
    COUNTIFS($AC$2:$AC$200,$G413)&gt;0,
    COUNTIFS($AD$2:$AD$200,$G413)&gt;0,
    COUNTIFS($AE$2:$AE$200,$G413)&gt;0,
    COUNTIFS($AF$2:$AF$200,$G413)&gt;0,
    COUNTIFS($AG$2:$AG$200,$G413)&gt;0,
    COUNTIFS($AH$2:$AH$200,$G413)&gt;0,
    COUNTIFS($AI$2:$AI$200,$G413)&gt;0,
    COUNTIFS($AJ$2:$AJ$200,$G413)&gt;0,
    COUNTIFS($AK$2:$AK$200,$G413)&gt;0,
    COUNTIFS($AL$2:$AL$200,$G413)&gt;0,
    COUNTIFS($AM$2:$AM$200,$G413)&gt;0,
    COUNTIFS($AN$2:$AN$200,$G413)&gt;0,
    COUNTIFS($AO$2:$AO$200,$G413)&gt;0,
    COUNTIFS($AP$2:$AP$200,$G413)&gt;0,
    COUNTIFS($AQ$2:$AQ$200,$G413)&gt;0,
    COUNTIFS($AR$2:$AR$200,$G413)&gt;0,
    COUNTIFS($AS$2:$AS$200,$G413)&gt;0,
    COUNTIFS($AT$2:$AT$200,$G413)&gt;0,
    COUNTIFS($AU$2:$AU$200,$G413)&gt;0,
    COUNTIFS($AV$2:$AV$200,$G413)&gt;0,
    COUNTIFS($AW$2:$AW$200,$G413)&gt;0,
    COUNTIFS($AX$2:$AX$200,$G413)&gt;0
   ),
  0)
 ),
"")</f>
        <v/>
      </c>
    </row>
    <row r="414" spans="1:7" x14ac:dyDescent="0.25">
      <c r="A414" s="3" t="str">
        <f t="shared" si="14"/>
        <v/>
      </c>
      <c r="B414" s="3">
        <f t="shared" si="15"/>
        <v>0</v>
      </c>
      <c r="C414" s="3" t="str">
        <f>IFERROR(
 INDEX($U$1:$AX$1,
  MATCH(TRUE,
   CHOOSE({1;2;3;4;5;6;7;8;9;10;11;12;13;14;15;16;17;18;19;20;21;22;23;24;25;26;27;28;29;30;31;32},
    COUNTIFS($U$2:$U$200,$G414)&gt;0,
    COUNTIFS($V$2:$V$200,$G414)&gt;0,
    COUNTIFS($W$2:$W$200,$G414)&gt;0,
    COUNTIFS($X$2:$X$200,$G414)&gt;0,
    COUNTIFS($Y$2:$Y$200,$G414)&gt;0,
    COUNTIFS($Z$2:$Z$200,$G414)&gt;0,
    COUNTIFS($AA$2:$AA$200,$G414)&gt;0,
    COUNTIFS($AB$2:$AB$200,$G414)&gt;0,
    COUNTIFS($AC$2:$AC$200,$G414)&gt;0,
    COUNTIFS($AD$2:$AD$200,$G414)&gt;0,
    COUNTIFS($AE$2:$AE$200,$G414)&gt;0,
    COUNTIFS($AF$2:$AF$200,$G414)&gt;0,
    COUNTIFS($AG$2:$AG$200,$G414)&gt;0,
    COUNTIFS($AH$2:$AH$200,$G414)&gt;0,
    COUNTIFS($AI$2:$AI$200,$G414)&gt;0,
    COUNTIFS($AJ$2:$AJ$200,$G414)&gt;0,
    COUNTIFS($AK$2:$AK$200,$G414)&gt;0,
    COUNTIFS($AL$2:$AL$200,$G414)&gt;0,
    COUNTIFS($AM$2:$AM$200,$G414)&gt;0,
    COUNTIFS($AN$2:$AN$200,$G414)&gt;0,
    COUNTIFS($AO$2:$AO$200,$G414)&gt;0,
    COUNTIFS($AP$2:$AP$200,$G414)&gt;0,
    COUNTIFS($AQ$2:$AQ$200,$G414)&gt;0,
    COUNTIFS($AR$2:$AR$200,$G414)&gt;0,
    COUNTIFS($AS$2:$AS$200,$G414)&gt;0,
    COUNTIFS($AT$2:$AT$200,$G414)&gt;0,
    COUNTIFS($AU$2:$AU$200,$G414)&gt;0,
    COUNTIFS($AV$2:$AV$200,$G414)&gt;0,
    COUNTIFS($AW$2:$AW$200,$G414)&gt;0,
    COUNTIFS($AX$2:$AX$200,$G414)&gt;0
   ),
  0)
 ),
"")</f>
        <v/>
      </c>
    </row>
    <row r="415" spans="1:7" x14ac:dyDescent="0.25">
      <c r="A415" s="3" t="str">
        <f t="shared" si="14"/>
        <v/>
      </c>
      <c r="B415" s="3">
        <f t="shared" si="15"/>
        <v>0</v>
      </c>
      <c r="C415" s="3" t="str">
        <f>IFERROR(
 INDEX($U$1:$AX$1,
  MATCH(TRUE,
   CHOOSE({1;2;3;4;5;6;7;8;9;10;11;12;13;14;15;16;17;18;19;20;21;22;23;24;25;26;27;28;29;30;31;32},
    COUNTIFS($U$2:$U$200,$G415)&gt;0,
    COUNTIFS($V$2:$V$200,$G415)&gt;0,
    COUNTIFS($W$2:$W$200,$G415)&gt;0,
    COUNTIFS($X$2:$X$200,$G415)&gt;0,
    COUNTIFS($Y$2:$Y$200,$G415)&gt;0,
    COUNTIFS($Z$2:$Z$200,$G415)&gt;0,
    COUNTIFS($AA$2:$AA$200,$G415)&gt;0,
    COUNTIFS($AB$2:$AB$200,$G415)&gt;0,
    COUNTIFS($AC$2:$AC$200,$G415)&gt;0,
    COUNTIFS($AD$2:$AD$200,$G415)&gt;0,
    COUNTIFS($AE$2:$AE$200,$G415)&gt;0,
    COUNTIFS($AF$2:$AF$200,$G415)&gt;0,
    COUNTIFS($AG$2:$AG$200,$G415)&gt;0,
    COUNTIFS($AH$2:$AH$200,$G415)&gt;0,
    COUNTIFS($AI$2:$AI$200,$G415)&gt;0,
    COUNTIFS($AJ$2:$AJ$200,$G415)&gt;0,
    COUNTIFS($AK$2:$AK$200,$G415)&gt;0,
    COUNTIFS($AL$2:$AL$200,$G415)&gt;0,
    COUNTIFS($AM$2:$AM$200,$G415)&gt;0,
    COUNTIFS($AN$2:$AN$200,$G415)&gt;0,
    COUNTIFS($AO$2:$AO$200,$G415)&gt;0,
    COUNTIFS($AP$2:$AP$200,$G415)&gt;0,
    COUNTIFS($AQ$2:$AQ$200,$G415)&gt;0,
    COUNTIFS($AR$2:$AR$200,$G415)&gt;0,
    COUNTIFS($AS$2:$AS$200,$G415)&gt;0,
    COUNTIFS($AT$2:$AT$200,$G415)&gt;0,
    COUNTIFS($AU$2:$AU$200,$G415)&gt;0,
    COUNTIFS($AV$2:$AV$200,$G415)&gt;0,
    COUNTIFS($AW$2:$AW$200,$G415)&gt;0,
    COUNTIFS($AX$2:$AX$200,$G415)&gt;0
   ),
  0)
 ),
"")</f>
        <v/>
      </c>
    </row>
    <row r="416" spans="1:7" x14ac:dyDescent="0.25">
      <c r="A416" s="3" t="str">
        <f t="shared" si="14"/>
        <v/>
      </c>
      <c r="B416" s="3">
        <f t="shared" si="15"/>
        <v>0</v>
      </c>
      <c r="C416" s="3" t="str">
        <f>IFERROR(
 INDEX($U$1:$AX$1,
  MATCH(TRUE,
   CHOOSE({1;2;3;4;5;6;7;8;9;10;11;12;13;14;15;16;17;18;19;20;21;22;23;24;25;26;27;28;29;30;31;32},
    COUNTIFS($U$2:$U$200,$G416)&gt;0,
    COUNTIFS($V$2:$V$200,$G416)&gt;0,
    COUNTIFS($W$2:$W$200,$G416)&gt;0,
    COUNTIFS($X$2:$X$200,$G416)&gt;0,
    COUNTIFS($Y$2:$Y$200,$G416)&gt;0,
    COUNTIFS($Z$2:$Z$200,$G416)&gt;0,
    COUNTIFS($AA$2:$AA$200,$G416)&gt;0,
    COUNTIFS($AB$2:$AB$200,$G416)&gt;0,
    COUNTIFS($AC$2:$AC$200,$G416)&gt;0,
    COUNTIFS($AD$2:$AD$200,$G416)&gt;0,
    COUNTIFS($AE$2:$AE$200,$G416)&gt;0,
    COUNTIFS($AF$2:$AF$200,$G416)&gt;0,
    COUNTIFS($AG$2:$AG$200,$G416)&gt;0,
    COUNTIFS($AH$2:$AH$200,$G416)&gt;0,
    COUNTIFS($AI$2:$AI$200,$G416)&gt;0,
    COUNTIFS($AJ$2:$AJ$200,$G416)&gt;0,
    COUNTIFS($AK$2:$AK$200,$G416)&gt;0,
    COUNTIFS($AL$2:$AL$200,$G416)&gt;0,
    COUNTIFS($AM$2:$AM$200,$G416)&gt;0,
    COUNTIFS($AN$2:$AN$200,$G416)&gt;0,
    COUNTIFS($AO$2:$AO$200,$G416)&gt;0,
    COUNTIFS($AP$2:$AP$200,$G416)&gt;0,
    COUNTIFS($AQ$2:$AQ$200,$G416)&gt;0,
    COUNTIFS($AR$2:$AR$200,$G416)&gt;0,
    COUNTIFS($AS$2:$AS$200,$G416)&gt;0,
    COUNTIFS($AT$2:$AT$200,$G416)&gt;0,
    COUNTIFS($AU$2:$AU$200,$G416)&gt;0,
    COUNTIFS($AV$2:$AV$200,$G416)&gt;0,
    COUNTIFS($AW$2:$AW$200,$G416)&gt;0,
    COUNTIFS($AX$2:$AX$200,$G416)&gt;0
   ),
  0)
 ),
"")</f>
        <v/>
      </c>
    </row>
    <row r="417" spans="1:3" x14ac:dyDescent="0.25">
      <c r="A417" s="3" t="str">
        <f t="shared" si="14"/>
        <v/>
      </c>
      <c r="B417" s="3">
        <f t="shared" si="15"/>
        <v>0</v>
      </c>
      <c r="C417" s="3" t="str">
        <f>IFERROR(
 INDEX($U$1:$AX$1,
  MATCH(TRUE,
   CHOOSE({1;2;3;4;5;6;7;8;9;10;11;12;13;14;15;16;17;18;19;20;21;22;23;24;25;26;27;28;29;30;31;32},
    COUNTIFS($U$2:$U$200,$G417)&gt;0,
    COUNTIFS($V$2:$V$200,$G417)&gt;0,
    COUNTIFS($W$2:$W$200,$G417)&gt;0,
    COUNTIFS($X$2:$X$200,$G417)&gt;0,
    COUNTIFS($Y$2:$Y$200,$G417)&gt;0,
    COUNTIFS($Z$2:$Z$200,$G417)&gt;0,
    COUNTIFS($AA$2:$AA$200,$G417)&gt;0,
    COUNTIFS($AB$2:$AB$200,$G417)&gt;0,
    COUNTIFS($AC$2:$AC$200,$G417)&gt;0,
    COUNTIFS($AD$2:$AD$200,$G417)&gt;0,
    COUNTIFS($AE$2:$AE$200,$G417)&gt;0,
    COUNTIFS($AF$2:$AF$200,$G417)&gt;0,
    COUNTIFS($AG$2:$AG$200,$G417)&gt;0,
    COUNTIFS($AH$2:$AH$200,$G417)&gt;0,
    COUNTIFS($AI$2:$AI$200,$G417)&gt;0,
    COUNTIFS($AJ$2:$AJ$200,$G417)&gt;0,
    COUNTIFS($AK$2:$AK$200,$G417)&gt;0,
    COUNTIFS($AL$2:$AL$200,$G417)&gt;0,
    COUNTIFS($AM$2:$AM$200,$G417)&gt;0,
    COUNTIFS($AN$2:$AN$200,$G417)&gt;0,
    COUNTIFS($AO$2:$AO$200,$G417)&gt;0,
    COUNTIFS($AP$2:$AP$200,$G417)&gt;0,
    COUNTIFS($AQ$2:$AQ$200,$G417)&gt;0,
    COUNTIFS($AR$2:$AR$200,$G417)&gt;0,
    COUNTIFS($AS$2:$AS$200,$G417)&gt;0,
    COUNTIFS($AT$2:$AT$200,$G417)&gt;0,
    COUNTIFS($AU$2:$AU$200,$G417)&gt;0,
    COUNTIFS($AV$2:$AV$200,$G417)&gt;0,
    COUNTIFS($AW$2:$AW$200,$G417)&gt;0,
    COUNTIFS($AX$2:$AX$200,$G417)&gt;0
   ),
  0)
 ),
"")</f>
        <v/>
      </c>
    </row>
    <row r="418" spans="1:3" x14ac:dyDescent="0.25">
      <c r="A418" s="3" t="str">
        <f t="shared" si="14"/>
        <v/>
      </c>
      <c r="B418" s="3">
        <f t="shared" si="15"/>
        <v>0</v>
      </c>
      <c r="C418" s="3" t="str">
        <f>IFERROR(
 INDEX($U$1:$AX$1,
  MATCH(TRUE,
   CHOOSE({1;2;3;4;5;6;7;8;9;10;11;12;13;14;15;16;17;18;19;20;21;22;23;24;25;26;27;28;29;30;31;32},
    COUNTIFS($U$2:$U$200,$G418)&gt;0,
    COUNTIFS($V$2:$V$200,$G418)&gt;0,
    COUNTIFS($W$2:$W$200,$G418)&gt;0,
    COUNTIFS($X$2:$X$200,$G418)&gt;0,
    COUNTIFS($Y$2:$Y$200,$G418)&gt;0,
    COUNTIFS($Z$2:$Z$200,$G418)&gt;0,
    COUNTIFS($AA$2:$AA$200,$G418)&gt;0,
    COUNTIFS($AB$2:$AB$200,$G418)&gt;0,
    COUNTIFS($AC$2:$AC$200,$G418)&gt;0,
    COUNTIFS($AD$2:$AD$200,$G418)&gt;0,
    COUNTIFS($AE$2:$AE$200,$G418)&gt;0,
    COUNTIFS($AF$2:$AF$200,$G418)&gt;0,
    COUNTIFS($AG$2:$AG$200,$G418)&gt;0,
    COUNTIFS($AH$2:$AH$200,$G418)&gt;0,
    COUNTIFS($AI$2:$AI$200,$G418)&gt;0,
    COUNTIFS($AJ$2:$AJ$200,$G418)&gt;0,
    COUNTIFS($AK$2:$AK$200,$G418)&gt;0,
    COUNTIFS($AL$2:$AL$200,$G418)&gt;0,
    COUNTIFS($AM$2:$AM$200,$G418)&gt;0,
    COUNTIFS($AN$2:$AN$200,$G418)&gt;0,
    COUNTIFS($AO$2:$AO$200,$G418)&gt;0,
    COUNTIFS($AP$2:$AP$200,$G418)&gt;0,
    COUNTIFS($AQ$2:$AQ$200,$G418)&gt;0,
    COUNTIFS($AR$2:$AR$200,$G418)&gt;0,
    COUNTIFS($AS$2:$AS$200,$G418)&gt;0,
    COUNTIFS($AT$2:$AT$200,$G418)&gt;0,
    COUNTIFS($AU$2:$AU$200,$G418)&gt;0,
    COUNTIFS($AV$2:$AV$200,$G418)&gt;0,
    COUNTIFS($AW$2:$AW$200,$G418)&gt;0,
    COUNTIFS($AX$2:$AX$200,$G418)&gt;0
   ),
  0)
 ),
"")</f>
        <v/>
      </c>
    </row>
    <row r="419" spans="1:3" x14ac:dyDescent="0.25">
      <c r="A419" s="3" t="str">
        <f t="shared" si="14"/>
        <v/>
      </c>
      <c r="B419" s="3">
        <f t="shared" si="15"/>
        <v>0</v>
      </c>
      <c r="C419" s="3" t="str">
        <f>IFERROR(
 INDEX($U$1:$AX$1,
  MATCH(TRUE,
   CHOOSE({1;2;3;4;5;6;7;8;9;10;11;12;13;14;15;16;17;18;19;20;21;22;23;24;25;26;27;28;29;30;31;32},
    COUNTIFS($U$2:$U$200,$G419)&gt;0,
    COUNTIFS($V$2:$V$200,$G419)&gt;0,
    COUNTIFS($W$2:$W$200,$G419)&gt;0,
    COUNTIFS($X$2:$X$200,$G419)&gt;0,
    COUNTIFS($Y$2:$Y$200,$G419)&gt;0,
    COUNTIFS($Z$2:$Z$200,$G419)&gt;0,
    COUNTIFS($AA$2:$AA$200,$G419)&gt;0,
    COUNTIFS($AB$2:$AB$200,$G419)&gt;0,
    COUNTIFS($AC$2:$AC$200,$G419)&gt;0,
    COUNTIFS($AD$2:$AD$200,$G419)&gt;0,
    COUNTIFS($AE$2:$AE$200,$G419)&gt;0,
    COUNTIFS($AF$2:$AF$200,$G419)&gt;0,
    COUNTIFS($AG$2:$AG$200,$G419)&gt;0,
    COUNTIFS($AH$2:$AH$200,$G419)&gt;0,
    COUNTIFS($AI$2:$AI$200,$G419)&gt;0,
    COUNTIFS($AJ$2:$AJ$200,$G419)&gt;0,
    COUNTIFS($AK$2:$AK$200,$G419)&gt;0,
    COUNTIFS($AL$2:$AL$200,$G419)&gt;0,
    COUNTIFS($AM$2:$AM$200,$G419)&gt;0,
    COUNTIFS($AN$2:$AN$200,$G419)&gt;0,
    COUNTIFS($AO$2:$AO$200,$G419)&gt;0,
    COUNTIFS($AP$2:$AP$200,$G419)&gt;0,
    COUNTIFS($AQ$2:$AQ$200,$G419)&gt;0,
    COUNTIFS($AR$2:$AR$200,$G419)&gt;0,
    COUNTIFS($AS$2:$AS$200,$G419)&gt;0,
    COUNTIFS($AT$2:$AT$200,$G419)&gt;0,
    COUNTIFS($AU$2:$AU$200,$G419)&gt;0,
    COUNTIFS($AV$2:$AV$200,$G419)&gt;0,
    COUNTIFS($AW$2:$AW$200,$G419)&gt;0,
    COUNTIFS($AX$2:$AX$200,$G419)&gt;0
   ),
  0)
 ),
"")</f>
        <v/>
      </c>
    </row>
    <row r="420" spans="1:3" x14ac:dyDescent="0.25">
      <c r="A420" s="3" t="str">
        <f t="shared" si="14"/>
        <v/>
      </c>
      <c r="B420" s="3">
        <f t="shared" si="15"/>
        <v>0</v>
      </c>
      <c r="C420" s="3" t="str">
        <f>IFERROR(
 INDEX($U$1:$AX$1,
  MATCH(TRUE,
   CHOOSE({1;2;3;4;5;6;7;8;9;10;11;12;13;14;15;16;17;18;19;20;21;22;23;24;25;26;27;28;29;30;31;32},
    COUNTIFS($U$2:$U$200,$G420)&gt;0,
    COUNTIFS($V$2:$V$200,$G420)&gt;0,
    COUNTIFS($W$2:$W$200,$G420)&gt;0,
    COUNTIFS($X$2:$X$200,$G420)&gt;0,
    COUNTIFS($Y$2:$Y$200,$G420)&gt;0,
    COUNTIFS($Z$2:$Z$200,$G420)&gt;0,
    COUNTIFS($AA$2:$AA$200,$G420)&gt;0,
    COUNTIFS($AB$2:$AB$200,$G420)&gt;0,
    COUNTIFS($AC$2:$AC$200,$G420)&gt;0,
    COUNTIFS($AD$2:$AD$200,$G420)&gt;0,
    COUNTIFS($AE$2:$AE$200,$G420)&gt;0,
    COUNTIFS($AF$2:$AF$200,$G420)&gt;0,
    COUNTIFS($AG$2:$AG$200,$G420)&gt;0,
    COUNTIFS($AH$2:$AH$200,$G420)&gt;0,
    COUNTIFS($AI$2:$AI$200,$G420)&gt;0,
    COUNTIFS($AJ$2:$AJ$200,$G420)&gt;0,
    COUNTIFS($AK$2:$AK$200,$G420)&gt;0,
    COUNTIFS($AL$2:$AL$200,$G420)&gt;0,
    COUNTIFS($AM$2:$AM$200,$G420)&gt;0,
    COUNTIFS($AN$2:$AN$200,$G420)&gt;0,
    COUNTIFS($AO$2:$AO$200,$G420)&gt;0,
    COUNTIFS($AP$2:$AP$200,$G420)&gt;0,
    COUNTIFS($AQ$2:$AQ$200,$G420)&gt;0,
    COUNTIFS($AR$2:$AR$200,$G420)&gt;0,
    COUNTIFS($AS$2:$AS$200,$G420)&gt;0,
    COUNTIFS($AT$2:$AT$200,$G420)&gt;0,
    COUNTIFS($AU$2:$AU$200,$G420)&gt;0,
    COUNTIFS($AV$2:$AV$200,$G420)&gt;0,
    COUNTIFS($AW$2:$AW$200,$G420)&gt;0,
    COUNTIFS($AX$2:$AX$200,$G420)&gt;0
   ),
  0)
 ),
"")</f>
        <v/>
      </c>
    </row>
    <row r="421" spans="1:3" x14ac:dyDescent="0.25">
      <c r="A421" s="3" t="str">
        <f t="shared" si="14"/>
        <v/>
      </c>
      <c r="B421" s="3">
        <f t="shared" si="15"/>
        <v>0</v>
      </c>
      <c r="C421" s="3" t="str">
        <f>IFERROR(
 INDEX($U$1:$AX$1,
  MATCH(TRUE,
   CHOOSE({1;2;3;4;5;6;7;8;9;10;11;12;13;14;15;16;17;18;19;20;21;22;23;24;25;26;27;28;29;30;31;32},
    COUNTIFS($U$2:$U$200,$G421)&gt;0,
    COUNTIFS($V$2:$V$200,$G421)&gt;0,
    COUNTIFS($W$2:$W$200,$G421)&gt;0,
    COUNTIFS($X$2:$X$200,$G421)&gt;0,
    COUNTIFS($Y$2:$Y$200,$G421)&gt;0,
    COUNTIFS($Z$2:$Z$200,$G421)&gt;0,
    COUNTIFS($AA$2:$AA$200,$G421)&gt;0,
    COUNTIFS($AB$2:$AB$200,$G421)&gt;0,
    COUNTIFS($AC$2:$AC$200,$G421)&gt;0,
    COUNTIFS($AD$2:$AD$200,$G421)&gt;0,
    COUNTIFS($AE$2:$AE$200,$G421)&gt;0,
    COUNTIFS($AF$2:$AF$200,$G421)&gt;0,
    COUNTIFS($AG$2:$AG$200,$G421)&gt;0,
    COUNTIFS($AH$2:$AH$200,$G421)&gt;0,
    COUNTIFS($AI$2:$AI$200,$G421)&gt;0,
    COUNTIFS($AJ$2:$AJ$200,$G421)&gt;0,
    COUNTIFS($AK$2:$AK$200,$G421)&gt;0,
    COUNTIFS($AL$2:$AL$200,$G421)&gt;0,
    COUNTIFS($AM$2:$AM$200,$G421)&gt;0,
    COUNTIFS($AN$2:$AN$200,$G421)&gt;0,
    COUNTIFS($AO$2:$AO$200,$G421)&gt;0,
    COUNTIFS($AP$2:$AP$200,$G421)&gt;0,
    COUNTIFS($AQ$2:$AQ$200,$G421)&gt;0,
    COUNTIFS($AR$2:$AR$200,$G421)&gt;0,
    COUNTIFS($AS$2:$AS$200,$G421)&gt;0,
    COUNTIFS($AT$2:$AT$200,$G421)&gt;0,
    COUNTIFS($AU$2:$AU$200,$G421)&gt;0,
    COUNTIFS($AV$2:$AV$200,$G421)&gt;0,
    COUNTIFS($AW$2:$AW$200,$G421)&gt;0,
    COUNTIFS($AX$2:$AX$200,$G421)&gt;0
   ),
  0)
 ),
"")</f>
        <v/>
      </c>
    </row>
    <row r="422" spans="1:3" x14ac:dyDescent="0.25">
      <c r="A422" s="3" t="str">
        <f t="shared" si="14"/>
        <v/>
      </c>
      <c r="B422" s="3">
        <f t="shared" si="15"/>
        <v>0</v>
      </c>
      <c r="C422" s="3" t="str">
        <f>IFERROR(
 INDEX($U$1:$AX$1,
  MATCH(TRUE,
   CHOOSE({1;2;3;4;5;6;7;8;9;10;11;12;13;14;15;16;17;18;19;20;21;22;23;24;25;26;27;28;29;30;31;32},
    COUNTIFS($U$2:$U$200,$G422)&gt;0,
    COUNTIFS($V$2:$V$200,$G422)&gt;0,
    COUNTIFS($W$2:$W$200,$G422)&gt;0,
    COUNTIFS($X$2:$X$200,$G422)&gt;0,
    COUNTIFS($Y$2:$Y$200,$G422)&gt;0,
    COUNTIFS($Z$2:$Z$200,$G422)&gt;0,
    COUNTIFS($AA$2:$AA$200,$G422)&gt;0,
    COUNTIFS($AB$2:$AB$200,$G422)&gt;0,
    COUNTIFS($AC$2:$AC$200,$G422)&gt;0,
    COUNTIFS($AD$2:$AD$200,$G422)&gt;0,
    COUNTIFS($AE$2:$AE$200,$G422)&gt;0,
    COUNTIFS($AF$2:$AF$200,$G422)&gt;0,
    COUNTIFS($AG$2:$AG$200,$G422)&gt;0,
    COUNTIFS($AH$2:$AH$200,$G422)&gt;0,
    COUNTIFS($AI$2:$AI$200,$G422)&gt;0,
    COUNTIFS($AJ$2:$AJ$200,$G422)&gt;0,
    COUNTIFS($AK$2:$AK$200,$G422)&gt;0,
    COUNTIFS($AL$2:$AL$200,$G422)&gt;0,
    COUNTIFS($AM$2:$AM$200,$G422)&gt;0,
    COUNTIFS($AN$2:$AN$200,$G422)&gt;0,
    COUNTIFS($AO$2:$AO$200,$G422)&gt;0,
    COUNTIFS($AP$2:$AP$200,$G422)&gt;0,
    COUNTIFS($AQ$2:$AQ$200,$G422)&gt;0,
    COUNTIFS($AR$2:$AR$200,$G422)&gt;0,
    COUNTIFS($AS$2:$AS$200,$G422)&gt;0,
    COUNTIFS($AT$2:$AT$200,$G422)&gt;0,
    COUNTIFS($AU$2:$AU$200,$G422)&gt;0,
    COUNTIFS($AV$2:$AV$200,$G422)&gt;0,
    COUNTIFS($AW$2:$AW$200,$G422)&gt;0,
    COUNTIFS($AX$2:$AX$200,$G422)&gt;0
   ),
  0)
 ),
"")</f>
        <v/>
      </c>
    </row>
    <row r="423" spans="1:3" x14ac:dyDescent="0.25">
      <c r="A423" s="3" t="str">
        <f t="shared" si="14"/>
        <v/>
      </c>
      <c r="B423" s="3">
        <f t="shared" si="15"/>
        <v>0</v>
      </c>
      <c r="C423" s="3" t="str">
        <f>IFERROR(
 INDEX($U$1:$AX$1,
  MATCH(TRUE,
   CHOOSE({1;2;3;4;5;6;7;8;9;10;11;12;13;14;15;16;17;18;19;20;21;22;23;24;25;26;27;28;29;30;31;32},
    COUNTIFS($U$2:$U$200,$G423)&gt;0,
    COUNTIFS($V$2:$V$200,$G423)&gt;0,
    COUNTIFS($W$2:$W$200,$G423)&gt;0,
    COUNTIFS($X$2:$X$200,$G423)&gt;0,
    COUNTIFS($Y$2:$Y$200,$G423)&gt;0,
    COUNTIFS($Z$2:$Z$200,$G423)&gt;0,
    COUNTIFS($AA$2:$AA$200,$G423)&gt;0,
    COUNTIFS($AB$2:$AB$200,$G423)&gt;0,
    COUNTIFS($AC$2:$AC$200,$G423)&gt;0,
    COUNTIFS($AD$2:$AD$200,$G423)&gt;0,
    COUNTIFS($AE$2:$AE$200,$G423)&gt;0,
    COUNTIFS($AF$2:$AF$200,$G423)&gt;0,
    COUNTIFS($AG$2:$AG$200,$G423)&gt;0,
    COUNTIFS($AH$2:$AH$200,$G423)&gt;0,
    COUNTIFS($AI$2:$AI$200,$G423)&gt;0,
    COUNTIFS($AJ$2:$AJ$200,$G423)&gt;0,
    COUNTIFS($AK$2:$AK$200,$G423)&gt;0,
    COUNTIFS($AL$2:$AL$200,$G423)&gt;0,
    COUNTIFS($AM$2:$AM$200,$G423)&gt;0,
    COUNTIFS($AN$2:$AN$200,$G423)&gt;0,
    COUNTIFS($AO$2:$AO$200,$G423)&gt;0,
    COUNTIFS($AP$2:$AP$200,$G423)&gt;0,
    COUNTIFS($AQ$2:$AQ$200,$G423)&gt;0,
    COUNTIFS($AR$2:$AR$200,$G423)&gt;0,
    COUNTIFS($AS$2:$AS$200,$G423)&gt;0,
    COUNTIFS($AT$2:$AT$200,$G423)&gt;0,
    COUNTIFS($AU$2:$AU$200,$G423)&gt;0,
    COUNTIFS($AV$2:$AV$200,$G423)&gt;0,
    COUNTIFS($AW$2:$AW$200,$G423)&gt;0,
    COUNTIFS($AX$2:$AX$200,$G423)&gt;0
   ),
  0)
 ),
"")</f>
        <v/>
      </c>
    </row>
    <row r="424" spans="1:3" x14ac:dyDescent="0.25">
      <c r="A424" s="3" t="str">
        <f t="shared" si="14"/>
        <v/>
      </c>
      <c r="B424" s="3">
        <f t="shared" si="15"/>
        <v>0</v>
      </c>
      <c r="C424" s="3" t="str">
        <f>IFERROR(
 INDEX($U$1:$AX$1,
  MATCH(TRUE,
   CHOOSE({1;2;3;4;5;6;7;8;9;10;11;12;13;14;15;16;17;18;19;20;21;22;23;24;25;26;27;28;29;30;31;32},
    COUNTIFS($U$2:$U$200,$G424)&gt;0,
    COUNTIFS($V$2:$V$200,$G424)&gt;0,
    COUNTIFS($W$2:$W$200,$G424)&gt;0,
    COUNTIFS($X$2:$X$200,$G424)&gt;0,
    COUNTIFS($Y$2:$Y$200,$G424)&gt;0,
    COUNTIFS($Z$2:$Z$200,$G424)&gt;0,
    COUNTIFS($AA$2:$AA$200,$G424)&gt;0,
    COUNTIFS($AB$2:$AB$200,$G424)&gt;0,
    COUNTIFS($AC$2:$AC$200,$G424)&gt;0,
    COUNTIFS($AD$2:$AD$200,$G424)&gt;0,
    COUNTIFS($AE$2:$AE$200,$G424)&gt;0,
    COUNTIFS($AF$2:$AF$200,$G424)&gt;0,
    COUNTIFS($AG$2:$AG$200,$G424)&gt;0,
    COUNTIFS($AH$2:$AH$200,$G424)&gt;0,
    COUNTIFS($AI$2:$AI$200,$G424)&gt;0,
    COUNTIFS($AJ$2:$AJ$200,$G424)&gt;0,
    COUNTIFS($AK$2:$AK$200,$G424)&gt;0,
    COUNTIFS($AL$2:$AL$200,$G424)&gt;0,
    COUNTIFS($AM$2:$AM$200,$G424)&gt;0,
    COUNTIFS($AN$2:$AN$200,$G424)&gt;0,
    COUNTIFS($AO$2:$AO$200,$G424)&gt;0,
    COUNTIFS($AP$2:$AP$200,$G424)&gt;0,
    COUNTIFS($AQ$2:$AQ$200,$G424)&gt;0,
    COUNTIFS($AR$2:$AR$200,$G424)&gt;0,
    COUNTIFS($AS$2:$AS$200,$G424)&gt;0,
    COUNTIFS($AT$2:$AT$200,$G424)&gt;0,
    COUNTIFS($AU$2:$AU$200,$G424)&gt;0,
    COUNTIFS($AV$2:$AV$200,$G424)&gt;0,
    COUNTIFS($AW$2:$AW$200,$G424)&gt;0,
    COUNTIFS($AX$2:$AX$200,$G424)&gt;0
   ),
  0)
 ),
"")</f>
        <v/>
      </c>
    </row>
    <row r="425" spans="1:3" x14ac:dyDescent="0.25">
      <c r="A425" s="3" t="str">
        <f t="shared" si="14"/>
        <v/>
      </c>
      <c r="B425" s="3">
        <f t="shared" si="15"/>
        <v>0</v>
      </c>
      <c r="C425" s="3" t="str">
        <f>IFERROR(
 INDEX($U$1:$AX$1,
  MATCH(TRUE,
   CHOOSE({1;2;3;4;5;6;7;8;9;10;11;12;13;14;15;16;17;18;19;20;21;22;23;24;25;26;27;28;29;30;31;32},
    COUNTIFS($U$2:$U$200,$G425)&gt;0,
    COUNTIFS($V$2:$V$200,$G425)&gt;0,
    COUNTIFS($W$2:$W$200,$G425)&gt;0,
    COUNTIFS($X$2:$X$200,$G425)&gt;0,
    COUNTIFS($Y$2:$Y$200,$G425)&gt;0,
    COUNTIFS($Z$2:$Z$200,$G425)&gt;0,
    COUNTIFS($AA$2:$AA$200,$G425)&gt;0,
    COUNTIFS($AB$2:$AB$200,$G425)&gt;0,
    COUNTIFS($AC$2:$AC$200,$G425)&gt;0,
    COUNTIFS($AD$2:$AD$200,$G425)&gt;0,
    COUNTIFS($AE$2:$AE$200,$G425)&gt;0,
    COUNTIFS($AF$2:$AF$200,$G425)&gt;0,
    COUNTIFS($AG$2:$AG$200,$G425)&gt;0,
    COUNTIFS($AH$2:$AH$200,$G425)&gt;0,
    COUNTIFS($AI$2:$AI$200,$G425)&gt;0,
    COUNTIFS($AJ$2:$AJ$200,$G425)&gt;0,
    COUNTIFS($AK$2:$AK$200,$G425)&gt;0,
    COUNTIFS($AL$2:$AL$200,$G425)&gt;0,
    COUNTIFS($AM$2:$AM$200,$G425)&gt;0,
    COUNTIFS($AN$2:$AN$200,$G425)&gt;0,
    COUNTIFS($AO$2:$AO$200,$G425)&gt;0,
    COUNTIFS($AP$2:$AP$200,$G425)&gt;0,
    COUNTIFS($AQ$2:$AQ$200,$G425)&gt;0,
    COUNTIFS($AR$2:$AR$200,$G425)&gt;0,
    COUNTIFS($AS$2:$AS$200,$G425)&gt;0,
    COUNTIFS($AT$2:$AT$200,$G425)&gt;0,
    COUNTIFS($AU$2:$AU$200,$G425)&gt;0,
    COUNTIFS($AV$2:$AV$200,$G425)&gt;0,
    COUNTIFS($AW$2:$AW$200,$G425)&gt;0,
    COUNTIFS($AX$2:$AX$200,$G425)&gt;0
   ),
  0)
 ),
"")</f>
        <v/>
      </c>
    </row>
    <row r="426" spans="1:3" x14ac:dyDescent="0.25">
      <c r="A426" s="3" t="str">
        <f t="shared" si="14"/>
        <v/>
      </c>
      <c r="B426" s="3">
        <f t="shared" si="15"/>
        <v>0</v>
      </c>
      <c r="C426" s="3" t="str">
        <f>IFERROR(
 INDEX($U$1:$AX$1,
  MATCH(TRUE,
   CHOOSE({1;2;3;4;5;6;7;8;9;10;11;12;13;14;15;16;17;18;19;20;21;22;23;24;25;26;27;28;29;30;31;32},
    COUNTIFS($U$2:$U$200,$G426)&gt;0,
    COUNTIFS($V$2:$V$200,$G426)&gt;0,
    COUNTIFS($W$2:$W$200,$G426)&gt;0,
    COUNTIFS($X$2:$X$200,$G426)&gt;0,
    COUNTIFS($Y$2:$Y$200,$G426)&gt;0,
    COUNTIFS($Z$2:$Z$200,$G426)&gt;0,
    COUNTIFS($AA$2:$AA$200,$G426)&gt;0,
    COUNTIFS($AB$2:$AB$200,$G426)&gt;0,
    COUNTIFS($AC$2:$AC$200,$G426)&gt;0,
    COUNTIFS($AD$2:$AD$200,$G426)&gt;0,
    COUNTIFS($AE$2:$AE$200,$G426)&gt;0,
    COUNTIFS($AF$2:$AF$200,$G426)&gt;0,
    COUNTIFS($AG$2:$AG$200,$G426)&gt;0,
    COUNTIFS($AH$2:$AH$200,$G426)&gt;0,
    COUNTIFS($AI$2:$AI$200,$G426)&gt;0,
    COUNTIFS($AJ$2:$AJ$200,$G426)&gt;0,
    COUNTIFS($AK$2:$AK$200,$G426)&gt;0,
    COUNTIFS($AL$2:$AL$200,$G426)&gt;0,
    COUNTIFS($AM$2:$AM$200,$G426)&gt;0,
    COUNTIFS($AN$2:$AN$200,$G426)&gt;0,
    COUNTIFS($AO$2:$AO$200,$G426)&gt;0,
    COUNTIFS($AP$2:$AP$200,$G426)&gt;0,
    COUNTIFS($AQ$2:$AQ$200,$G426)&gt;0,
    COUNTIFS($AR$2:$AR$200,$G426)&gt;0,
    COUNTIFS($AS$2:$AS$200,$G426)&gt;0,
    COUNTIFS($AT$2:$AT$200,$G426)&gt;0,
    COUNTIFS($AU$2:$AU$200,$G426)&gt;0,
    COUNTIFS($AV$2:$AV$200,$G426)&gt;0,
    COUNTIFS($AW$2:$AW$200,$G426)&gt;0,
    COUNTIFS($AX$2:$AX$200,$G426)&gt;0
   ),
  0)
 ),
"")</f>
        <v/>
      </c>
    </row>
    <row r="427" spans="1:3" x14ac:dyDescent="0.25">
      <c r="A427" s="3" t="str">
        <f t="shared" si="14"/>
        <v/>
      </c>
      <c r="B427" s="3">
        <f t="shared" si="15"/>
        <v>0</v>
      </c>
      <c r="C427" s="3" t="str">
        <f>IFERROR(
 INDEX($U$1:$AX$1,
  MATCH(TRUE,
   CHOOSE({1;2;3;4;5;6;7;8;9;10;11;12;13;14;15;16;17;18;19;20;21;22;23;24;25;26;27;28;29;30;31;32},
    COUNTIFS($U$2:$U$200,$G427)&gt;0,
    COUNTIFS($V$2:$V$200,$G427)&gt;0,
    COUNTIFS($W$2:$W$200,$G427)&gt;0,
    COUNTIFS($X$2:$X$200,$G427)&gt;0,
    COUNTIFS($Y$2:$Y$200,$G427)&gt;0,
    COUNTIFS($Z$2:$Z$200,$G427)&gt;0,
    COUNTIFS($AA$2:$AA$200,$G427)&gt;0,
    COUNTIFS($AB$2:$AB$200,$G427)&gt;0,
    COUNTIFS($AC$2:$AC$200,$G427)&gt;0,
    COUNTIFS($AD$2:$AD$200,$G427)&gt;0,
    COUNTIFS($AE$2:$AE$200,$G427)&gt;0,
    COUNTIFS($AF$2:$AF$200,$G427)&gt;0,
    COUNTIFS($AG$2:$AG$200,$G427)&gt;0,
    COUNTIFS($AH$2:$AH$200,$G427)&gt;0,
    COUNTIFS($AI$2:$AI$200,$G427)&gt;0,
    COUNTIFS($AJ$2:$AJ$200,$G427)&gt;0,
    COUNTIFS($AK$2:$AK$200,$G427)&gt;0,
    COUNTIFS($AL$2:$AL$200,$G427)&gt;0,
    COUNTIFS($AM$2:$AM$200,$G427)&gt;0,
    COUNTIFS($AN$2:$AN$200,$G427)&gt;0,
    COUNTIFS($AO$2:$AO$200,$G427)&gt;0,
    COUNTIFS($AP$2:$AP$200,$G427)&gt;0,
    COUNTIFS($AQ$2:$AQ$200,$G427)&gt;0,
    COUNTIFS($AR$2:$AR$200,$G427)&gt;0,
    COUNTIFS($AS$2:$AS$200,$G427)&gt;0,
    COUNTIFS($AT$2:$AT$200,$G427)&gt;0,
    COUNTIFS($AU$2:$AU$200,$G427)&gt;0,
    COUNTIFS($AV$2:$AV$200,$G427)&gt;0,
    COUNTIFS($AW$2:$AW$200,$G427)&gt;0,
    COUNTIFS($AX$2:$AX$200,$G427)&gt;0
   ),
  0)
 ),
"")</f>
        <v/>
      </c>
    </row>
    <row r="428" spans="1:3" x14ac:dyDescent="0.25">
      <c r="A428" s="3" t="str">
        <f t="shared" si="14"/>
        <v/>
      </c>
      <c r="B428" s="3">
        <f t="shared" si="15"/>
        <v>0</v>
      </c>
      <c r="C428" s="3" t="str">
        <f>IFERROR(
 INDEX($U$1:$AX$1,
  MATCH(TRUE,
   CHOOSE({1;2;3;4;5;6;7;8;9;10;11;12;13;14;15;16;17;18;19;20;21;22;23;24;25;26;27;28;29;30;31;32},
    COUNTIFS($U$2:$U$200,$G428)&gt;0,
    COUNTIFS($V$2:$V$200,$G428)&gt;0,
    COUNTIFS($W$2:$W$200,$G428)&gt;0,
    COUNTIFS($X$2:$X$200,$G428)&gt;0,
    COUNTIFS($Y$2:$Y$200,$G428)&gt;0,
    COUNTIFS($Z$2:$Z$200,$G428)&gt;0,
    COUNTIFS($AA$2:$AA$200,$G428)&gt;0,
    COUNTIFS($AB$2:$AB$200,$G428)&gt;0,
    COUNTIFS($AC$2:$AC$200,$G428)&gt;0,
    COUNTIFS($AD$2:$AD$200,$G428)&gt;0,
    COUNTIFS($AE$2:$AE$200,$G428)&gt;0,
    COUNTIFS($AF$2:$AF$200,$G428)&gt;0,
    COUNTIFS($AG$2:$AG$200,$G428)&gt;0,
    COUNTIFS($AH$2:$AH$200,$G428)&gt;0,
    COUNTIFS($AI$2:$AI$200,$G428)&gt;0,
    COUNTIFS($AJ$2:$AJ$200,$G428)&gt;0,
    COUNTIFS($AK$2:$AK$200,$G428)&gt;0,
    COUNTIFS($AL$2:$AL$200,$G428)&gt;0,
    COUNTIFS($AM$2:$AM$200,$G428)&gt;0,
    COUNTIFS($AN$2:$AN$200,$G428)&gt;0,
    COUNTIFS($AO$2:$AO$200,$G428)&gt;0,
    COUNTIFS($AP$2:$AP$200,$G428)&gt;0,
    COUNTIFS($AQ$2:$AQ$200,$G428)&gt;0,
    COUNTIFS($AR$2:$AR$200,$G428)&gt;0,
    COUNTIFS($AS$2:$AS$200,$G428)&gt;0,
    COUNTIFS($AT$2:$AT$200,$G428)&gt;0,
    COUNTIFS($AU$2:$AU$200,$G428)&gt;0,
    COUNTIFS($AV$2:$AV$200,$G428)&gt;0,
    COUNTIFS($AW$2:$AW$200,$G428)&gt;0,
    COUNTIFS($AX$2:$AX$200,$G428)&gt;0
   ),
  0)
 ),
"")</f>
        <v/>
      </c>
    </row>
    <row r="429" spans="1:3" x14ac:dyDescent="0.25">
      <c r="A429" s="3" t="str">
        <f t="shared" si="14"/>
        <v/>
      </c>
      <c r="B429" s="3">
        <f t="shared" si="15"/>
        <v>0</v>
      </c>
      <c r="C429" s="3" t="str">
        <f>IFERROR(
 INDEX($U$1:$AX$1,
  MATCH(TRUE,
   CHOOSE({1;2;3;4;5;6;7;8;9;10;11;12;13;14;15;16;17;18;19;20;21;22;23;24;25;26;27;28;29;30;31;32},
    COUNTIFS($U$2:$U$200,$G429)&gt;0,
    COUNTIFS($V$2:$V$200,$G429)&gt;0,
    COUNTIFS($W$2:$W$200,$G429)&gt;0,
    COUNTIFS($X$2:$X$200,$G429)&gt;0,
    COUNTIFS($Y$2:$Y$200,$G429)&gt;0,
    COUNTIFS($Z$2:$Z$200,$G429)&gt;0,
    COUNTIFS($AA$2:$AA$200,$G429)&gt;0,
    COUNTIFS($AB$2:$AB$200,$G429)&gt;0,
    COUNTIFS($AC$2:$AC$200,$G429)&gt;0,
    COUNTIFS($AD$2:$AD$200,$G429)&gt;0,
    COUNTIFS($AE$2:$AE$200,$G429)&gt;0,
    COUNTIFS($AF$2:$AF$200,$G429)&gt;0,
    COUNTIFS($AG$2:$AG$200,$G429)&gt;0,
    COUNTIFS($AH$2:$AH$200,$G429)&gt;0,
    COUNTIFS($AI$2:$AI$200,$G429)&gt;0,
    COUNTIFS($AJ$2:$AJ$200,$G429)&gt;0,
    COUNTIFS($AK$2:$AK$200,$G429)&gt;0,
    COUNTIFS($AL$2:$AL$200,$G429)&gt;0,
    COUNTIFS($AM$2:$AM$200,$G429)&gt;0,
    COUNTIFS($AN$2:$AN$200,$G429)&gt;0,
    COUNTIFS($AO$2:$AO$200,$G429)&gt;0,
    COUNTIFS($AP$2:$AP$200,$G429)&gt;0,
    COUNTIFS($AQ$2:$AQ$200,$G429)&gt;0,
    COUNTIFS($AR$2:$AR$200,$G429)&gt;0,
    COUNTIFS($AS$2:$AS$200,$G429)&gt;0,
    COUNTIFS($AT$2:$AT$200,$G429)&gt;0,
    COUNTIFS($AU$2:$AU$200,$G429)&gt;0,
    COUNTIFS($AV$2:$AV$200,$G429)&gt;0,
    COUNTIFS($AW$2:$AW$200,$G429)&gt;0,
    COUNTIFS($AX$2:$AX$200,$G429)&gt;0
   ),
  0)
 ),
"")</f>
        <v/>
      </c>
    </row>
    <row r="430" spans="1:3" x14ac:dyDescent="0.25">
      <c r="A430" s="3" t="str">
        <f t="shared" si="14"/>
        <v/>
      </c>
      <c r="B430" s="3">
        <f t="shared" si="15"/>
        <v>0</v>
      </c>
      <c r="C430" s="3" t="str">
        <f>IFERROR(
 INDEX($U$1:$AX$1,
  MATCH(TRUE,
   CHOOSE({1;2;3;4;5;6;7;8;9;10;11;12;13;14;15;16;17;18;19;20;21;22;23;24;25;26;27;28;29;30;31;32},
    COUNTIFS($U$2:$U$200,$G430)&gt;0,
    COUNTIFS($V$2:$V$200,$G430)&gt;0,
    COUNTIFS($W$2:$W$200,$G430)&gt;0,
    COUNTIFS($X$2:$X$200,$G430)&gt;0,
    COUNTIFS($Y$2:$Y$200,$G430)&gt;0,
    COUNTIFS($Z$2:$Z$200,$G430)&gt;0,
    COUNTIFS($AA$2:$AA$200,$G430)&gt;0,
    COUNTIFS($AB$2:$AB$200,$G430)&gt;0,
    COUNTIFS($AC$2:$AC$200,$G430)&gt;0,
    COUNTIFS($AD$2:$AD$200,$G430)&gt;0,
    COUNTIFS($AE$2:$AE$200,$G430)&gt;0,
    COUNTIFS($AF$2:$AF$200,$G430)&gt;0,
    COUNTIFS($AG$2:$AG$200,$G430)&gt;0,
    COUNTIFS($AH$2:$AH$200,$G430)&gt;0,
    COUNTIFS($AI$2:$AI$200,$G430)&gt;0,
    COUNTIFS($AJ$2:$AJ$200,$G430)&gt;0,
    COUNTIFS($AK$2:$AK$200,$G430)&gt;0,
    COUNTIFS($AL$2:$AL$200,$G430)&gt;0,
    COUNTIFS($AM$2:$AM$200,$G430)&gt;0,
    COUNTIFS($AN$2:$AN$200,$G430)&gt;0,
    COUNTIFS($AO$2:$AO$200,$G430)&gt;0,
    COUNTIFS($AP$2:$AP$200,$G430)&gt;0,
    COUNTIFS($AQ$2:$AQ$200,$G430)&gt;0,
    COUNTIFS($AR$2:$AR$200,$G430)&gt;0,
    COUNTIFS($AS$2:$AS$200,$G430)&gt;0,
    COUNTIFS($AT$2:$AT$200,$G430)&gt;0,
    COUNTIFS($AU$2:$AU$200,$G430)&gt;0,
    COUNTIFS($AV$2:$AV$200,$G430)&gt;0,
    COUNTIFS($AW$2:$AW$200,$G430)&gt;0,
    COUNTIFS($AX$2:$AX$200,$G430)&gt;0
   ),
  0)
 ),
"")</f>
        <v/>
      </c>
    </row>
    <row r="431" spans="1:3" x14ac:dyDescent="0.25">
      <c r="A431" s="3" t="str">
        <f t="shared" si="14"/>
        <v/>
      </c>
      <c r="B431" s="3">
        <f t="shared" si="15"/>
        <v>0</v>
      </c>
      <c r="C431" s="3" t="str">
        <f>IFERROR(
 INDEX($U$1:$AX$1,
  MATCH(TRUE,
   CHOOSE({1;2;3;4;5;6;7;8;9;10;11;12;13;14;15;16;17;18;19;20;21;22;23;24;25;26;27;28;29;30;31;32},
    COUNTIFS($U$2:$U$200,$G431)&gt;0,
    COUNTIFS($V$2:$V$200,$G431)&gt;0,
    COUNTIFS($W$2:$W$200,$G431)&gt;0,
    COUNTIFS($X$2:$X$200,$G431)&gt;0,
    COUNTIFS($Y$2:$Y$200,$G431)&gt;0,
    COUNTIFS($Z$2:$Z$200,$G431)&gt;0,
    COUNTIFS($AA$2:$AA$200,$G431)&gt;0,
    COUNTIFS($AB$2:$AB$200,$G431)&gt;0,
    COUNTIFS($AC$2:$AC$200,$G431)&gt;0,
    COUNTIFS($AD$2:$AD$200,$G431)&gt;0,
    COUNTIFS($AE$2:$AE$200,$G431)&gt;0,
    COUNTIFS($AF$2:$AF$200,$G431)&gt;0,
    COUNTIFS($AG$2:$AG$200,$G431)&gt;0,
    COUNTIFS($AH$2:$AH$200,$G431)&gt;0,
    COUNTIFS($AI$2:$AI$200,$G431)&gt;0,
    COUNTIFS($AJ$2:$AJ$200,$G431)&gt;0,
    COUNTIFS($AK$2:$AK$200,$G431)&gt;0,
    COUNTIFS($AL$2:$AL$200,$G431)&gt;0,
    COUNTIFS($AM$2:$AM$200,$G431)&gt;0,
    COUNTIFS($AN$2:$AN$200,$G431)&gt;0,
    COUNTIFS($AO$2:$AO$200,$G431)&gt;0,
    COUNTIFS($AP$2:$AP$200,$G431)&gt;0,
    COUNTIFS($AQ$2:$AQ$200,$G431)&gt;0,
    COUNTIFS($AR$2:$AR$200,$G431)&gt;0,
    COUNTIFS($AS$2:$AS$200,$G431)&gt;0,
    COUNTIFS($AT$2:$AT$200,$G431)&gt;0,
    COUNTIFS($AU$2:$AU$200,$G431)&gt;0,
    COUNTIFS($AV$2:$AV$200,$G431)&gt;0,
    COUNTIFS($AW$2:$AW$200,$G431)&gt;0,
    COUNTIFS($AX$2:$AX$200,$G431)&gt;0
   ),
  0)
 ),
"")</f>
        <v/>
      </c>
    </row>
    <row r="432" spans="1:3" x14ac:dyDescent="0.25">
      <c r="A432" s="3" t="str">
        <f t="shared" si="14"/>
        <v/>
      </c>
      <c r="B432" s="3">
        <f t="shared" si="15"/>
        <v>0</v>
      </c>
      <c r="C432" s="3" t="str">
        <f>IFERROR(
 INDEX($U$1:$AX$1,
  MATCH(TRUE,
   CHOOSE({1;2;3;4;5;6;7;8;9;10;11;12;13;14;15;16;17;18;19;20;21;22;23;24;25;26;27;28;29;30;31;32},
    COUNTIFS($U$2:$U$200,$G432)&gt;0,
    COUNTIFS($V$2:$V$200,$G432)&gt;0,
    COUNTIFS($W$2:$W$200,$G432)&gt;0,
    COUNTIFS($X$2:$X$200,$G432)&gt;0,
    COUNTIFS($Y$2:$Y$200,$G432)&gt;0,
    COUNTIFS($Z$2:$Z$200,$G432)&gt;0,
    COUNTIFS($AA$2:$AA$200,$G432)&gt;0,
    COUNTIFS($AB$2:$AB$200,$G432)&gt;0,
    COUNTIFS($AC$2:$AC$200,$G432)&gt;0,
    COUNTIFS($AD$2:$AD$200,$G432)&gt;0,
    COUNTIFS($AE$2:$AE$200,$G432)&gt;0,
    COUNTIFS($AF$2:$AF$200,$G432)&gt;0,
    COUNTIFS($AG$2:$AG$200,$G432)&gt;0,
    COUNTIFS($AH$2:$AH$200,$G432)&gt;0,
    COUNTIFS($AI$2:$AI$200,$G432)&gt;0,
    COUNTIFS($AJ$2:$AJ$200,$G432)&gt;0,
    COUNTIFS($AK$2:$AK$200,$G432)&gt;0,
    COUNTIFS($AL$2:$AL$200,$G432)&gt;0,
    COUNTIFS($AM$2:$AM$200,$G432)&gt;0,
    COUNTIFS($AN$2:$AN$200,$G432)&gt;0,
    COUNTIFS($AO$2:$AO$200,$G432)&gt;0,
    COUNTIFS($AP$2:$AP$200,$G432)&gt;0,
    COUNTIFS($AQ$2:$AQ$200,$G432)&gt;0,
    COUNTIFS($AR$2:$AR$200,$G432)&gt;0,
    COUNTIFS($AS$2:$AS$200,$G432)&gt;0,
    COUNTIFS($AT$2:$AT$200,$G432)&gt;0,
    COUNTIFS($AU$2:$AU$200,$G432)&gt;0,
    COUNTIFS($AV$2:$AV$200,$G432)&gt;0,
    COUNTIFS($AW$2:$AW$200,$G432)&gt;0,
    COUNTIFS($AX$2:$AX$200,$G432)&gt;0
   ),
  0)
 ),
"")</f>
        <v/>
      </c>
    </row>
    <row r="433" spans="1:3" x14ac:dyDescent="0.25">
      <c r="A433" s="3" t="str">
        <f t="shared" si="14"/>
        <v/>
      </c>
      <c r="B433" s="3">
        <f t="shared" si="15"/>
        <v>0</v>
      </c>
      <c r="C433" s="3" t="str">
        <f>IFERROR(
 INDEX($U$1:$AX$1,
  MATCH(TRUE,
   CHOOSE({1;2;3;4;5;6;7;8;9;10;11;12;13;14;15;16;17;18;19;20;21;22;23;24;25;26;27;28;29;30;31;32},
    COUNTIFS($U$2:$U$200,$G433)&gt;0,
    COUNTIFS($V$2:$V$200,$G433)&gt;0,
    COUNTIFS($W$2:$W$200,$G433)&gt;0,
    COUNTIFS($X$2:$X$200,$G433)&gt;0,
    COUNTIFS($Y$2:$Y$200,$G433)&gt;0,
    COUNTIFS($Z$2:$Z$200,$G433)&gt;0,
    COUNTIFS($AA$2:$AA$200,$G433)&gt;0,
    COUNTIFS($AB$2:$AB$200,$G433)&gt;0,
    COUNTIFS($AC$2:$AC$200,$G433)&gt;0,
    COUNTIFS($AD$2:$AD$200,$G433)&gt;0,
    COUNTIFS($AE$2:$AE$200,$G433)&gt;0,
    COUNTIFS($AF$2:$AF$200,$G433)&gt;0,
    COUNTIFS($AG$2:$AG$200,$G433)&gt;0,
    COUNTIFS($AH$2:$AH$200,$G433)&gt;0,
    COUNTIFS($AI$2:$AI$200,$G433)&gt;0,
    COUNTIFS($AJ$2:$AJ$200,$G433)&gt;0,
    COUNTIFS($AK$2:$AK$200,$G433)&gt;0,
    COUNTIFS($AL$2:$AL$200,$G433)&gt;0,
    COUNTIFS($AM$2:$AM$200,$G433)&gt;0,
    COUNTIFS($AN$2:$AN$200,$G433)&gt;0,
    COUNTIFS($AO$2:$AO$200,$G433)&gt;0,
    COUNTIFS($AP$2:$AP$200,$G433)&gt;0,
    COUNTIFS($AQ$2:$AQ$200,$G433)&gt;0,
    COUNTIFS($AR$2:$AR$200,$G433)&gt;0,
    COUNTIFS($AS$2:$AS$200,$G433)&gt;0,
    COUNTIFS($AT$2:$AT$200,$G433)&gt;0,
    COUNTIFS($AU$2:$AU$200,$G433)&gt;0,
    COUNTIFS($AV$2:$AV$200,$G433)&gt;0,
    COUNTIFS($AW$2:$AW$200,$G433)&gt;0,
    COUNTIFS($AX$2:$AX$200,$G433)&gt;0
   ),
  0)
 ),
"")</f>
        <v/>
      </c>
    </row>
    <row r="434" spans="1:3" x14ac:dyDescent="0.25">
      <c r="A434" s="3" t="str">
        <f t="shared" si="14"/>
        <v/>
      </c>
      <c r="B434" s="3">
        <f t="shared" si="15"/>
        <v>0</v>
      </c>
      <c r="C434" s="3" t="str">
        <f>IFERROR(
 INDEX($U$1:$AX$1,
  MATCH(TRUE,
   CHOOSE({1;2;3;4;5;6;7;8;9;10;11;12;13;14;15;16;17;18;19;20;21;22;23;24;25;26;27;28;29;30;31;32},
    COUNTIFS($U$2:$U$200,$G434)&gt;0,
    COUNTIFS($V$2:$V$200,$G434)&gt;0,
    COUNTIFS($W$2:$W$200,$G434)&gt;0,
    COUNTIFS($X$2:$X$200,$G434)&gt;0,
    COUNTIFS($Y$2:$Y$200,$G434)&gt;0,
    COUNTIFS($Z$2:$Z$200,$G434)&gt;0,
    COUNTIFS($AA$2:$AA$200,$G434)&gt;0,
    COUNTIFS($AB$2:$AB$200,$G434)&gt;0,
    COUNTIFS($AC$2:$AC$200,$G434)&gt;0,
    COUNTIFS($AD$2:$AD$200,$G434)&gt;0,
    COUNTIFS($AE$2:$AE$200,$G434)&gt;0,
    COUNTIFS($AF$2:$AF$200,$G434)&gt;0,
    COUNTIFS($AG$2:$AG$200,$G434)&gt;0,
    COUNTIFS($AH$2:$AH$200,$G434)&gt;0,
    COUNTIFS($AI$2:$AI$200,$G434)&gt;0,
    COUNTIFS($AJ$2:$AJ$200,$G434)&gt;0,
    COUNTIFS($AK$2:$AK$200,$G434)&gt;0,
    COUNTIFS($AL$2:$AL$200,$G434)&gt;0,
    COUNTIFS($AM$2:$AM$200,$G434)&gt;0,
    COUNTIFS($AN$2:$AN$200,$G434)&gt;0,
    COUNTIFS($AO$2:$AO$200,$G434)&gt;0,
    COUNTIFS($AP$2:$AP$200,$G434)&gt;0,
    COUNTIFS($AQ$2:$AQ$200,$G434)&gt;0,
    COUNTIFS($AR$2:$AR$200,$G434)&gt;0,
    COUNTIFS($AS$2:$AS$200,$G434)&gt;0,
    COUNTIFS($AT$2:$AT$200,$G434)&gt;0,
    COUNTIFS($AU$2:$AU$200,$G434)&gt;0,
    COUNTIFS($AV$2:$AV$200,$G434)&gt;0,
    COUNTIFS($AW$2:$AW$200,$G434)&gt;0,
    COUNTIFS($AX$2:$AX$200,$G434)&gt;0
   ),
  0)
 ),
"")</f>
        <v/>
      </c>
    </row>
    <row r="435" spans="1:3" x14ac:dyDescent="0.25">
      <c r="A435" s="3" t="str">
        <f t="shared" si="14"/>
        <v/>
      </c>
      <c r="B435" s="3">
        <f t="shared" si="15"/>
        <v>0</v>
      </c>
      <c r="C435" s="3" t="str">
        <f>IFERROR(
 INDEX($U$1:$AX$1,
  MATCH(TRUE,
   CHOOSE({1;2;3;4;5;6;7;8;9;10;11;12;13;14;15;16;17;18;19;20;21;22;23;24;25;26;27;28;29;30;31;32},
    COUNTIFS($U$2:$U$200,$G435)&gt;0,
    COUNTIFS($V$2:$V$200,$G435)&gt;0,
    COUNTIFS($W$2:$W$200,$G435)&gt;0,
    COUNTIFS($X$2:$X$200,$G435)&gt;0,
    COUNTIFS($Y$2:$Y$200,$G435)&gt;0,
    COUNTIFS($Z$2:$Z$200,$G435)&gt;0,
    COUNTIFS($AA$2:$AA$200,$G435)&gt;0,
    COUNTIFS($AB$2:$AB$200,$G435)&gt;0,
    COUNTIFS($AC$2:$AC$200,$G435)&gt;0,
    COUNTIFS($AD$2:$AD$200,$G435)&gt;0,
    COUNTIFS($AE$2:$AE$200,$G435)&gt;0,
    COUNTIFS($AF$2:$AF$200,$G435)&gt;0,
    COUNTIFS($AG$2:$AG$200,$G435)&gt;0,
    COUNTIFS($AH$2:$AH$200,$G435)&gt;0,
    COUNTIFS($AI$2:$AI$200,$G435)&gt;0,
    COUNTIFS($AJ$2:$AJ$200,$G435)&gt;0,
    COUNTIFS($AK$2:$AK$200,$G435)&gt;0,
    COUNTIFS($AL$2:$AL$200,$G435)&gt;0,
    COUNTIFS($AM$2:$AM$200,$G435)&gt;0,
    COUNTIFS($AN$2:$AN$200,$G435)&gt;0,
    COUNTIFS($AO$2:$AO$200,$G435)&gt;0,
    COUNTIFS($AP$2:$AP$200,$G435)&gt;0,
    COUNTIFS($AQ$2:$AQ$200,$G435)&gt;0,
    COUNTIFS($AR$2:$AR$200,$G435)&gt;0,
    COUNTIFS($AS$2:$AS$200,$G435)&gt;0,
    COUNTIFS($AT$2:$AT$200,$G435)&gt;0,
    COUNTIFS($AU$2:$AU$200,$G435)&gt;0,
    COUNTIFS($AV$2:$AV$200,$G435)&gt;0,
    COUNTIFS($AW$2:$AW$200,$G435)&gt;0,
    COUNTIFS($AX$2:$AX$200,$G435)&gt;0
   ),
  0)
 ),
"")</f>
        <v/>
      </c>
    </row>
    <row r="436" spans="1:3" x14ac:dyDescent="0.25">
      <c r="A436" s="3" t="str">
        <f t="shared" si="14"/>
        <v/>
      </c>
      <c r="B436" s="3">
        <f t="shared" si="15"/>
        <v>0</v>
      </c>
      <c r="C436" s="3" t="str">
        <f>IFERROR(
 INDEX($U$1:$AX$1,
  MATCH(TRUE,
   CHOOSE({1;2;3;4;5;6;7;8;9;10;11;12;13;14;15;16;17;18;19;20;21;22;23;24;25;26;27;28;29;30;31;32},
    COUNTIFS($U$2:$U$200,$G436)&gt;0,
    COUNTIFS($V$2:$V$200,$G436)&gt;0,
    COUNTIFS($W$2:$W$200,$G436)&gt;0,
    COUNTIFS($X$2:$X$200,$G436)&gt;0,
    COUNTIFS($Y$2:$Y$200,$G436)&gt;0,
    COUNTIFS($Z$2:$Z$200,$G436)&gt;0,
    COUNTIFS($AA$2:$AA$200,$G436)&gt;0,
    COUNTIFS($AB$2:$AB$200,$G436)&gt;0,
    COUNTIFS($AC$2:$AC$200,$G436)&gt;0,
    COUNTIFS($AD$2:$AD$200,$G436)&gt;0,
    COUNTIFS($AE$2:$AE$200,$G436)&gt;0,
    COUNTIFS($AF$2:$AF$200,$G436)&gt;0,
    COUNTIFS($AG$2:$AG$200,$G436)&gt;0,
    COUNTIFS($AH$2:$AH$200,$G436)&gt;0,
    COUNTIFS($AI$2:$AI$200,$G436)&gt;0,
    COUNTIFS($AJ$2:$AJ$200,$G436)&gt;0,
    COUNTIFS($AK$2:$AK$200,$G436)&gt;0,
    COUNTIFS($AL$2:$AL$200,$G436)&gt;0,
    COUNTIFS($AM$2:$AM$200,$G436)&gt;0,
    COUNTIFS($AN$2:$AN$200,$G436)&gt;0,
    COUNTIFS($AO$2:$AO$200,$G436)&gt;0,
    COUNTIFS($AP$2:$AP$200,$G436)&gt;0,
    COUNTIFS($AQ$2:$AQ$200,$G436)&gt;0,
    COUNTIFS($AR$2:$AR$200,$G436)&gt;0,
    COUNTIFS($AS$2:$AS$200,$G436)&gt;0,
    COUNTIFS($AT$2:$AT$200,$G436)&gt;0,
    COUNTIFS($AU$2:$AU$200,$G436)&gt;0,
    COUNTIFS($AV$2:$AV$200,$G436)&gt;0,
    COUNTIFS($AW$2:$AW$200,$G436)&gt;0,
    COUNTIFS($AX$2:$AX$200,$G436)&gt;0
   ),
  0)
 ),
"")</f>
        <v/>
      </c>
    </row>
    <row r="437" spans="1:3" x14ac:dyDescent="0.25">
      <c r="A437" s="3" t="str">
        <f t="shared" si="14"/>
        <v/>
      </c>
      <c r="B437" s="3">
        <f t="shared" si="15"/>
        <v>0</v>
      </c>
      <c r="C437" s="3" t="str">
        <f>IFERROR(
 INDEX($U$1:$AX$1,
  MATCH(TRUE,
   CHOOSE({1;2;3;4;5;6;7;8;9;10;11;12;13;14;15;16;17;18;19;20;21;22;23;24;25;26;27;28;29;30;31;32},
    COUNTIFS($U$2:$U$200,$G437)&gt;0,
    COUNTIFS($V$2:$V$200,$G437)&gt;0,
    COUNTIFS($W$2:$W$200,$G437)&gt;0,
    COUNTIFS($X$2:$X$200,$G437)&gt;0,
    COUNTIFS($Y$2:$Y$200,$G437)&gt;0,
    COUNTIFS($Z$2:$Z$200,$G437)&gt;0,
    COUNTIFS($AA$2:$AA$200,$G437)&gt;0,
    COUNTIFS($AB$2:$AB$200,$G437)&gt;0,
    COUNTIFS($AC$2:$AC$200,$G437)&gt;0,
    COUNTIFS($AD$2:$AD$200,$G437)&gt;0,
    COUNTIFS($AE$2:$AE$200,$G437)&gt;0,
    COUNTIFS($AF$2:$AF$200,$G437)&gt;0,
    COUNTIFS($AG$2:$AG$200,$G437)&gt;0,
    COUNTIFS($AH$2:$AH$200,$G437)&gt;0,
    COUNTIFS($AI$2:$AI$200,$G437)&gt;0,
    COUNTIFS($AJ$2:$AJ$200,$G437)&gt;0,
    COUNTIFS($AK$2:$AK$200,$G437)&gt;0,
    COUNTIFS($AL$2:$AL$200,$G437)&gt;0,
    COUNTIFS($AM$2:$AM$200,$G437)&gt;0,
    COUNTIFS($AN$2:$AN$200,$G437)&gt;0,
    COUNTIFS($AO$2:$AO$200,$G437)&gt;0,
    COUNTIFS($AP$2:$AP$200,$G437)&gt;0,
    COUNTIFS($AQ$2:$AQ$200,$G437)&gt;0,
    COUNTIFS($AR$2:$AR$200,$G437)&gt;0,
    COUNTIFS($AS$2:$AS$200,$G437)&gt;0,
    COUNTIFS($AT$2:$AT$200,$G437)&gt;0,
    COUNTIFS($AU$2:$AU$200,$G437)&gt;0,
    COUNTIFS($AV$2:$AV$200,$G437)&gt;0,
    COUNTIFS($AW$2:$AW$200,$G437)&gt;0,
    COUNTIFS($AX$2:$AX$200,$G437)&gt;0
   ),
  0)
 ),
"")</f>
        <v/>
      </c>
    </row>
    <row r="438" spans="1:3" x14ac:dyDescent="0.25">
      <c r="A438" s="3" t="str">
        <f t="shared" si="14"/>
        <v/>
      </c>
      <c r="B438" s="3">
        <f t="shared" si="15"/>
        <v>0</v>
      </c>
      <c r="C438" s="3" t="str">
        <f>IFERROR(
 INDEX($U$1:$AX$1,
  MATCH(TRUE,
   CHOOSE({1;2;3;4;5;6;7;8;9;10;11;12;13;14;15;16;17;18;19;20;21;22;23;24;25;26;27;28;29;30;31;32},
    COUNTIFS($U$2:$U$200,$G438)&gt;0,
    COUNTIFS($V$2:$V$200,$G438)&gt;0,
    COUNTIFS($W$2:$W$200,$G438)&gt;0,
    COUNTIFS($X$2:$X$200,$G438)&gt;0,
    COUNTIFS($Y$2:$Y$200,$G438)&gt;0,
    COUNTIFS($Z$2:$Z$200,$G438)&gt;0,
    COUNTIFS($AA$2:$AA$200,$G438)&gt;0,
    COUNTIFS($AB$2:$AB$200,$G438)&gt;0,
    COUNTIFS($AC$2:$AC$200,$G438)&gt;0,
    COUNTIFS($AD$2:$AD$200,$G438)&gt;0,
    COUNTIFS($AE$2:$AE$200,$G438)&gt;0,
    COUNTIFS($AF$2:$AF$200,$G438)&gt;0,
    COUNTIFS($AG$2:$AG$200,$G438)&gt;0,
    COUNTIFS($AH$2:$AH$200,$G438)&gt;0,
    COUNTIFS($AI$2:$AI$200,$G438)&gt;0,
    COUNTIFS($AJ$2:$AJ$200,$G438)&gt;0,
    COUNTIFS($AK$2:$AK$200,$G438)&gt;0,
    COUNTIFS($AL$2:$AL$200,$G438)&gt;0,
    COUNTIFS($AM$2:$AM$200,$G438)&gt;0,
    COUNTIFS($AN$2:$AN$200,$G438)&gt;0,
    COUNTIFS($AO$2:$AO$200,$G438)&gt;0,
    COUNTIFS($AP$2:$AP$200,$G438)&gt;0,
    COUNTIFS($AQ$2:$AQ$200,$G438)&gt;0,
    COUNTIFS($AR$2:$AR$200,$G438)&gt;0,
    COUNTIFS($AS$2:$AS$200,$G438)&gt;0,
    COUNTIFS($AT$2:$AT$200,$G438)&gt;0,
    COUNTIFS($AU$2:$AU$200,$G438)&gt;0,
    COUNTIFS($AV$2:$AV$200,$G438)&gt;0,
    COUNTIFS($AW$2:$AW$200,$G438)&gt;0,
    COUNTIFS($AX$2:$AX$200,$G438)&gt;0
   ),
  0)
 ),
"")</f>
        <v/>
      </c>
    </row>
    <row r="439" spans="1:3" x14ac:dyDescent="0.25">
      <c r="A439" s="3" t="str">
        <f t="shared" si="14"/>
        <v/>
      </c>
      <c r="B439" s="3">
        <f t="shared" si="15"/>
        <v>0</v>
      </c>
      <c r="C439" s="3" t="str">
        <f>IFERROR(
 INDEX($U$1:$AX$1,
  MATCH(TRUE,
   CHOOSE({1;2;3;4;5;6;7;8;9;10;11;12;13;14;15;16;17;18;19;20;21;22;23;24;25;26;27;28;29;30;31;32},
    COUNTIFS($U$2:$U$200,$G439)&gt;0,
    COUNTIFS($V$2:$V$200,$G439)&gt;0,
    COUNTIFS($W$2:$W$200,$G439)&gt;0,
    COUNTIFS($X$2:$X$200,$G439)&gt;0,
    COUNTIFS($Y$2:$Y$200,$G439)&gt;0,
    COUNTIFS($Z$2:$Z$200,$G439)&gt;0,
    COUNTIFS($AA$2:$AA$200,$G439)&gt;0,
    COUNTIFS($AB$2:$AB$200,$G439)&gt;0,
    COUNTIFS($AC$2:$AC$200,$G439)&gt;0,
    COUNTIFS($AD$2:$AD$200,$G439)&gt;0,
    COUNTIFS($AE$2:$AE$200,$G439)&gt;0,
    COUNTIFS($AF$2:$AF$200,$G439)&gt;0,
    COUNTIFS($AG$2:$AG$200,$G439)&gt;0,
    COUNTIFS($AH$2:$AH$200,$G439)&gt;0,
    COUNTIFS($AI$2:$AI$200,$G439)&gt;0,
    COUNTIFS($AJ$2:$AJ$200,$G439)&gt;0,
    COUNTIFS($AK$2:$AK$200,$G439)&gt;0,
    COUNTIFS($AL$2:$AL$200,$G439)&gt;0,
    COUNTIFS($AM$2:$AM$200,$G439)&gt;0,
    COUNTIFS($AN$2:$AN$200,$G439)&gt;0,
    COUNTIFS($AO$2:$AO$200,$G439)&gt;0,
    COUNTIFS($AP$2:$AP$200,$G439)&gt;0,
    COUNTIFS($AQ$2:$AQ$200,$G439)&gt;0,
    COUNTIFS($AR$2:$AR$200,$G439)&gt;0,
    COUNTIFS($AS$2:$AS$200,$G439)&gt;0,
    COUNTIFS($AT$2:$AT$200,$G439)&gt;0,
    COUNTIFS($AU$2:$AU$200,$G439)&gt;0,
    COUNTIFS($AV$2:$AV$200,$G439)&gt;0,
    COUNTIFS($AW$2:$AW$200,$G439)&gt;0,
    COUNTIFS($AX$2:$AX$200,$G439)&gt;0
   ),
  0)
 ),
"")</f>
        <v/>
      </c>
    </row>
    <row r="440" spans="1:3" x14ac:dyDescent="0.25">
      <c r="A440" s="3" t="str">
        <f t="shared" si="14"/>
        <v/>
      </c>
      <c r="B440" s="3">
        <f t="shared" si="15"/>
        <v>0</v>
      </c>
      <c r="C440" s="3" t="str">
        <f>IFERROR(
 INDEX($U$1:$AX$1,
  MATCH(TRUE,
   CHOOSE({1;2;3;4;5;6;7;8;9;10;11;12;13;14;15;16;17;18;19;20;21;22;23;24;25;26;27;28;29;30;31;32},
    COUNTIFS($U$2:$U$200,$G440)&gt;0,
    COUNTIFS($V$2:$V$200,$G440)&gt;0,
    COUNTIFS($W$2:$W$200,$G440)&gt;0,
    COUNTIFS($X$2:$X$200,$G440)&gt;0,
    COUNTIFS($Y$2:$Y$200,$G440)&gt;0,
    COUNTIFS($Z$2:$Z$200,$G440)&gt;0,
    COUNTIFS($AA$2:$AA$200,$G440)&gt;0,
    COUNTIFS($AB$2:$AB$200,$G440)&gt;0,
    COUNTIFS($AC$2:$AC$200,$G440)&gt;0,
    COUNTIFS($AD$2:$AD$200,$G440)&gt;0,
    COUNTIFS($AE$2:$AE$200,$G440)&gt;0,
    COUNTIFS($AF$2:$AF$200,$G440)&gt;0,
    COUNTIFS($AG$2:$AG$200,$G440)&gt;0,
    COUNTIFS($AH$2:$AH$200,$G440)&gt;0,
    COUNTIFS($AI$2:$AI$200,$G440)&gt;0,
    COUNTIFS($AJ$2:$AJ$200,$G440)&gt;0,
    COUNTIFS($AK$2:$AK$200,$G440)&gt;0,
    COUNTIFS($AL$2:$AL$200,$G440)&gt;0,
    COUNTIFS($AM$2:$AM$200,$G440)&gt;0,
    COUNTIFS($AN$2:$AN$200,$G440)&gt;0,
    COUNTIFS($AO$2:$AO$200,$G440)&gt;0,
    COUNTIFS($AP$2:$AP$200,$G440)&gt;0,
    COUNTIFS($AQ$2:$AQ$200,$G440)&gt;0,
    COUNTIFS($AR$2:$AR$200,$G440)&gt;0,
    COUNTIFS($AS$2:$AS$200,$G440)&gt;0,
    COUNTIFS($AT$2:$AT$200,$G440)&gt;0,
    COUNTIFS($AU$2:$AU$200,$G440)&gt;0,
    COUNTIFS($AV$2:$AV$200,$G440)&gt;0,
    COUNTIFS($AW$2:$AW$200,$G440)&gt;0,
    COUNTIFS($AX$2:$AX$200,$G440)&gt;0
   ),
  0)
 ),
"")</f>
        <v/>
      </c>
    </row>
    <row r="441" spans="1:3" x14ac:dyDescent="0.25">
      <c r="A441" s="3" t="str">
        <f t="shared" si="14"/>
        <v/>
      </c>
      <c r="B441" s="3">
        <f t="shared" si="15"/>
        <v>0</v>
      </c>
      <c r="C441" s="3" t="str">
        <f>IFERROR(
 INDEX($U$1:$AX$1,
  MATCH(TRUE,
   CHOOSE({1;2;3;4;5;6;7;8;9;10;11;12;13;14;15;16;17;18;19;20;21;22;23;24;25;26;27;28;29;30;31;32},
    COUNTIFS($U$2:$U$200,$G441)&gt;0,
    COUNTIFS($V$2:$V$200,$G441)&gt;0,
    COUNTIFS($W$2:$W$200,$G441)&gt;0,
    COUNTIFS($X$2:$X$200,$G441)&gt;0,
    COUNTIFS($Y$2:$Y$200,$G441)&gt;0,
    COUNTIFS($Z$2:$Z$200,$G441)&gt;0,
    COUNTIFS($AA$2:$AA$200,$G441)&gt;0,
    COUNTIFS($AB$2:$AB$200,$G441)&gt;0,
    COUNTIFS($AC$2:$AC$200,$G441)&gt;0,
    COUNTIFS($AD$2:$AD$200,$G441)&gt;0,
    COUNTIFS($AE$2:$AE$200,$G441)&gt;0,
    COUNTIFS($AF$2:$AF$200,$G441)&gt;0,
    COUNTIFS($AG$2:$AG$200,$G441)&gt;0,
    COUNTIFS($AH$2:$AH$200,$G441)&gt;0,
    COUNTIFS($AI$2:$AI$200,$G441)&gt;0,
    COUNTIFS($AJ$2:$AJ$200,$G441)&gt;0,
    COUNTIFS($AK$2:$AK$200,$G441)&gt;0,
    COUNTIFS($AL$2:$AL$200,$G441)&gt;0,
    COUNTIFS($AM$2:$AM$200,$G441)&gt;0,
    COUNTIFS($AN$2:$AN$200,$G441)&gt;0,
    COUNTIFS($AO$2:$AO$200,$G441)&gt;0,
    COUNTIFS($AP$2:$AP$200,$G441)&gt;0,
    COUNTIFS($AQ$2:$AQ$200,$G441)&gt;0,
    COUNTIFS($AR$2:$AR$200,$G441)&gt;0,
    COUNTIFS($AS$2:$AS$200,$G441)&gt;0,
    COUNTIFS($AT$2:$AT$200,$G441)&gt;0,
    COUNTIFS($AU$2:$AU$200,$G441)&gt;0,
    COUNTIFS($AV$2:$AV$200,$G441)&gt;0,
    COUNTIFS($AW$2:$AW$200,$G441)&gt;0,
    COUNTIFS($AX$2:$AX$200,$G441)&gt;0
   ),
  0)
 ),
"")</f>
        <v/>
      </c>
    </row>
    <row r="442" spans="1:3" x14ac:dyDescent="0.25">
      <c r="A442" s="3" t="str">
        <f t="shared" si="14"/>
        <v/>
      </c>
      <c r="B442" s="3">
        <f t="shared" si="15"/>
        <v>0</v>
      </c>
      <c r="C442" s="3" t="str">
        <f>IFERROR(
 INDEX($U$1:$AX$1,
  MATCH(TRUE,
   CHOOSE({1;2;3;4;5;6;7;8;9;10;11;12;13;14;15;16;17;18;19;20;21;22;23;24;25;26;27;28;29;30;31;32},
    COUNTIFS($U$2:$U$200,$G442)&gt;0,
    COUNTIFS($V$2:$V$200,$G442)&gt;0,
    COUNTIFS($W$2:$W$200,$G442)&gt;0,
    COUNTIFS($X$2:$X$200,$G442)&gt;0,
    COUNTIFS($Y$2:$Y$200,$G442)&gt;0,
    COUNTIFS($Z$2:$Z$200,$G442)&gt;0,
    COUNTIFS($AA$2:$AA$200,$G442)&gt;0,
    COUNTIFS($AB$2:$AB$200,$G442)&gt;0,
    COUNTIFS($AC$2:$AC$200,$G442)&gt;0,
    COUNTIFS($AD$2:$AD$200,$G442)&gt;0,
    COUNTIFS($AE$2:$AE$200,$G442)&gt;0,
    COUNTIFS($AF$2:$AF$200,$G442)&gt;0,
    COUNTIFS($AG$2:$AG$200,$G442)&gt;0,
    COUNTIFS($AH$2:$AH$200,$G442)&gt;0,
    COUNTIFS($AI$2:$AI$200,$G442)&gt;0,
    COUNTIFS($AJ$2:$AJ$200,$G442)&gt;0,
    COUNTIFS($AK$2:$AK$200,$G442)&gt;0,
    COUNTIFS($AL$2:$AL$200,$G442)&gt;0,
    COUNTIFS($AM$2:$AM$200,$G442)&gt;0,
    COUNTIFS($AN$2:$AN$200,$G442)&gt;0,
    COUNTIFS($AO$2:$AO$200,$G442)&gt;0,
    COUNTIFS($AP$2:$AP$200,$G442)&gt;0,
    COUNTIFS($AQ$2:$AQ$200,$G442)&gt;0,
    COUNTIFS($AR$2:$AR$200,$G442)&gt;0,
    COUNTIFS($AS$2:$AS$200,$G442)&gt;0,
    COUNTIFS($AT$2:$AT$200,$G442)&gt;0,
    COUNTIFS($AU$2:$AU$200,$G442)&gt;0,
    COUNTIFS($AV$2:$AV$200,$G442)&gt;0,
    COUNTIFS($AW$2:$AW$200,$G442)&gt;0,
    COUNTIFS($AX$2:$AX$200,$G442)&gt;0
   ),
  0)
 ),
"")</f>
        <v/>
      </c>
    </row>
    <row r="443" spans="1:3" x14ac:dyDescent="0.25">
      <c r="A443" s="3" t="str">
        <f t="shared" si="14"/>
        <v/>
      </c>
      <c r="B443" s="3">
        <f t="shared" si="15"/>
        <v>0</v>
      </c>
      <c r="C443" s="3" t="str">
        <f>IFERROR(
 INDEX($U$1:$AX$1,
  MATCH(TRUE,
   CHOOSE({1;2;3;4;5;6;7;8;9;10;11;12;13;14;15;16;17;18;19;20;21;22;23;24;25;26;27;28;29;30;31;32},
    COUNTIFS($U$2:$U$200,$G443)&gt;0,
    COUNTIFS($V$2:$V$200,$G443)&gt;0,
    COUNTIFS($W$2:$W$200,$G443)&gt;0,
    COUNTIFS($X$2:$X$200,$G443)&gt;0,
    COUNTIFS($Y$2:$Y$200,$G443)&gt;0,
    COUNTIFS($Z$2:$Z$200,$G443)&gt;0,
    COUNTIFS($AA$2:$AA$200,$G443)&gt;0,
    COUNTIFS($AB$2:$AB$200,$G443)&gt;0,
    COUNTIFS($AC$2:$AC$200,$G443)&gt;0,
    COUNTIFS($AD$2:$AD$200,$G443)&gt;0,
    COUNTIFS($AE$2:$AE$200,$G443)&gt;0,
    COUNTIFS($AF$2:$AF$200,$G443)&gt;0,
    COUNTIFS($AG$2:$AG$200,$G443)&gt;0,
    COUNTIFS($AH$2:$AH$200,$G443)&gt;0,
    COUNTIFS($AI$2:$AI$200,$G443)&gt;0,
    COUNTIFS($AJ$2:$AJ$200,$G443)&gt;0,
    COUNTIFS($AK$2:$AK$200,$G443)&gt;0,
    COUNTIFS($AL$2:$AL$200,$G443)&gt;0,
    COUNTIFS($AM$2:$AM$200,$G443)&gt;0,
    COUNTIFS($AN$2:$AN$200,$G443)&gt;0,
    COUNTIFS($AO$2:$AO$200,$G443)&gt;0,
    COUNTIFS($AP$2:$AP$200,$G443)&gt;0,
    COUNTIFS($AQ$2:$AQ$200,$G443)&gt;0,
    COUNTIFS($AR$2:$AR$200,$G443)&gt;0,
    COUNTIFS($AS$2:$AS$200,$G443)&gt;0,
    COUNTIFS($AT$2:$AT$200,$G443)&gt;0,
    COUNTIFS($AU$2:$AU$200,$G443)&gt;0,
    COUNTIFS($AV$2:$AV$200,$G443)&gt;0,
    COUNTIFS($AW$2:$AW$200,$G443)&gt;0,
    COUNTIFS($AX$2:$AX$200,$G443)&gt;0
   ),
  0)
 ),
"")</f>
        <v/>
      </c>
    </row>
    <row r="444" spans="1:3" x14ac:dyDescent="0.25">
      <c r="A444" s="3" t="str">
        <f t="shared" si="14"/>
        <v/>
      </c>
      <c r="B444" s="3">
        <f t="shared" si="15"/>
        <v>0</v>
      </c>
      <c r="C444" s="3" t="str">
        <f>IFERROR(
 INDEX($U$1:$AX$1,
  MATCH(TRUE,
   CHOOSE({1;2;3;4;5;6;7;8;9;10;11;12;13;14;15;16;17;18;19;20;21;22;23;24;25;26;27;28;29;30;31;32},
    COUNTIFS($U$2:$U$200,$G444)&gt;0,
    COUNTIFS($V$2:$V$200,$G444)&gt;0,
    COUNTIFS($W$2:$W$200,$G444)&gt;0,
    COUNTIFS($X$2:$X$200,$G444)&gt;0,
    COUNTIFS($Y$2:$Y$200,$G444)&gt;0,
    COUNTIFS($Z$2:$Z$200,$G444)&gt;0,
    COUNTIFS($AA$2:$AA$200,$G444)&gt;0,
    COUNTIFS($AB$2:$AB$200,$G444)&gt;0,
    COUNTIFS($AC$2:$AC$200,$G444)&gt;0,
    COUNTIFS($AD$2:$AD$200,$G444)&gt;0,
    COUNTIFS($AE$2:$AE$200,$G444)&gt;0,
    COUNTIFS($AF$2:$AF$200,$G444)&gt;0,
    COUNTIFS($AG$2:$AG$200,$G444)&gt;0,
    COUNTIFS($AH$2:$AH$200,$G444)&gt;0,
    COUNTIFS($AI$2:$AI$200,$G444)&gt;0,
    COUNTIFS($AJ$2:$AJ$200,$G444)&gt;0,
    COUNTIFS($AK$2:$AK$200,$G444)&gt;0,
    COUNTIFS($AL$2:$AL$200,$G444)&gt;0,
    COUNTIFS($AM$2:$AM$200,$G444)&gt;0,
    COUNTIFS($AN$2:$AN$200,$G444)&gt;0,
    COUNTIFS($AO$2:$AO$200,$G444)&gt;0,
    COUNTIFS($AP$2:$AP$200,$G444)&gt;0,
    COUNTIFS($AQ$2:$AQ$200,$G444)&gt;0,
    COUNTIFS($AR$2:$AR$200,$G444)&gt;0,
    COUNTIFS($AS$2:$AS$200,$G444)&gt;0,
    COUNTIFS($AT$2:$AT$200,$G444)&gt;0,
    COUNTIFS($AU$2:$AU$200,$G444)&gt;0,
    COUNTIFS($AV$2:$AV$200,$G444)&gt;0,
    COUNTIFS($AW$2:$AW$200,$G444)&gt;0,
    COUNTIFS($AX$2:$AX$200,$G444)&gt;0
   ),
  0)
 ),
"")</f>
        <v/>
      </c>
    </row>
    <row r="445" spans="1:3" x14ac:dyDescent="0.25">
      <c r="A445" s="3" t="str">
        <f t="shared" si="14"/>
        <v/>
      </c>
      <c r="B445" s="3">
        <f t="shared" si="15"/>
        <v>0</v>
      </c>
      <c r="C445" s="3" t="str">
        <f>IFERROR(
 INDEX($U$1:$AX$1,
  MATCH(TRUE,
   CHOOSE({1;2;3;4;5;6;7;8;9;10;11;12;13;14;15;16;17;18;19;20;21;22;23;24;25;26;27;28;29;30;31;32},
    COUNTIFS($U$2:$U$200,$G445)&gt;0,
    COUNTIFS($V$2:$V$200,$G445)&gt;0,
    COUNTIFS($W$2:$W$200,$G445)&gt;0,
    COUNTIFS($X$2:$X$200,$G445)&gt;0,
    COUNTIFS($Y$2:$Y$200,$G445)&gt;0,
    COUNTIFS($Z$2:$Z$200,$G445)&gt;0,
    COUNTIFS($AA$2:$AA$200,$G445)&gt;0,
    COUNTIFS($AB$2:$AB$200,$G445)&gt;0,
    COUNTIFS($AC$2:$AC$200,$G445)&gt;0,
    COUNTIFS($AD$2:$AD$200,$G445)&gt;0,
    COUNTIFS($AE$2:$AE$200,$G445)&gt;0,
    COUNTIFS($AF$2:$AF$200,$G445)&gt;0,
    COUNTIFS($AG$2:$AG$200,$G445)&gt;0,
    COUNTIFS($AH$2:$AH$200,$G445)&gt;0,
    COUNTIFS($AI$2:$AI$200,$G445)&gt;0,
    COUNTIFS($AJ$2:$AJ$200,$G445)&gt;0,
    COUNTIFS($AK$2:$AK$200,$G445)&gt;0,
    COUNTIFS($AL$2:$AL$200,$G445)&gt;0,
    COUNTIFS($AM$2:$AM$200,$G445)&gt;0,
    COUNTIFS($AN$2:$AN$200,$G445)&gt;0,
    COUNTIFS($AO$2:$AO$200,$G445)&gt;0,
    COUNTIFS($AP$2:$AP$200,$G445)&gt;0,
    COUNTIFS($AQ$2:$AQ$200,$G445)&gt;0,
    COUNTIFS($AR$2:$AR$200,$G445)&gt;0,
    COUNTIFS($AS$2:$AS$200,$G445)&gt;0,
    COUNTIFS($AT$2:$AT$200,$G445)&gt;0,
    COUNTIFS($AU$2:$AU$200,$G445)&gt;0,
    COUNTIFS($AV$2:$AV$200,$G445)&gt;0,
    COUNTIFS($AW$2:$AW$200,$G445)&gt;0,
    COUNTIFS($AX$2:$AX$200,$G445)&gt;0
   ),
  0)
 ),
"")</f>
        <v/>
      </c>
    </row>
    <row r="446" spans="1:3" x14ac:dyDescent="0.25">
      <c r="A446" s="3" t="str">
        <f t="shared" si="14"/>
        <v/>
      </c>
      <c r="B446" s="3">
        <f t="shared" si="15"/>
        <v>0</v>
      </c>
      <c r="C446" s="3" t="str">
        <f>IFERROR(
 INDEX($U$1:$AX$1,
  MATCH(TRUE,
   CHOOSE({1;2;3;4;5;6;7;8;9;10;11;12;13;14;15;16;17;18;19;20;21;22;23;24;25;26;27;28;29;30;31;32},
    COUNTIFS($U$2:$U$200,$G446)&gt;0,
    COUNTIFS($V$2:$V$200,$G446)&gt;0,
    COUNTIFS($W$2:$W$200,$G446)&gt;0,
    COUNTIFS($X$2:$X$200,$G446)&gt;0,
    COUNTIFS($Y$2:$Y$200,$G446)&gt;0,
    COUNTIFS($Z$2:$Z$200,$G446)&gt;0,
    COUNTIFS($AA$2:$AA$200,$G446)&gt;0,
    COUNTIFS($AB$2:$AB$200,$G446)&gt;0,
    COUNTIFS($AC$2:$AC$200,$G446)&gt;0,
    COUNTIFS($AD$2:$AD$200,$G446)&gt;0,
    COUNTIFS($AE$2:$AE$200,$G446)&gt;0,
    COUNTIFS($AF$2:$AF$200,$G446)&gt;0,
    COUNTIFS($AG$2:$AG$200,$G446)&gt;0,
    COUNTIFS($AH$2:$AH$200,$G446)&gt;0,
    COUNTIFS($AI$2:$AI$200,$G446)&gt;0,
    COUNTIFS($AJ$2:$AJ$200,$G446)&gt;0,
    COUNTIFS($AK$2:$AK$200,$G446)&gt;0,
    COUNTIFS($AL$2:$AL$200,$G446)&gt;0,
    COUNTIFS($AM$2:$AM$200,$G446)&gt;0,
    COUNTIFS($AN$2:$AN$200,$G446)&gt;0,
    COUNTIFS($AO$2:$AO$200,$G446)&gt;0,
    COUNTIFS($AP$2:$AP$200,$G446)&gt;0,
    COUNTIFS($AQ$2:$AQ$200,$G446)&gt;0,
    COUNTIFS($AR$2:$AR$200,$G446)&gt;0,
    COUNTIFS($AS$2:$AS$200,$G446)&gt;0,
    COUNTIFS($AT$2:$AT$200,$G446)&gt;0,
    COUNTIFS($AU$2:$AU$200,$G446)&gt;0,
    COUNTIFS($AV$2:$AV$200,$G446)&gt;0,
    COUNTIFS($AW$2:$AW$200,$G446)&gt;0,
    COUNTIFS($AX$2:$AX$200,$G446)&gt;0
   ),
  0)
 ),
"")</f>
        <v/>
      </c>
    </row>
    <row r="447" spans="1:3" x14ac:dyDescent="0.25">
      <c r="A447" s="3" t="str">
        <f t="shared" si="14"/>
        <v/>
      </c>
      <c r="B447" s="3">
        <f t="shared" si="15"/>
        <v>0</v>
      </c>
      <c r="C447" s="3" t="str">
        <f>IFERROR(
 INDEX($U$1:$AX$1,
  MATCH(TRUE,
   CHOOSE({1;2;3;4;5;6;7;8;9;10;11;12;13;14;15;16;17;18;19;20;21;22;23;24;25;26;27;28;29;30;31;32},
    COUNTIFS($U$2:$U$200,$G447)&gt;0,
    COUNTIFS($V$2:$V$200,$G447)&gt;0,
    COUNTIFS($W$2:$W$200,$G447)&gt;0,
    COUNTIFS($X$2:$X$200,$G447)&gt;0,
    COUNTIFS($Y$2:$Y$200,$G447)&gt;0,
    COUNTIFS($Z$2:$Z$200,$G447)&gt;0,
    COUNTIFS($AA$2:$AA$200,$G447)&gt;0,
    COUNTIFS($AB$2:$AB$200,$G447)&gt;0,
    COUNTIFS($AC$2:$AC$200,$G447)&gt;0,
    COUNTIFS($AD$2:$AD$200,$G447)&gt;0,
    COUNTIFS($AE$2:$AE$200,$G447)&gt;0,
    COUNTIFS($AF$2:$AF$200,$G447)&gt;0,
    COUNTIFS($AG$2:$AG$200,$G447)&gt;0,
    COUNTIFS($AH$2:$AH$200,$G447)&gt;0,
    COUNTIFS($AI$2:$AI$200,$G447)&gt;0,
    COUNTIFS($AJ$2:$AJ$200,$G447)&gt;0,
    COUNTIFS($AK$2:$AK$200,$G447)&gt;0,
    COUNTIFS($AL$2:$AL$200,$G447)&gt;0,
    COUNTIFS($AM$2:$AM$200,$G447)&gt;0,
    COUNTIFS($AN$2:$AN$200,$G447)&gt;0,
    COUNTIFS($AO$2:$AO$200,$G447)&gt;0,
    COUNTIFS($AP$2:$AP$200,$G447)&gt;0,
    COUNTIFS($AQ$2:$AQ$200,$G447)&gt;0,
    COUNTIFS($AR$2:$AR$200,$G447)&gt;0,
    COUNTIFS($AS$2:$AS$200,$G447)&gt;0,
    COUNTIFS($AT$2:$AT$200,$G447)&gt;0,
    COUNTIFS($AU$2:$AU$200,$G447)&gt;0,
    COUNTIFS($AV$2:$AV$200,$G447)&gt;0,
    COUNTIFS($AW$2:$AW$200,$G447)&gt;0,
    COUNTIFS($AX$2:$AX$200,$G447)&gt;0
   ),
  0)
 ),
"")</f>
        <v/>
      </c>
    </row>
    <row r="448" spans="1:3" x14ac:dyDescent="0.25">
      <c r="A448" s="3" t="str">
        <f t="shared" si="14"/>
        <v/>
      </c>
      <c r="B448" s="3">
        <f t="shared" si="15"/>
        <v>0</v>
      </c>
      <c r="C448" s="3" t="str">
        <f>IFERROR(
 INDEX($U$1:$AX$1,
  MATCH(TRUE,
   CHOOSE({1;2;3;4;5;6;7;8;9;10;11;12;13;14;15;16;17;18;19;20;21;22;23;24;25;26;27;28;29;30;31;32},
    COUNTIFS($U$2:$U$200,$G448)&gt;0,
    COUNTIFS($V$2:$V$200,$G448)&gt;0,
    COUNTIFS($W$2:$W$200,$G448)&gt;0,
    COUNTIFS($X$2:$X$200,$G448)&gt;0,
    COUNTIFS($Y$2:$Y$200,$G448)&gt;0,
    COUNTIFS($Z$2:$Z$200,$G448)&gt;0,
    COUNTIFS($AA$2:$AA$200,$G448)&gt;0,
    COUNTIFS($AB$2:$AB$200,$G448)&gt;0,
    COUNTIFS($AC$2:$AC$200,$G448)&gt;0,
    COUNTIFS($AD$2:$AD$200,$G448)&gt;0,
    COUNTIFS($AE$2:$AE$200,$G448)&gt;0,
    COUNTIFS($AF$2:$AF$200,$G448)&gt;0,
    COUNTIFS($AG$2:$AG$200,$G448)&gt;0,
    COUNTIFS($AH$2:$AH$200,$G448)&gt;0,
    COUNTIFS($AI$2:$AI$200,$G448)&gt;0,
    COUNTIFS($AJ$2:$AJ$200,$G448)&gt;0,
    COUNTIFS($AK$2:$AK$200,$G448)&gt;0,
    COUNTIFS($AL$2:$AL$200,$G448)&gt;0,
    COUNTIFS($AM$2:$AM$200,$G448)&gt;0,
    COUNTIFS($AN$2:$AN$200,$G448)&gt;0,
    COUNTIFS($AO$2:$AO$200,$G448)&gt;0,
    COUNTIFS($AP$2:$AP$200,$G448)&gt;0,
    COUNTIFS($AQ$2:$AQ$200,$G448)&gt;0,
    COUNTIFS($AR$2:$AR$200,$G448)&gt;0,
    COUNTIFS($AS$2:$AS$200,$G448)&gt;0,
    COUNTIFS($AT$2:$AT$200,$G448)&gt;0,
    COUNTIFS($AU$2:$AU$200,$G448)&gt;0,
    COUNTIFS($AV$2:$AV$200,$G448)&gt;0,
    COUNTIFS($AW$2:$AW$200,$G448)&gt;0,
    COUNTIFS($AX$2:$AX$200,$G448)&gt;0
   ),
  0)
 ),
"")</f>
        <v/>
      </c>
    </row>
    <row r="449" spans="1:3" x14ac:dyDescent="0.25">
      <c r="A449" s="3" t="str">
        <f t="shared" si="14"/>
        <v/>
      </c>
      <c r="B449" s="3">
        <f t="shared" si="15"/>
        <v>0</v>
      </c>
      <c r="C449" s="3" t="str">
        <f>IFERROR(
 INDEX($U$1:$AX$1,
  MATCH(TRUE,
   CHOOSE({1;2;3;4;5;6;7;8;9;10;11;12;13;14;15;16;17;18;19;20;21;22;23;24;25;26;27;28;29;30;31;32},
    COUNTIFS($U$2:$U$200,$G449)&gt;0,
    COUNTIFS($V$2:$V$200,$G449)&gt;0,
    COUNTIFS($W$2:$W$200,$G449)&gt;0,
    COUNTIFS($X$2:$X$200,$G449)&gt;0,
    COUNTIFS($Y$2:$Y$200,$G449)&gt;0,
    COUNTIFS($Z$2:$Z$200,$G449)&gt;0,
    COUNTIFS($AA$2:$AA$200,$G449)&gt;0,
    COUNTIFS($AB$2:$AB$200,$G449)&gt;0,
    COUNTIFS($AC$2:$AC$200,$G449)&gt;0,
    COUNTIFS($AD$2:$AD$200,$G449)&gt;0,
    COUNTIFS($AE$2:$AE$200,$G449)&gt;0,
    COUNTIFS($AF$2:$AF$200,$G449)&gt;0,
    COUNTIFS($AG$2:$AG$200,$G449)&gt;0,
    COUNTIFS($AH$2:$AH$200,$G449)&gt;0,
    COUNTIFS($AI$2:$AI$200,$G449)&gt;0,
    COUNTIFS($AJ$2:$AJ$200,$G449)&gt;0,
    COUNTIFS($AK$2:$AK$200,$G449)&gt;0,
    COUNTIFS($AL$2:$AL$200,$G449)&gt;0,
    COUNTIFS($AM$2:$AM$200,$G449)&gt;0,
    COUNTIFS($AN$2:$AN$200,$G449)&gt;0,
    COUNTIFS($AO$2:$AO$200,$G449)&gt;0,
    COUNTIFS($AP$2:$AP$200,$G449)&gt;0,
    COUNTIFS($AQ$2:$AQ$200,$G449)&gt;0,
    COUNTIFS($AR$2:$AR$200,$G449)&gt;0,
    COUNTIFS($AS$2:$AS$200,$G449)&gt;0,
    COUNTIFS($AT$2:$AT$200,$G449)&gt;0,
    COUNTIFS($AU$2:$AU$200,$G449)&gt;0,
    COUNTIFS($AV$2:$AV$200,$G449)&gt;0,
    COUNTIFS($AW$2:$AW$200,$G449)&gt;0,
    COUNTIFS($AX$2:$AX$200,$G449)&gt;0
   ),
  0)
 ),
"")</f>
        <v/>
      </c>
    </row>
    <row r="450" spans="1:3" x14ac:dyDescent="0.25">
      <c r="A450" s="3" t="str">
        <f t="shared" si="14"/>
        <v/>
      </c>
      <c r="B450" s="3">
        <f t="shared" si="15"/>
        <v>0</v>
      </c>
      <c r="C450" s="3" t="str">
        <f>IFERROR(
 INDEX($U$1:$AX$1,
  MATCH(TRUE,
   CHOOSE({1;2;3;4;5;6;7;8;9;10;11;12;13;14;15;16;17;18;19;20;21;22;23;24;25;26;27;28;29;30;31;32},
    COUNTIFS($U$2:$U$200,$G450)&gt;0,
    COUNTIFS($V$2:$V$200,$G450)&gt;0,
    COUNTIFS($W$2:$W$200,$G450)&gt;0,
    COUNTIFS($X$2:$X$200,$G450)&gt;0,
    COUNTIFS($Y$2:$Y$200,$G450)&gt;0,
    COUNTIFS($Z$2:$Z$200,$G450)&gt;0,
    COUNTIFS($AA$2:$AA$200,$G450)&gt;0,
    COUNTIFS($AB$2:$AB$200,$G450)&gt;0,
    COUNTIFS($AC$2:$AC$200,$G450)&gt;0,
    COUNTIFS($AD$2:$AD$200,$G450)&gt;0,
    COUNTIFS($AE$2:$AE$200,$G450)&gt;0,
    COUNTIFS($AF$2:$AF$200,$G450)&gt;0,
    COUNTIFS($AG$2:$AG$200,$G450)&gt;0,
    COUNTIFS($AH$2:$AH$200,$G450)&gt;0,
    COUNTIFS($AI$2:$AI$200,$G450)&gt;0,
    COUNTIFS($AJ$2:$AJ$200,$G450)&gt;0,
    COUNTIFS($AK$2:$AK$200,$G450)&gt;0,
    COUNTIFS($AL$2:$AL$200,$G450)&gt;0,
    COUNTIFS($AM$2:$AM$200,$G450)&gt;0,
    COUNTIFS($AN$2:$AN$200,$G450)&gt;0,
    COUNTIFS($AO$2:$AO$200,$G450)&gt;0,
    COUNTIFS($AP$2:$AP$200,$G450)&gt;0,
    COUNTIFS($AQ$2:$AQ$200,$G450)&gt;0,
    COUNTIFS($AR$2:$AR$200,$G450)&gt;0,
    COUNTIFS($AS$2:$AS$200,$G450)&gt;0,
    COUNTIFS($AT$2:$AT$200,$G450)&gt;0,
    COUNTIFS($AU$2:$AU$200,$G450)&gt;0,
    COUNTIFS($AV$2:$AV$200,$G450)&gt;0,
    COUNTIFS($AW$2:$AW$200,$G450)&gt;0,
    COUNTIFS($AX$2:$AX$200,$G450)&gt;0
   ),
  0)
 ),
"")</f>
        <v/>
      </c>
    </row>
    <row r="451" spans="1:3" x14ac:dyDescent="0.25">
      <c r="A451" s="3" t="str">
        <f t="shared" ref="A451" si="16">IFERROR(INDEX($S$3:$S$200, MATCH($C451, $I$3:$I$200, 0)), "")</f>
        <v/>
      </c>
      <c r="B451" s="3">
        <f t="shared" ref="B451" si="17">COUNTIF(U:AX,G451)</f>
        <v>0</v>
      </c>
      <c r="C451" s="3" t="str">
        <f>IFERROR(
 INDEX($U$1:$AX$1,
  MATCH(TRUE,
   CHOOSE({1;2;3;4;5;6;7;8;9;10;11;12;13;14;15;16;17;18;19;20;21;22;23;24;25;26;27;28;29;30;31;32},
    COUNTIFS($U$2:$U$200,$G451)&gt;0,
    COUNTIFS($V$2:$V$200,$G451)&gt;0,
    COUNTIFS($W$2:$W$200,$G451)&gt;0,
    COUNTIFS($X$2:$X$200,$G451)&gt;0,
    COUNTIFS($Y$2:$Y$200,$G451)&gt;0,
    COUNTIFS($Z$2:$Z$200,$G451)&gt;0,
    COUNTIFS($AA$2:$AA$200,$G451)&gt;0,
    COUNTIFS($AB$2:$AB$200,$G451)&gt;0,
    COUNTIFS($AC$2:$AC$200,$G451)&gt;0,
    COUNTIFS($AD$2:$AD$200,$G451)&gt;0,
    COUNTIFS($AE$2:$AE$200,$G451)&gt;0,
    COUNTIFS($AF$2:$AF$200,$G451)&gt;0,
    COUNTIFS($AG$2:$AG$200,$G451)&gt;0,
    COUNTIFS($AH$2:$AH$200,$G451)&gt;0,
    COUNTIFS($AI$2:$AI$200,$G451)&gt;0,
    COUNTIFS($AJ$2:$AJ$200,$G451)&gt;0,
    COUNTIFS($AK$2:$AK$200,$G451)&gt;0,
    COUNTIFS($AL$2:$AL$200,$G451)&gt;0,
    COUNTIFS($AM$2:$AM$200,$G451)&gt;0,
    COUNTIFS($AN$2:$AN$200,$G451)&gt;0,
    COUNTIFS($AO$2:$AO$200,$G451)&gt;0,
    COUNTIFS($AP$2:$AP$200,$G451)&gt;0,
    COUNTIFS($AQ$2:$AQ$200,$G451)&gt;0,
    COUNTIFS($AR$2:$AR$200,$G451)&gt;0,
    COUNTIFS($AS$2:$AS$200,$G451)&gt;0,
    COUNTIFS($AT$2:$AT$200,$G451)&gt;0,
    COUNTIFS($AU$2:$AU$200,$G451)&gt;0,
    COUNTIFS($AV$2:$AV$200,$G451)&gt;0,
    COUNTIFS($AW$2:$AW$200,$G451)&gt;0,
    COUNTIFS($AX$2:$AX$200,$G451)&gt;0
   ),
  0)
 ),
"")</f>
        <v/>
      </c>
    </row>
  </sheetData>
  <autoFilter ref="A1:G450" xr:uid="{2A495595-9915-4BE6-A12D-A938ACD47CCD}"/>
  <sortState xmlns:xlrd2="http://schemas.microsoft.com/office/spreadsheetml/2017/richdata2" ref="I3:S30">
    <sortCondition ref="S2:S30"/>
  </sortState>
  <mergeCells count="1">
    <mergeCell ref="K1:O1"/>
  </mergeCells>
  <conditionalFormatting sqref="J3:Q30 R3 R11 R16 J31:J3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ntainsText" dxfId="68" priority="7" operator="containsText" text="Sim">
      <formula>NOT(ISERROR(SEARCH("Sim",K1)))</formula>
    </cfRule>
  </conditionalFormatting>
  <conditionalFormatting sqref="K1:O1048576">
    <cfRule type="containsText" dxfId="67" priority="2" operator="containsText" text="Não">
      <formula>NOT(ISERROR(SEARCH("Não",K1)))</formula>
    </cfRule>
  </conditionalFormatting>
  <conditionalFormatting sqref="L1:L1048576">
    <cfRule type="containsText" dxfId="66" priority="6" operator="containsText" text="Sim">
      <formula>NOT(ISERROR(SEARCH("Sim",L1)))</formula>
    </cfRule>
  </conditionalFormatting>
  <conditionalFormatting sqref="M1:M1048576">
    <cfRule type="containsText" dxfId="65" priority="3" operator="containsText" text="Sim">
      <formula>NOT(ISERROR(SEARCH("Sim",M1)))</formula>
    </cfRule>
  </conditionalFormatting>
  <conditionalFormatting sqref="N1:N1048576">
    <cfRule type="containsText" dxfId="64" priority="4" operator="containsText" text="Sim">
      <formula>NOT(ISERROR(SEARCH("Sim",N1)))</formula>
    </cfRule>
  </conditionalFormatting>
  <conditionalFormatting sqref="O1:O1048576">
    <cfRule type="containsText" dxfId="63" priority="5" operator="containsText" text="Sim">
      <formula>NOT(ISERROR(SEARCH("Sim",O1)))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792-1D39-4A87-ADEA-9B9B29A33674}">
  <sheetPr codeName="Planilha10"/>
  <dimension ref="A1:I102"/>
  <sheetViews>
    <sheetView topLeftCell="A44" workbookViewId="0">
      <selection activeCell="B58" sqref="B5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9" ht="21" x14ac:dyDescent="0.25">
      <c r="A1" s="31" t="s">
        <v>325</v>
      </c>
      <c r="B1" s="31"/>
      <c r="C1" s="31"/>
      <c r="D1" s="31"/>
      <c r="E1" s="31"/>
      <c r="F1" s="31"/>
      <c r="G1" s="31"/>
    </row>
    <row r="2" spans="1:9" x14ac:dyDescent="0.25">
      <c r="A2" s="4" t="s">
        <v>31</v>
      </c>
      <c r="B2" s="4" t="s">
        <v>32</v>
      </c>
      <c r="C2" s="4" t="s">
        <v>33</v>
      </c>
      <c r="D2" s="4" t="s">
        <v>2057</v>
      </c>
      <c r="F2" s="4" t="s">
        <v>36</v>
      </c>
      <c r="G2" s="3">
        <f>COUNTIF(D:D,"Verdadeiro")</f>
        <v>4</v>
      </c>
    </row>
    <row r="3" spans="1:9" x14ac:dyDescent="0.25">
      <c r="A3" s="5" t="s">
        <v>2031</v>
      </c>
      <c r="B3" s="5" t="s">
        <v>2055</v>
      </c>
      <c r="C3" s="5" t="s">
        <v>2055</v>
      </c>
      <c r="D3" t="b">
        <f>B3&lt;&gt;C3</f>
        <v>0</v>
      </c>
      <c r="F3" s="4" t="s">
        <v>37</v>
      </c>
      <c r="G3" s="25">
        <f>SUM(G5:G29)</f>
        <v>100</v>
      </c>
    </row>
    <row r="4" spans="1:9" x14ac:dyDescent="0.25">
      <c r="A4" s="5" t="s">
        <v>2031</v>
      </c>
      <c r="B4" s="5" t="s">
        <v>2056</v>
      </c>
      <c r="C4" s="5" t="s">
        <v>2056</v>
      </c>
      <c r="D4" t="b">
        <f>B4&lt;&gt;C4</f>
        <v>0</v>
      </c>
    </row>
    <row r="5" spans="1:9" x14ac:dyDescent="0.25">
      <c r="A5" t="s">
        <v>35</v>
      </c>
      <c r="B5" s="5" t="s">
        <v>326</v>
      </c>
      <c r="C5" s="5" t="s">
        <v>326</v>
      </c>
      <c r="D5" t="b">
        <f>B5&lt;&gt;C5</f>
        <v>0</v>
      </c>
      <c r="F5" s="6" t="s">
        <v>39</v>
      </c>
      <c r="G5" s="1"/>
    </row>
    <row r="6" spans="1:9" x14ac:dyDescent="0.25">
      <c r="A6" t="s">
        <v>35</v>
      </c>
      <c r="B6" s="5" t="s">
        <v>327</v>
      </c>
      <c r="C6" s="5" t="s">
        <v>327</v>
      </c>
      <c r="D6" t="b">
        <f t="shared" ref="D6:D69" si="0">B6&lt;&gt;C6</f>
        <v>0</v>
      </c>
      <c r="F6" s="7" t="s">
        <v>2031</v>
      </c>
      <c r="G6" s="2">
        <f t="shared" ref="G6:G13" si="1">COUNTIF(A:A,F6)</f>
        <v>2</v>
      </c>
    </row>
    <row r="7" spans="1:9" x14ac:dyDescent="0.25">
      <c r="A7" t="s">
        <v>35</v>
      </c>
      <c r="B7" s="5" t="s">
        <v>328</v>
      </c>
      <c r="C7" s="5" t="s">
        <v>328</v>
      </c>
      <c r="D7" t="b">
        <f t="shared" si="0"/>
        <v>0</v>
      </c>
      <c r="F7" s="3" t="s">
        <v>35</v>
      </c>
      <c r="G7" s="2">
        <f t="shared" si="1"/>
        <v>34</v>
      </c>
      <c r="I7" t="s">
        <v>2059</v>
      </c>
    </row>
    <row r="8" spans="1:9" x14ac:dyDescent="0.25">
      <c r="A8" t="s">
        <v>35</v>
      </c>
      <c r="B8" s="5" t="s">
        <v>329</v>
      </c>
      <c r="C8" s="5" t="s">
        <v>329</v>
      </c>
      <c r="D8" t="b">
        <f t="shared" si="0"/>
        <v>0</v>
      </c>
      <c r="F8" s="7" t="s">
        <v>41</v>
      </c>
      <c r="G8" s="2">
        <f t="shared" si="1"/>
        <v>20</v>
      </c>
    </row>
    <row r="9" spans="1:9" x14ac:dyDescent="0.25">
      <c r="A9" t="s">
        <v>35</v>
      </c>
      <c r="B9" s="5" t="s">
        <v>330</v>
      </c>
      <c r="C9" s="5" t="s">
        <v>330</v>
      </c>
      <c r="D9" t="b">
        <f t="shared" si="0"/>
        <v>0</v>
      </c>
      <c r="F9" s="7" t="s">
        <v>339</v>
      </c>
      <c r="G9" s="2">
        <f t="shared" si="1"/>
        <v>8</v>
      </c>
    </row>
    <row r="10" spans="1:9" x14ac:dyDescent="0.25">
      <c r="A10" t="s">
        <v>35</v>
      </c>
      <c r="B10" s="5" t="s">
        <v>331</v>
      </c>
      <c r="C10" s="5" t="s">
        <v>331</v>
      </c>
      <c r="D10" t="b">
        <f t="shared" si="0"/>
        <v>0</v>
      </c>
      <c r="F10" s="7" t="s">
        <v>333</v>
      </c>
      <c r="G10" s="2">
        <f t="shared" si="1"/>
        <v>17</v>
      </c>
    </row>
    <row r="11" spans="1:9" x14ac:dyDescent="0.25">
      <c r="A11" t="s">
        <v>35</v>
      </c>
      <c r="B11" s="5" t="s">
        <v>332</v>
      </c>
      <c r="C11" s="5" t="s">
        <v>332</v>
      </c>
      <c r="D11" t="b">
        <f t="shared" si="0"/>
        <v>0</v>
      </c>
      <c r="F11" s="7" t="s">
        <v>43</v>
      </c>
      <c r="G11" s="2">
        <f t="shared" si="1"/>
        <v>12</v>
      </c>
    </row>
    <row r="12" spans="1:9" x14ac:dyDescent="0.25">
      <c r="A12" t="s">
        <v>35</v>
      </c>
      <c r="B12" s="5" t="s">
        <v>142</v>
      </c>
      <c r="C12" s="5" t="s">
        <v>142</v>
      </c>
      <c r="D12" t="b">
        <f t="shared" si="0"/>
        <v>0</v>
      </c>
      <c r="F12" s="7" t="s">
        <v>335</v>
      </c>
      <c r="G12" s="2">
        <f t="shared" si="1"/>
        <v>3</v>
      </c>
    </row>
    <row r="13" spans="1:9" x14ac:dyDescent="0.25">
      <c r="A13" t="s">
        <v>35</v>
      </c>
      <c r="B13" s="5" t="s">
        <v>334</v>
      </c>
      <c r="C13" s="5" t="s">
        <v>334</v>
      </c>
      <c r="D13" t="b">
        <f t="shared" si="0"/>
        <v>0</v>
      </c>
      <c r="F13" s="7" t="s">
        <v>337</v>
      </c>
      <c r="G13" s="2">
        <f t="shared" si="1"/>
        <v>4</v>
      </c>
    </row>
    <row r="14" spans="1:9" x14ac:dyDescent="0.25">
      <c r="A14" t="s">
        <v>35</v>
      </c>
      <c r="B14" s="5" t="s">
        <v>40</v>
      </c>
      <c r="C14" s="5" t="s">
        <v>40</v>
      </c>
      <c r="D14" t="b">
        <f t="shared" si="0"/>
        <v>0</v>
      </c>
    </row>
    <row r="15" spans="1:9" x14ac:dyDescent="0.25">
      <c r="A15" t="s">
        <v>35</v>
      </c>
      <c r="B15" s="5" t="s">
        <v>336</v>
      </c>
      <c r="C15" s="5" t="s">
        <v>336</v>
      </c>
      <c r="D15" t="b">
        <f t="shared" si="0"/>
        <v>0</v>
      </c>
    </row>
    <row r="16" spans="1:9" x14ac:dyDescent="0.25">
      <c r="A16" t="s">
        <v>35</v>
      </c>
      <c r="B16" s="5" t="s">
        <v>338</v>
      </c>
      <c r="C16" s="5" t="s">
        <v>338</v>
      </c>
      <c r="D16" t="b">
        <f t="shared" si="0"/>
        <v>0</v>
      </c>
    </row>
    <row r="17" spans="1:7" x14ac:dyDescent="0.25">
      <c r="A17" t="s">
        <v>35</v>
      </c>
      <c r="B17" s="5" t="s">
        <v>340</v>
      </c>
      <c r="C17" s="5" t="s">
        <v>340</v>
      </c>
      <c r="D17" t="b">
        <f t="shared" si="0"/>
        <v>0</v>
      </c>
      <c r="F17" s="7"/>
      <c r="G17" s="2"/>
    </row>
    <row r="18" spans="1:7" x14ac:dyDescent="0.25">
      <c r="A18" t="s">
        <v>35</v>
      </c>
      <c r="B18" s="5" t="s">
        <v>341</v>
      </c>
      <c r="C18" s="5" t="s">
        <v>341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356</v>
      </c>
      <c r="C19" s="5" t="s">
        <v>1939</v>
      </c>
      <c r="D19" t="b">
        <f t="shared" si="0"/>
        <v>1</v>
      </c>
      <c r="F19" s="4"/>
      <c r="G19" s="2"/>
    </row>
    <row r="20" spans="1:7" x14ac:dyDescent="0.25">
      <c r="A20" t="s">
        <v>35</v>
      </c>
      <c r="B20" s="5" t="s">
        <v>350</v>
      </c>
      <c r="C20" s="5" t="s">
        <v>350</v>
      </c>
      <c r="D20" t="b">
        <f t="shared" si="0"/>
        <v>0</v>
      </c>
    </row>
    <row r="21" spans="1:7" x14ac:dyDescent="0.25">
      <c r="A21" t="s">
        <v>35</v>
      </c>
      <c r="B21" s="23" t="s">
        <v>351</v>
      </c>
      <c r="C21" s="5" t="s">
        <v>351</v>
      </c>
      <c r="D21" t="b">
        <f t="shared" si="0"/>
        <v>0</v>
      </c>
      <c r="E21" t="s">
        <v>45</v>
      </c>
    </row>
    <row r="22" spans="1:7" x14ac:dyDescent="0.25">
      <c r="A22" t="s">
        <v>35</v>
      </c>
      <c r="B22" s="5" t="s">
        <v>342</v>
      </c>
      <c r="C22" s="5" t="s">
        <v>342</v>
      </c>
      <c r="D22" t="b">
        <f t="shared" si="0"/>
        <v>0</v>
      </c>
    </row>
    <row r="23" spans="1:7" x14ac:dyDescent="0.25">
      <c r="A23" t="s">
        <v>35</v>
      </c>
      <c r="B23" s="5" t="s">
        <v>196</v>
      </c>
      <c r="C23" s="5" t="s">
        <v>196</v>
      </c>
      <c r="D23" t="b">
        <f t="shared" si="0"/>
        <v>0</v>
      </c>
    </row>
    <row r="24" spans="1:7" x14ac:dyDescent="0.25">
      <c r="A24" t="s">
        <v>35</v>
      </c>
      <c r="B24" s="5" t="s">
        <v>273</v>
      </c>
      <c r="C24" s="5" t="s">
        <v>273</v>
      </c>
      <c r="D24" t="b">
        <f t="shared" si="0"/>
        <v>0</v>
      </c>
    </row>
    <row r="25" spans="1:7" x14ac:dyDescent="0.25">
      <c r="A25" t="s">
        <v>35</v>
      </c>
      <c r="B25" s="5" t="s">
        <v>343</v>
      </c>
      <c r="C25" s="5" t="s">
        <v>343</v>
      </c>
      <c r="D25" t="b">
        <f t="shared" si="0"/>
        <v>0</v>
      </c>
    </row>
    <row r="26" spans="1:7" x14ac:dyDescent="0.25">
      <c r="A26" t="s">
        <v>35</v>
      </c>
      <c r="B26" s="5" t="s">
        <v>194</v>
      </c>
      <c r="C26" s="5" t="s">
        <v>194</v>
      </c>
      <c r="D26" t="b">
        <f t="shared" si="0"/>
        <v>0</v>
      </c>
    </row>
    <row r="27" spans="1:7" x14ac:dyDescent="0.25">
      <c r="A27" t="s">
        <v>35</v>
      </c>
      <c r="B27" s="5" t="s">
        <v>192</v>
      </c>
      <c r="C27" s="5" t="s">
        <v>192</v>
      </c>
      <c r="D27" t="b">
        <f t="shared" si="0"/>
        <v>0</v>
      </c>
    </row>
    <row r="28" spans="1:7" x14ac:dyDescent="0.25">
      <c r="A28" t="s">
        <v>35</v>
      </c>
      <c r="B28" s="5" t="s">
        <v>344</v>
      </c>
      <c r="C28" s="5" t="s">
        <v>344</v>
      </c>
      <c r="D28" t="b">
        <f t="shared" si="0"/>
        <v>0</v>
      </c>
    </row>
    <row r="29" spans="1:7" x14ac:dyDescent="0.25">
      <c r="A29" t="s">
        <v>35</v>
      </c>
      <c r="B29" s="5" t="s">
        <v>345</v>
      </c>
      <c r="C29" s="5" t="s">
        <v>345</v>
      </c>
      <c r="D29" t="b">
        <f t="shared" si="0"/>
        <v>0</v>
      </c>
    </row>
    <row r="30" spans="1:7" x14ac:dyDescent="0.25">
      <c r="A30" t="s">
        <v>35</v>
      </c>
      <c r="B30" s="5" t="s">
        <v>346</v>
      </c>
      <c r="C30" s="5" t="s">
        <v>346</v>
      </c>
      <c r="D30" t="b">
        <f t="shared" si="0"/>
        <v>0</v>
      </c>
    </row>
    <row r="31" spans="1:7" x14ac:dyDescent="0.25">
      <c r="A31" t="s">
        <v>35</v>
      </c>
      <c r="B31" s="5" t="s">
        <v>347</v>
      </c>
      <c r="C31" s="5" t="s">
        <v>347</v>
      </c>
      <c r="D31" t="b">
        <f t="shared" si="0"/>
        <v>0</v>
      </c>
    </row>
    <row r="32" spans="1:7" x14ac:dyDescent="0.25">
      <c r="A32" t="s">
        <v>35</v>
      </c>
      <c r="B32" s="5" t="s">
        <v>73</v>
      </c>
      <c r="C32" s="5" t="s">
        <v>73</v>
      </c>
      <c r="D32" t="b">
        <f t="shared" si="0"/>
        <v>0</v>
      </c>
    </row>
    <row r="33" spans="1:4" x14ac:dyDescent="0.25">
      <c r="A33" t="s">
        <v>35</v>
      </c>
      <c r="B33" s="5" t="s">
        <v>348</v>
      </c>
      <c r="C33" s="5" t="s">
        <v>348</v>
      </c>
      <c r="D33" t="b">
        <f t="shared" si="0"/>
        <v>0</v>
      </c>
    </row>
    <row r="34" spans="1:4" x14ac:dyDescent="0.25">
      <c r="A34" t="s">
        <v>35</v>
      </c>
      <c r="B34" s="5" t="s">
        <v>349</v>
      </c>
      <c r="C34" s="5" t="s">
        <v>349</v>
      </c>
      <c r="D34" t="b">
        <f t="shared" si="0"/>
        <v>0</v>
      </c>
    </row>
    <row r="35" spans="1:4" x14ac:dyDescent="0.25">
      <c r="A35" t="s">
        <v>35</v>
      </c>
      <c r="B35" s="5" t="s">
        <v>48</v>
      </c>
      <c r="C35" s="5" t="s">
        <v>48</v>
      </c>
      <c r="D35" t="b">
        <f t="shared" si="0"/>
        <v>0</v>
      </c>
    </row>
    <row r="36" spans="1:4" x14ac:dyDescent="0.25">
      <c r="A36" t="s">
        <v>35</v>
      </c>
      <c r="B36" s="5" t="s">
        <v>44</v>
      </c>
      <c r="C36" s="5" t="s">
        <v>44</v>
      </c>
      <c r="D36" t="b">
        <f t="shared" si="0"/>
        <v>0</v>
      </c>
    </row>
    <row r="37" spans="1:4" x14ac:dyDescent="0.25">
      <c r="A37" t="s">
        <v>35</v>
      </c>
      <c r="B37" s="5" t="s">
        <v>45</v>
      </c>
      <c r="C37" s="5" t="s">
        <v>45</v>
      </c>
      <c r="D37" t="b">
        <f t="shared" si="0"/>
        <v>0</v>
      </c>
    </row>
    <row r="38" spans="1:4" x14ac:dyDescent="0.25">
      <c r="A38" t="s">
        <v>35</v>
      </c>
      <c r="B38" s="5" t="s">
        <v>46</v>
      </c>
      <c r="C38" s="5" t="s">
        <v>46</v>
      </c>
      <c r="D38" t="b">
        <f t="shared" si="0"/>
        <v>0</v>
      </c>
    </row>
    <row r="39" spans="1:4" x14ac:dyDescent="0.25">
      <c r="A39" t="s">
        <v>41</v>
      </c>
      <c r="B39" s="5" t="s">
        <v>209</v>
      </c>
      <c r="C39" s="5" t="s">
        <v>209</v>
      </c>
      <c r="D39" t="b">
        <f t="shared" si="0"/>
        <v>0</v>
      </c>
    </row>
    <row r="40" spans="1:4" x14ac:dyDescent="0.25">
      <c r="A40" t="s">
        <v>41</v>
      </c>
      <c r="B40" s="5" t="s">
        <v>155</v>
      </c>
      <c r="C40" s="5" t="s">
        <v>155</v>
      </c>
      <c r="D40" t="b">
        <f t="shared" si="0"/>
        <v>0</v>
      </c>
    </row>
    <row r="41" spans="1:4" x14ac:dyDescent="0.25">
      <c r="A41" t="s">
        <v>41</v>
      </c>
      <c r="B41" s="5" t="s">
        <v>210</v>
      </c>
      <c r="C41" s="5" t="s">
        <v>210</v>
      </c>
      <c r="D41" t="b">
        <f t="shared" si="0"/>
        <v>0</v>
      </c>
    </row>
    <row r="42" spans="1:4" x14ac:dyDescent="0.25">
      <c r="A42" t="s">
        <v>41</v>
      </c>
      <c r="B42" s="5" t="s">
        <v>208</v>
      </c>
      <c r="C42" s="5" t="s">
        <v>208</v>
      </c>
      <c r="D42" t="b">
        <f t="shared" si="0"/>
        <v>0</v>
      </c>
    </row>
    <row r="43" spans="1:4" x14ac:dyDescent="0.25">
      <c r="A43" t="s">
        <v>41</v>
      </c>
      <c r="B43" s="5" t="s">
        <v>352</v>
      </c>
      <c r="C43" s="5" t="s">
        <v>352</v>
      </c>
      <c r="D43" t="b">
        <f t="shared" si="0"/>
        <v>0</v>
      </c>
    </row>
    <row r="44" spans="1:4" x14ac:dyDescent="0.25">
      <c r="A44" t="s">
        <v>41</v>
      </c>
      <c r="B44" s="5" t="s">
        <v>353</v>
      </c>
      <c r="C44" s="5" t="s">
        <v>353</v>
      </c>
      <c r="D44" t="b">
        <f t="shared" si="0"/>
        <v>0</v>
      </c>
    </row>
    <row r="45" spans="1:4" x14ac:dyDescent="0.25">
      <c r="A45" t="s">
        <v>41</v>
      </c>
      <c r="B45" s="5" t="s">
        <v>211</v>
      </c>
      <c r="C45" s="5" t="s">
        <v>211</v>
      </c>
      <c r="D45" t="b">
        <f t="shared" si="0"/>
        <v>0</v>
      </c>
    </row>
    <row r="46" spans="1:4" x14ac:dyDescent="0.25">
      <c r="A46" t="s">
        <v>41</v>
      </c>
      <c r="B46" s="5" t="s">
        <v>212</v>
      </c>
      <c r="C46" s="5" t="s">
        <v>212</v>
      </c>
      <c r="D46" t="b">
        <f t="shared" si="0"/>
        <v>0</v>
      </c>
    </row>
    <row r="47" spans="1:4" x14ac:dyDescent="0.25">
      <c r="A47" t="s">
        <v>41</v>
      </c>
      <c r="B47" s="5" t="s">
        <v>160</v>
      </c>
      <c r="C47" s="5" t="s">
        <v>1941</v>
      </c>
      <c r="D47" t="b">
        <f t="shared" si="0"/>
        <v>1</v>
      </c>
    </row>
    <row r="48" spans="1:4" x14ac:dyDescent="0.25">
      <c r="A48" t="s">
        <v>41</v>
      </c>
      <c r="B48" s="5" t="s">
        <v>206</v>
      </c>
      <c r="C48" s="5" t="s">
        <v>206</v>
      </c>
      <c r="D48" t="b">
        <f t="shared" si="0"/>
        <v>0</v>
      </c>
    </row>
    <row r="49" spans="1:5" x14ac:dyDescent="0.25">
      <c r="A49" t="s">
        <v>41</v>
      </c>
      <c r="B49" s="5" t="s">
        <v>207</v>
      </c>
      <c r="C49" s="5" t="s">
        <v>207</v>
      </c>
      <c r="D49" t="b">
        <f t="shared" si="0"/>
        <v>0</v>
      </c>
    </row>
    <row r="50" spans="1:5" x14ac:dyDescent="0.25">
      <c r="A50" t="s">
        <v>41</v>
      </c>
      <c r="B50" s="5" t="s">
        <v>354</v>
      </c>
      <c r="C50" s="5" t="s">
        <v>354</v>
      </c>
      <c r="D50" t="b">
        <f t="shared" si="0"/>
        <v>0</v>
      </c>
    </row>
    <row r="51" spans="1:5" x14ac:dyDescent="0.25">
      <c r="A51" t="s">
        <v>41</v>
      </c>
      <c r="B51" s="5" t="s">
        <v>355</v>
      </c>
      <c r="C51" s="5" t="s">
        <v>355</v>
      </c>
      <c r="D51" t="b">
        <f t="shared" si="0"/>
        <v>0</v>
      </c>
    </row>
    <row r="52" spans="1:5" x14ac:dyDescent="0.25">
      <c r="A52" t="s">
        <v>41</v>
      </c>
      <c r="B52" s="5" t="s">
        <v>158</v>
      </c>
      <c r="C52" s="5" t="s">
        <v>158</v>
      </c>
      <c r="D52" t="b">
        <f t="shared" si="0"/>
        <v>0</v>
      </c>
    </row>
    <row r="53" spans="1:5" x14ac:dyDescent="0.25">
      <c r="A53" t="s">
        <v>41</v>
      </c>
      <c r="B53" s="5" t="s">
        <v>357</v>
      </c>
      <c r="C53" s="5" t="s">
        <v>357</v>
      </c>
      <c r="D53" t="b">
        <f t="shared" si="0"/>
        <v>0</v>
      </c>
    </row>
    <row r="54" spans="1:5" x14ac:dyDescent="0.25">
      <c r="A54" t="s">
        <v>41</v>
      </c>
      <c r="B54" s="5" t="s">
        <v>362</v>
      </c>
      <c r="C54" s="5" t="s">
        <v>1942</v>
      </c>
      <c r="D54" t="b">
        <f t="shared" si="0"/>
        <v>1</v>
      </c>
    </row>
    <row r="55" spans="1:5" x14ac:dyDescent="0.25">
      <c r="A55" t="s">
        <v>41</v>
      </c>
      <c r="B55" s="5" t="s">
        <v>359</v>
      </c>
      <c r="C55" s="5" t="s">
        <v>359</v>
      </c>
      <c r="D55" t="b">
        <f t="shared" si="0"/>
        <v>0</v>
      </c>
    </row>
    <row r="56" spans="1:5" x14ac:dyDescent="0.25">
      <c r="A56" t="s">
        <v>41</v>
      </c>
      <c r="B56" s="5" t="s">
        <v>360</v>
      </c>
      <c r="C56" s="5" t="s">
        <v>360</v>
      </c>
      <c r="D56" t="b">
        <f t="shared" si="0"/>
        <v>0</v>
      </c>
    </row>
    <row r="57" spans="1:5" x14ac:dyDescent="0.25">
      <c r="A57" t="s">
        <v>41</v>
      </c>
      <c r="B57" s="5" t="s">
        <v>361</v>
      </c>
      <c r="C57" s="5" t="s">
        <v>361</v>
      </c>
      <c r="D57" t="b">
        <f t="shared" si="0"/>
        <v>0</v>
      </c>
    </row>
    <row r="58" spans="1:5" x14ac:dyDescent="0.25">
      <c r="A58" t="s">
        <v>41</v>
      </c>
      <c r="B58" s="23" t="s">
        <v>1940</v>
      </c>
      <c r="C58" s="5" t="s">
        <v>1940</v>
      </c>
      <c r="D58" t="b">
        <f t="shared" si="0"/>
        <v>0</v>
      </c>
      <c r="E58" t="s">
        <v>358</v>
      </c>
    </row>
    <row r="59" spans="1:5" x14ac:dyDescent="0.25">
      <c r="A59" t="s">
        <v>43</v>
      </c>
      <c r="B59" s="5" t="s">
        <v>363</v>
      </c>
      <c r="C59" s="5" t="s">
        <v>363</v>
      </c>
      <c r="D59" t="b">
        <f t="shared" si="0"/>
        <v>0</v>
      </c>
    </row>
    <row r="60" spans="1:5" x14ac:dyDescent="0.25">
      <c r="A60" t="s">
        <v>43</v>
      </c>
      <c r="B60" s="5" t="s">
        <v>364</v>
      </c>
      <c r="C60" s="5" t="s">
        <v>364</v>
      </c>
      <c r="D60" t="b">
        <f t="shared" si="0"/>
        <v>0</v>
      </c>
    </row>
    <row r="61" spans="1:5" x14ac:dyDescent="0.25">
      <c r="A61" t="s">
        <v>43</v>
      </c>
      <c r="B61" s="5" t="s">
        <v>365</v>
      </c>
      <c r="C61" s="5" t="s">
        <v>365</v>
      </c>
      <c r="D61" t="b">
        <f t="shared" si="0"/>
        <v>0</v>
      </c>
    </row>
    <row r="62" spans="1:5" x14ac:dyDescent="0.25">
      <c r="A62" t="s">
        <v>43</v>
      </c>
      <c r="B62" s="5" t="s">
        <v>366</v>
      </c>
      <c r="C62" s="5" t="s">
        <v>366</v>
      </c>
      <c r="D62" t="b">
        <f t="shared" si="0"/>
        <v>0</v>
      </c>
    </row>
    <row r="63" spans="1:5" x14ac:dyDescent="0.25">
      <c r="A63" t="s">
        <v>43</v>
      </c>
      <c r="B63" s="5" t="s">
        <v>367</v>
      </c>
      <c r="C63" s="5" t="s">
        <v>367</v>
      </c>
      <c r="D63" t="b">
        <f t="shared" si="0"/>
        <v>0</v>
      </c>
    </row>
    <row r="64" spans="1:5" x14ac:dyDescent="0.25">
      <c r="A64" t="s">
        <v>43</v>
      </c>
      <c r="B64" s="5" t="s">
        <v>368</v>
      </c>
      <c r="C64" s="5" t="s">
        <v>368</v>
      </c>
      <c r="D64" t="b">
        <f t="shared" si="0"/>
        <v>0</v>
      </c>
    </row>
    <row r="65" spans="1:4" x14ac:dyDescent="0.25">
      <c r="A65" t="s">
        <v>43</v>
      </c>
      <c r="B65" s="5" t="s">
        <v>369</v>
      </c>
      <c r="C65" s="5" t="s">
        <v>369</v>
      </c>
      <c r="D65" t="b">
        <f t="shared" si="0"/>
        <v>0</v>
      </c>
    </row>
    <row r="66" spans="1:4" x14ac:dyDescent="0.25">
      <c r="A66" t="s">
        <v>43</v>
      </c>
      <c r="B66" s="5" t="s">
        <v>252</v>
      </c>
      <c r="C66" s="5" t="s">
        <v>252</v>
      </c>
      <c r="D66" t="b">
        <f t="shared" si="0"/>
        <v>0</v>
      </c>
    </row>
    <row r="67" spans="1:4" x14ac:dyDescent="0.25">
      <c r="A67" t="s">
        <v>43</v>
      </c>
      <c r="B67" s="5" t="s">
        <v>370</v>
      </c>
      <c r="C67" s="5" t="s">
        <v>370</v>
      </c>
      <c r="D67" t="b">
        <f t="shared" si="0"/>
        <v>0</v>
      </c>
    </row>
    <row r="68" spans="1:4" x14ac:dyDescent="0.25">
      <c r="A68" t="s">
        <v>43</v>
      </c>
      <c r="B68" s="5" t="s">
        <v>371</v>
      </c>
      <c r="C68" s="5" t="s">
        <v>371</v>
      </c>
      <c r="D68" t="b">
        <f t="shared" si="0"/>
        <v>0</v>
      </c>
    </row>
    <row r="69" spans="1:4" x14ac:dyDescent="0.25">
      <c r="A69" t="s">
        <v>43</v>
      </c>
      <c r="B69" s="5" t="s">
        <v>372</v>
      </c>
      <c r="C69" s="5" t="s">
        <v>372</v>
      </c>
      <c r="D69" t="b">
        <f t="shared" si="0"/>
        <v>0</v>
      </c>
    </row>
    <row r="70" spans="1:4" x14ac:dyDescent="0.25">
      <c r="A70" t="s">
        <v>43</v>
      </c>
      <c r="B70" s="5" t="s">
        <v>1607</v>
      </c>
      <c r="C70" s="5" t="s">
        <v>1607</v>
      </c>
      <c r="D70" t="b">
        <f t="shared" ref="D70:D102" si="2">B70&lt;&gt;C70</f>
        <v>0</v>
      </c>
    </row>
    <row r="71" spans="1:4" x14ac:dyDescent="0.25">
      <c r="A71" t="s">
        <v>333</v>
      </c>
      <c r="B71" s="5" t="s">
        <v>373</v>
      </c>
      <c r="C71" s="5" t="s">
        <v>373</v>
      </c>
      <c r="D71" t="b">
        <f t="shared" si="2"/>
        <v>0</v>
      </c>
    </row>
    <row r="72" spans="1:4" x14ac:dyDescent="0.25">
      <c r="A72" t="s">
        <v>333</v>
      </c>
      <c r="B72" s="5" t="s">
        <v>374</v>
      </c>
      <c r="C72" s="5" t="s">
        <v>374</v>
      </c>
      <c r="D72" t="b">
        <f t="shared" si="2"/>
        <v>0</v>
      </c>
    </row>
    <row r="73" spans="1:4" x14ac:dyDescent="0.25">
      <c r="A73" t="s">
        <v>333</v>
      </c>
      <c r="B73" s="5" t="s">
        <v>375</v>
      </c>
      <c r="C73" s="5" t="s">
        <v>375</v>
      </c>
      <c r="D73" t="b">
        <f t="shared" si="2"/>
        <v>0</v>
      </c>
    </row>
    <row r="74" spans="1:4" x14ac:dyDescent="0.25">
      <c r="A74" t="s">
        <v>333</v>
      </c>
      <c r="B74" s="5" t="s">
        <v>376</v>
      </c>
      <c r="C74" s="5" t="s">
        <v>376</v>
      </c>
      <c r="D74" t="b">
        <f t="shared" si="2"/>
        <v>0</v>
      </c>
    </row>
    <row r="75" spans="1:4" x14ac:dyDescent="0.25">
      <c r="A75" t="s">
        <v>333</v>
      </c>
      <c r="B75" s="5" t="s">
        <v>377</v>
      </c>
      <c r="C75" s="5" t="s">
        <v>377</v>
      </c>
      <c r="D75" t="b">
        <f t="shared" si="2"/>
        <v>0</v>
      </c>
    </row>
    <row r="76" spans="1:4" x14ac:dyDescent="0.25">
      <c r="A76" t="s">
        <v>333</v>
      </c>
      <c r="B76" s="5" t="s">
        <v>378</v>
      </c>
      <c r="C76" s="5" t="s">
        <v>378</v>
      </c>
      <c r="D76" t="b">
        <f t="shared" si="2"/>
        <v>0</v>
      </c>
    </row>
    <row r="77" spans="1:4" x14ac:dyDescent="0.25">
      <c r="A77" t="s">
        <v>333</v>
      </c>
      <c r="B77" s="5" t="s">
        <v>379</v>
      </c>
      <c r="C77" s="5" t="s">
        <v>379</v>
      </c>
      <c r="D77" t="b">
        <f t="shared" si="2"/>
        <v>0</v>
      </c>
    </row>
    <row r="78" spans="1:4" x14ac:dyDescent="0.25">
      <c r="A78" t="s">
        <v>333</v>
      </c>
      <c r="B78" s="5" t="s">
        <v>380</v>
      </c>
      <c r="C78" s="5" t="s">
        <v>380</v>
      </c>
      <c r="D78" t="b">
        <f t="shared" si="2"/>
        <v>0</v>
      </c>
    </row>
    <row r="79" spans="1:4" x14ac:dyDescent="0.25">
      <c r="A79" t="s">
        <v>333</v>
      </c>
      <c r="B79" s="5" t="s">
        <v>381</v>
      </c>
      <c r="C79" s="5" t="s">
        <v>381</v>
      </c>
      <c r="D79" t="b">
        <f t="shared" si="2"/>
        <v>0</v>
      </c>
    </row>
    <row r="80" spans="1:4" x14ac:dyDescent="0.25">
      <c r="A80" t="s">
        <v>333</v>
      </c>
      <c r="B80" s="5" t="s">
        <v>382</v>
      </c>
      <c r="C80" s="5" t="s">
        <v>382</v>
      </c>
      <c r="D80" t="b">
        <f t="shared" si="2"/>
        <v>0</v>
      </c>
    </row>
    <row r="81" spans="1:4" x14ac:dyDescent="0.25">
      <c r="A81" t="s">
        <v>333</v>
      </c>
      <c r="B81" s="5" t="s">
        <v>124</v>
      </c>
      <c r="C81" s="5" t="s">
        <v>1730</v>
      </c>
      <c r="D81" t="b">
        <f t="shared" si="2"/>
        <v>1</v>
      </c>
    </row>
    <row r="82" spans="1:4" x14ac:dyDescent="0.25">
      <c r="A82" t="s">
        <v>333</v>
      </c>
      <c r="B82" s="5" t="s">
        <v>383</v>
      </c>
      <c r="C82" s="5" t="s">
        <v>383</v>
      </c>
      <c r="D82" t="b">
        <f t="shared" si="2"/>
        <v>0</v>
      </c>
    </row>
    <row r="83" spans="1:4" x14ac:dyDescent="0.25">
      <c r="A83" t="s">
        <v>333</v>
      </c>
      <c r="B83" s="5" t="s">
        <v>384</v>
      </c>
      <c r="C83" s="5" t="s">
        <v>384</v>
      </c>
      <c r="D83" t="b">
        <f t="shared" si="2"/>
        <v>0</v>
      </c>
    </row>
    <row r="84" spans="1:4" x14ac:dyDescent="0.25">
      <c r="A84" t="s">
        <v>333</v>
      </c>
      <c r="B84" s="5" t="s">
        <v>385</v>
      </c>
      <c r="C84" s="5" t="s">
        <v>385</v>
      </c>
      <c r="D84" t="b">
        <f t="shared" si="2"/>
        <v>0</v>
      </c>
    </row>
    <row r="85" spans="1:4" x14ac:dyDescent="0.25">
      <c r="A85" t="s">
        <v>333</v>
      </c>
      <c r="B85" s="5" t="s">
        <v>386</v>
      </c>
      <c r="C85" s="5" t="s">
        <v>386</v>
      </c>
      <c r="D85" t="b">
        <f t="shared" si="2"/>
        <v>0</v>
      </c>
    </row>
    <row r="86" spans="1:4" x14ac:dyDescent="0.25">
      <c r="A86" t="s">
        <v>333</v>
      </c>
      <c r="B86" s="5" t="s">
        <v>92</v>
      </c>
      <c r="C86" s="5" t="s">
        <v>92</v>
      </c>
      <c r="D86" t="b">
        <f t="shared" si="2"/>
        <v>0</v>
      </c>
    </row>
    <row r="87" spans="1:4" x14ac:dyDescent="0.25">
      <c r="A87" t="s">
        <v>333</v>
      </c>
      <c r="B87" s="5" t="s">
        <v>387</v>
      </c>
      <c r="C87" s="5" t="s">
        <v>387</v>
      </c>
      <c r="D87" t="b">
        <f t="shared" si="2"/>
        <v>0</v>
      </c>
    </row>
    <row r="88" spans="1:4" x14ac:dyDescent="0.25">
      <c r="A88" t="s">
        <v>339</v>
      </c>
      <c r="B88" s="5" t="s">
        <v>388</v>
      </c>
      <c r="C88" s="5" t="s">
        <v>388</v>
      </c>
      <c r="D88" t="b">
        <f t="shared" si="2"/>
        <v>0</v>
      </c>
    </row>
    <row r="89" spans="1:4" x14ac:dyDescent="0.25">
      <c r="A89" t="s">
        <v>339</v>
      </c>
      <c r="B89" s="5" t="s">
        <v>389</v>
      </c>
      <c r="C89" s="5" t="s">
        <v>389</v>
      </c>
      <c r="D89" t="b">
        <f t="shared" si="2"/>
        <v>0</v>
      </c>
    </row>
    <row r="90" spans="1:4" x14ac:dyDescent="0.25">
      <c r="A90" t="s">
        <v>339</v>
      </c>
      <c r="B90" s="5" t="s">
        <v>390</v>
      </c>
      <c r="C90" s="5" t="s">
        <v>390</v>
      </c>
      <c r="D90" t="b">
        <f t="shared" si="2"/>
        <v>0</v>
      </c>
    </row>
    <row r="91" spans="1:4" x14ac:dyDescent="0.25">
      <c r="A91" t="s">
        <v>339</v>
      </c>
      <c r="B91" s="5" t="s">
        <v>391</v>
      </c>
      <c r="C91" s="5" t="s">
        <v>391</v>
      </c>
      <c r="D91" t="b">
        <f t="shared" si="2"/>
        <v>0</v>
      </c>
    </row>
    <row r="92" spans="1:4" x14ac:dyDescent="0.25">
      <c r="A92" t="s">
        <v>339</v>
      </c>
      <c r="B92" s="5" t="s">
        <v>392</v>
      </c>
      <c r="C92" s="5" t="s">
        <v>392</v>
      </c>
      <c r="D92" t="b">
        <f t="shared" si="2"/>
        <v>0</v>
      </c>
    </row>
    <row r="93" spans="1:4" x14ac:dyDescent="0.25">
      <c r="A93" t="s">
        <v>339</v>
      </c>
      <c r="B93" s="5" t="s">
        <v>393</v>
      </c>
      <c r="C93" s="5" t="s">
        <v>393</v>
      </c>
      <c r="D93" t="b">
        <f t="shared" si="2"/>
        <v>0</v>
      </c>
    </row>
    <row r="94" spans="1:4" x14ac:dyDescent="0.25">
      <c r="A94" t="s">
        <v>339</v>
      </c>
      <c r="B94" s="5" t="s">
        <v>394</v>
      </c>
      <c r="C94" s="5" t="s">
        <v>394</v>
      </c>
      <c r="D94" t="b">
        <f t="shared" si="2"/>
        <v>0</v>
      </c>
    </row>
    <row r="95" spans="1:4" x14ac:dyDescent="0.25">
      <c r="A95" t="s">
        <v>339</v>
      </c>
      <c r="B95" s="5" t="s">
        <v>395</v>
      </c>
      <c r="C95" s="5" t="s">
        <v>395</v>
      </c>
      <c r="D95" t="b">
        <f t="shared" si="2"/>
        <v>0</v>
      </c>
    </row>
    <row r="96" spans="1:4" x14ac:dyDescent="0.25">
      <c r="A96" t="s">
        <v>335</v>
      </c>
      <c r="B96" s="5" t="s">
        <v>396</v>
      </c>
      <c r="C96" s="5" t="s">
        <v>396</v>
      </c>
      <c r="D96" t="b">
        <f t="shared" si="2"/>
        <v>0</v>
      </c>
    </row>
    <row r="97" spans="1:4" x14ac:dyDescent="0.25">
      <c r="A97" t="s">
        <v>335</v>
      </c>
      <c r="B97" s="5" t="s">
        <v>397</v>
      </c>
      <c r="C97" s="5" t="s">
        <v>397</v>
      </c>
      <c r="D97" t="b">
        <f t="shared" si="2"/>
        <v>0</v>
      </c>
    </row>
    <row r="98" spans="1:4" x14ac:dyDescent="0.25">
      <c r="A98" t="s">
        <v>335</v>
      </c>
      <c r="B98" s="5" t="s">
        <v>398</v>
      </c>
      <c r="C98" s="5" t="s">
        <v>398</v>
      </c>
      <c r="D98" t="b">
        <f t="shared" si="2"/>
        <v>0</v>
      </c>
    </row>
    <row r="99" spans="1:4" x14ac:dyDescent="0.25">
      <c r="A99" t="s">
        <v>337</v>
      </c>
      <c r="B99" s="5" t="s">
        <v>399</v>
      </c>
      <c r="C99" s="5" t="s">
        <v>399</v>
      </c>
      <c r="D99" t="b">
        <f t="shared" si="2"/>
        <v>0</v>
      </c>
    </row>
    <row r="100" spans="1:4" x14ac:dyDescent="0.25">
      <c r="A100" t="s">
        <v>337</v>
      </c>
      <c r="B100" s="5" t="s">
        <v>400</v>
      </c>
      <c r="C100" s="5" t="s">
        <v>400</v>
      </c>
      <c r="D100" t="b">
        <f t="shared" si="2"/>
        <v>0</v>
      </c>
    </row>
    <row r="101" spans="1:4" x14ac:dyDescent="0.25">
      <c r="A101" t="s">
        <v>337</v>
      </c>
      <c r="B101" s="5" t="s">
        <v>401</v>
      </c>
      <c r="C101" s="5" t="s">
        <v>401</v>
      </c>
      <c r="D101" t="b">
        <f t="shared" si="2"/>
        <v>0</v>
      </c>
    </row>
    <row r="102" spans="1:4" x14ac:dyDescent="0.25">
      <c r="A102" t="s">
        <v>337</v>
      </c>
      <c r="B102" s="5" t="s">
        <v>402</v>
      </c>
      <c r="C102" s="5" t="s">
        <v>402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11A6EDC3-DDCE-456F-B2D9-4C7442A7AB5C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0468A71A-B3CB-4479-8577-628C2F366AA5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D87C-9A05-4A83-B394-B1C52A2E2B4C}">
  <sheetPr codeName="Planilha11"/>
  <dimension ref="A1:H102"/>
  <sheetViews>
    <sheetView topLeftCell="A64" workbookViewId="0">
      <selection activeCell="B58" sqref="B5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" bestFit="1" customWidth="1"/>
    <col min="9" max="9" width="9.85546875" bestFit="1" customWidth="1"/>
  </cols>
  <sheetData>
    <row r="1" spans="1:8" ht="21" customHeight="1" x14ac:dyDescent="0.25">
      <c r="A1" s="31" t="s">
        <v>403</v>
      </c>
      <c r="B1" s="31"/>
      <c r="C1" s="31"/>
      <c r="D1" s="31"/>
      <c r="E1" s="31"/>
      <c r="F1" s="31"/>
      <c r="G1" s="31"/>
    </row>
    <row r="2" spans="1:8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12</v>
      </c>
    </row>
    <row r="3" spans="1:8" x14ac:dyDescent="0.25">
      <c r="A3" s="5" t="s">
        <v>2031</v>
      </c>
      <c r="B3" s="5" t="s">
        <v>403</v>
      </c>
      <c r="C3" s="5" t="s">
        <v>403</v>
      </c>
      <c r="D3" t="b">
        <f>B3&lt;&gt;C3</f>
        <v>0</v>
      </c>
      <c r="F3" s="4" t="s">
        <v>37</v>
      </c>
      <c r="G3" s="3">
        <f>SUM(G6:G26)</f>
        <v>100</v>
      </c>
    </row>
    <row r="4" spans="1:8" x14ac:dyDescent="0.25">
      <c r="A4" t="s">
        <v>35</v>
      </c>
      <c r="B4" s="5" t="s">
        <v>204</v>
      </c>
      <c r="C4" s="5" t="s">
        <v>204</v>
      </c>
      <c r="D4" t="b">
        <f>B4&lt;&gt;C4</f>
        <v>0</v>
      </c>
    </row>
    <row r="5" spans="1:8" x14ac:dyDescent="0.25">
      <c r="A5" t="s">
        <v>35</v>
      </c>
      <c r="B5" s="5" t="s">
        <v>40</v>
      </c>
      <c r="C5" s="5" t="s">
        <v>40</v>
      </c>
      <c r="D5" t="b">
        <f t="shared" ref="D5:D68" si="0">B5&lt;&gt;C5</f>
        <v>0</v>
      </c>
      <c r="F5" s="6" t="s">
        <v>39</v>
      </c>
      <c r="G5" s="1"/>
    </row>
    <row r="6" spans="1:8" x14ac:dyDescent="0.25">
      <c r="A6" t="s">
        <v>35</v>
      </c>
      <c r="B6" s="5" t="s">
        <v>404</v>
      </c>
      <c r="C6" s="5" t="s">
        <v>404</v>
      </c>
      <c r="D6" t="b">
        <f t="shared" si="0"/>
        <v>0</v>
      </c>
      <c r="F6" s="3" t="s">
        <v>2031</v>
      </c>
      <c r="G6" s="2">
        <f t="shared" ref="G6:G13" si="1">COUNTIF(A:A,F6)</f>
        <v>1</v>
      </c>
    </row>
    <row r="7" spans="1:8" x14ac:dyDescent="0.25">
      <c r="A7" t="s">
        <v>35</v>
      </c>
      <c r="B7" s="5" t="s">
        <v>74</v>
      </c>
      <c r="C7" s="5" t="s">
        <v>74</v>
      </c>
      <c r="D7" t="b">
        <f t="shared" si="0"/>
        <v>0</v>
      </c>
      <c r="F7" s="7" t="s">
        <v>35</v>
      </c>
      <c r="G7" s="2">
        <f t="shared" si="1"/>
        <v>38</v>
      </c>
    </row>
    <row r="8" spans="1:8" x14ac:dyDescent="0.25">
      <c r="A8" t="s">
        <v>35</v>
      </c>
      <c r="B8" s="5" t="s">
        <v>145</v>
      </c>
      <c r="C8" s="5" t="s">
        <v>145</v>
      </c>
      <c r="D8" t="b">
        <f t="shared" si="0"/>
        <v>0</v>
      </c>
      <c r="F8" s="7" t="s">
        <v>41</v>
      </c>
      <c r="G8" s="2">
        <f t="shared" si="1"/>
        <v>17</v>
      </c>
    </row>
    <row r="9" spans="1:8" x14ac:dyDescent="0.25">
      <c r="A9" t="s">
        <v>35</v>
      </c>
      <c r="B9" s="5" t="s">
        <v>272</v>
      </c>
      <c r="C9" s="5" t="s">
        <v>272</v>
      </c>
      <c r="D9" t="b">
        <f t="shared" si="0"/>
        <v>0</v>
      </c>
      <c r="F9" s="7" t="s">
        <v>65</v>
      </c>
      <c r="G9" s="2">
        <f t="shared" si="1"/>
        <v>17</v>
      </c>
    </row>
    <row r="10" spans="1:8" x14ac:dyDescent="0.25">
      <c r="A10" t="s">
        <v>35</v>
      </c>
      <c r="B10" s="5" t="s">
        <v>61</v>
      </c>
      <c r="C10" s="5" t="s">
        <v>61</v>
      </c>
      <c r="D10" t="b">
        <f t="shared" si="0"/>
        <v>0</v>
      </c>
      <c r="F10" s="7" t="s">
        <v>339</v>
      </c>
      <c r="G10" s="2">
        <f t="shared" si="1"/>
        <v>9</v>
      </c>
    </row>
    <row r="11" spans="1:8" x14ac:dyDescent="0.25">
      <c r="A11" t="s">
        <v>35</v>
      </c>
      <c r="B11" s="5" t="s">
        <v>405</v>
      </c>
      <c r="C11" s="5" t="s">
        <v>405</v>
      </c>
      <c r="D11" t="b">
        <f t="shared" si="0"/>
        <v>0</v>
      </c>
      <c r="F11" s="7" t="s">
        <v>335</v>
      </c>
      <c r="G11" s="2">
        <f t="shared" si="1"/>
        <v>6</v>
      </c>
    </row>
    <row r="12" spans="1:8" x14ac:dyDescent="0.25">
      <c r="A12" t="s">
        <v>35</v>
      </c>
      <c r="B12" s="5" t="s">
        <v>406</v>
      </c>
      <c r="C12" s="5" t="s">
        <v>406</v>
      </c>
      <c r="D12" t="b">
        <f t="shared" si="0"/>
        <v>0</v>
      </c>
      <c r="F12" s="7" t="s">
        <v>68</v>
      </c>
      <c r="G12" s="2">
        <f t="shared" si="1"/>
        <v>8</v>
      </c>
    </row>
    <row r="13" spans="1:8" x14ac:dyDescent="0.25">
      <c r="A13" t="s">
        <v>35</v>
      </c>
      <c r="B13" s="5" t="s">
        <v>407</v>
      </c>
      <c r="C13" s="5" t="s">
        <v>407</v>
      </c>
      <c r="D13" t="b">
        <f t="shared" si="0"/>
        <v>0</v>
      </c>
      <c r="F13" s="7" t="s">
        <v>409</v>
      </c>
      <c r="G13" s="2">
        <f t="shared" si="1"/>
        <v>4</v>
      </c>
    </row>
    <row r="14" spans="1:8" x14ac:dyDescent="0.25">
      <c r="A14" t="s">
        <v>35</v>
      </c>
      <c r="B14" s="5" t="s">
        <v>85</v>
      </c>
      <c r="C14" s="5" t="s">
        <v>408</v>
      </c>
      <c r="D14" t="b">
        <f t="shared" si="0"/>
        <v>1</v>
      </c>
    </row>
    <row r="15" spans="1:8" x14ac:dyDescent="0.25">
      <c r="A15" t="s">
        <v>35</v>
      </c>
      <c r="B15" s="5" t="s">
        <v>410</v>
      </c>
      <c r="C15" s="5" t="s">
        <v>410</v>
      </c>
      <c r="D15" t="b">
        <f t="shared" si="0"/>
        <v>0</v>
      </c>
    </row>
    <row r="16" spans="1:8" x14ac:dyDescent="0.25">
      <c r="A16" t="s">
        <v>35</v>
      </c>
      <c r="B16" s="5" t="s">
        <v>411</v>
      </c>
      <c r="C16" s="5" t="s">
        <v>411</v>
      </c>
      <c r="D16" t="b">
        <f t="shared" si="0"/>
        <v>0</v>
      </c>
      <c r="F16" s="7"/>
      <c r="G16" s="2"/>
      <c r="H16" s="3"/>
    </row>
    <row r="17" spans="1:7" x14ac:dyDescent="0.25">
      <c r="A17" t="s">
        <v>35</v>
      </c>
      <c r="B17" s="5" t="s">
        <v>412</v>
      </c>
      <c r="C17" s="5" t="s">
        <v>412</v>
      </c>
      <c r="D17" t="b">
        <f t="shared" si="0"/>
        <v>0</v>
      </c>
    </row>
    <row r="18" spans="1:7" x14ac:dyDescent="0.25">
      <c r="A18" t="s">
        <v>35</v>
      </c>
      <c r="B18" s="5" t="s">
        <v>86</v>
      </c>
      <c r="C18" s="5" t="s">
        <v>413</v>
      </c>
      <c r="D18" t="b">
        <f t="shared" si="0"/>
        <v>1</v>
      </c>
      <c r="F18" s="4"/>
      <c r="G18" s="2"/>
    </row>
    <row r="19" spans="1:7" x14ac:dyDescent="0.25">
      <c r="A19" t="s">
        <v>35</v>
      </c>
      <c r="B19" s="5" t="s">
        <v>86</v>
      </c>
      <c r="C19" s="5" t="s">
        <v>414</v>
      </c>
      <c r="D19" t="b">
        <f t="shared" si="0"/>
        <v>1</v>
      </c>
    </row>
    <row r="20" spans="1:7" x14ac:dyDescent="0.25">
      <c r="A20" t="s">
        <v>35</v>
      </c>
      <c r="B20" s="5" t="s">
        <v>415</v>
      </c>
      <c r="C20" s="5" t="s">
        <v>415</v>
      </c>
      <c r="D20" t="b">
        <f t="shared" si="0"/>
        <v>0</v>
      </c>
    </row>
    <row r="21" spans="1:7" x14ac:dyDescent="0.25">
      <c r="A21" t="s">
        <v>35</v>
      </c>
      <c r="B21" s="5" t="s">
        <v>416</v>
      </c>
      <c r="C21" s="5" t="s">
        <v>416</v>
      </c>
      <c r="D21" t="b">
        <f t="shared" si="0"/>
        <v>0</v>
      </c>
    </row>
    <row r="22" spans="1:7" x14ac:dyDescent="0.25">
      <c r="A22" t="s">
        <v>35</v>
      </c>
      <c r="B22" s="5" t="s">
        <v>417</v>
      </c>
      <c r="C22" s="5" t="s">
        <v>417</v>
      </c>
      <c r="D22" t="b">
        <f t="shared" si="0"/>
        <v>0</v>
      </c>
    </row>
    <row r="23" spans="1:7" x14ac:dyDescent="0.25">
      <c r="A23" t="s">
        <v>35</v>
      </c>
      <c r="B23" s="5" t="s">
        <v>418</v>
      </c>
      <c r="C23" s="5" t="s">
        <v>418</v>
      </c>
      <c r="D23" t="b">
        <f t="shared" si="0"/>
        <v>0</v>
      </c>
    </row>
    <row r="24" spans="1:7" x14ac:dyDescent="0.25">
      <c r="A24" t="s">
        <v>35</v>
      </c>
      <c r="B24" s="5" t="s">
        <v>63</v>
      </c>
      <c r="C24" s="5" t="s">
        <v>63</v>
      </c>
      <c r="D24" t="b">
        <f t="shared" si="0"/>
        <v>0</v>
      </c>
    </row>
    <row r="25" spans="1:7" x14ac:dyDescent="0.25">
      <c r="A25" t="s">
        <v>35</v>
      </c>
      <c r="B25" s="5" t="s">
        <v>419</v>
      </c>
      <c r="C25" s="5" t="s">
        <v>420</v>
      </c>
      <c r="D25" t="b">
        <f t="shared" si="0"/>
        <v>1</v>
      </c>
    </row>
    <row r="26" spans="1:7" x14ac:dyDescent="0.25">
      <c r="A26" t="s">
        <v>35</v>
      </c>
      <c r="B26" s="5" t="s">
        <v>75</v>
      </c>
      <c r="C26" s="5" t="s">
        <v>75</v>
      </c>
      <c r="D26" t="b">
        <f t="shared" si="0"/>
        <v>0</v>
      </c>
    </row>
    <row r="27" spans="1:7" x14ac:dyDescent="0.25">
      <c r="A27" t="s">
        <v>35</v>
      </c>
      <c r="B27" s="5" t="s">
        <v>80</v>
      </c>
      <c r="C27" s="5" t="s">
        <v>80</v>
      </c>
      <c r="D27" t="b">
        <f t="shared" si="0"/>
        <v>0</v>
      </c>
    </row>
    <row r="28" spans="1:7" x14ac:dyDescent="0.25">
      <c r="A28" t="s">
        <v>35</v>
      </c>
      <c r="B28" s="5" t="s">
        <v>83</v>
      </c>
      <c r="C28" s="5" t="s">
        <v>83</v>
      </c>
      <c r="D28" t="b">
        <f t="shared" si="0"/>
        <v>0</v>
      </c>
    </row>
    <row r="29" spans="1:7" x14ac:dyDescent="0.25">
      <c r="A29" t="s">
        <v>35</v>
      </c>
      <c r="B29" s="5" t="s">
        <v>82</v>
      </c>
      <c r="C29" s="5" t="s">
        <v>82</v>
      </c>
      <c r="D29" t="b">
        <f t="shared" si="0"/>
        <v>0</v>
      </c>
    </row>
    <row r="30" spans="1:7" x14ac:dyDescent="0.25">
      <c r="A30" t="s">
        <v>35</v>
      </c>
      <c r="B30" s="5" t="s">
        <v>78</v>
      </c>
      <c r="C30" s="5" t="s">
        <v>78</v>
      </c>
      <c r="D30" t="b">
        <f t="shared" si="0"/>
        <v>0</v>
      </c>
    </row>
    <row r="31" spans="1:7" x14ac:dyDescent="0.25">
      <c r="A31" t="s">
        <v>35</v>
      </c>
      <c r="B31" s="5" t="s">
        <v>332</v>
      </c>
      <c r="C31" s="5" t="s">
        <v>332</v>
      </c>
      <c r="D31" t="b">
        <f t="shared" si="0"/>
        <v>0</v>
      </c>
    </row>
    <row r="32" spans="1:7" x14ac:dyDescent="0.25">
      <c r="A32" t="s">
        <v>35</v>
      </c>
      <c r="B32" s="5" t="s">
        <v>86</v>
      </c>
      <c r="C32" s="5" t="s">
        <v>86</v>
      </c>
      <c r="D32" t="b">
        <f t="shared" si="0"/>
        <v>0</v>
      </c>
    </row>
    <row r="33" spans="1:4" x14ac:dyDescent="0.25">
      <c r="A33" t="s">
        <v>35</v>
      </c>
      <c r="B33" s="5" t="s">
        <v>86</v>
      </c>
      <c r="C33" s="5" t="s">
        <v>86</v>
      </c>
      <c r="D33" t="b">
        <f t="shared" si="0"/>
        <v>0</v>
      </c>
    </row>
    <row r="34" spans="1:4" x14ac:dyDescent="0.25">
      <c r="A34" t="s">
        <v>35</v>
      </c>
      <c r="B34" s="5" t="s">
        <v>86</v>
      </c>
      <c r="C34" s="5" t="s">
        <v>86</v>
      </c>
      <c r="D34" t="b">
        <f t="shared" si="0"/>
        <v>0</v>
      </c>
    </row>
    <row r="35" spans="1:4" x14ac:dyDescent="0.25">
      <c r="A35" t="s">
        <v>35</v>
      </c>
      <c r="B35" s="5" t="s">
        <v>86</v>
      </c>
      <c r="C35" s="5" t="s">
        <v>86</v>
      </c>
      <c r="D35" t="b">
        <f t="shared" si="0"/>
        <v>0</v>
      </c>
    </row>
    <row r="36" spans="1:4" x14ac:dyDescent="0.25">
      <c r="A36" t="s">
        <v>35</v>
      </c>
      <c r="B36" s="5" t="s">
        <v>86</v>
      </c>
      <c r="C36" s="5" t="s">
        <v>86</v>
      </c>
      <c r="D36" t="b">
        <f t="shared" si="0"/>
        <v>0</v>
      </c>
    </row>
    <row r="37" spans="1:4" x14ac:dyDescent="0.25">
      <c r="A37" t="s">
        <v>35</v>
      </c>
      <c r="B37" s="5" t="s">
        <v>86</v>
      </c>
      <c r="C37" s="5" t="s">
        <v>86</v>
      </c>
      <c r="D37" t="b">
        <f t="shared" si="0"/>
        <v>0</v>
      </c>
    </row>
    <row r="38" spans="1:4" x14ac:dyDescent="0.25">
      <c r="A38" t="s">
        <v>35</v>
      </c>
      <c r="B38" s="5" t="s">
        <v>85</v>
      </c>
      <c r="C38" s="5" t="s">
        <v>85</v>
      </c>
      <c r="D38" t="b">
        <f t="shared" si="0"/>
        <v>0</v>
      </c>
    </row>
    <row r="39" spans="1:4" x14ac:dyDescent="0.25">
      <c r="A39" t="s">
        <v>35</v>
      </c>
      <c r="B39" s="5" t="s">
        <v>85</v>
      </c>
      <c r="C39" s="5" t="s">
        <v>85</v>
      </c>
      <c r="D39" t="b">
        <f t="shared" si="0"/>
        <v>0</v>
      </c>
    </row>
    <row r="40" spans="1:4" x14ac:dyDescent="0.25">
      <c r="A40" t="s">
        <v>35</v>
      </c>
      <c r="B40" s="5" t="s">
        <v>85</v>
      </c>
      <c r="C40" s="5" t="s">
        <v>85</v>
      </c>
      <c r="D40" t="b">
        <f t="shared" si="0"/>
        <v>0</v>
      </c>
    </row>
    <row r="41" spans="1:4" x14ac:dyDescent="0.25">
      <c r="A41" t="s">
        <v>35</v>
      </c>
      <c r="B41" s="5" t="s">
        <v>421</v>
      </c>
      <c r="C41" s="5" t="s">
        <v>421</v>
      </c>
      <c r="D41" t="b">
        <f t="shared" si="0"/>
        <v>0</v>
      </c>
    </row>
    <row r="42" spans="1:4" x14ac:dyDescent="0.25">
      <c r="A42" t="s">
        <v>41</v>
      </c>
      <c r="B42" s="5" t="s">
        <v>422</v>
      </c>
      <c r="C42" s="5" t="s">
        <v>422</v>
      </c>
      <c r="D42" t="b">
        <f t="shared" si="0"/>
        <v>0</v>
      </c>
    </row>
    <row r="43" spans="1:4" x14ac:dyDescent="0.25">
      <c r="A43" t="s">
        <v>41</v>
      </c>
      <c r="B43" s="5" t="s">
        <v>288</v>
      </c>
      <c r="C43" s="5" t="s">
        <v>288</v>
      </c>
      <c r="D43" t="b">
        <f t="shared" si="0"/>
        <v>0</v>
      </c>
    </row>
    <row r="44" spans="1:4" x14ac:dyDescent="0.25">
      <c r="A44" t="s">
        <v>41</v>
      </c>
      <c r="B44" s="5" t="s">
        <v>284</v>
      </c>
      <c r="C44" s="5" t="s">
        <v>284</v>
      </c>
      <c r="D44" t="b">
        <f t="shared" si="0"/>
        <v>0</v>
      </c>
    </row>
    <row r="45" spans="1:4" x14ac:dyDescent="0.25">
      <c r="A45" t="s">
        <v>41</v>
      </c>
      <c r="B45" s="5" t="s">
        <v>286</v>
      </c>
      <c r="C45" s="5" t="s">
        <v>286</v>
      </c>
      <c r="D45" t="b">
        <f t="shared" si="0"/>
        <v>0</v>
      </c>
    </row>
    <row r="46" spans="1:4" x14ac:dyDescent="0.25">
      <c r="A46" t="s">
        <v>41</v>
      </c>
      <c r="B46" s="5" t="s">
        <v>285</v>
      </c>
      <c r="C46" s="5" t="s">
        <v>285</v>
      </c>
      <c r="D46" t="b">
        <f t="shared" si="0"/>
        <v>0</v>
      </c>
    </row>
    <row r="47" spans="1:4" x14ac:dyDescent="0.25">
      <c r="A47" t="s">
        <v>41</v>
      </c>
      <c r="B47" s="5" t="s">
        <v>423</v>
      </c>
      <c r="C47" s="5" t="s">
        <v>423</v>
      </c>
      <c r="D47" t="b">
        <f t="shared" si="0"/>
        <v>0</v>
      </c>
    </row>
    <row r="48" spans="1:4" x14ac:dyDescent="0.25">
      <c r="A48" t="s">
        <v>41</v>
      </c>
      <c r="B48" s="5" t="s">
        <v>91</v>
      </c>
      <c r="C48" s="5" t="s">
        <v>91</v>
      </c>
      <c r="D48" t="b">
        <f t="shared" si="0"/>
        <v>0</v>
      </c>
    </row>
    <row r="49" spans="1:4" x14ac:dyDescent="0.25">
      <c r="A49" t="s">
        <v>41</v>
      </c>
      <c r="B49" s="5" t="s">
        <v>291</v>
      </c>
      <c r="C49" s="5" t="s">
        <v>291</v>
      </c>
      <c r="D49" t="b">
        <f t="shared" si="0"/>
        <v>0</v>
      </c>
    </row>
    <row r="50" spans="1:4" x14ac:dyDescent="0.25">
      <c r="A50" t="s">
        <v>41</v>
      </c>
      <c r="B50" s="5" t="s">
        <v>424</v>
      </c>
      <c r="C50" s="5" t="s">
        <v>424</v>
      </c>
      <c r="D50" t="b">
        <f t="shared" si="0"/>
        <v>0</v>
      </c>
    </row>
    <row r="51" spans="1:4" x14ac:dyDescent="0.25">
      <c r="A51" t="s">
        <v>41</v>
      </c>
      <c r="B51" s="5" t="s">
        <v>207</v>
      </c>
      <c r="C51" s="5" t="s">
        <v>207</v>
      </c>
      <c r="D51" t="b">
        <f t="shared" si="0"/>
        <v>0</v>
      </c>
    </row>
    <row r="52" spans="1:4" x14ac:dyDescent="0.25">
      <c r="A52" t="s">
        <v>41</v>
      </c>
      <c r="B52" s="5" t="s">
        <v>206</v>
      </c>
      <c r="C52" s="5" t="s">
        <v>206</v>
      </c>
      <c r="D52" t="b">
        <f t="shared" si="0"/>
        <v>0</v>
      </c>
    </row>
    <row r="53" spans="1:4" x14ac:dyDescent="0.25">
      <c r="A53" t="s">
        <v>41</v>
      </c>
      <c r="B53" s="5" t="s">
        <v>425</v>
      </c>
      <c r="C53" s="5" t="s">
        <v>425</v>
      </c>
      <c r="D53" t="b">
        <f t="shared" si="0"/>
        <v>0</v>
      </c>
    </row>
    <row r="54" spans="1:4" x14ac:dyDescent="0.25">
      <c r="A54" t="s">
        <v>41</v>
      </c>
      <c r="B54" s="5" t="s">
        <v>426</v>
      </c>
      <c r="C54" s="5" t="s">
        <v>426</v>
      </c>
      <c r="D54" t="b">
        <f t="shared" si="0"/>
        <v>0</v>
      </c>
    </row>
    <row r="55" spans="1:4" x14ac:dyDescent="0.25">
      <c r="A55" t="s">
        <v>41</v>
      </c>
      <c r="B55" s="5" t="s">
        <v>154</v>
      </c>
      <c r="C55" s="5" t="s">
        <v>154</v>
      </c>
      <c r="D55" t="b">
        <f t="shared" si="0"/>
        <v>0</v>
      </c>
    </row>
    <row r="56" spans="1:4" x14ac:dyDescent="0.25">
      <c r="A56" t="s">
        <v>41</v>
      </c>
      <c r="B56" s="5" t="s">
        <v>87</v>
      </c>
      <c r="C56" s="5" t="s">
        <v>87</v>
      </c>
      <c r="D56" t="b">
        <f t="shared" si="0"/>
        <v>0</v>
      </c>
    </row>
    <row r="57" spans="1:4" x14ac:dyDescent="0.25">
      <c r="A57" t="s">
        <v>41</v>
      </c>
      <c r="B57" s="5" t="s">
        <v>427</v>
      </c>
      <c r="C57" s="5" t="s">
        <v>428</v>
      </c>
      <c r="D57" t="b">
        <f t="shared" si="0"/>
        <v>1</v>
      </c>
    </row>
    <row r="58" spans="1:4" x14ac:dyDescent="0.25">
      <c r="A58" t="s">
        <v>41</v>
      </c>
      <c r="B58" s="5" t="s">
        <v>429</v>
      </c>
      <c r="C58" s="5" t="s">
        <v>429</v>
      </c>
      <c r="D58" t="b">
        <f t="shared" si="0"/>
        <v>0</v>
      </c>
    </row>
    <row r="59" spans="1:4" x14ac:dyDescent="0.25">
      <c r="A59" t="s">
        <v>68</v>
      </c>
      <c r="B59" s="5" t="s">
        <v>130</v>
      </c>
      <c r="C59" s="5" t="s">
        <v>130</v>
      </c>
      <c r="D59" t="b">
        <f t="shared" si="0"/>
        <v>0</v>
      </c>
    </row>
    <row r="60" spans="1:4" x14ac:dyDescent="0.25">
      <c r="A60" t="s">
        <v>68</v>
      </c>
      <c r="B60" s="5" t="s">
        <v>430</v>
      </c>
      <c r="C60" s="5" t="s">
        <v>430</v>
      </c>
      <c r="D60" t="b">
        <f t="shared" si="0"/>
        <v>0</v>
      </c>
    </row>
    <row r="61" spans="1:4" x14ac:dyDescent="0.25">
      <c r="A61" t="s">
        <v>68</v>
      </c>
      <c r="B61" s="5" t="s">
        <v>431</v>
      </c>
      <c r="C61" s="5" t="s">
        <v>431</v>
      </c>
      <c r="D61" t="b">
        <f t="shared" si="0"/>
        <v>0</v>
      </c>
    </row>
    <row r="62" spans="1:4" x14ac:dyDescent="0.25">
      <c r="A62" t="s">
        <v>68</v>
      </c>
      <c r="B62" s="5" t="s">
        <v>432</v>
      </c>
      <c r="C62" s="5" t="s">
        <v>432</v>
      </c>
      <c r="D62" t="b">
        <f t="shared" si="0"/>
        <v>0</v>
      </c>
    </row>
    <row r="63" spans="1:4" x14ac:dyDescent="0.25">
      <c r="A63" t="s">
        <v>68</v>
      </c>
      <c r="B63" s="5" t="s">
        <v>129</v>
      </c>
      <c r="C63" s="5" t="s">
        <v>129</v>
      </c>
      <c r="D63" t="b">
        <f t="shared" si="0"/>
        <v>0</v>
      </c>
    </row>
    <row r="64" spans="1:4" x14ac:dyDescent="0.25">
      <c r="A64" t="s">
        <v>68</v>
      </c>
      <c r="B64" s="5" t="s">
        <v>135</v>
      </c>
      <c r="C64" s="5" t="s">
        <v>135</v>
      </c>
      <c r="D64" t="b">
        <f t="shared" si="0"/>
        <v>0</v>
      </c>
    </row>
    <row r="65" spans="1:4" x14ac:dyDescent="0.25">
      <c r="A65" t="s">
        <v>68</v>
      </c>
      <c r="B65" s="5" t="s">
        <v>178</v>
      </c>
      <c r="C65" s="5" t="s">
        <v>178</v>
      </c>
      <c r="D65" t="b">
        <f t="shared" si="0"/>
        <v>0</v>
      </c>
    </row>
    <row r="66" spans="1:4" x14ac:dyDescent="0.25">
      <c r="A66" t="s">
        <v>68</v>
      </c>
      <c r="B66" s="5" t="s">
        <v>132</v>
      </c>
      <c r="C66" s="5" t="s">
        <v>132</v>
      </c>
      <c r="D66" t="b">
        <f t="shared" si="0"/>
        <v>0</v>
      </c>
    </row>
    <row r="67" spans="1:4" x14ac:dyDescent="0.25">
      <c r="A67" t="s">
        <v>409</v>
      </c>
      <c r="B67" s="5" t="s">
        <v>433</v>
      </c>
      <c r="C67" s="5" t="s">
        <v>433</v>
      </c>
      <c r="D67" t="b">
        <f t="shared" si="0"/>
        <v>0</v>
      </c>
    </row>
    <row r="68" spans="1:4" x14ac:dyDescent="0.25">
      <c r="A68" t="s">
        <v>409</v>
      </c>
      <c r="B68" s="5" t="s">
        <v>434</v>
      </c>
      <c r="C68" s="5" t="s">
        <v>434</v>
      </c>
      <c r="D68" t="b">
        <f t="shared" si="0"/>
        <v>0</v>
      </c>
    </row>
    <row r="69" spans="1:4" x14ac:dyDescent="0.25">
      <c r="A69" t="s">
        <v>409</v>
      </c>
      <c r="B69" s="5" t="s">
        <v>435</v>
      </c>
      <c r="C69" s="5" t="s">
        <v>435</v>
      </c>
      <c r="D69" t="b">
        <f t="shared" ref="D69:D102" si="2">B69&lt;&gt;C69</f>
        <v>0</v>
      </c>
    </row>
    <row r="70" spans="1:4" x14ac:dyDescent="0.25">
      <c r="A70" t="s">
        <v>409</v>
      </c>
      <c r="B70" s="5" t="s">
        <v>436</v>
      </c>
      <c r="C70" s="5" t="s">
        <v>436</v>
      </c>
      <c r="D70" t="b">
        <f t="shared" si="2"/>
        <v>0</v>
      </c>
    </row>
    <row r="71" spans="1:4" x14ac:dyDescent="0.25">
      <c r="A71" t="s">
        <v>335</v>
      </c>
      <c r="B71" s="5" t="s">
        <v>437</v>
      </c>
      <c r="C71" s="5" t="s">
        <v>437</v>
      </c>
      <c r="D71" t="b">
        <f t="shared" si="2"/>
        <v>0</v>
      </c>
    </row>
    <row r="72" spans="1:4" x14ac:dyDescent="0.25">
      <c r="A72" t="s">
        <v>335</v>
      </c>
      <c r="B72" s="5" t="s">
        <v>438</v>
      </c>
      <c r="C72" s="5" t="s">
        <v>439</v>
      </c>
      <c r="D72" t="b">
        <f t="shared" si="2"/>
        <v>1</v>
      </c>
    </row>
    <row r="73" spans="1:4" x14ac:dyDescent="0.25">
      <c r="A73" t="s">
        <v>335</v>
      </c>
      <c r="B73" s="5" t="s">
        <v>440</v>
      </c>
      <c r="C73" s="5" t="s">
        <v>440</v>
      </c>
      <c r="D73" t="b">
        <f t="shared" si="2"/>
        <v>0</v>
      </c>
    </row>
    <row r="74" spans="1:4" x14ac:dyDescent="0.25">
      <c r="A74" t="s">
        <v>335</v>
      </c>
      <c r="B74" s="5" t="s">
        <v>441</v>
      </c>
      <c r="C74" s="5" t="s">
        <v>441</v>
      </c>
      <c r="D74" t="b">
        <f t="shared" si="2"/>
        <v>0</v>
      </c>
    </row>
    <row r="75" spans="1:4" x14ac:dyDescent="0.25">
      <c r="A75" t="s">
        <v>335</v>
      </c>
      <c r="B75" s="5" t="s">
        <v>442</v>
      </c>
      <c r="C75" s="5" t="s">
        <v>442</v>
      </c>
      <c r="D75" t="b">
        <f t="shared" si="2"/>
        <v>0</v>
      </c>
    </row>
    <row r="76" spans="1:4" x14ac:dyDescent="0.25">
      <c r="A76" t="s">
        <v>335</v>
      </c>
      <c r="B76" s="5" t="s">
        <v>443</v>
      </c>
      <c r="C76" s="5" t="s">
        <v>443</v>
      </c>
      <c r="D76" t="b">
        <f t="shared" si="2"/>
        <v>0</v>
      </c>
    </row>
    <row r="77" spans="1:4" x14ac:dyDescent="0.25">
      <c r="A77" t="s">
        <v>65</v>
      </c>
      <c r="B77" s="5" t="s">
        <v>444</v>
      </c>
      <c r="C77" s="5" t="s">
        <v>444</v>
      </c>
      <c r="D77" t="b">
        <f t="shared" si="2"/>
        <v>0</v>
      </c>
    </row>
    <row r="78" spans="1:4" x14ac:dyDescent="0.25">
      <c r="A78" t="s">
        <v>65</v>
      </c>
      <c r="B78" s="5" t="s">
        <v>445</v>
      </c>
      <c r="C78" s="5" t="s">
        <v>1618</v>
      </c>
      <c r="D78" t="b">
        <f t="shared" si="2"/>
        <v>1</v>
      </c>
    </row>
    <row r="79" spans="1:4" x14ac:dyDescent="0.25">
      <c r="A79" t="s">
        <v>65</v>
      </c>
      <c r="B79" s="5" t="s">
        <v>446</v>
      </c>
      <c r="C79" s="5" t="s">
        <v>446</v>
      </c>
      <c r="D79" t="b">
        <f t="shared" si="2"/>
        <v>0</v>
      </c>
    </row>
    <row r="80" spans="1:4" x14ac:dyDescent="0.25">
      <c r="A80" t="s">
        <v>65</v>
      </c>
      <c r="B80" s="5" t="s">
        <v>447</v>
      </c>
      <c r="C80" s="5" t="s">
        <v>1750</v>
      </c>
      <c r="D80" t="b">
        <f t="shared" si="2"/>
        <v>1</v>
      </c>
    </row>
    <row r="81" spans="1:4" x14ac:dyDescent="0.25">
      <c r="A81" t="s">
        <v>65</v>
      </c>
      <c r="B81" s="5" t="s">
        <v>448</v>
      </c>
      <c r="C81" s="5" t="s">
        <v>448</v>
      </c>
      <c r="D81" t="b">
        <f t="shared" si="2"/>
        <v>0</v>
      </c>
    </row>
    <row r="82" spans="1:4" x14ac:dyDescent="0.25">
      <c r="A82" t="s">
        <v>65</v>
      </c>
      <c r="B82" s="5" t="s">
        <v>449</v>
      </c>
      <c r="C82" s="5" t="s">
        <v>449</v>
      </c>
      <c r="D82" t="b">
        <f t="shared" si="2"/>
        <v>0</v>
      </c>
    </row>
    <row r="83" spans="1:4" x14ac:dyDescent="0.25">
      <c r="A83" t="s">
        <v>65</v>
      </c>
      <c r="B83" s="5" t="s">
        <v>450</v>
      </c>
      <c r="C83" s="5" t="s">
        <v>2095</v>
      </c>
      <c r="D83" t="b">
        <f t="shared" si="2"/>
        <v>1</v>
      </c>
    </row>
    <row r="84" spans="1:4" x14ac:dyDescent="0.25">
      <c r="A84" t="s">
        <v>65</v>
      </c>
      <c r="B84" s="5" t="s">
        <v>451</v>
      </c>
      <c r="C84" s="5" t="s">
        <v>451</v>
      </c>
      <c r="D84" t="b">
        <f t="shared" si="2"/>
        <v>0</v>
      </c>
    </row>
    <row r="85" spans="1:4" x14ac:dyDescent="0.25">
      <c r="A85" t="s">
        <v>65</v>
      </c>
      <c r="B85" s="5" t="s">
        <v>452</v>
      </c>
      <c r="C85" s="5" t="s">
        <v>452</v>
      </c>
      <c r="D85" t="b">
        <f t="shared" si="2"/>
        <v>0</v>
      </c>
    </row>
    <row r="86" spans="1:4" x14ac:dyDescent="0.25">
      <c r="A86" t="s">
        <v>65</v>
      </c>
      <c r="B86" s="5" t="s">
        <v>453</v>
      </c>
      <c r="C86" s="5" t="s">
        <v>454</v>
      </c>
      <c r="D86" t="b">
        <f t="shared" si="2"/>
        <v>1</v>
      </c>
    </row>
    <row r="87" spans="1:4" x14ac:dyDescent="0.25">
      <c r="A87" t="s">
        <v>65</v>
      </c>
      <c r="B87" s="5" t="s">
        <v>455</v>
      </c>
      <c r="C87" s="5" t="s">
        <v>455</v>
      </c>
      <c r="D87" t="b">
        <f t="shared" si="2"/>
        <v>0</v>
      </c>
    </row>
    <row r="88" spans="1:4" x14ac:dyDescent="0.25">
      <c r="A88" t="s">
        <v>65</v>
      </c>
      <c r="B88" s="5" t="s">
        <v>456</v>
      </c>
      <c r="C88" s="5" t="s">
        <v>456</v>
      </c>
      <c r="D88" t="b">
        <f t="shared" si="2"/>
        <v>0</v>
      </c>
    </row>
    <row r="89" spans="1:4" x14ac:dyDescent="0.25">
      <c r="A89" t="s">
        <v>65</v>
      </c>
      <c r="B89" s="5" t="s">
        <v>457</v>
      </c>
      <c r="C89" s="5" t="s">
        <v>457</v>
      </c>
      <c r="D89" t="b">
        <f t="shared" si="2"/>
        <v>0</v>
      </c>
    </row>
    <row r="90" spans="1:4" x14ac:dyDescent="0.25">
      <c r="A90" t="s">
        <v>65</v>
      </c>
      <c r="B90" s="5" t="s">
        <v>124</v>
      </c>
      <c r="C90" s="5" t="s">
        <v>124</v>
      </c>
      <c r="D90" t="b">
        <f t="shared" si="2"/>
        <v>0</v>
      </c>
    </row>
    <row r="91" spans="1:4" x14ac:dyDescent="0.25">
      <c r="A91" t="s">
        <v>65</v>
      </c>
      <c r="B91" s="5" t="s">
        <v>458</v>
      </c>
      <c r="C91" s="5" t="s">
        <v>458</v>
      </c>
      <c r="D91" t="b">
        <f t="shared" si="2"/>
        <v>0</v>
      </c>
    </row>
    <row r="92" spans="1:4" x14ac:dyDescent="0.25">
      <c r="A92" t="s">
        <v>65</v>
      </c>
      <c r="B92" s="5" t="s">
        <v>459</v>
      </c>
      <c r="C92" s="5" t="s">
        <v>459</v>
      </c>
      <c r="D92" t="b">
        <f t="shared" si="2"/>
        <v>0</v>
      </c>
    </row>
    <row r="93" spans="1:4" x14ac:dyDescent="0.25">
      <c r="A93" t="s">
        <v>65</v>
      </c>
      <c r="B93" s="5" t="s">
        <v>460</v>
      </c>
      <c r="C93" s="5" t="s">
        <v>461</v>
      </c>
      <c r="D93" t="b">
        <f t="shared" si="2"/>
        <v>1</v>
      </c>
    </row>
    <row r="94" spans="1:4" x14ac:dyDescent="0.25">
      <c r="A94" t="s">
        <v>339</v>
      </c>
      <c r="B94" s="5" t="s">
        <v>462</v>
      </c>
      <c r="C94" s="5" t="s">
        <v>462</v>
      </c>
      <c r="D94" t="b">
        <f t="shared" si="2"/>
        <v>0</v>
      </c>
    </row>
    <row r="95" spans="1:4" x14ac:dyDescent="0.25">
      <c r="A95" t="s">
        <v>339</v>
      </c>
      <c r="B95" s="5" t="s">
        <v>463</v>
      </c>
      <c r="C95" s="5" t="s">
        <v>463</v>
      </c>
      <c r="D95" t="b">
        <f t="shared" si="2"/>
        <v>0</v>
      </c>
    </row>
    <row r="96" spans="1:4" x14ac:dyDescent="0.25">
      <c r="A96" t="s">
        <v>339</v>
      </c>
      <c r="B96" s="5" t="s">
        <v>464</v>
      </c>
      <c r="C96" s="5" t="s">
        <v>464</v>
      </c>
      <c r="D96" t="b">
        <f t="shared" si="2"/>
        <v>0</v>
      </c>
    </row>
    <row r="97" spans="1:4" x14ac:dyDescent="0.25">
      <c r="A97" t="s">
        <v>339</v>
      </c>
      <c r="B97" s="5" t="s">
        <v>465</v>
      </c>
      <c r="C97" s="5" t="s">
        <v>465</v>
      </c>
      <c r="D97" t="b">
        <f t="shared" si="2"/>
        <v>0</v>
      </c>
    </row>
    <row r="98" spans="1:4" x14ac:dyDescent="0.25">
      <c r="A98" t="s">
        <v>339</v>
      </c>
      <c r="B98" s="5" t="s">
        <v>466</v>
      </c>
      <c r="C98" s="5" t="s">
        <v>466</v>
      </c>
      <c r="D98" t="b">
        <f t="shared" si="2"/>
        <v>0</v>
      </c>
    </row>
    <row r="99" spans="1:4" x14ac:dyDescent="0.25">
      <c r="A99" t="s">
        <v>339</v>
      </c>
      <c r="B99" s="5" t="s">
        <v>467</v>
      </c>
      <c r="C99" s="5" t="s">
        <v>467</v>
      </c>
      <c r="D99" t="b">
        <f t="shared" si="2"/>
        <v>0</v>
      </c>
    </row>
    <row r="100" spans="1:4" x14ac:dyDescent="0.25">
      <c r="A100" t="s">
        <v>339</v>
      </c>
      <c r="B100" s="5" t="s">
        <v>468</v>
      </c>
      <c r="C100" s="5" t="s">
        <v>469</v>
      </c>
      <c r="D100" t="b">
        <f t="shared" si="2"/>
        <v>1</v>
      </c>
    </row>
    <row r="101" spans="1:4" x14ac:dyDescent="0.25">
      <c r="A101" t="s">
        <v>339</v>
      </c>
      <c r="B101" s="5" t="s">
        <v>470</v>
      </c>
      <c r="C101" s="5" t="s">
        <v>470</v>
      </c>
      <c r="D101" t="b">
        <f t="shared" si="2"/>
        <v>0</v>
      </c>
    </row>
    <row r="102" spans="1:4" x14ac:dyDescent="0.25">
      <c r="A102" t="s">
        <v>339</v>
      </c>
      <c r="B102" s="5" t="s">
        <v>471</v>
      </c>
      <c r="C102" s="5" t="s">
        <v>471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E0130468-73A4-4388-8AA2-176B7FAE94F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C2E27606-1E05-448E-91B3-1831B82E20B2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8C8C-2C41-463C-9251-9D1347828DFA}">
  <sheetPr codeName="Planilha12"/>
  <dimension ref="A1:G102"/>
  <sheetViews>
    <sheetView workbookViewId="0">
      <selection activeCell="B58" sqref="B5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472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6</v>
      </c>
    </row>
    <row r="3" spans="1:7" x14ac:dyDescent="0.25">
      <c r="A3" s="5" t="s">
        <v>2031</v>
      </c>
      <c r="B3" s="5" t="s">
        <v>2055</v>
      </c>
      <c r="C3" s="5" t="s">
        <v>2055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s="5" t="s">
        <v>2031</v>
      </c>
      <c r="B4" s="5" t="s">
        <v>2064</v>
      </c>
      <c r="C4" s="5" t="s">
        <v>2064</v>
      </c>
      <c r="D4" t="b">
        <f>B4&lt;&gt;C4</f>
        <v>0</v>
      </c>
    </row>
    <row r="5" spans="1:7" x14ac:dyDescent="0.25">
      <c r="A5" t="s">
        <v>35</v>
      </c>
      <c r="B5" s="5" t="s">
        <v>58</v>
      </c>
      <c r="C5" s="5" t="s">
        <v>58</v>
      </c>
      <c r="D5" t="b">
        <f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473</v>
      </c>
      <c r="C6" s="5" t="s">
        <v>473</v>
      </c>
      <c r="D6" t="b">
        <f t="shared" ref="D6:D69" si="0">B6&lt;&gt;C6</f>
        <v>0</v>
      </c>
      <c r="F6" s="7" t="s">
        <v>35</v>
      </c>
      <c r="G6" s="2">
        <f t="shared" ref="G6:G16" si="1">COUNTIF(A:A,F6)</f>
        <v>32</v>
      </c>
    </row>
    <row r="7" spans="1:7" x14ac:dyDescent="0.25">
      <c r="A7" t="s">
        <v>35</v>
      </c>
      <c r="B7" s="5" t="s">
        <v>474</v>
      </c>
      <c r="C7" s="5" t="s">
        <v>474</v>
      </c>
      <c r="D7" t="b">
        <f t="shared" si="0"/>
        <v>0</v>
      </c>
      <c r="F7" s="3" t="s">
        <v>2031</v>
      </c>
      <c r="G7" s="2">
        <f t="shared" si="1"/>
        <v>2</v>
      </c>
    </row>
    <row r="8" spans="1:7" x14ac:dyDescent="0.25">
      <c r="A8" t="s">
        <v>35</v>
      </c>
      <c r="B8" s="5" t="s">
        <v>85</v>
      </c>
      <c r="C8" s="5" t="s">
        <v>338</v>
      </c>
      <c r="D8" t="b">
        <f t="shared" si="0"/>
        <v>1</v>
      </c>
      <c r="F8" s="7" t="s">
        <v>66</v>
      </c>
      <c r="G8" s="2">
        <f t="shared" si="1"/>
        <v>2</v>
      </c>
    </row>
    <row r="9" spans="1:7" x14ac:dyDescent="0.25">
      <c r="A9" t="s">
        <v>35</v>
      </c>
      <c r="B9" s="5" t="s">
        <v>475</v>
      </c>
      <c r="C9" s="5" t="s">
        <v>475</v>
      </c>
      <c r="D9" t="b">
        <f t="shared" si="0"/>
        <v>0</v>
      </c>
      <c r="F9" s="7" t="s">
        <v>197</v>
      </c>
      <c r="G9" s="2">
        <f t="shared" si="1"/>
        <v>2</v>
      </c>
    </row>
    <row r="10" spans="1:7" x14ac:dyDescent="0.25">
      <c r="A10" t="s">
        <v>35</v>
      </c>
      <c r="B10" s="5" t="s">
        <v>67</v>
      </c>
      <c r="C10" s="5" t="s">
        <v>67</v>
      </c>
      <c r="D10" t="b">
        <f t="shared" si="0"/>
        <v>0</v>
      </c>
      <c r="F10" s="7" t="s">
        <v>42</v>
      </c>
      <c r="G10" s="2">
        <f t="shared" si="1"/>
        <v>6</v>
      </c>
    </row>
    <row r="11" spans="1:7" x14ac:dyDescent="0.25">
      <c r="A11" t="s">
        <v>35</v>
      </c>
      <c r="B11" s="5" t="s">
        <v>40</v>
      </c>
      <c r="C11" s="5" t="s">
        <v>40</v>
      </c>
      <c r="D11" t="b">
        <f t="shared" si="0"/>
        <v>0</v>
      </c>
      <c r="F11" s="7" t="s">
        <v>68</v>
      </c>
      <c r="G11" s="2">
        <f t="shared" si="1"/>
        <v>5</v>
      </c>
    </row>
    <row r="12" spans="1:7" x14ac:dyDescent="0.25">
      <c r="A12" t="s">
        <v>35</v>
      </c>
      <c r="B12" s="5" t="s">
        <v>145</v>
      </c>
      <c r="C12" s="5" t="s">
        <v>145</v>
      </c>
      <c r="D12" t="b">
        <f t="shared" si="0"/>
        <v>0</v>
      </c>
      <c r="F12" s="7" t="s">
        <v>271</v>
      </c>
      <c r="G12" s="2">
        <f t="shared" si="1"/>
        <v>13</v>
      </c>
    </row>
    <row r="13" spans="1:7" x14ac:dyDescent="0.25">
      <c r="A13" t="s">
        <v>35</v>
      </c>
      <c r="B13" s="5" t="s">
        <v>476</v>
      </c>
      <c r="C13" s="5" t="s">
        <v>476</v>
      </c>
      <c r="D13" t="b">
        <f t="shared" si="0"/>
        <v>0</v>
      </c>
      <c r="F13" s="7" t="s">
        <v>479</v>
      </c>
      <c r="G13" s="2">
        <f t="shared" si="1"/>
        <v>7</v>
      </c>
    </row>
    <row r="14" spans="1:7" x14ac:dyDescent="0.25">
      <c r="A14" t="s">
        <v>35</v>
      </c>
      <c r="B14" s="5" t="s">
        <v>477</v>
      </c>
      <c r="C14" s="5" t="s">
        <v>477</v>
      </c>
      <c r="D14" t="b">
        <f t="shared" si="0"/>
        <v>0</v>
      </c>
      <c r="F14" s="7" t="s">
        <v>41</v>
      </c>
      <c r="G14" s="2">
        <f t="shared" si="1"/>
        <v>25</v>
      </c>
    </row>
    <row r="15" spans="1:7" x14ac:dyDescent="0.25">
      <c r="A15" t="s">
        <v>35</v>
      </c>
      <c r="B15" s="5" t="s">
        <v>478</v>
      </c>
      <c r="C15" s="5" t="s">
        <v>71</v>
      </c>
      <c r="D15" t="b">
        <f t="shared" si="0"/>
        <v>1</v>
      </c>
      <c r="F15" s="7" t="s">
        <v>482</v>
      </c>
      <c r="G15" s="2">
        <f t="shared" si="1"/>
        <v>2</v>
      </c>
    </row>
    <row r="16" spans="1:7" x14ac:dyDescent="0.25">
      <c r="A16" t="s">
        <v>35</v>
      </c>
      <c r="B16" s="5" t="s">
        <v>480</v>
      </c>
      <c r="C16" s="5" t="s">
        <v>480</v>
      </c>
      <c r="D16" t="b">
        <f t="shared" si="0"/>
        <v>0</v>
      </c>
      <c r="F16" s="3" t="s">
        <v>484</v>
      </c>
      <c r="G16" s="2">
        <f t="shared" si="1"/>
        <v>4</v>
      </c>
    </row>
    <row r="17" spans="1:7" x14ac:dyDescent="0.25">
      <c r="A17" t="s">
        <v>35</v>
      </c>
      <c r="B17" s="5" t="s">
        <v>481</v>
      </c>
      <c r="C17" s="5" t="s">
        <v>481</v>
      </c>
      <c r="D17" t="b">
        <f t="shared" si="0"/>
        <v>0</v>
      </c>
    </row>
    <row r="18" spans="1:7" x14ac:dyDescent="0.25">
      <c r="A18" t="s">
        <v>35</v>
      </c>
      <c r="B18" s="5" t="s">
        <v>483</v>
      </c>
      <c r="C18" s="5" t="s">
        <v>483</v>
      </c>
      <c r="D18" t="b">
        <f t="shared" si="0"/>
        <v>0</v>
      </c>
    </row>
    <row r="19" spans="1:7" x14ac:dyDescent="0.25">
      <c r="A19" t="s">
        <v>35</v>
      </c>
      <c r="B19" s="5" t="s">
        <v>272</v>
      </c>
      <c r="C19" s="5" t="s">
        <v>272</v>
      </c>
      <c r="D19" t="b">
        <f t="shared" si="0"/>
        <v>0</v>
      </c>
      <c r="F19" s="1"/>
      <c r="G19" s="2"/>
    </row>
    <row r="20" spans="1:7" x14ac:dyDescent="0.25">
      <c r="A20" t="s">
        <v>35</v>
      </c>
      <c r="B20" s="5" t="s">
        <v>485</v>
      </c>
      <c r="C20" s="5" t="s">
        <v>485</v>
      </c>
      <c r="D20" t="b">
        <f t="shared" si="0"/>
        <v>0</v>
      </c>
    </row>
    <row r="21" spans="1:7" x14ac:dyDescent="0.25">
      <c r="A21" t="s">
        <v>35</v>
      </c>
      <c r="B21" s="5" t="s">
        <v>486</v>
      </c>
      <c r="C21" s="5" t="s">
        <v>486</v>
      </c>
      <c r="D21" t="b">
        <f t="shared" si="0"/>
        <v>0</v>
      </c>
    </row>
    <row r="22" spans="1:7" x14ac:dyDescent="0.25">
      <c r="A22" t="s">
        <v>35</v>
      </c>
      <c r="B22" s="5" t="s">
        <v>84</v>
      </c>
      <c r="C22" s="5" t="s">
        <v>1623</v>
      </c>
      <c r="D22" t="b">
        <f t="shared" si="0"/>
        <v>1</v>
      </c>
    </row>
    <row r="23" spans="1:7" x14ac:dyDescent="0.25">
      <c r="A23" t="s">
        <v>35</v>
      </c>
      <c r="B23" s="5" t="s">
        <v>86</v>
      </c>
      <c r="C23" s="5" t="s">
        <v>1934</v>
      </c>
      <c r="D23" t="b">
        <f t="shared" si="0"/>
        <v>1</v>
      </c>
    </row>
    <row r="24" spans="1:7" x14ac:dyDescent="0.25">
      <c r="A24" t="s">
        <v>35</v>
      </c>
      <c r="B24" s="5" t="s">
        <v>86</v>
      </c>
      <c r="C24" s="5" t="s">
        <v>86</v>
      </c>
      <c r="D24" t="b">
        <f t="shared" si="0"/>
        <v>0</v>
      </c>
    </row>
    <row r="25" spans="1:7" x14ac:dyDescent="0.25">
      <c r="A25" t="s">
        <v>35</v>
      </c>
      <c r="B25" s="5" t="s">
        <v>86</v>
      </c>
      <c r="C25" s="5" t="s">
        <v>86</v>
      </c>
      <c r="D25" t="b">
        <f t="shared" si="0"/>
        <v>0</v>
      </c>
    </row>
    <row r="26" spans="1:7" x14ac:dyDescent="0.25">
      <c r="A26" t="s">
        <v>35</v>
      </c>
      <c r="B26" s="5" t="s">
        <v>86</v>
      </c>
      <c r="C26" s="5" t="s">
        <v>86</v>
      </c>
      <c r="D26" t="b">
        <f t="shared" si="0"/>
        <v>0</v>
      </c>
    </row>
    <row r="27" spans="1:7" x14ac:dyDescent="0.25">
      <c r="A27" t="s">
        <v>35</v>
      </c>
      <c r="B27" s="5" t="s">
        <v>86</v>
      </c>
      <c r="C27" s="5" t="s">
        <v>86</v>
      </c>
      <c r="D27" t="b">
        <f t="shared" si="0"/>
        <v>0</v>
      </c>
    </row>
    <row r="28" spans="1:7" x14ac:dyDescent="0.25">
      <c r="A28" t="s">
        <v>35</v>
      </c>
      <c r="B28" s="5" t="s">
        <v>86</v>
      </c>
      <c r="C28" s="5" t="s">
        <v>86</v>
      </c>
      <c r="D28" t="b">
        <f t="shared" si="0"/>
        <v>0</v>
      </c>
    </row>
    <row r="29" spans="1:7" x14ac:dyDescent="0.25">
      <c r="A29" t="s">
        <v>35</v>
      </c>
      <c r="B29" s="5" t="s">
        <v>86</v>
      </c>
      <c r="C29" s="5" t="s">
        <v>86</v>
      </c>
      <c r="D29" t="b">
        <f t="shared" si="0"/>
        <v>0</v>
      </c>
    </row>
    <row r="30" spans="1:7" x14ac:dyDescent="0.25">
      <c r="A30" t="s">
        <v>35</v>
      </c>
      <c r="B30" s="5" t="s">
        <v>86</v>
      </c>
      <c r="C30" s="5" t="s">
        <v>86</v>
      </c>
      <c r="D30" t="b">
        <f t="shared" si="0"/>
        <v>0</v>
      </c>
    </row>
    <row r="31" spans="1:7" x14ac:dyDescent="0.25">
      <c r="A31" t="s">
        <v>35</v>
      </c>
      <c r="B31" s="5" t="s">
        <v>84</v>
      </c>
      <c r="C31" s="5" t="s">
        <v>84</v>
      </c>
      <c r="D31" t="b">
        <f t="shared" si="0"/>
        <v>0</v>
      </c>
    </row>
    <row r="32" spans="1:7" x14ac:dyDescent="0.25">
      <c r="A32" t="s">
        <v>35</v>
      </c>
      <c r="B32" s="5" t="s">
        <v>84</v>
      </c>
      <c r="C32" s="5" t="s">
        <v>84</v>
      </c>
      <c r="D32" t="b">
        <f t="shared" si="0"/>
        <v>0</v>
      </c>
    </row>
    <row r="33" spans="1:4" x14ac:dyDescent="0.25">
      <c r="A33" t="s">
        <v>35</v>
      </c>
      <c r="B33" s="5" t="s">
        <v>84</v>
      </c>
      <c r="C33" s="5" t="s">
        <v>84</v>
      </c>
      <c r="D33" t="b">
        <f t="shared" si="0"/>
        <v>0</v>
      </c>
    </row>
    <row r="34" spans="1:4" x14ac:dyDescent="0.25">
      <c r="A34" t="s">
        <v>35</v>
      </c>
      <c r="B34" s="5" t="s">
        <v>85</v>
      </c>
      <c r="C34" s="5" t="s">
        <v>85</v>
      </c>
      <c r="D34" t="b">
        <f t="shared" si="0"/>
        <v>0</v>
      </c>
    </row>
    <row r="35" spans="1:4" x14ac:dyDescent="0.25">
      <c r="A35" t="s">
        <v>35</v>
      </c>
      <c r="B35" s="5" t="s">
        <v>85</v>
      </c>
      <c r="C35" s="5" t="s">
        <v>85</v>
      </c>
      <c r="D35" t="b">
        <f t="shared" si="0"/>
        <v>0</v>
      </c>
    </row>
    <row r="36" spans="1:4" x14ac:dyDescent="0.25">
      <c r="A36" t="s">
        <v>35</v>
      </c>
      <c r="B36" s="5" t="s">
        <v>85</v>
      </c>
      <c r="C36" s="5" t="s">
        <v>85</v>
      </c>
      <c r="D36" t="b">
        <f t="shared" si="0"/>
        <v>0</v>
      </c>
    </row>
    <row r="37" spans="1:4" x14ac:dyDescent="0.25">
      <c r="A37" t="s">
        <v>41</v>
      </c>
      <c r="B37" s="5" t="s">
        <v>487</v>
      </c>
      <c r="C37" s="5" t="s">
        <v>487</v>
      </c>
      <c r="D37" t="b">
        <f t="shared" si="0"/>
        <v>0</v>
      </c>
    </row>
    <row r="38" spans="1:4" x14ac:dyDescent="0.25">
      <c r="A38" t="s">
        <v>41</v>
      </c>
      <c r="B38" s="5" t="s">
        <v>488</v>
      </c>
      <c r="C38" s="5" t="s">
        <v>488</v>
      </c>
      <c r="D38" t="b">
        <f t="shared" si="0"/>
        <v>0</v>
      </c>
    </row>
    <row r="39" spans="1:4" x14ac:dyDescent="0.25">
      <c r="A39" t="s">
        <v>41</v>
      </c>
      <c r="B39" s="5" t="s">
        <v>489</v>
      </c>
      <c r="C39" s="5" t="s">
        <v>489</v>
      </c>
      <c r="D39" t="b">
        <f t="shared" si="0"/>
        <v>0</v>
      </c>
    </row>
    <row r="40" spans="1:4" x14ac:dyDescent="0.25">
      <c r="A40" t="s">
        <v>41</v>
      </c>
      <c r="B40" s="5" t="s">
        <v>490</v>
      </c>
      <c r="C40" s="5" t="s">
        <v>490</v>
      </c>
      <c r="D40" t="b">
        <f t="shared" si="0"/>
        <v>0</v>
      </c>
    </row>
    <row r="41" spans="1:4" x14ac:dyDescent="0.25">
      <c r="A41" t="s">
        <v>41</v>
      </c>
      <c r="B41" s="5" t="s">
        <v>491</v>
      </c>
      <c r="C41" s="5" t="s">
        <v>491</v>
      </c>
      <c r="D41" t="b">
        <f t="shared" si="0"/>
        <v>0</v>
      </c>
    </row>
    <row r="42" spans="1:4" x14ac:dyDescent="0.25">
      <c r="A42" t="s">
        <v>41</v>
      </c>
      <c r="B42" s="5" t="s">
        <v>492</v>
      </c>
      <c r="C42" s="5" t="s">
        <v>492</v>
      </c>
      <c r="D42" t="b">
        <f t="shared" si="0"/>
        <v>0</v>
      </c>
    </row>
    <row r="43" spans="1:4" x14ac:dyDescent="0.25">
      <c r="A43" t="s">
        <v>41</v>
      </c>
      <c r="B43" s="5" t="s">
        <v>285</v>
      </c>
      <c r="C43" s="5" t="s">
        <v>285</v>
      </c>
      <c r="D43" t="b">
        <f t="shared" si="0"/>
        <v>0</v>
      </c>
    </row>
    <row r="44" spans="1:4" x14ac:dyDescent="0.25">
      <c r="A44" t="s">
        <v>41</v>
      </c>
      <c r="B44" s="5" t="s">
        <v>423</v>
      </c>
      <c r="C44" s="5" t="s">
        <v>423</v>
      </c>
      <c r="D44" t="b">
        <f t="shared" si="0"/>
        <v>0</v>
      </c>
    </row>
    <row r="45" spans="1:4" x14ac:dyDescent="0.25">
      <c r="A45" t="s">
        <v>41</v>
      </c>
      <c r="B45" s="5" t="s">
        <v>284</v>
      </c>
      <c r="C45" s="5" t="s">
        <v>284</v>
      </c>
      <c r="D45" t="b">
        <f t="shared" si="0"/>
        <v>0</v>
      </c>
    </row>
    <row r="46" spans="1:4" x14ac:dyDescent="0.25">
      <c r="A46" t="s">
        <v>41</v>
      </c>
      <c r="B46" s="5" t="s">
        <v>493</v>
      </c>
      <c r="C46" s="5" t="s">
        <v>493</v>
      </c>
      <c r="D46" t="b">
        <f t="shared" si="0"/>
        <v>0</v>
      </c>
    </row>
    <row r="47" spans="1:4" x14ac:dyDescent="0.25">
      <c r="A47" t="s">
        <v>41</v>
      </c>
      <c r="B47" s="5" t="s">
        <v>494</v>
      </c>
      <c r="C47" s="5" t="s">
        <v>494</v>
      </c>
      <c r="D47" t="b">
        <f t="shared" si="0"/>
        <v>0</v>
      </c>
    </row>
    <row r="48" spans="1:4" x14ac:dyDescent="0.25">
      <c r="A48" t="s">
        <v>41</v>
      </c>
      <c r="B48" s="5" t="s">
        <v>495</v>
      </c>
      <c r="C48" s="5" t="s">
        <v>495</v>
      </c>
      <c r="D48" t="b">
        <f t="shared" si="0"/>
        <v>0</v>
      </c>
    </row>
    <row r="49" spans="1:4" x14ac:dyDescent="0.25">
      <c r="A49" t="s">
        <v>41</v>
      </c>
      <c r="B49" s="5" t="s">
        <v>496</v>
      </c>
      <c r="C49" s="5" t="s">
        <v>496</v>
      </c>
      <c r="D49" t="b">
        <f t="shared" si="0"/>
        <v>0</v>
      </c>
    </row>
    <row r="50" spans="1:4" x14ac:dyDescent="0.25">
      <c r="A50" t="s">
        <v>41</v>
      </c>
      <c r="B50" s="5" t="s">
        <v>497</v>
      </c>
      <c r="C50" s="5" t="s">
        <v>497</v>
      </c>
      <c r="D50" t="b">
        <f t="shared" si="0"/>
        <v>0</v>
      </c>
    </row>
    <row r="51" spans="1:4" x14ac:dyDescent="0.25">
      <c r="A51" t="s">
        <v>41</v>
      </c>
      <c r="B51" s="5" t="s">
        <v>498</v>
      </c>
      <c r="C51" s="5" t="s">
        <v>498</v>
      </c>
      <c r="D51" t="b">
        <f t="shared" si="0"/>
        <v>0</v>
      </c>
    </row>
    <row r="52" spans="1:4" x14ac:dyDescent="0.25">
      <c r="A52" t="s">
        <v>41</v>
      </c>
      <c r="B52" s="5" t="s">
        <v>288</v>
      </c>
      <c r="C52" s="5" t="s">
        <v>288</v>
      </c>
      <c r="D52" t="b">
        <f t="shared" si="0"/>
        <v>0</v>
      </c>
    </row>
    <row r="53" spans="1:4" x14ac:dyDescent="0.25">
      <c r="A53" t="s">
        <v>41</v>
      </c>
      <c r="B53" s="5" t="s">
        <v>499</v>
      </c>
      <c r="C53" s="5" t="s">
        <v>499</v>
      </c>
      <c r="D53" t="b">
        <f t="shared" si="0"/>
        <v>0</v>
      </c>
    </row>
    <row r="54" spans="1:4" x14ac:dyDescent="0.25">
      <c r="A54" t="s">
        <v>41</v>
      </c>
      <c r="B54" s="5" t="s">
        <v>500</v>
      </c>
      <c r="C54" s="5" t="s">
        <v>500</v>
      </c>
      <c r="D54" t="b">
        <f t="shared" si="0"/>
        <v>0</v>
      </c>
    </row>
    <row r="55" spans="1:4" x14ac:dyDescent="0.25">
      <c r="A55" t="s">
        <v>41</v>
      </c>
      <c r="B55" s="5" t="s">
        <v>501</v>
      </c>
      <c r="C55" s="5" t="s">
        <v>501</v>
      </c>
      <c r="D55" t="b">
        <f t="shared" si="0"/>
        <v>0</v>
      </c>
    </row>
    <row r="56" spans="1:4" x14ac:dyDescent="0.25">
      <c r="A56" t="s">
        <v>41</v>
      </c>
      <c r="B56" s="5" t="s">
        <v>502</v>
      </c>
      <c r="C56" s="5" t="s">
        <v>502</v>
      </c>
      <c r="D56" t="b">
        <f t="shared" si="0"/>
        <v>0</v>
      </c>
    </row>
    <row r="57" spans="1:4" x14ac:dyDescent="0.25">
      <c r="A57" t="s">
        <v>41</v>
      </c>
      <c r="B57" s="5" t="s">
        <v>503</v>
      </c>
      <c r="C57" s="5" t="s">
        <v>503</v>
      </c>
      <c r="D57" t="b">
        <f t="shared" si="0"/>
        <v>0</v>
      </c>
    </row>
    <row r="58" spans="1:4" x14ac:dyDescent="0.25">
      <c r="A58" t="s">
        <v>41</v>
      </c>
      <c r="B58" s="5" t="s">
        <v>504</v>
      </c>
      <c r="C58" s="5" t="s">
        <v>504</v>
      </c>
      <c r="D58" t="b">
        <f t="shared" si="0"/>
        <v>0</v>
      </c>
    </row>
    <row r="59" spans="1:4" x14ac:dyDescent="0.25">
      <c r="A59" t="s">
        <v>41</v>
      </c>
      <c r="B59" s="5" t="s">
        <v>286</v>
      </c>
      <c r="C59" s="5" t="s">
        <v>286</v>
      </c>
      <c r="D59" t="b">
        <f t="shared" si="0"/>
        <v>0</v>
      </c>
    </row>
    <row r="60" spans="1:4" x14ac:dyDescent="0.25">
      <c r="A60" t="s">
        <v>41</v>
      </c>
      <c r="B60" s="5" t="s">
        <v>505</v>
      </c>
      <c r="C60" s="5" t="s">
        <v>505</v>
      </c>
      <c r="D60" t="b">
        <f t="shared" si="0"/>
        <v>0</v>
      </c>
    </row>
    <row r="61" spans="1:4" x14ac:dyDescent="0.25">
      <c r="A61" t="s">
        <v>41</v>
      </c>
      <c r="B61" s="5" t="s">
        <v>506</v>
      </c>
      <c r="C61" s="5" t="s">
        <v>506</v>
      </c>
      <c r="D61" t="b">
        <f t="shared" si="0"/>
        <v>0</v>
      </c>
    </row>
    <row r="62" spans="1:4" x14ac:dyDescent="0.25">
      <c r="A62" t="s">
        <v>482</v>
      </c>
      <c r="B62" s="5" t="s">
        <v>507</v>
      </c>
      <c r="C62" s="5" t="s">
        <v>507</v>
      </c>
      <c r="D62" t="b">
        <f t="shared" si="0"/>
        <v>0</v>
      </c>
    </row>
    <row r="63" spans="1:4" x14ac:dyDescent="0.25">
      <c r="A63" t="s">
        <v>482</v>
      </c>
      <c r="B63" s="5" t="s">
        <v>508</v>
      </c>
      <c r="C63" s="5" t="s">
        <v>508</v>
      </c>
      <c r="D63" t="b">
        <f t="shared" si="0"/>
        <v>0</v>
      </c>
    </row>
    <row r="64" spans="1:4" x14ac:dyDescent="0.25">
      <c r="A64" t="s">
        <v>197</v>
      </c>
      <c r="B64" s="5" t="s">
        <v>509</v>
      </c>
      <c r="C64" s="5" t="s">
        <v>509</v>
      </c>
      <c r="D64" t="b">
        <f t="shared" si="0"/>
        <v>0</v>
      </c>
    </row>
    <row r="65" spans="1:4" x14ac:dyDescent="0.25">
      <c r="A65" t="s">
        <v>197</v>
      </c>
      <c r="B65" s="5" t="s">
        <v>510</v>
      </c>
      <c r="C65" s="5" t="s">
        <v>510</v>
      </c>
      <c r="D65" t="b">
        <f t="shared" si="0"/>
        <v>0</v>
      </c>
    </row>
    <row r="66" spans="1:4" x14ac:dyDescent="0.25">
      <c r="A66" t="s">
        <v>42</v>
      </c>
      <c r="B66" s="5" t="s">
        <v>511</v>
      </c>
      <c r="C66" s="5" t="s">
        <v>511</v>
      </c>
      <c r="D66" t="b">
        <f t="shared" si="0"/>
        <v>0</v>
      </c>
    </row>
    <row r="67" spans="1:4" x14ac:dyDescent="0.25">
      <c r="A67" t="s">
        <v>42</v>
      </c>
      <c r="B67" s="5" t="s">
        <v>512</v>
      </c>
      <c r="C67" s="5" t="s">
        <v>512</v>
      </c>
      <c r="D67" t="b">
        <f t="shared" si="0"/>
        <v>0</v>
      </c>
    </row>
    <row r="68" spans="1:4" x14ac:dyDescent="0.25">
      <c r="A68" t="s">
        <v>42</v>
      </c>
      <c r="B68" s="5" t="s">
        <v>513</v>
      </c>
      <c r="C68" s="5" t="s">
        <v>513</v>
      </c>
      <c r="D68" t="b">
        <f t="shared" si="0"/>
        <v>0</v>
      </c>
    </row>
    <row r="69" spans="1:4" x14ac:dyDescent="0.25">
      <c r="A69" t="s">
        <v>42</v>
      </c>
      <c r="B69" s="5" t="s">
        <v>514</v>
      </c>
      <c r="C69" s="5" t="s">
        <v>514</v>
      </c>
      <c r="D69" t="b">
        <f t="shared" si="0"/>
        <v>0</v>
      </c>
    </row>
    <row r="70" spans="1:4" x14ac:dyDescent="0.25">
      <c r="A70" t="s">
        <v>42</v>
      </c>
      <c r="B70" s="5" t="s">
        <v>515</v>
      </c>
      <c r="C70" s="5" t="s">
        <v>515</v>
      </c>
      <c r="D70" t="b">
        <f t="shared" ref="D70:D102" si="2">B70&lt;&gt;C70</f>
        <v>0</v>
      </c>
    </row>
    <row r="71" spans="1:4" x14ac:dyDescent="0.25">
      <c r="A71" t="s">
        <v>42</v>
      </c>
      <c r="B71" s="5" t="s">
        <v>516</v>
      </c>
      <c r="C71" s="5" t="s">
        <v>516</v>
      </c>
      <c r="D71" t="b">
        <f t="shared" si="2"/>
        <v>0</v>
      </c>
    </row>
    <row r="72" spans="1:4" x14ac:dyDescent="0.25">
      <c r="A72" t="s">
        <v>68</v>
      </c>
      <c r="B72" s="5" t="s">
        <v>517</v>
      </c>
      <c r="C72" s="5" t="s">
        <v>517</v>
      </c>
      <c r="D72" t="b">
        <f t="shared" si="2"/>
        <v>0</v>
      </c>
    </row>
    <row r="73" spans="1:4" x14ac:dyDescent="0.25">
      <c r="A73" t="s">
        <v>68</v>
      </c>
      <c r="B73" s="5" t="s">
        <v>518</v>
      </c>
      <c r="C73" s="5" t="s">
        <v>518</v>
      </c>
      <c r="D73" t="b">
        <f t="shared" si="2"/>
        <v>0</v>
      </c>
    </row>
    <row r="74" spans="1:4" x14ac:dyDescent="0.25">
      <c r="A74" t="s">
        <v>68</v>
      </c>
      <c r="B74" s="5" t="s">
        <v>519</v>
      </c>
      <c r="C74" s="5" t="s">
        <v>519</v>
      </c>
      <c r="D74" t="b">
        <f t="shared" si="2"/>
        <v>0</v>
      </c>
    </row>
    <row r="75" spans="1:4" x14ac:dyDescent="0.25">
      <c r="A75" t="s">
        <v>68</v>
      </c>
      <c r="B75" s="5" t="s">
        <v>520</v>
      </c>
      <c r="C75" s="5" t="s">
        <v>520</v>
      </c>
      <c r="D75" t="b">
        <f t="shared" si="2"/>
        <v>0</v>
      </c>
    </row>
    <row r="76" spans="1:4" x14ac:dyDescent="0.25">
      <c r="A76" t="s">
        <v>68</v>
      </c>
      <c r="B76" s="5" t="s">
        <v>521</v>
      </c>
      <c r="C76" s="5" t="s">
        <v>521</v>
      </c>
      <c r="D76" t="b">
        <f t="shared" si="2"/>
        <v>0</v>
      </c>
    </row>
    <row r="77" spans="1:4" x14ac:dyDescent="0.25">
      <c r="A77" t="s">
        <v>479</v>
      </c>
      <c r="B77" s="5" t="s">
        <v>380</v>
      </c>
      <c r="C77" s="5" t="s">
        <v>380</v>
      </c>
      <c r="D77" t="b">
        <f t="shared" si="2"/>
        <v>0</v>
      </c>
    </row>
    <row r="78" spans="1:4" x14ac:dyDescent="0.25">
      <c r="A78" t="s">
        <v>479</v>
      </c>
      <c r="B78" s="5" t="s">
        <v>522</v>
      </c>
      <c r="C78" s="5" t="s">
        <v>522</v>
      </c>
      <c r="D78" t="b">
        <f t="shared" si="2"/>
        <v>0</v>
      </c>
    </row>
    <row r="79" spans="1:4" x14ac:dyDescent="0.25">
      <c r="A79" t="s">
        <v>479</v>
      </c>
      <c r="B79" s="5" t="s">
        <v>1617</v>
      </c>
      <c r="C79" s="5" t="s">
        <v>1617</v>
      </c>
      <c r="D79" t="b">
        <f t="shared" si="2"/>
        <v>0</v>
      </c>
    </row>
    <row r="80" spans="1:4" x14ac:dyDescent="0.25">
      <c r="A80" t="s">
        <v>479</v>
      </c>
      <c r="B80" s="5" t="s">
        <v>523</v>
      </c>
      <c r="C80" s="5" t="s">
        <v>523</v>
      </c>
      <c r="D80" t="b">
        <f t="shared" si="2"/>
        <v>0</v>
      </c>
    </row>
    <row r="81" spans="1:4" x14ac:dyDescent="0.25">
      <c r="A81" t="s">
        <v>479</v>
      </c>
      <c r="B81" s="5" t="s">
        <v>524</v>
      </c>
      <c r="C81" s="5" t="s">
        <v>525</v>
      </c>
      <c r="D81" t="b">
        <f t="shared" si="2"/>
        <v>1</v>
      </c>
    </row>
    <row r="82" spans="1:4" x14ac:dyDescent="0.25">
      <c r="A82" t="s">
        <v>479</v>
      </c>
      <c r="B82" s="5" t="s">
        <v>1690</v>
      </c>
      <c r="C82" s="5" t="s">
        <v>1690</v>
      </c>
      <c r="D82" t="b">
        <f t="shared" si="2"/>
        <v>0</v>
      </c>
    </row>
    <row r="83" spans="1:4" x14ac:dyDescent="0.25">
      <c r="A83" t="s">
        <v>479</v>
      </c>
      <c r="B83" s="5" t="s">
        <v>526</v>
      </c>
      <c r="C83" s="5" t="s">
        <v>526</v>
      </c>
      <c r="D83" t="b">
        <f t="shared" si="2"/>
        <v>0</v>
      </c>
    </row>
    <row r="84" spans="1:4" x14ac:dyDescent="0.25">
      <c r="A84" t="s">
        <v>271</v>
      </c>
      <c r="B84" s="5" t="s">
        <v>527</v>
      </c>
      <c r="C84" s="5" t="s">
        <v>527</v>
      </c>
      <c r="D84" t="b">
        <f t="shared" si="2"/>
        <v>0</v>
      </c>
    </row>
    <row r="85" spans="1:4" x14ac:dyDescent="0.25">
      <c r="A85" t="s">
        <v>271</v>
      </c>
      <c r="B85" s="5" t="s">
        <v>119</v>
      </c>
      <c r="C85" s="5" t="s">
        <v>119</v>
      </c>
      <c r="D85" t="b">
        <f t="shared" si="2"/>
        <v>0</v>
      </c>
    </row>
    <row r="86" spans="1:4" x14ac:dyDescent="0.25">
      <c r="A86" t="s">
        <v>271</v>
      </c>
      <c r="B86" s="5" t="s">
        <v>528</v>
      </c>
      <c r="C86" s="5" t="s">
        <v>528</v>
      </c>
      <c r="D86" t="b">
        <f t="shared" si="2"/>
        <v>0</v>
      </c>
    </row>
    <row r="87" spans="1:4" x14ac:dyDescent="0.25">
      <c r="A87" t="s">
        <v>271</v>
      </c>
      <c r="B87" s="5" t="s">
        <v>529</v>
      </c>
      <c r="C87" s="5" t="s">
        <v>529</v>
      </c>
      <c r="D87" t="b">
        <f t="shared" si="2"/>
        <v>0</v>
      </c>
    </row>
    <row r="88" spans="1:4" x14ac:dyDescent="0.25">
      <c r="A88" t="s">
        <v>271</v>
      </c>
      <c r="B88" s="5" t="s">
        <v>530</v>
      </c>
      <c r="C88" s="5" t="s">
        <v>530</v>
      </c>
      <c r="D88" t="b">
        <f t="shared" si="2"/>
        <v>0</v>
      </c>
    </row>
    <row r="89" spans="1:4" x14ac:dyDescent="0.25">
      <c r="A89" t="s">
        <v>271</v>
      </c>
      <c r="B89" s="5" t="s">
        <v>117</v>
      </c>
      <c r="C89" s="5" t="s">
        <v>117</v>
      </c>
      <c r="D89" t="b">
        <f t="shared" si="2"/>
        <v>0</v>
      </c>
    </row>
    <row r="90" spans="1:4" x14ac:dyDescent="0.25">
      <c r="A90" t="s">
        <v>271</v>
      </c>
      <c r="B90" s="5" t="s">
        <v>531</v>
      </c>
      <c r="C90" s="5" t="s">
        <v>531</v>
      </c>
      <c r="D90" t="b">
        <f t="shared" si="2"/>
        <v>0</v>
      </c>
    </row>
    <row r="91" spans="1:4" x14ac:dyDescent="0.25">
      <c r="A91" t="s">
        <v>271</v>
      </c>
      <c r="B91" s="5" t="s">
        <v>374</v>
      </c>
      <c r="C91" s="5" t="s">
        <v>374</v>
      </c>
      <c r="D91" t="b">
        <f t="shared" si="2"/>
        <v>0</v>
      </c>
    </row>
    <row r="92" spans="1:4" x14ac:dyDescent="0.25">
      <c r="A92" t="s">
        <v>271</v>
      </c>
      <c r="B92" s="5" t="s">
        <v>532</v>
      </c>
      <c r="C92" s="5" t="s">
        <v>532</v>
      </c>
      <c r="D92" t="b">
        <f t="shared" si="2"/>
        <v>0</v>
      </c>
    </row>
    <row r="93" spans="1:4" x14ac:dyDescent="0.25">
      <c r="A93" t="s">
        <v>271</v>
      </c>
      <c r="B93" s="5" t="s">
        <v>533</v>
      </c>
      <c r="C93" s="5" t="s">
        <v>533</v>
      </c>
      <c r="D93" t="b">
        <f t="shared" si="2"/>
        <v>0</v>
      </c>
    </row>
    <row r="94" spans="1:4" x14ac:dyDescent="0.25">
      <c r="A94" t="s">
        <v>271</v>
      </c>
      <c r="B94" s="5" t="s">
        <v>534</v>
      </c>
      <c r="C94" s="5" t="s">
        <v>1689</v>
      </c>
      <c r="D94" t="b">
        <f t="shared" si="2"/>
        <v>1</v>
      </c>
    </row>
    <row r="95" spans="1:4" x14ac:dyDescent="0.25">
      <c r="A95" t="s">
        <v>271</v>
      </c>
      <c r="B95" s="5" t="s">
        <v>535</v>
      </c>
      <c r="C95" s="5" t="s">
        <v>535</v>
      </c>
      <c r="D95" t="b">
        <f t="shared" si="2"/>
        <v>0</v>
      </c>
    </row>
    <row r="96" spans="1:4" x14ac:dyDescent="0.25">
      <c r="A96" t="s">
        <v>271</v>
      </c>
      <c r="B96" s="5" t="s">
        <v>536</v>
      </c>
      <c r="C96" s="5" t="s">
        <v>536</v>
      </c>
      <c r="D96" t="b">
        <f t="shared" si="2"/>
        <v>0</v>
      </c>
    </row>
    <row r="97" spans="1:4" x14ac:dyDescent="0.25">
      <c r="A97" t="s">
        <v>66</v>
      </c>
      <c r="B97" s="5" t="s">
        <v>537</v>
      </c>
      <c r="C97" s="5" t="s">
        <v>537</v>
      </c>
      <c r="D97" t="b">
        <f t="shared" si="2"/>
        <v>0</v>
      </c>
    </row>
    <row r="98" spans="1:4" x14ac:dyDescent="0.25">
      <c r="A98" t="s">
        <v>66</v>
      </c>
      <c r="B98" s="5" t="s">
        <v>175</v>
      </c>
      <c r="C98" s="5" t="s">
        <v>175</v>
      </c>
      <c r="D98" t="b">
        <f t="shared" si="2"/>
        <v>0</v>
      </c>
    </row>
    <row r="99" spans="1:4" x14ac:dyDescent="0.25">
      <c r="A99" t="s">
        <v>484</v>
      </c>
      <c r="B99" s="5" t="s">
        <v>538</v>
      </c>
      <c r="C99" s="5" t="s">
        <v>538</v>
      </c>
      <c r="D99" t="b">
        <f t="shared" si="2"/>
        <v>0</v>
      </c>
    </row>
    <row r="100" spans="1:4" x14ac:dyDescent="0.25">
      <c r="A100" t="s">
        <v>484</v>
      </c>
      <c r="B100" s="5" t="s">
        <v>126</v>
      </c>
      <c r="C100" s="5" t="s">
        <v>126</v>
      </c>
      <c r="D100" t="b">
        <f t="shared" si="2"/>
        <v>0</v>
      </c>
    </row>
    <row r="101" spans="1:4" x14ac:dyDescent="0.25">
      <c r="A101" t="s">
        <v>484</v>
      </c>
      <c r="B101" s="5" t="s">
        <v>125</v>
      </c>
      <c r="C101" s="5" t="s">
        <v>125</v>
      </c>
      <c r="D101" t="b">
        <f t="shared" si="2"/>
        <v>0</v>
      </c>
    </row>
    <row r="102" spans="1:4" x14ac:dyDescent="0.25">
      <c r="A102" t="s">
        <v>484</v>
      </c>
      <c r="B102" s="5" t="s">
        <v>539</v>
      </c>
      <c r="C102" s="5" t="s">
        <v>539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1D0CA7D3-6CA7-4335-88FE-0A0D33B511F9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 B5:B102</xm:sqref>
        </x14:conditionalFormatting>
        <x14:conditionalFormatting xmlns:xm="http://schemas.microsoft.com/office/excel/2006/main">
          <x14:cfRule type="notContainsText" priority="1" operator="notContains" id="{CFA2CA1F-2B4E-4E7C-BB75-1233420EE758}">
            <xm:f>ISERROR(SEARCH(A3,B3))</xm:f>
            <xm:f>A3</xm:f>
            <x14:dxf>
              <fill>
                <patternFill>
                  <bgColor theme="5" tint="0.79998168889431442"/>
                </patternFill>
              </fill>
            </x14:dxf>
          </x14:cfRule>
          <xm:sqref>C3:C102 B4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7245-12E0-4FC7-9E2A-950CF34AEAEB}">
  <sheetPr codeName="Planilha19"/>
  <dimension ref="A1:G102"/>
  <sheetViews>
    <sheetView workbookViewId="0">
      <selection activeCell="B58" sqref="B5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934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5</v>
      </c>
    </row>
    <row r="3" spans="1:7" x14ac:dyDescent="0.25">
      <c r="A3" s="24" t="s">
        <v>2031</v>
      </c>
      <c r="B3" s="5" t="s">
        <v>934</v>
      </c>
      <c r="C3" s="5" t="s">
        <v>934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935</v>
      </c>
      <c r="C4" s="5" t="s">
        <v>935</v>
      </c>
      <c r="D4" t="b">
        <f t="shared" ref="D4:D67" si="0">B4&lt;&gt;C4</f>
        <v>0</v>
      </c>
    </row>
    <row r="5" spans="1:7" x14ac:dyDescent="0.25">
      <c r="A5" t="s">
        <v>35</v>
      </c>
      <c r="B5" s="5" t="s">
        <v>341</v>
      </c>
      <c r="C5" s="5" t="s">
        <v>341</v>
      </c>
      <c r="D5" t="b">
        <f t="shared" si="0"/>
        <v>0</v>
      </c>
      <c r="F5" s="6" t="s">
        <v>39</v>
      </c>
      <c r="G5" s="1"/>
    </row>
    <row r="6" spans="1:7" x14ac:dyDescent="0.25">
      <c r="A6" t="s">
        <v>35</v>
      </c>
      <c r="B6" s="5" t="s">
        <v>192</v>
      </c>
      <c r="C6" s="5" t="s">
        <v>192</v>
      </c>
      <c r="D6" t="b">
        <f t="shared" si="0"/>
        <v>0</v>
      </c>
      <c r="F6" s="7" t="s">
        <v>2031</v>
      </c>
      <c r="G6" s="2">
        <f t="shared" ref="G6:G15" si="1">COUNTIF(A:A,F6)</f>
        <v>1</v>
      </c>
    </row>
    <row r="7" spans="1:7" x14ac:dyDescent="0.25">
      <c r="A7" t="s">
        <v>35</v>
      </c>
      <c r="B7" s="5" t="s">
        <v>936</v>
      </c>
      <c r="C7" s="5" t="s">
        <v>936</v>
      </c>
      <c r="D7" t="b">
        <f t="shared" si="0"/>
        <v>0</v>
      </c>
      <c r="F7" s="3" t="s">
        <v>35</v>
      </c>
      <c r="G7" s="2">
        <f t="shared" si="1"/>
        <v>32</v>
      </c>
    </row>
    <row r="8" spans="1:7" x14ac:dyDescent="0.25">
      <c r="A8" t="s">
        <v>35</v>
      </c>
      <c r="B8" s="5" t="s">
        <v>40</v>
      </c>
      <c r="C8" s="5" t="s">
        <v>40</v>
      </c>
      <c r="D8" t="b">
        <f t="shared" si="0"/>
        <v>0</v>
      </c>
      <c r="F8" s="7" t="s">
        <v>938</v>
      </c>
      <c r="G8" s="2">
        <f t="shared" si="1"/>
        <v>13</v>
      </c>
    </row>
    <row r="9" spans="1:7" x14ac:dyDescent="0.25">
      <c r="A9" t="s">
        <v>35</v>
      </c>
      <c r="B9" s="5" t="s">
        <v>45</v>
      </c>
      <c r="C9" s="5" t="s">
        <v>937</v>
      </c>
      <c r="D9" t="b">
        <f t="shared" si="0"/>
        <v>1</v>
      </c>
      <c r="F9" s="7" t="s">
        <v>50</v>
      </c>
      <c r="G9" s="2">
        <f t="shared" si="1"/>
        <v>7</v>
      </c>
    </row>
    <row r="10" spans="1:7" x14ac:dyDescent="0.25">
      <c r="A10" t="s">
        <v>35</v>
      </c>
      <c r="B10" s="5" t="s">
        <v>45</v>
      </c>
      <c r="C10" s="5" t="s">
        <v>1760</v>
      </c>
      <c r="D10" t="b">
        <f t="shared" si="0"/>
        <v>1</v>
      </c>
      <c r="F10" s="7" t="s">
        <v>65</v>
      </c>
      <c r="G10" s="2">
        <f t="shared" si="1"/>
        <v>3</v>
      </c>
    </row>
    <row r="11" spans="1:7" x14ac:dyDescent="0.25">
      <c r="A11" t="s">
        <v>35</v>
      </c>
      <c r="B11" s="23" t="s">
        <v>1862</v>
      </c>
      <c r="C11" s="5" t="s">
        <v>1862</v>
      </c>
      <c r="D11" t="b">
        <f t="shared" si="0"/>
        <v>0</v>
      </c>
      <c r="E11" t="s">
        <v>45</v>
      </c>
      <c r="F11" s="7" t="s">
        <v>43</v>
      </c>
      <c r="G11" s="2">
        <f t="shared" si="1"/>
        <v>21</v>
      </c>
    </row>
    <row r="12" spans="1:7" x14ac:dyDescent="0.25">
      <c r="A12" t="s">
        <v>35</v>
      </c>
      <c r="B12" s="5" t="s">
        <v>45</v>
      </c>
      <c r="C12" s="5" t="s">
        <v>45</v>
      </c>
      <c r="D12" t="b">
        <f t="shared" si="0"/>
        <v>0</v>
      </c>
      <c r="F12" s="7" t="s">
        <v>939</v>
      </c>
      <c r="G12" s="2">
        <f t="shared" si="1"/>
        <v>5</v>
      </c>
    </row>
    <row r="13" spans="1:7" x14ac:dyDescent="0.25">
      <c r="A13" t="s">
        <v>35</v>
      </c>
      <c r="B13" s="5" t="s">
        <v>45</v>
      </c>
      <c r="C13" s="5" t="s">
        <v>45</v>
      </c>
      <c r="D13" t="b">
        <f t="shared" si="0"/>
        <v>0</v>
      </c>
      <c r="F13" s="7" t="s">
        <v>42</v>
      </c>
      <c r="G13" s="2">
        <f t="shared" si="1"/>
        <v>10</v>
      </c>
    </row>
    <row r="14" spans="1:7" x14ac:dyDescent="0.25">
      <c r="A14" t="s">
        <v>35</v>
      </c>
      <c r="B14" s="5" t="s">
        <v>45</v>
      </c>
      <c r="C14" s="5" t="s">
        <v>45</v>
      </c>
      <c r="D14" t="b">
        <f t="shared" si="0"/>
        <v>0</v>
      </c>
      <c r="F14" s="7" t="s">
        <v>41</v>
      </c>
      <c r="G14" s="2">
        <f t="shared" si="1"/>
        <v>2</v>
      </c>
    </row>
    <row r="15" spans="1:7" x14ac:dyDescent="0.25">
      <c r="A15" t="s">
        <v>35</v>
      </c>
      <c r="B15" s="5" t="s">
        <v>45</v>
      </c>
      <c r="C15" s="5" t="s">
        <v>45</v>
      </c>
      <c r="D15" t="b">
        <f t="shared" si="0"/>
        <v>0</v>
      </c>
      <c r="F15" s="3" t="s">
        <v>17</v>
      </c>
      <c r="G15" s="2">
        <f t="shared" si="1"/>
        <v>6</v>
      </c>
    </row>
    <row r="16" spans="1:7" x14ac:dyDescent="0.25">
      <c r="A16" t="s">
        <v>35</v>
      </c>
      <c r="B16" s="5" t="s">
        <v>45</v>
      </c>
      <c r="C16" s="5" t="s">
        <v>45</v>
      </c>
      <c r="D16" t="b">
        <f t="shared" si="0"/>
        <v>0</v>
      </c>
    </row>
    <row r="17" spans="1:7" x14ac:dyDescent="0.25">
      <c r="A17" t="s">
        <v>35</v>
      </c>
      <c r="B17" s="5" t="s">
        <v>45</v>
      </c>
      <c r="C17" s="5" t="s">
        <v>45</v>
      </c>
      <c r="D17" t="b">
        <f t="shared" si="0"/>
        <v>0</v>
      </c>
      <c r="F17" s="1"/>
      <c r="G17" s="2"/>
    </row>
    <row r="18" spans="1:7" x14ac:dyDescent="0.25">
      <c r="A18" t="s">
        <v>35</v>
      </c>
      <c r="B18" s="5" t="s">
        <v>45</v>
      </c>
      <c r="C18" s="5" t="s">
        <v>45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45</v>
      </c>
      <c r="C19" s="5" t="s">
        <v>45</v>
      </c>
      <c r="D19" t="b">
        <f t="shared" si="0"/>
        <v>0</v>
      </c>
    </row>
    <row r="20" spans="1:7" x14ac:dyDescent="0.25">
      <c r="A20" t="s">
        <v>35</v>
      </c>
      <c r="B20" s="5" t="s">
        <v>45</v>
      </c>
      <c r="C20" s="5" t="s">
        <v>45</v>
      </c>
      <c r="D20" t="b">
        <f t="shared" si="0"/>
        <v>0</v>
      </c>
    </row>
    <row r="21" spans="1:7" x14ac:dyDescent="0.25">
      <c r="A21" t="s">
        <v>35</v>
      </c>
      <c r="B21" s="5" t="s">
        <v>45</v>
      </c>
      <c r="C21" s="5" t="s">
        <v>45</v>
      </c>
      <c r="D21" t="b">
        <f t="shared" si="0"/>
        <v>0</v>
      </c>
    </row>
    <row r="22" spans="1:7" x14ac:dyDescent="0.25">
      <c r="A22" t="s">
        <v>35</v>
      </c>
      <c r="B22" s="5" t="s">
        <v>45</v>
      </c>
      <c r="C22" s="5" t="s">
        <v>45</v>
      </c>
      <c r="D22" t="b">
        <f t="shared" si="0"/>
        <v>0</v>
      </c>
    </row>
    <row r="23" spans="1:7" x14ac:dyDescent="0.25">
      <c r="A23" t="s">
        <v>35</v>
      </c>
      <c r="B23" s="5" t="s">
        <v>45</v>
      </c>
      <c r="C23" s="5" t="s">
        <v>45</v>
      </c>
      <c r="D23" t="b">
        <f t="shared" si="0"/>
        <v>0</v>
      </c>
    </row>
    <row r="24" spans="1:7" x14ac:dyDescent="0.25">
      <c r="A24" t="s">
        <v>35</v>
      </c>
      <c r="B24" s="5" t="s">
        <v>46</v>
      </c>
      <c r="C24" s="5" t="s">
        <v>46</v>
      </c>
      <c r="D24" t="b">
        <f t="shared" si="0"/>
        <v>0</v>
      </c>
    </row>
    <row r="25" spans="1:7" x14ac:dyDescent="0.25">
      <c r="A25" t="s">
        <v>35</v>
      </c>
      <c r="B25" s="5" t="s">
        <v>46</v>
      </c>
      <c r="C25" s="5" t="s">
        <v>46</v>
      </c>
      <c r="D25" t="b">
        <f t="shared" si="0"/>
        <v>0</v>
      </c>
    </row>
    <row r="26" spans="1:7" x14ac:dyDescent="0.25">
      <c r="A26" t="s">
        <v>35</v>
      </c>
      <c r="B26" s="5" t="s">
        <v>46</v>
      </c>
      <c r="C26" s="5" t="s">
        <v>46</v>
      </c>
      <c r="D26" t="b">
        <f t="shared" si="0"/>
        <v>0</v>
      </c>
    </row>
    <row r="27" spans="1:7" x14ac:dyDescent="0.25">
      <c r="A27" t="s">
        <v>35</v>
      </c>
      <c r="B27" s="5" t="s">
        <v>46</v>
      </c>
      <c r="C27" s="5" t="s">
        <v>46</v>
      </c>
      <c r="D27" t="b">
        <f t="shared" si="0"/>
        <v>0</v>
      </c>
    </row>
    <row r="28" spans="1:7" x14ac:dyDescent="0.25">
      <c r="A28" t="s">
        <v>35</v>
      </c>
      <c r="B28" s="5" t="s">
        <v>46</v>
      </c>
      <c r="C28" s="5" t="s">
        <v>46</v>
      </c>
      <c r="D28" t="b">
        <f t="shared" si="0"/>
        <v>0</v>
      </c>
    </row>
    <row r="29" spans="1:7" x14ac:dyDescent="0.25">
      <c r="A29" t="s">
        <v>35</v>
      </c>
      <c r="B29" s="5" t="s">
        <v>46</v>
      </c>
      <c r="C29" s="5" t="s">
        <v>46</v>
      </c>
      <c r="D29" t="b">
        <f t="shared" si="0"/>
        <v>0</v>
      </c>
    </row>
    <row r="30" spans="1:7" x14ac:dyDescent="0.25">
      <c r="A30" t="s">
        <v>35</v>
      </c>
      <c r="B30" s="5" t="s">
        <v>46</v>
      </c>
      <c r="C30" s="5" t="s">
        <v>46</v>
      </c>
      <c r="D30" t="b">
        <f t="shared" si="0"/>
        <v>0</v>
      </c>
    </row>
    <row r="31" spans="1:7" x14ac:dyDescent="0.25">
      <c r="A31" t="s">
        <v>35</v>
      </c>
      <c r="B31" s="5" t="s">
        <v>46</v>
      </c>
      <c r="C31" s="5" t="s">
        <v>46</v>
      </c>
      <c r="D31" t="b">
        <f t="shared" si="0"/>
        <v>0</v>
      </c>
    </row>
    <row r="32" spans="1:7" x14ac:dyDescent="0.25">
      <c r="A32" t="s">
        <v>35</v>
      </c>
      <c r="B32" s="5" t="s">
        <v>46</v>
      </c>
      <c r="C32" s="5" t="s">
        <v>46</v>
      </c>
      <c r="D32" t="b">
        <f t="shared" si="0"/>
        <v>0</v>
      </c>
    </row>
    <row r="33" spans="1:4" x14ac:dyDescent="0.25">
      <c r="A33" t="s">
        <v>35</v>
      </c>
      <c r="B33" s="5" t="s">
        <v>46</v>
      </c>
      <c r="C33" s="5" t="s">
        <v>46</v>
      </c>
      <c r="D33" t="b">
        <f t="shared" si="0"/>
        <v>0</v>
      </c>
    </row>
    <row r="34" spans="1:4" x14ac:dyDescent="0.25">
      <c r="A34" t="s">
        <v>35</v>
      </c>
      <c r="B34" s="5" t="s">
        <v>46</v>
      </c>
      <c r="C34" s="5" t="s">
        <v>46</v>
      </c>
      <c r="D34" t="b">
        <f t="shared" si="0"/>
        <v>0</v>
      </c>
    </row>
    <row r="35" spans="1:4" x14ac:dyDescent="0.25">
      <c r="A35" t="s">
        <v>35</v>
      </c>
      <c r="B35" s="5" t="s">
        <v>46</v>
      </c>
      <c r="C35" s="5" t="s">
        <v>46</v>
      </c>
      <c r="D35" t="b">
        <f t="shared" si="0"/>
        <v>0</v>
      </c>
    </row>
    <row r="36" spans="1:4" x14ac:dyDescent="0.25">
      <c r="A36" t="s">
        <v>938</v>
      </c>
      <c r="B36" s="5" t="s">
        <v>940</v>
      </c>
      <c r="C36" s="5" t="s">
        <v>940</v>
      </c>
      <c r="D36" t="b">
        <f t="shared" si="0"/>
        <v>0</v>
      </c>
    </row>
    <row r="37" spans="1:4" x14ac:dyDescent="0.25">
      <c r="A37" t="s">
        <v>938</v>
      </c>
      <c r="B37" s="5" t="s">
        <v>941</v>
      </c>
      <c r="C37" s="5" t="s">
        <v>942</v>
      </c>
      <c r="D37" t="b">
        <f t="shared" si="0"/>
        <v>1</v>
      </c>
    </row>
    <row r="38" spans="1:4" x14ac:dyDescent="0.25">
      <c r="A38" t="s">
        <v>938</v>
      </c>
      <c r="B38" s="5" t="s">
        <v>943</v>
      </c>
      <c r="C38" s="5" t="s">
        <v>943</v>
      </c>
      <c r="D38" t="b">
        <f t="shared" si="0"/>
        <v>0</v>
      </c>
    </row>
    <row r="39" spans="1:4" x14ac:dyDescent="0.25">
      <c r="A39" t="s">
        <v>938</v>
      </c>
      <c r="B39" s="5" t="s">
        <v>944</v>
      </c>
      <c r="C39" s="5" t="s">
        <v>944</v>
      </c>
      <c r="D39" t="b">
        <f t="shared" si="0"/>
        <v>0</v>
      </c>
    </row>
    <row r="40" spans="1:4" x14ac:dyDescent="0.25">
      <c r="A40" t="s">
        <v>938</v>
      </c>
      <c r="B40" s="5" t="s">
        <v>439</v>
      </c>
      <c r="C40" s="5" t="s">
        <v>439</v>
      </c>
      <c r="D40" t="b">
        <f t="shared" si="0"/>
        <v>0</v>
      </c>
    </row>
    <row r="41" spans="1:4" x14ac:dyDescent="0.25">
      <c r="A41" t="s">
        <v>938</v>
      </c>
      <c r="B41" s="5" t="s">
        <v>945</v>
      </c>
      <c r="C41" s="5" t="s">
        <v>945</v>
      </c>
      <c r="D41" t="b">
        <f t="shared" si="0"/>
        <v>0</v>
      </c>
    </row>
    <row r="42" spans="1:4" x14ac:dyDescent="0.25">
      <c r="A42" t="s">
        <v>938</v>
      </c>
      <c r="B42" s="5" t="s">
        <v>946</v>
      </c>
      <c r="C42" s="5" t="s">
        <v>947</v>
      </c>
      <c r="D42" t="b">
        <f t="shared" si="0"/>
        <v>1</v>
      </c>
    </row>
    <row r="43" spans="1:4" x14ac:dyDescent="0.25">
      <c r="A43" t="s">
        <v>938</v>
      </c>
      <c r="B43" s="5" t="s">
        <v>948</v>
      </c>
      <c r="C43" s="5" t="s">
        <v>948</v>
      </c>
      <c r="D43" t="b">
        <f t="shared" si="0"/>
        <v>0</v>
      </c>
    </row>
    <row r="44" spans="1:4" x14ac:dyDescent="0.25">
      <c r="A44" t="s">
        <v>938</v>
      </c>
      <c r="B44" s="5" t="s">
        <v>949</v>
      </c>
      <c r="C44" s="5" t="s">
        <v>949</v>
      </c>
      <c r="D44" t="b">
        <f t="shared" si="0"/>
        <v>0</v>
      </c>
    </row>
    <row r="45" spans="1:4" x14ac:dyDescent="0.25">
      <c r="A45" t="s">
        <v>938</v>
      </c>
      <c r="B45" s="5" t="s">
        <v>950</v>
      </c>
      <c r="C45" s="5" t="s">
        <v>950</v>
      </c>
      <c r="D45" t="b">
        <f t="shared" si="0"/>
        <v>0</v>
      </c>
    </row>
    <row r="46" spans="1:4" x14ac:dyDescent="0.25">
      <c r="A46" t="s">
        <v>938</v>
      </c>
      <c r="B46" s="5" t="s">
        <v>951</v>
      </c>
      <c r="C46" s="5" t="s">
        <v>951</v>
      </c>
      <c r="D46" t="b">
        <f t="shared" si="0"/>
        <v>0</v>
      </c>
    </row>
    <row r="47" spans="1:4" x14ac:dyDescent="0.25">
      <c r="A47" t="s">
        <v>938</v>
      </c>
      <c r="B47" s="5" t="s">
        <v>952</v>
      </c>
      <c r="C47" s="5" t="s">
        <v>952</v>
      </c>
      <c r="D47" t="b">
        <f t="shared" si="0"/>
        <v>0</v>
      </c>
    </row>
    <row r="48" spans="1:4" x14ac:dyDescent="0.25">
      <c r="A48" t="s">
        <v>938</v>
      </c>
      <c r="B48" s="5" t="s">
        <v>953</v>
      </c>
      <c r="C48" s="5" t="s">
        <v>953</v>
      </c>
      <c r="D48" t="b">
        <f t="shared" si="0"/>
        <v>0</v>
      </c>
    </row>
    <row r="49" spans="1:4" x14ac:dyDescent="0.25">
      <c r="A49" t="s">
        <v>65</v>
      </c>
      <c r="B49" s="5" t="s">
        <v>954</v>
      </c>
      <c r="C49" s="5" t="s">
        <v>954</v>
      </c>
      <c r="D49" t="b">
        <f t="shared" si="0"/>
        <v>0</v>
      </c>
    </row>
    <row r="50" spans="1:4" x14ac:dyDescent="0.25">
      <c r="A50" t="s">
        <v>65</v>
      </c>
      <c r="B50" s="5" t="s">
        <v>955</v>
      </c>
      <c r="C50" s="5" t="s">
        <v>955</v>
      </c>
      <c r="D50" t="b">
        <f t="shared" si="0"/>
        <v>0</v>
      </c>
    </row>
    <row r="51" spans="1:4" x14ac:dyDescent="0.25">
      <c r="A51" t="s">
        <v>65</v>
      </c>
      <c r="B51" s="5" t="s">
        <v>956</v>
      </c>
      <c r="C51" s="5" t="s">
        <v>956</v>
      </c>
      <c r="D51" t="b">
        <f t="shared" si="0"/>
        <v>0</v>
      </c>
    </row>
    <row r="52" spans="1:4" x14ac:dyDescent="0.25">
      <c r="A52" t="s">
        <v>939</v>
      </c>
      <c r="B52" s="5" t="s">
        <v>957</v>
      </c>
      <c r="C52" s="5" t="s">
        <v>957</v>
      </c>
      <c r="D52" t="b">
        <f t="shared" si="0"/>
        <v>0</v>
      </c>
    </row>
    <row r="53" spans="1:4" x14ac:dyDescent="0.25">
      <c r="A53" t="s">
        <v>939</v>
      </c>
      <c r="B53" s="5" t="s">
        <v>958</v>
      </c>
      <c r="C53" s="5" t="s">
        <v>958</v>
      </c>
      <c r="D53" t="b">
        <f t="shared" si="0"/>
        <v>0</v>
      </c>
    </row>
    <row r="54" spans="1:4" x14ac:dyDescent="0.25">
      <c r="A54" t="s">
        <v>939</v>
      </c>
      <c r="B54" s="5" t="s">
        <v>959</v>
      </c>
      <c r="C54" s="5" t="s">
        <v>959</v>
      </c>
      <c r="D54" t="b">
        <f t="shared" si="0"/>
        <v>0</v>
      </c>
    </row>
    <row r="55" spans="1:4" x14ac:dyDescent="0.25">
      <c r="A55" t="s">
        <v>939</v>
      </c>
      <c r="B55" s="5" t="s">
        <v>960</v>
      </c>
      <c r="C55" s="5" t="s">
        <v>960</v>
      </c>
      <c r="D55" t="b">
        <f t="shared" si="0"/>
        <v>0</v>
      </c>
    </row>
    <row r="56" spans="1:4" x14ac:dyDescent="0.25">
      <c r="A56" t="s">
        <v>939</v>
      </c>
      <c r="B56" s="5" t="s">
        <v>961</v>
      </c>
      <c r="C56" s="5" t="s">
        <v>961</v>
      </c>
      <c r="D56" t="b">
        <f t="shared" si="0"/>
        <v>0</v>
      </c>
    </row>
    <row r="57" spans="1:4" x14ac:dyDescent="0.25">
      <c r="A57" t="s">
        <v>50</v>
      </c>
      <c r="B57" s="5" t="s">
        <v>962</v>
      </c>
      <c r="C57" s="5" t="s">
        <v>962</v>
      </c>
      <c r="D57" t="b">
        <f t="shared" si="0"/>
        <v>0</v>
      </c>
    </row>
    <row r="58" spans="1:4" x14ac:dyDescent="0.25">
      <c r="A58" t="s">
        <v>50</v>
      </c>
      <c r="B58" s="5" t="s">
        <v>963</v>
      </c>
      <c r="C58" s="5" t="s">
        <v>963</v>
      </c>
      <c r="D58" t="b">
        <f t="shared" si="0"/>
        <v>0</v>
      </c>
    </row>
    <row r="59" spans="1:4" x14ac:dyDescent="0.25">
      <c r="A59" t="s">
        <v>50</v>
      </c>
      <c r="B59" s="5" t="s">
        <v>964</v>
      </c>
      <c r="C59" s="5" t="s">
        <v>964</v>
      </c>
      <c r="D59" t="b">
        <f t="shared" si="0"/>
        <v>0</v>
      </c>
    </row>
    <row r="60" spans="1:4" x14ac:dyDescent="0.25">
      <c r="A60" t="s">
        <v>50</v>
      </c>
      <c r="B60" s="5" t="s">
        <v>965</v>
      </c>
      <c r="C60" s="5" t="s">
        <v>965</v>
      </c>
      <c r="D60" t="b">
        <f t="shared" si="0"/>
        <v>0</v>
      </c>
    </row>
    <row r="61" spans="1:4" x14ac:dyDescent="0.25">
      <c r="A61" t="s">
        <v>50</v>
      </c>
      <c r="B61" s="5" t="s">
        <v>966</v>
      </c>
      <c r="C61" s="5" t="s">
        <v>966</v>
      </c>
      <c r="D61" t="b">
        <f t="shared" si="0"/>
        <v>0</v>
      </c>
    </row>
    <row r="62" spans="1:4" x14ac:dyDescent="0.25">
      <c r="A62" t="s">
        <v>50</v>
      </c>
      <c r="B62" s="5" t="s">
        <v>967</v>
      </c>
      <c r="C62" s="5" t="s">
        <v>967</v>
      </c>
      <c r="D62" t="b">
        <f t="shared" si="0"/>
        <v>0</v>
      </c>
    </row>
    <row r="63" spans="1:4" x14ac:dyDescent="0.25">
      <c r="A63" t="s">
        <v>50</v>
      </c>
      <c r="B63" s="5" t="s">
        <v>968</v>
      </c>
      <c r="C63" s="5" t="s">
        <v>1933</v>
      </c>
      <c r="D63" t="b">
        <f t="shared" si="0"/>
        <v>1</v>
      </c>
    </row>
    <row r="64" spans="1:4" x14ac:dyDescent="0.25">
      <c r="A64" t="s">
        <v>41</v>
      </c>
      <c r="B64" s="5" t="s">
        <v>206</v>
      </c>
      <c r="C64" s="5" t="s">
        <v>206</v>
      </c>
      <c r="D64" t="b">
        <f t="shared" si="0"/>
        <v>0</v>
      </c>
    </row>
    <row r="65" spans="1:4" x14ac:dyDescent="0.25">
      <c r="A65" t="s">
        <v>41</v>
      </c>
      <c r="B65" s="5" t="s">
        <v>969</v>
      </c>
      <c r="C65" s="5" t="s">
        <v>969</v>
      </c>
      <c r="D65" t="b">
        <f t="shared" si="0"/>
        <v>0</v>
      </c>
    </row>
    <row r="66" spans="1:4" x14ac:dyDescent="0.25">
      <c r="A66" t="s">
        <v>17</v>
      </c>
      <c r="B66" s="5" t="s">
        <v>970</v>
      </c>
      <c r="C66" s="5" t="s">
        <v>970</v>
      </c>
      <c r="D66" t="b">
        <f t="shared" si="0"/>
        <v>0</v>
      </c>
    </row>
    <row r="67" spans="1:4" x14ac:dyDescent="0.25">
      <c r="A67" t="s">
        <v>17</v>
      </c>
      <c r="B67" s="5" t="s">
        <v>971</v>
      </c>
      <c r="C67" s="5" t="s">
        <v>971</v>
      </c>
      <c r="D67" t="b">
        <f t="shared" si="0"/>
        <v>0</v>
      </c>
    </row>
    <row r="68" spans="1:4" x14ac:dyDescent="0.25">
      <c r="A68" t="s">
        <v>17</v>
      </c>
      <c r="B68" s="5" t="s">
        <v>972</v>
      </c>
      <c r="C68" s="5" t="s">
        <v>972</v>
      </c>
      <c r="D68" t="b">
        <f t="shared" ref="D68:D101" si="2">B68&lt;&gt;C68</f>
        <v>0</v>
      </c>
    </row>
    <row r="69" spans="1:4" x14ac:dyDescent="0.25">
      <c r="A69" t="s">
        <v>17</v>
      </c>
      <c r="B69" s="5" t="s">
        <v>973</v>
      </c>
      <c r="C69" s="5" t="s">
        <v>973</v>
      </c>
      <c r="D69" t="b">
        <f t="shared" si="2"/>
        <v>0</v>
      </c>
    </row>
    <row r="70" spans="1:4" x14ac:dyDescent="0.25">
      <c r="A70" t="s">
        <v>17</v>
      </c>
      <c r="B70" s="5" t="s">
        <v>974</v>
      </c>
      <c r="C70" s="5" t="s">
        <v>974</v>
      </c>
      <c r="D70" t="b">
        <f t="shared" si="2"/>
        <v>0</v>
      </c>
    </row>
    <row r="71" spans="1:4" x14ac:dyDescent="0.25">
      <c r="A71" t="s">
        <v>17</v>
      </c>
      <c r="B71" s="5" t="s">
        <v>975</v>
      </c>
      <c r="C71" s="5" t="s">
        <v>975</v>
      </c>
      <c r="D71" t="b">
        <f t="shared" si="2"/>
        <v>0</v>
      </c>
    </row>
    <row r="72" spans="1:4" x14ac:dyDescent="0.25">
      <c r="A72" t="s">
        <v>43</v>
      </c>
      <c r="B72" s="5" t="s">
        <v>798</v>
      </c>
      <c r="C72" s="5" t="s">
        <v>798</v>
      </c>
      <c r="D72" t="b">
        <f t="shared" si="2"/>
        <v>0</v>
      </c>
    </row>
    <row r="73" spans="1:4" x14ac:dyDescent="0.25">
      <c r="A73" t="s">
        <v>43</v>
      </c>
      <c r="B73" s="5" t="s">
        <v>370</v>
      </c>
      <c r="C73" s="5" t="s">
        <v>370</v>
      </c>
      <c r="D73" t="b">
        <f t="shared" si="2"/>
        <v>0</v>
      </c>
    </row>
    <row r="74" spans="1:4" x14ac:dyDescent="0.25">
      <c r="A74" t="s">
        <v>43</v>
      </c>
      <c r="B74" s="5" t="s">
        <v>976</v>
      </c>
      <c r="C74" s="5" t="s">
        <v>976</v>
      </c>
      <c r="D74" t="b">
        <f t="shared" si="2"/>
        <v>0</v>
      </c>
    </row>
    <row r="75" spans="1:4" x14ac:dyDescent="0.25">
      <c r="A75" t="s">
        <v>43</v>
      </c>
      <c r="B75" s="5" t="s">
        <v>977</v>
      </c>
      <c r="C75" s="5" t="s">
        <v>977</v>
      </c>
      <c r="D75" t="b">
        <f t="shared" si="2"/>
        <v>0</v>
      </c>
    </row>
    <row r="76" spans="1:4" x14ac:dyDescent="0.25">
      <c r="A76" t="s">
        <v>43</v>
      </c>
      <c r="B76" s="5" t="s">
        <v>978</v>
      </c>
      <c r="C76" s="5" t="s">
        <v>978</v>
      </c>
      <c r="D76" t="b">
        <f t="shared" si="2"/>
        <v>0</v>
      </c>
    </row>
    <row r="77" spans="1:4" x14ac:dyDescent="0.25">
      <c r="A77" t="s">
        <v>43</v>
      </c>
      <c r="B77" s="5" t="s">
        <v>979</v>
      </c>
      <c r="C77" s="5" t="s">
        <v>979</v>
      </c>
      <c r="D77" t="b">
        <f t="shared" si="2"/>
        <v>0</v>
      </c>
    </row>
    <row r="78" spans="1:4" x14ac:dyDescent="0.25">
      <c r="A78" t="s">
        <v>43</v>
      </c>
      <c r="B78" s="5" t="s">
        <v>801</v>
      </c>
      <c r="C78" s="5" t="s">
        <v>801</v>
      </c>
      <c r="D78" t="b">
        <f t="shared" si="2"/>
        <v>0</v>
      </c>
    </row>
    <row r="79" spans="1:4" x14ac:dyDescent="0.25">
      <c r="A79" t="s">
        <v>43</v>
      </c>
      <c r="B79" s="5" t="s">
        <v>980</v>
      </c>
      <c r="C79" s="5" t="s">
        <v>980</v>
      </c>
      <c r="D79" t="b">
        <f t="shared" si="2"/>
        <v>0</v>
      </c>
    </row>
    <row r="80" spans="1:4" x14ac:dyDescent="0.25">
      <c r="A80" t="s">
        <v>43</v>
      </c>
      <c r="B80" s="5" t="s">
        <v>981</v>
      </c>
      <c r="C80" s="5" t="s">
        <v>981</v>
      </c>
      <c r="D80" t="b">
        <f t="shared" si="2"/>
        <v>0</v>
      </c>
    </row>
    <row r="81" spans="1:5" x14ac:dyDescent="0.25">
      <c r="A81" t="s">
        <v>43</v>
      </c>
      <c r="B81" s="23" t="s">
        <v>983</v>
      </c>
      <c r="C81" s="5" t="s">
        <v>983</v>
      </c>
      <c r="D81" t="b">
        <f t="shared" si="2"/>
        <v>0</v>
      </c>
      <c r="E81" t="s">
        <v>982</v>
      </c>
    </row>
    <row r="82" spans="1:5" x14ac:dyDescent="0.25">
      <c r="A82" t="s">
        <v>43</v>
      </c>
      <c r="B82" s="5" t="s">
        <v>984</v>
      </c>
      <c r="C82" s="5" t="s">
        <v>984</v>
      </c>
      <c r="D82" t="b">
        <f t="shared" si="2"/>
        <v>0</v>
      </c>
    </row>
    <row r="83" spans="1:5" x14ac:dyDescent="0.25">
      <c r="A83" t="s">
        <v>43</v>
      </c>
      <c r="B83" s="5" t="s">
        <v>985</v>
      </c>
      <c r="C83" s="5" t="s">
        <v>985</v>
      </c>
      <c r="D83" t="b">
        <f t="shared" si="2"/>
        <v>0</v>
      </c>
    </row>
    <row r="84" spans="1:5" x14ac:dyDescent="0.25">
      <c r="A84" t="s">
        <v>43</v>
      </c>
      <c r="B84" s="5" t="s">
        <v>986</v>
      </c>
      <c r="C84" s="5" t="s">
        <v>986</v>
      </c>
      <c r="D84" t="b">
        <f t="shared" si="2"/>
        <v>0</v>
      </c>
    </row>
    <row r="85" spans="1:5" x14ac:dyDescent="0.25">
      <c r="A85" t="s">
        <v>43</v>
      </c>
      <c r="B85" s="5" t="s">
        <v>717</v>
      </c>
      <c r="C85" s="5" t="s">
        <v>717</v>
      </c>
      <c r="D85" t="b">
        <f t="shared" si="2"/>
        <v>0</v>
      </c>
    </row>
    <row r="86" spans="1:5" x14ac:dyDescent="0.25">
      <c r="A86" t="s">
        <v>43</v>
      </c>
      <c r="B86" s="5" t="s">
        <v>790</v>
      </c>
      <c r="C86" s="5" t="s">
        <v>790</v>
      </c>
      <c r="D86" t="b">
        <f t="shared" si="2"/>
        <v>0</v>
      </c>
    </row>
    <row r="87" spans="1:5" x14ac:dyDescent="0.25">
      <c r="A87" t="s">
        <v>43</v>
      </c>
      <c r="B87" s="5" t="s">
        <v>713</v>
      </c>
      <c r="C87" s="5" t="s">
        <v>713</v>
      </c>
      <c r="D87" t="b">
        <f t="shared" si="2"/>
        <v>0</v>
      </c>
    </row>
    <row r="88" spans="1:5" x14ac:dyDescent="0.25">
      <c r="A88" t="s">
        <v>43</v>
      </c>
      <c r="B88" s="5" t="s">
        <v>128</v>
      </c>
      <c r="C88" s="5" t="s">
        <v>128</v>
      </c>
      <c r="D88" t="b">
        <f t="shared" si="2"/>
        <v>0</v>
      </c>
    </row>
    <row r="89" spans="1:5" x14ac:dyDescent="0.25">
      <c r="A89" t="s">
        <v>43</v>
      </c>
      <c r="B89" s="5" t="s">
        <v>987</v>
      </c>
      <c r="C89" s="5" t="s">
        <v>987</v>
      </c>
      <c r="D89" t="b">
        <f t="shared" si="2"/>
        <v>0</v>
      </c>
    </row>
    <row r="90" spans="1:5" x14ac:dyDescent="0.25">
      <c r="A90" t="s">
        <v>43</v>
      </c>
      <c r="B90" s="5" t="s">
        <v>796</v>
      </c>
      <c r="C90" s="5" t="s">
        <v>796</v>
      </c>
      <c r="D90" t="b">
        <f t="shared" si="2"/>
        <v>0</v>
      </c>
    </row>
    <row r="91" spans="1:5" x14ac:dyDescent="0.25">
      <c r="A91" t="s">
        <v>43</v>
      </c>
      <c r="B91" s="5" t="s">
        <v>255</v>
      </c>
      <c r="C91" s="5" t="s">
        <v>255</v>
      </c>
      <c r="D91" t="b">
        <f t="shared" si="2"/>
        <v>0</v>
      </c>
    </row>
    <row r="92" spans="1:5" x14ac:dyDescent="0.25">
      <c r="A92" t="s">
        <v>43</v>
      </c>
      <c r="B92" s="5" t="s">
        <v>988</v>
      </c>
      <c r="C92" s="5" t="s">
        <v>988</v>
      </c>
      <c r="D92" t="b">
        <f t="shared" si="2"/>
        <v>0</v>
      </c>
    </row>
    <row r="93" spans="1:5" x14ac:dyDescent="0.25">
      <c r="A93" t="s">
        <v>42</v>
      </c>
      <c r="B93" s="5" t="s">
        <v>989</v>
      </c>
      <c r="C93" s="5" t="s">
        <v>989</v>
      </c>
      <c r="D93" t="b">
        <f t="shared" si="2"/>
        <v>0</v>
      </c>
    </row>
    <row r="94" spans="1:5" x14ac:dyDescent="0.25">
      <c r="A94" t="s">
        <v>42</v>
      </c>
      <c r="B94" s="5" t="s">
        <v>990</v>
      </c>
      <c r="C94" s="5" t="s">
        <v>990</v>
      </c>
      <c r="D94" t="b">
        <f t="shared" si="2"/>
        <v>0</v>
      </c>
    </row>
    <row r="95" spans="1:5" x14ac:dyDescent="0.25">
      <c r="A95" t="s">
        <v>42</v>
      </c>
      <c r="B95" s="5" t="s">
        <v>833</v>
      </c>
      <c r="C95" s="5" t="s">
        <v>833</v>
      </c>
      <c r="D95" t="b">
        <f t="shared" si="2"/>
        <v>0</v>
      </c>
    </row>
    <row r="96" spans="1:5" x14ac:dyDescent="0.25">
      <c r="A96" t="s">
        <v>42</v>
      </c>
      <c r="B96" s="5" t="s">
        <v>991</v>
      </c>
      <c r="C96" s="5" t="s">
        <v>991</v>
      </c>
      <c r="D96" t="b">
        <f t="shared" si="2"/>
        <v>0</v>
      </c>
    </row>
    <row r="97" spans="1:4" x14ac:dyDescent="0.25">
      <c r="A97" t="s">
        <v>42</v>
      </c>
      <c r="B97" s="5" t="s">
        <v>992</v>
      </c>
      <c r="C97" s="5" t="s">
        <v>992</v>
      </c>
      <c r="D97" t="b">
        <f t="shared" si="2"/>
        <v>0</v>
      </c>
    </row>
    <row r="98" spans="1:4" x14ac:dyDescent="0.25">
      <c r="A98" t="s">
        <v>42</v>
      </c>
      <c r="B98" s="5" t="s">
        <v>993</v>
      </c>
      <c r="C98" s="5" t="s">
        <v>993</v>
      </c>
      <c r="D98" t="b">
        <f t="shared" si="2"/>
        <v>0</v>
      </c>
    </row>
    <row r="99" spans="1:4" x14ac:dyDescent="0.25">
      <c r="A99" t="s">
        <v>42</v>
      </c>
      <c r="B99" s="5" t="s">
        <v>994</v>
      </c>
      <c r="C99" s="5" t="s">
        <v>994</v>
      </c>
      <c r="D99" t="b">
        <f t="shared" si="2"/>
        <v>0</v>
      </c>
    </row>
    <row r="100" spans="1:4" x14ac:dyDescent="0.25">
      <c r="A100" t="s">
        <v>42</v>
      </c>
      <c r="B100" s="5" t="s">
        <v>995</v>
      </c>
      <c r="C100" s="5" t="s">
        <v>995</v>
      </c>
      <c r="D100" t="b">
        <f t="shared" si="2"/>
        <v>0</v>
      </c>
    </row>
    <row r="101" spans="1:4" x14ac:dyDescent="0.25">
      <c r="A101" t="s">
        <v>42</v>
      </c>
      <c r="B101" s="5" t="s">
        <v>996</v>
      </c>
      <c r="C101" s="5" t="s">
        <v>996</v>
      </c>
      <c r="D101" t="b">
        <f t="shared" si="2"/>
        <v>0</v>
      </c>
    </row>
    <row r="102" spans="1:4" x14ac:dyDescent="0.25">
      <c r="A102" t="s">
        <v>42</v>
      </c>
      <c r="B102" s="5" t="s">
        <v>1552</v>
      </c>
      <c r="C102" s="5" t="s">
        <v>1552</v>
      </c>
      <c r="D102" t="str">
        <f>IF(B102=C102,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5BEBFE3-E6D6-4FC4-92D8-D7354A7E6D9B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930DD81A-3EC7-424F-9DDD-2BA0B94D6FCF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EC13-7091-4996-9830-3CF40BEC1970}">
  <sheetPr codeName="Planilha14"/>
  <dimension ref="A1:G102"/>
  <sheetViews>
    <sheetView workbookViewId="0">
      <selection activeCell="B58" sqref="B5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603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8</v>
      </c>
    </row>
    <row r="3" spans="1:7" x14ac:dyDescent="0.25">
      <c r="A3" s="24" t="s">
        <v>2031</v>
      </c>
      <c r="B3" s="5" t="s">
        <v>603</v>
      </c>
      <c r="C3" s="5" t="s">
        <v>603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604</v>
      </c>
      <c r="C4" s="5" t="s">
        <v>604</v>
      </c>
      <c r="D4" t="b">
        <f>B4&lt;&gt;C4</f>
        <v>0</v>
      </c>
    </row>
    <row r="5" spans="1:7" x14ac:dyDescent="0.25">
      <c r="A5" t="s">
        <v>35</v>
      </c>
      <c r="B5" s="5" t="s">
        <v>605</v>
      </c>
      <c r="C5" s="5" t="s">
        <v>606</v>
      </c>
      <c r="D5" t="b">
        <f t="shared" ref="D5:D68" si="0">B5&lt;&gt;C5</f>
        <v>1</v>
      </c>
      <c r="F5" s="6" t="s">
        <v>39</v>
      </c>
      <c r="G5" s="1"/>
    </row>
    <row r="6" spans="1:7" x14ac:dyDescent="0.25">
      <c r="A6" t="s">
        <v>35</v>
      </c>
      <c r="B6" s="5" t="s">
        <v>607</v>
      </c>
      <c r="C6" s="5" t="s">
        <v>608</v>
      </c>
      <c r="D6" t="b">
        <f t="shared" si="0"/>
        <v>1</v>
      </c>
      <c r="F6" s="1" t="s">
        <v>35</v>
      </c>
      <c r="G6" s="2">
        <f t="shared" ref="G6:G13" si="1">COUNTIF(A:A,F6)</f>
        <v>34</v>
      </c>
    </row>
    <row r="7" spans="1:7" x14ac:dyDescent="0.25">
      <c r="A7" t="s">
        <v>35</v>
      </c>
      <c r="B7" s="5" t="s">
        <v>349</v>
      </c>
      <c r="C7" s="5" t="s">
        <v>610</v>
      </c>
      <c r="D7" t="b">
        <f t="shared" si="0"/>
        <v>1</v>
      </c>
      <c r="F7" s="3" t="s">
        <v>2031</v>
      </c>
      <c r="G7" s="2">
        <f t="shared" si="1"/>
        <v>1</v>
      </c>
    </row>
    <row r="8" spans="1:7" x14ac:dyDescent="0.25">
      <c r="A8" t="s">
        <v>35</v>
      </c>
      <c r="B8" s="5" t="s">
        <v>611</v>
      </c>
      <c r="C8" s="5" t="s">
        <v>611</v>
      </c>
      <c r="D8" t="b">
        <f t="shared" si="0"/>
        <v>0</v>
      </c>
      <c r="F8" s="1" t="s">
        <v>18</v>
      </c>
      <c r="G8" s="2">
        <f t="shared" si="1"/>
        <v>43</v>
      </c>
    </row>
    <row r="9" spans="1:7" x14ac:dyDescent="0.25">
      <c r="A9" t="s">
        <v>35</v>
      </c>
      <c r="B9" s="5" t="s">
        <v>1647</v>
      </c>
      <c r="C9" s="5" t="s">
        <v>612</v>
      </c>
      <c r="D9" t="b">
        <f t="shared" si="0"/>
        <v>1</v>
      </c>
      <c r="F9" s="1" t="s">
        <v>50</v>
      </c>
      <c r="G9" s="2">
        <f t="shared" si="1"/>
        <v>0</v>
      </c>
    </row>
    <row r="10" spans="1:7" x14ac:dyDescent="0.25">
      <c r="A10" t="s">
        <v>35</v>
      </c>
      <c r="B10" s="5" t="s">
        <v>613</v>
      </c>
      <c r="C10" s="5" t="s">
        <v>613</v>
      </c>
      <c r="D10" t="b">
        <f t="shared" si="0"/>
        <v>0</v>
      </c>
      <c r="F10" s="1" t="s">
        <v>339</v>
      </c>
      <c r="G10" s="2">
        <f t="shared" si="1"/>
        <v>2</v>
      </c>
    </row>
    <row r="11" spans="1:7" x14ac:dyDescent="0.25">
      <c r="A11" t="s">
        <v>35</v>
      </c>
      <c r="B11" s="5" t="s">
        <v>614</v>
      </c>
      <c r="C11" s="5" t="s">
        <v>614</v>
      </c>
      <c r="D11" t="b">
        <f t="shared" si="0"/>
        <v>0</v>
      </c>
      <c r="F11" s="1" t="s">
        <v>151</v>
      </c>
      <c r="G11" s="2">
        <f t="shared" si="1"/>
        <v>7</v>
      </c>
    </row>
    <row r="12" spans="1:7" x14ac:dyDescent="0.25">
      <c r="A12" t="s">
        <v>35</v>
      </c>
      <c r="B12" s="5" t="s">
        <v>615</v>
      </c>
      <c r="C12" s="5" t="s">
        <v>616</v>
      </c>
      <c r="D12" t="b">
        <f t="shared" si="0"/>
        <v>1</v>
      </c>
      <c r="F12" s="1" t="s">
        <v>41</v>
      </c>
      <c r="G12" s="2">
        <f t="shared" si="1"/>
        <v>13</v>
      </c>
    </row>
    <row r="13" spans="1:7" x14ac:dyDescent="0.25">
      <c r="A13" t="s">
        <v>35</v>
      </c>
      <c r="B13" s="5" t="s">
        <v>617</v>
      </c>
      <c r="C13" s="5" t="s">
        <v>617</v>
      </c>
      <c r="D13" t="b">
        <f t="shared" si="0"/>
        <v>0</v>
      </c>
      <c r="F13" s="1" t="s">
        <v>43</v>
      </c>
      <c r="G13" s="2">
        <f t="shared" si="1"/>
        <v>0</v>
      </c>
    </row>
    <row r="14" spans="1:7" x14ac:dyDescent="0.25">
      <c r="A14" t="s">
        <v>35</v>
      </c>
      <c r="B14" s="5" t="s">
        <v>817</v>
      </c>
      <c r="C14" s="5" t="s">
        <v>618</v>
      </c>
      <c r="D14" t="b">
        <f t="shared" si="0"/>
        <v>1</v>
      </c>
    </row>
    <row r="15" spans="1:7" x14ac:dyDescent="0.25">
      <c r="A15" t="s">
        <v>35</v>
      </c>
      <c r="B15" s="5" t="s">
        <v>150</v>
      </c>
      <c r="C15" s="5" t="s">
        <v>150</v>
      </c>
      <c r="D15" t="b">
        <f t="shared" si="0"/>
        <v>0</v>
      </c>
    </row>
    <row r="16" spans="1:7" x14ac:dyDescent="0.25">
      <c r="A16" t="s">
        <v>35</v>
      </c>
      <c r="B16" s="5" t="s">
        <v>38</v>
      </c>
      <c r="C16" s="5" t="s">
        <v>38</v>
      </c>
      <c r="D16" t="b">
        <f t="shared" si="0"/>
        <v>0</v>
      </c>
      <c r="F16" s="7"/>
      <c r="G16" s="2"/>
    </row>
    <row r="17" spans="1:7" x14ac:dyDescent="0.25">
      <c r="A17" t="s">
        <v>35</v>
      </c>
      <c r="B17" s="5" t="s">
        <v>40</v>
      </c>
      <c r="C17" s="5" t="s">
        <v>40</v>
      </c>
      <c r="D17" t="b">
        <f t="shared" si="0"/>
        <v>0</v>
      </c>
      <c r="F17" s="4"/>
      <c r="G17" s="2"/>
    </row>
    <row r="18" spans="1:7" x14ac:dyDescent="0.25">
      <c r="A18" t="s">
        <v>35</v>
      </c>
      <c r="B18" s="5" t="s">
        <v>620</v>
      </c>
      <c r="C18" s="5" t="s">
        <v>620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621</v>
      </c>
      <c r="C19" s="5" t="s">
        <v>621</v>
      </c>
      <c r="D19" t="b">
        <f t="shared" si="0"/>
        <v>0</v>
      </c>
    </row>
    <row r="20" spans="1:7" x14ac:dyDescent="0.25">
      <c r="A20" t="s">
        <v>35</v>
      </c>
      <c r="B20" s="5" t="s">
        <v>622</v>
      </c>
      <c r="C20" s="5" t="s">
        <v>622</v>
      </c>
      <c r="D20" t="b">
        <f t="shared" si="0"/>
        <v>0</v>
      </c>
    </row>
    <row r="21" spans="1:7" x14ac:dyDescent="0.25">
      <c r="A21" t="s">
        <v>35</v>
      </c>
      <c r="B21" s="5" t="s">
        <v>67</v>
      </c>
      <c r="C21" s="5" t="s">
        <v>67</v>
      </c>
      <c r="D21" t="b">
        <f t="shared" si="0"/>
        <v>0</v>
      </c>
    </row>
    <row r="22" spans="1:7" x14ac:dyDescent="0.25">
      <c r="A22" t="s">
        <v>35</v>
      </c>
      <c r="B22" s="5" t="s">
        <v>623</v>
      </c>
      <c r="C22" s="5" t="s">
        <v>623</v>
      </c>
      <c r="D22" t="b">
        <f t="shared" si="0"/>
        <v>0</v>
      </c>
    </row>
    <row r="23" spans="1:7" x14ac:dyDescent="0.25">
      <c r="A23" t="s">
        <v>35</v>
      </c>
      <c r="B23" s="5" t="s">
        <v>624</v>
      </c>
      <c r="C23" s="5" t="s">
        <v>624</v>
      </c>
      <c r="D23" t="b">
        <f t="shared" si="0"/>
        <v>0</v>
      </c>
    </row>
    <row r="24" spans="1:7" x14ac:dyDescent="0.25">
      <c r="A24" t="s">
        <v>35</v>
      </c>
      <c r="B24" s="5" t="s">
        <v>625</v>
      </c>
      <c r="C24" s="5" t="s">
        <v>625</v>
      </c>
      <c r="D24" t="b">
        <f t="shared" si="0"/>
        <v>0</v>
      </c>
    </row>
    <row r="25" spans="1:7" x14ac:dyDescent="0.25">
      <c r="A25" t="s">
        <v>35</v>
      </c>
      <c r="B25" s="5" t="s">
        <v>64</v>
      </c>
      <c r="C25" s="5" t="s">
        <v>64</v>
      </c>
      <c r="D25" t="b">
        <f t="shared" si="0"/>
        <v>0</v>
      </c>
    </row>
    <row r="26" spans="1:7" x14ac:dyDescent="0.25">
      <c r="A26" t="s">
        <v>35</v>
      </c>
      <c r="B26" s="5" t="s">
        <v>63</v>
      </c>
      <c r="C26" s="5" t="s">
        <v>63</v>
      </c>
      <c r="D26" t="b">
        <f t="shared" si="0"/>
        <v>0</v>
      </c>
    </row>
    <row r="27" spans="1:7" x14ac:dyDescent="0.25">
      <c r="A27" t="s">
        <v>35</v>
      </c>
      <c r="B27" s="5" t="s">
        <v>86</v>
      </c>
      <c r="C27" s="5" t="s">
        <v>86</v>
      </c>
      <c r="D27" t="b">
        <f t="shared" si="0"/>
        <v>0</v>
      </c>
    </row>
    <row r="28" spans="1:7" x14ac:dyDescent="0.25">
      <c r="A28" t="s">
        <v>35</v>
      </c>
      <c r="B28" s="5" t="s">
        <v>86</v>
      </c>
      <c r="C28" s="5" t="s">
        <v>86</v>
      </c>
      <c r="D28" t="b">
        <f t="shared" si="0"/>
        <v>0</v>
      </c>
    </row>
    <row r="29" spans="1:7" x14ac:dyDescent="0.25">
      <c r="A29" t="s">
        <v>35</v>
      </c>
      <c r="B29" s="5" t="s">
        <v>84</v>
      </c>
      <c r="C29" s="5" t="s">
        <v>84</v>
      </c>
      <c r="D29" t="b">
        <f t="shared" si="0"/>
        <v>0</v>
      </c>
    </row>
    <row r="30" spans="1:7" x14ac:dyDescent="0.25">
      <c r="A30" t="s">
        <v>35</v>
      </c>
      <c r="B30" s="5" t="s">
        <v>84</v>
      </c>
      <c r="C30" s="5" t="s">
        <v>84</v>
      </c>
      <c r="D30" t="b">
        <f t="shared" si="0"/>
        <v>0</v>
      </c>
    </row>
    <row r="31" spans="1:7" x14ac:dyDescent="0.25">
      <c r="A31" t="s">
        <v>35</v>
      </c>
      <c r="B31" s="5" t="s">
        <v>153</v>
      </c>
      <c r="C31" s="5" t="s">
        <v>153</v>
      </c>
      <c r="D31" t="b">
        <f t="shared" si="0"/>
        <v>0</v>
      </c>
    </row>
    <row r="32" spans="1:7" x14ac:dyDescent="0.25">
      <c r="A32" t="s">
        <v>35</v>
      </c>
      <c r="B32" s="5" t="s">
        <v>153</v>
      </c>
      <c r="C32" s="5" t="s">
        <v>153</v>
      </c>
      <c r="D32" t="b">
        <f t="shared" si="0"/>
        <v>0</v>
      </c>
    </row>
    <row r="33" spans="1:4" x14ac:dyDescent="0.25">
      <c r="A33" t="s">
        <v>35</v>
      </c>
      <c r="B33" s="5" t="s">
        <v>85</v>
      </c>
      <c r="C33" s="5" t="s">
        <v>85</v>
      </c>
      <c r="D33" t="b">
        <f t="shared" si="0"/>
        <v>0</v>
      </c>
    </row>
    <row r="34" spans="1:4" x14ac:dyDescent="0.25">
      <c r="A34" t="s">
        <v>35</v>
      </c>
      <c r="B34" s="5" t="s">
        <v>85</v>
      </c>
      <c r="C34" s="5" t="s">
        <v>85</v>
      </c>
      <c r="D34" t="b">
        <f t="shared" si="0"/>
        <v>0</v>
      </c>
    </row>
    <row r="35" spans="1:4" x14ac:dyDescent="0.25">
      <c r="A35" t="s">
        <v>35</v>
      </c>
      <c r="B35" s="5" t="s">
        <v>85</v>
      </c>
      <c r="C35" s="5" t="s">
        <v>85</v>
      </c>
      <c r="D35" t="b">
        <f t="shared" si="0"/>
        <v>0</v>
      </c>
    </row>
    <row r="36" spans="1:4" x14ac:dyDescent="0.25">
      <c r="A36" t="s">
        <v>35</v>
      </c>
      <c r="B36" s="5" t="s">
        <v>205</v>
      </c>
      <c r="C36" s="5" t="s">
        <v>205</v>
      </c>
      <c r="D36" t="b">
        <f t="shared" si="0"/>
        <v>0</v>
      </c>
    </row>
    <row r="37" spans="1:4" x14ac:dyDescent="0.25">
      <c r="A37" t="s">
        <v>35</v>
      </c>
      <c r="B37" s="5" t="s">
        <v>205</v>
      </c>
      <c r="C37" s="5" t="s">
        <v>205</v>
      </c>
      <c r="D37" t="b">
        <f t="shared" si="0"/>
        <v>0</v>
      </c>
    </row>
    <row r="38" spans="1:4" x14ac:dyDescent="0.25">
      <c r="A38" t="s">
        <v>18</v>
      </c>
      <c r="B38" s="5" t="s">
        <v>626</v>
      </c>
      <c r="C38" s="5" t="s">
        <v>626</v>
      </c>
      <c r="D38" t="b">
        <f t="shared" si="0"/>
        <v>0</v>
      </c>
    </row>
    <row r="39" spans="1:4" x14ac:dyDescent="0.25">
      <c r="A39" t="s">
        <v>18</v>
      </c>
      <c r="B39" s="5" t="s">
        <v>627</v>
      </c>
      <c r="C39" s="5" t="s">
        <v>627</v>
      </c>
      <c r="D39" t="b">
        <f t="shared" si="0"/>
        <v>0</v>
      </c>
    </row>
    <row r="40" spans="1:4" x14ac:dyDescent="0.25">
      <c r="A40" t="s">
        <v>18</v>
      </c>
      <c r="B40" s="5" t="s">
        <v>628</v>
      </c>
      <c r="C40" s="5" t="s">
        <v>628</v>
      </c>
      <c r="D40" t="b">
        <f t="shared" si="0"/>
        <v>0</v>
      </c>
    </row>
    <row r="41" spans="1:4" x14ac:dyDescent="0.25">
      <c r="A41" t="s">
        <v>18</v>
      </c>
      <c r="B41" s="5" t="s">
        <v>629</v>
      </c>
      <c r="C41" s="5" t="s">
        <v>629</v>
      </c>
      <c r="D41" t="b">
        <f t="shared" si="0"/>
        <v>0</v>
      </c>
    </row>
    <row r="42" spans="1:4" x14ac:dyDescent="0.25">
      <c r="A42" t="s">
        <v>18</v>
      </c>
      <c r="B42" s="5" t="s">
        <v>630</v>
      </c>
      <c r="C42" s="5" t="s">
        <v>631</v>
      </c>
      <c r="D42" t="b">
        <f t="shared" si="0"/>
        <v>1</v>
      </c>
    </row>
    <row r="43" spans="1:4" x14ac:dyDescent="0.25">
      <c r="A43" t="s">
        <v>18</v>
      </c>
      <c r="B43" s="5" t="s">
        <v>632</v>
      </c>
      <c r="C43" s="5" t="s">
        <v>632</v>
      </c>
      <c r="D43" t="b">
        <f t="shared" si="0"/>
        <v>0</v>
      </c>
    </row>
    <row r="44" spans="1:4" x14ac:dyDescent="0.25">
      <c r="A44" t="s">
        <v>18</v>
      </c>
      <c r="B44" s="5" t="s">
        <v>633</v>
      </c>
      <c r="C44" s="5" t="s">
        <v>633</v>
      </c>
      <c r="D44" t="b">
        <f t="shared" si="0"/>
        <v>0</v>
      </c>
    </row>
    <row r="45" spans="1:4" x14ac:dyDescent="0.25">
      <c r="A45" t="s">
        <v>18</v>
      </c>
      <c r="B45" s="5" t="s">
        <v>634</v>
      </c>
      <c r="C45" s="5" t="s">
        <v>634</v>
      </c>
      <c r="D45" t="b">
        <f t="shared" si="0"/>
        <v>0</v>
      </c>
    </row>
    <row r="46" spans="1:4" x14ac:dyDescent="0.25">
      <c r="A46" t="s">
        <v>18</v>
      </c>
      <c r="B46" s="5" t="s">
        <v>635</v>
      </c>
      <c r="C46" s="5" t="s">
        <v>635</v>
      </c>
      <c r="D46" t="b">
        <f t="shared" si="0"/>
        <v>0</v>
      </c>
    </row>
    <row r="47" spans="1:4" x14ac:dyDescent="0.25">
      <c r="A47" t="s">
        <v>18</v>
      </c>
      <c r="B47" s="5" t="s">
        <v>636</v>
      </c>
      <c r="C47" s="5" t="s">
        <v>636</v>
      </c>
      <c r="D47" t="b">
        <f t="shared" si="0"/>
        <v>0</v>
      </c>
    </row>
    <row r="48" spans="1:4" x14ac:dyDescent="0.25">
      <c r="A48" t="s">
        <v>18</v>
      </c>
      <c r="B48" s="5" t="s">
        <v>637</v>
      </c>
      <c r="C48" s="5" t="s">
        <v>637</v>
      </c>
      <c r="D48" t="b">
        <f t="shared" si="0"/>
        <v>0</v>
      </c>
    </row>
    <row r="49" spans="1:4" x14ac:dyDescent="0.25">
      <c r="A49" t="s">
        <v>18</v>
      </c>
      <c r="B49" s="5" t="s">
        <v>638</v>
      </c>
      <c r="C49" s="5" t="s">
        <v>638</v>
      </c>
      <c r="D49" t="b">
        <f t="shared" si="0"/>
        <v>0</v>
      </c>
    </row>
    <row r="50" spans="1:4" x14ac:dyDescent="0.25">
      <c r="A50" t="s">
        <v>18</v>
      </c>
      <c r="B50" s="5" t="s">
        <v>639</v>
      </c>
      <c r="C50" s="5" t="s">
        <v>639</v>
      </c>
      <c r="D50" t="b">
        <f t="shared" si="0"/>
        <v>0</v>
      </c>
    </row>
    <row r="51" spans="1:4" x14ac:dyDescent="0.25">
      <c r="A51" t="s">
        <v>18</v>
      </c>
      <c r="B51" s="5" t="s">
        <v>640</v>
      </c>
      <c r="C51" s="5" t="s">
        <v>640</v>
      </c>
      <c r="D51" t="b">
        <f t="shared" si="0"/>
        <v>0</v>
      </c>
    </row>
    <row r="52" spans="1:4" x14ac:dyDescent="0.25">
      <c r="A52" t="s">
        <v>18</v>
      </c>
      <c r="B52" s="5" t="s">
        <v>641</v>
      </c>
      <c r="C52" s="5" t="s">
        <v>641</v>
      </c>
      <c r="D52" t="b">
        <f t="shared" si="0"/>
        <v>0</v>
      </c>
    </row>
    <row r="53" spans="1:4" x14ac:dyDescent="0.25">
      <c r="A53" t="s">
        <v>18</v>
      </c>
      <c r="B53" s="5" t="s">
        <v>642</v>
      </c>
      <c r="C53" s="5" t="s">
        <v>642</v>
      </c>
      <c r="D53" t="b">
        <f t="shared" si="0"/>
        <v>0</v>
      </c>
    </row>
    <row r="54" spans="1:4" x14ac:dyDescent="0.25">
      <c r="A54" t="s">
        <v>18</v>
      </c>
      <c r="B54" s="5" t="s">
        <v>643</v>
      </c>
      <c r="C54" s="5" t="s">
        <v>643</v>
      </c>
      <c r="D54" t="b">
        <f t="shared" si="0"/>
        <v>0</v>
      </c>
    </row>
    <row r="55" spans="1:4" x14ac:dyDescent="0.25">
      <c r="A55" t="s">
        <v>18</v>
      </c>
      <c r="B55" s="5" t="s">
        <v>644</v>
      </c>
      <c r="C55" s="5" t="s">
        <v>644</v>
      </c>
      <c r="D55" t="b">
        <f t="shared" si="0"/>
        <v>0</v>
      </c>
    </row>
    <row r="56" spans="1:4" x14ac:dyDescent="0.25">
      <c r="A56" t="s">
        <v>18</v>
      </c>
      <c r="B56" s="5" t="s">
        <v>645</v>
      </c>
      <c r="C56" s="5" t="s">
        <v>645</v>
      </c>
      <c r="D56" t="b">
        <f t="shared" si="0"/>
        <v>0</v>
      </c>
    </row>
    <row r="57" spans="1:4" x14ac:dyDescent="0.25">
      <c r="A57" t="s">
        <v>18</v>
      </c>
      <c r="B57" s="5" t="s">
        <v>646</v>
      </c>
      <c r="C57" s="5" t="s">
        <v>646</v>
      </c>
      <c r="D57" t="b">
        <f t="shared" si="0"/>
        <v>0</v>
      </c>
    </row>
    <row r="58" spans="1:4" x14ac:dyDescent="0.25">
      <c r="A58" t="s">
        <v>18</v>
      </c>
      <c r="B58" s="5" t="s">
        <v>647</v>
      </c>
      <c r="C58" s="5" t="s">
        <v>647</v>
      </c>
      <c r="D58" t="b">
        <f t="shared" si="0"/>
        <v>0</v>
      </c>
    </row>
    <row r="59" spans="1:4" x14ac:dyDescent="0.25">
      <c r="A59" t="s">
        <v>18</v>
      </c>
      <c r="B59" s="5" t="s">
        <v>648</v>
      </c>
      <c r="C59" s="5" t="s">
        <v>648</v>
      </c>
      <c r="D59" t="b">
        <f t="shared" si="0"/>
        <v>0</v>
      </c>
    </row>
    <row r="60" spans="1:4" x14ac:dyDescent="0.25">
      <c r="A60" t="s">
        <v>18</v>
      </c>
      <c r="B60" s="5" t="s">
        <v>649</v>
      </c>
      <c r="C60" s="5" t="s">
        <v>649</v>
      </c>
      <c r="D60" t="b">
        <f t="shared" si="0"/>
        <v>0</v>
      </c>
    </row>
    <row r="61" spans="1:4" x14ac:dyDescent="0.25">
      <c r="A61" t="s">
        <v>18</v>
      </c>
      <c r="B61" s="5" t="s">
        <v>650</v>
      </c>
      <c r="C61" s="5" t="s">
        <v>650</v>
      </c>
      <c r="D61" t="b">
        <f t="shared" si="0"/>
        <v>0</v>
      </c>
    </row>
    <row r="62" spans="1:4" x14ac:dyDescent="0.25">
      <c r="A62" t="s">
        <v>18</v>
      </c>
      <c r="B62" s="5" t="s">
        <v>651</v>
      </c>
      <c r="C62" s="5" t="s">
        <v>651</v>
      </c>
      <c r="D62" t="b">
        <f t="shared" si="0"/>
        <v>0</v>
      </c>
    </row>
    <row r="63" spans="1:4" x14ac:dyDescent="0.25">
      <c r="A63" t="s">
        <v>18</v>
      </c>
      <c r="B63" s="5" t="s">
        <v>652</v>
      </c>
      <c r="C63" s="5" t="s">
        <v>652</v>
      </c>
      <c r="D63" t="b">
        <f t="shared" si="0"/>
        <v>0</v>
      </c>
    </row>
    <row r="64" spans="1:4" x14ac:dyDescent="0.25">
      <c r="A64" t="s">
        <v>18</v>
      </c>
      <c r="B64" s="5" t="s">
        <v>653</v>
      </c>
      <c r="C64" s="5" t="s">
        <v>653</v>
      </c>
      <c r="D64" t="b">
        <f t="shared" si="0"/>
        <v>0</v>
      </c>
    </row>
    <row r="65" spans="1:4" x14ac:dyDescent="0.25">
      <c r="A65" t="s">
        <v>18</v>
      </c>
      <c r="B65" s="5" t="s">
        <v>654</v>
      </c>
      <c r="C65" s="5" t="s">
        <v>654</v>
      </c>
      <c r="D65" t="b">
        <f t="shared" si="0"/>
        <v>0</v>
      </c>
    </row>
    <row r="66" spans="1:4" x14ac:dyDescent="0.25">
      <c r="A66" t="s">
        <v>18</v>
      </c>
      <c r="B66" s="5" t="s">
        <v>655</v>
      </c>
      <c r="C66" s="5" t="s">
        <v>655</v>
      </c>
      <c r="D66" t="b">
        <f t="shared" si="0"/>
        <v>0</v>
      </c>
    </row>
    <row r="67" spans="1:4" x14ac:dyDescent="0.25">
      <c r="A67" t="s">
        <v>18</v>
      </c>
      <c r="B67" s="5" t="s">
        <v>656</v>
      </c>
      <c r="C67" s="5" t="s">
        <v>656</v>
      </c>
      <c r="D67" t="b">
        <f t="shared" si="0"/>
        <v>0</v>
      </c>
    </row>
    <row r="68" spans="1:4" x14ac:dyDescent="0.25">
      <c r="A68" t="s">
        <v>18</v>
      </c>
      <c r="B68" s="5" t="s">
        <v>657</v>
      </c>
      <c r="C68" s="5" t="s">
        <v>657</v>
      </c>
      <c r="D68" t="b">
        <f t="shared" si="0"/>
        <v>0</v>
      </c>
    </row>
    <row r="69" spans="1:4" x14ac:dyDescent="0.25">
      <c r="A69" t="s">
        <v>18</v>
      </c>
      <c r="B69" s="5" t="s">
        <v>658</v>
      </c>
      <c r="C69" s="5" t="s">
        <v>658</v>
      </c>
      <c r="D69" t="b">
        <f t="shared" ref="D69:D102" si="2">B69&lt;&gt;C69</f>
        <v>0</v>
      </c>
    </row>
    <row r="70" spans="1:4" x14ac:dyDescent="0.25">
      <c r="A70" t="s">
        <v>18</v>
      </c>
      <c r="B70" s="5" t="s">
        <v>659</v>
      </c>
      <c r="C70" s="5" t="s">
        <v>659</v>
      </c>
      <c r="D70" t="b">
        <f t="shared" si="2"/>
        <v>0</v>
      </c>
    </row>
    <row r="71" spans="1:4" x14ac:dyDescent="0.25">
      <c r="A71" t="s">
        <v>18</v>
      </c>
      <c r="B71" s="5" t="s">
        <v>660</v>
      </c>
      <c r="C71" s="5" t="s">
        <v>660</v>
      </c>
      <c r="D71" t="b">
        <f t="shared" si="2"/>
        <v>0</v>
      </c>
    </row>
    <row r="72" spans="1:4" x14ac:dyDescent="0.25">
      <c r="A72" t="s">
        <v>18</v>
      </c>
      <c r="B72" s="5" t="s">
        <v>661</v>
      </c>
      <c r="C72" s="5" t="s">
        <v>661</v>
      </c>
      <c r="D72" t="b">
        <f t="shared" si="2"/>
        <v>0</v>
      </c>
    </row>
    <row r="73" spans="1:4" x14ac:dyDescent="0.25">
      <c r="A73" t="s">
        <v>18</v>
      </c>
      <c r="B73" s="5" t="s">
        <v>662</v>
      </c>
      <c r="C73" s="5" t="s">
        <v>662</v>
      </c>
      <c r="D73" t="b">
        <f t="shared" si="2"/>
        <v>0</v>
      </c>
    </row>
    <row r="74" spans="1:4" x14ac:dyDescent="0.25">
      <c r="A74" t="s">
        <v>18</v>
      </c>
      <c r="B74" s="5" t="s">
        <v>663</v>
      </c>
      <c r="C74" s="5" t="s">
        <v>663</v>
      </c>
      <c r="D74" t="b">
        <f t="shared" si="2"/>
        <v>0</v>
      </c>
    </row>
    <row r="75" spans="1:4" x14ac:dyDescent="0.25">
      <c r="A75" t="s">
        <v>18</v>
      </c>
      <c r="B75" s="5" t="s">
        <v>664</v>
      </c>
      <c r="C75" s="5" t="s">
        <v>664</v>
      </c>
      <c r="D75" t="b">
        <f t="shared" si="2"/>
        <v>0</v>
      </c>
    </row>
    <row r="76" spans="1:4" x14ac:dyDescent="0.25">
      <c r="A76" t="s">
        <v>18</v>
      </c>
      <c r="B76" s="5" t="s">
        <v>665</v>
      </c>
      <c r="C76" s="5" t="s">
        <v>665</v>
      </c>
      <c r="D76" t="b">
        <f t="shared" si="2"/>
        <v>0</v>
      </c>
    </row>
    <row r="77" spans="1:4" x14ac:dyDescent="0.25">
      <c r="A77" t="s">
        <v>18</v>
      </c>
      <c r="B77" s="5" t="s">
        <v>666</v>
      </c>
      <c r="C77" s="5" t="s">
        <v>666</v>
      </c>
      <c r="D77" t="b">
        <f t="shared" si="2"/>
        <v>0</v>
      </c>
    </row>
    <row r="78" spans="1:4" x14ac:dyDescent="0.25">
      <c r="A78" t="s">
        <v>18</v>
      </c>
      <c r="B78" s="5" t="s">
        <v>667</v>
      </c>
      <c r="C78" s="5" t="s">
        <v>667</v>
      </c>
      <c r="D78" t="b">
        <f t="shared" si="2"/>
        <v>0</v>
      </c>
    </row>
    <row r="79" spans="1:4" x14ac:dyDescent="0.25">
      <c r="A79" t="s">
        <v>18</v>
      </c>
      <c r="B79" s="5" t="s">
        <v>668</v>
      </c>
      <c r="C79" s="5" t="s">
        <v>668</v>
      </c>
      <c r="D79" t="b">
        <f t="shared" si="2"/>
        <v>0</v>
      </c>
    </row>
    <row r="80" spans="1:4" x14ac:dyDescent="0.25">
      <c r="A80" t="s">
        <v>18</v>
      </c>
      <c r="B80" s="5" t="s">
        <v>669</v>
      </c>
      <c r="C80" s="5" t="s">
        <v>669</v>
      </c>
      <c r="D80" t="b">
        <f t="shared" si="2"/>
        <v>0</v>
      </c>
    </row>
    <row r="81" spans="1:4" x14ac:dyDescent="0.25">
      <c r="A81" t="s">
        <v>339</v>
      </c>
      <c r="B81" s="5" t="s">
        <v>670</v>
      </c>
      <c r="C81" s="5" t="s">
        <v>670</v>
      </c>
      <c r="D81" t="b">
        <f t="shared" si="2"/>
        <v>0</v>
      </c>
    </row>
    <row r="82" spans="1:4" x14ac:dyDescent="0.25">
      <c r="A82" t="s">
        <v>339</v>
      </c>
      <c r="B82" s="5" t="s">
        <v>671</v>
      </c>
      <c r="C82" s="5" t="s">
        <v>671</v>
      </c>
      <c r="D82" t="b">
        <f t="shared" si="2"/>
        <v>0</v>
      </c>
    </row>
    <row r="83" spans="1:4" x14ac:dyDescent="0.25">
      <c r="A83" t="s">
        <v>151</v>
      </c>
      <c r="B83" s="5" t="s">
        <v>673</v>
      </c>
      <c r="C83" s="5" t="s">
        <v>673</v>
      </c>
      <c r="D83" t="b">
        <f t="shared" si="2"/>
        <v>0</v>
      </c>
    </row>
    <row r="84" spans="1:4" x14ac:dyDescent="0.25">
      <c r="A84" t="s">
        <v>151</v>
      </c>
      <c r="B84" s="5" t="s">
        <v>674</v>
      </c>
      <c r="C84" s="5" t="s">
        <v>674</v>
      </c>
      <c r="D84" t="b">
        <f t="shared" si="2"/>
        <v>0</v>
      </c>
    </row>
    <row r="85" spans="1:4" x14ac:dyDescent="0.25">
      <c r="A85" t="s">
        <v>151</v>
      </c>
      <c r="B85" s="5" t="s">
        <v>675</v>
      </c>
      <c r="C85" s="5" t="s">
        <v>675</v>
      </c>
      <c r="D85" t="b">
        <f t="shared" si="2"/>
        <v>0</v>
      </c>
    </row>
    <row r="86" spans="1:4" x14ac:dyDescent="0.25">
      <c r="A86" t="s">
        <v>151</v>
      </c>
      <c r="B86" s="5" t="s">
        <v>676</v>
      </c>
      <c r="C86" s="5" t="s">
        <v>676</v>
      </c>
      <c r="D86" t="b">
        <f t="shared" si="2"/>
        <v>0</v>
      </c>
    </row>
    <row r="87" spans="1:4" x14ac:dyDescent="0.25">
      <c r="A87" t="s">
        <v>151</v>
      </c>
      <c r="B87" s="5" t="s">
        <v>289</v>
      </c>
      <c r="C87" s="5" t="s">
        <v>289</v>
      </c>
      <c r="D87" t="b">
        <f t="shared" si="2"/>
        <v>0</v>
      </c>
    </row>
    <row r="88" spans="1:4" x14ac:dyDescent="0.25">
      <c r="A88" t="s">
        <v>151</v>
      </c>
      <c r="B88" s="5" t="s">
        <v>677</v>
      </c>
      <c r="C88" s="5" t="s">
        <v>677</v>
      </c>
      <c r="D88" t="b">
        <f t="shared" si="2"/>
        <v>0</v>
      </c>
    </row>
    <row r="89" spans="1:4" x14ac:dyDescent="0.25">
      <c r="A89" t="s">
        <v>151</v>
      </c>
      <c r="B89" s="5" t="s">
        <v>678</v>
      </c>
      <c r="C89" s="5" t="s">
        <v>1923</v>
      </c>
      <c r="D89" t="b">
        <f t="shared" si="2"/>
        <v>1</v>
      </c>
    </row>
    <row r="90" spans="1:4" x14ac:dyDescent="0.25">
      <c r="A90" t="s">
        <v>41</v>
      </c>
      <c r="B90" s="5" t="s">
        <v>155</v>
      </c>
      <c r="C90" s="5" t="s">
        <v>155</v>
      </c>
      <c r="D90" t="b">
        <f t="shared" si="2"/>
        <v>0</v>
      </c>
    </row>
    <row r="91" spans="1:4" x14ac:dyDescent="0.25">
      <c r="A91" t="s">
        <v>41</v>
      </c>
      <c r="B91" s="5" t="s">
        <v>156</v>
      </c>
      <c r="C91" s="5" t="s">
        <v>156</v>
      </c>
      <c r="D91" t="b">
        <f t="shared" si="2"/>
        <v>0</v>
      </c>
    </row>
    <row r="92" spans="1:4" x14ac:dyDescent="0.25">
      <c r="A92" t="s">
        <v>41</v>
      </c>
      <c r="B92" s="5" t="s">
        <v>353</v>
      </c>
      <c r="C92" s="5" t="s">
        <v>353</v>
      </c>
      <c r="D92" t="b">
        <f t="shared" si="2"/>
        <v>0</v>
      </c>
    </row>
    <row r="93" spans="1:4" x14ac:dyDescent="0.25">
      <c r="A93" t="s">
        <v>41</v>
      </c>
      <c r="B93" s="5" t="s">
        <v>352</v>
      </c>
      <c r="C93" s="5" t="s">
        <v>352</v>
      </c>
      <c r="D93" t="b">
        <f t="shared" si="2"/>
        <v>0</v>
      </c>
    </row>
    <row r="94" spans="1:4" x14ac:dyDescent="0.25">
      <c r="A94" t="s">
        <v>41</v>
      </c>
      <c r="B94" s="5" t="s">
        <v>559</v>
      </c>
      <c r="C94" s="5" t="s">
        <v>559</v>
      </c>
      <c r="D94" t="b">
        <f t="shared" si="2"/>
        <v>0</v>
      </c>
    </row>
    <row r="95" spans="1:4" x14ac:dyDescent="0.25">
      <c r="A95" t="s">
        <v>41</v>
      </c>
      <c r="B95" s="5" t="s">
        <v>209</v>
      </c>
      <c r="C95" s="5" t="s">
        <v>209</v>
      </c>
      <c r="D95" t="b">
        <f t="shared" si="2"/>
        <v>0</v>
      </c>
    </row>
    <row r="96" spans="1:4" x14ac:dyDescent="0.25">
      <c r="A96" t="s">
        <v>41</v>
      </c>
      <c r="B96" s="5" t="s">
        <v>210</v>
      </c>
      <c r="C96" s="5" t="s">
        <v>210</v>
      </c>
      <c r="D96" t="b">
        <f t="shared" si="2"/>
        <v>0</v>
      </c>
    </row>
    <row r="97" spans="1:5" x14ac:dyDescent="0.25">
      <c r="A97" t="s">
        <v>41</v>
      </c>
      <c r="B97" s="5" t="s">
        <v>208</v>
      </c>
      <c r="C97" s="5" t="s">
        <v>208</v>
      </c>
      <c r="D97" t="b">
        <f t="shared" si="2"/>
        <v>0</v>
      </c>
    </row>
    <row r="98" spans="1:5" x14ac:dyDescent="0.25">
      <c r="A98" t="s">
        <v>41</v>
      </c>
      <c r="B98" s="23" t="s">
        <v>157</v>
      </c>
      <c r="C98" s="5" t="s">
        <v>157</v>
      </c>
      <c r="D98" t="b">
        <f t="shared" si="2"/>
        <v>0</v>
      </c>
      <c r="E98" t="s">
        <v>672</v>
      </c>
    </row>
    <row r="99" spans="1:5" x14ac:dyDescent="0.25">
      <c r="A99" t="s">
        <v>41</v>
      </c>
      <c r="B99" s="5" t="s">
        <v>558</v>
      </c>
      <c r="C99" s="5" t="s">
        <v>558</v>
      </c>
      <c r="D99" t="b">
        <f t="shared" si="2"/>
        <v>0</v>
      </c>
    </row>
    <row r="100" spans="1:5" x14ac:dyDescent="0.25">
      <c r="A100" t="s">
        <v>41</v>
      </c>
      <c r="B100" s="5" t="s">
        <v>207</v>
      </c>
      <c r="C100" s="5" t="s">
        <v>207</v>
      </c>
      <c r="D100" t="b">
        <f t="shared" si="2"/>
        <v>0</v>
      </c>
    </row>
    <row r="101" spans="1:5" x14ac:dyDescent="0.25">
      <c r="A101" t="s">
        <v>41</v>
      </c>
      <c r="B101" s="5" t="s">
        <v>679</v>
      </c>
      <c r="C101" s="5" t="s">
        <v>679</v>
      </c>
      <c r="D101" t="b">
        <f t="shared" si="2"/>
        <v>0</v>
      </c>
    </row>
    <row r="102" spans="1:5" x14ac:dyDescent="0.25">
      <c r="A102" t="s">
        <v>41</v>
      </c>
      <c r="B102" s="5" t="s">
        <v>87</v>
      </c>
      <c r="C102" s="5" t="s">
        <v>87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AFFC568-BA36-4C0F-9257-5FF4071AE4C6}">
            <xm:f>ISERROR(SEARCH(A3,B3))</xm:f>
            <xm:f>A3</xm:f>
            <x14:dxf>
              <fill>
                <patternFill>
                  <bgColor theme="5" tint="0.79998168889431442"/>
                </patternFill>
              </fill>
            </x14:dxf>
          </x14:cfRule>
          <xm:sqref>B3 C3:C102</xm:sqref>
        </x14:conditionalFormatting>
        <x14:conditionalFormatting xmlns:xm="http://schemas.microsoft.com/office/excel/2006/main">
          <x14:cfRule type="notContainsText" priority="2" operator="notContains" id="{C941FAB0-61E3-409C-99C6-EDB229A1A490}">
            <xm:f>ISERROR(SEARCH(C4,B4))</xm:f>
            <xm:f>C4</xm:f>
            <x14:dxf>
              <fill>
                <patternFill>
                  <bgColor theme="5" tint="0.79998168889431442"/>
                </patternFill>
              </fill>
            </x14:dxf>
          </x14:cfRule>
          <xm:sqref>B4:B102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49CC-A81D-48AA-B5E1-4D8000409296}">
  <dimension ref="A1:G102"/>
  <sheetViews>
    <sheetView topLeftCell="A69" workbookViewId="0">
      <selection activeCell="C3" sqref="C3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2191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94</v>
      </c>
    </row>
    <row r="3" spans="1:7" x14ac:dyDescent="0.25">
      <c r="A3" s="24" t="s">
        <v>2031</v>
      </c>
      <c r="B3" s="23"/>
      <c r="C3" s="5" t="s">
        <v>2185</v>
      </c>
      <c r="D3" t="b">
        <f>B3&lt;&gt;C3</f>
        <v>1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23" t="s">
        <v>2188</v>
      </c>
      <c r="C4" s="5" t="s">
        <v>2188</v>
      </c>
      <c r="D4" t="b">
        <f>B4&lt;&gt;C4</f>
        <v>0</v>
      </c>
    </row>
    <row r="5" spans="1:7" x14ac:dyDescent="0.25">
      <c r="A5" t="s">
        <v>35</v>
      </c>
      <c r="B5" s="23" t="s">
        <v>2189</v>
      </c>
      <c r="C5" s="5" t="s">
        <v>2189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23" t="s">
        <v>2190</v>
      </c>
      <c r="C6" s="5" t="s">
        <v>2190</v>
      </c>
      <c r="D6" t="b">
        <f t="shared" si="0"/>
        <v>0</v>
      </c>
      <c r="F6" s="7" t="s">
        <v>2031</v>
      </c>
      <c r="G6" s="2">
        <f t="shared" ref="G6:G16" si="1">COUNTIF(A:A,F6)</f>
        <v>1</v>
      </c>
    </row>
    <row r="7" spans="1:7" x14ac:dyDescent="0.25">
      <c r="A7" t="s">
        <v>35</v>
      </c>
      <c r="B7" s="5"/>
      <c r="C7" s="5" t="s">
        <v>327</v>
      </c>
      <c r="D7" t="b">
        <f t="shared" si="0"/>
        <v>1</v>
      </c>
      <c r="F7" s="3" t="s">
        <v>35</v>
      </c>
      <c r="G7" s="2">
        <f t="shared" si="1"/>
        <v>33</v>
      </c>
    </row>
    <row r="8" spans="1:7" x14ac:dyDescent="0.25">
      <c r="A8" t="s">
        <v>35</v>
      </c>
      <c r="B8" s="5"/>
      <c r="C8" s="5" t="s">
        <v>326</v>
      </c>
      <c r="D8" t="b">
        <f t="shared" si="0"/>
        <v>1</v>
      </c>
      <c r="F8" s="7" t="s">
        <v>41</v>
      </c>
      <c r="G8" s="2">
        <f t="shared" si="1"/>
        <v>10</v>
      </c>
    </row>
    <row r="9" spans="1:7" x14ac:dyDescent="0.25">
      <c r="A9" t="s">
        <v>35</v>
      </c>
      <c r="B9" s="5"/>
      <c r="C9" s="5" t="s">
        <v>329</v>
      </c>
      <c r="D9" t="b">
        <f t="shared" si="0"/>
        <v>1</v>
      </c>
      <c r="F9" s="7" t="s">
        <v>42</v>
      </c>
      <c r="G9" s="2">
        <f t="shared" si="1"/>
        <v>10</v>
      </c>
    </row>
    <row r="10" spans="1:7" x14ac:dyDescent="0.25">
      <c r="A10" t="s">
        <v>35</v>
      </c>
      <c r="B10" s="5"/>
      <c r="C10" s="5" t="s">
        <v>330</v>
      </c>
      <c r="D10" t="b">
        <f t="shared" si="0"/>
        <v>1</v>
      </c>
      <c r="F10" s="7" t="s">
        <v>68</v>
      </c>
      <c r="G10" s="2">
        <f t="shared" si="1"/>
        <v>4</v>
      </c>
    </row>
    <row r="11" spans="1:7" x14ac:dyDescent="0.25">
      <c r="A11" t="s">
        <v>35</v>
      </c>
      <c r="B11" s="5"/>
      <c r="C11" s="5" t="s">
        <v>2246</v>
      </c>
      <c r="D11" t="b">
        <f t="shared" si="0"/>
        <v>1</v>
      </c>
      <c r="F11" s="7" t="s">
        <v>2187</v>
      </c>
      <c r="G11" s="2">
        <f t="shared" si="1"/>
        <v>16</v>
      </c>
    </row>
    <row r="12" spans="1:7" x14ac:dyDescent="0.25">
      <c r="A12" t="s">
        <v>35</v>
      </c>
      <c r="B12" s="5"/>
      <c r="C12" s="5" t="s">
        <v>552</v>
      </c>
      <c r="D12" t="b">
        <f t="shared" si="0"/>
        <v>1</v>
      </c>
      <c r="F12" s="7" t="s">
        <v>2192</v>
      </c>
      <c r="G12" s="2">
        <f t="shared" si="1"/>
        <v>6</v>
      </c>
    </row>
    <row r="13" spans="1:7" x14ac:dyDescent="0.25">
      <c r="A13" t="s">
        <v>35</v>
      </c>
      <c r="B13" s="5"/>
      <c r="C13" s="5" t="s">
        <v>2247</v>
      </c>
      <c r="D13" t="b">
        <f t="shared" si="0"/>
        <v>1</v>
      </c>
      <c r="F13" s="7" t="s">
        <v>151</v>
      </c>
      <c r="G13" s="2">
        <f t="shared" si="1"/>
        <v>4</v>
      </c>
    </row>
    <row r="14" spans="1:7" x14ac:dyDescent="0.25">
      <c r="A14" t="s">
        <v>35</v>
      </c>
      <c r="B14" s="5"/>
      <c r="C14" s="5" t="s">
        <v>542</v>
      </c>
      <c r="D14" t="b">
        <f t="shared" si="0"/>
        <v>1</v>
      </c>
      <c r="F14" s="3" t="s">
        <v>2255</v>
      </c>
      <c r="G14" s="2">
        <f t="shared" si="1"/>
        <v>8</v>
      </c>
    </row>
    <row r="15" spans="1:7" x14ac:dyDescent="0.25">
      <c r="A15" t="s">
        <v>35</v>
      </c>
      <c r="B15" s="5"/>
      <c r="C15" s="5" t="s">
        <v>142</v>
      </c>
      <c r="D15" t="b">
        <f t="shared" si="0"/>
        <v>1</v>
      </c>
      <c r="F15" s="3" t="s">
        <v>2256</v>
      </c>
      <c r="G15" s="2">
        <f t="shared" si="1"/>
        <v>4</v>
      </c>
    </row>
    <row r="16" spans="1:7" x14ac:dyDescent="0.25">
      <c r="A16" t="s">
        <v>35</v>
      </c>
      <c r="B16" s="5"/>
      <c r="C16" s="5" t="s">
        <v>2237</v>
      </c>
      <c r="D16" t="b">
        <f t="shared" si="0"/>
        <v>1</v>
      </c>
      <c r="F16" s="7" t="s">
        <v>66</v>
      </c>
      <c r="G16" s="2">
        <f t="shared" si="1"/>
        <v>4</v>
      </c>
    </row>
    <row r="17" spans="1:7" x14ac:dyDescent="0.25">
      <c r="A17" t="s">
        <v>35</v>
      </c>
      <c r="B17" s="5"/>
      <c r="C17" s="5" t="s">
        <v>261</v>
      </c>
      <c r="D17" t="b">
        <f t="shared" si="0"/>
        <v>1</v>
      </c>
      <c r="F17" s="4"/>
      <c r="G17" s="2"/>
    </row>
    <row r="18" spans="1:7" x14ac:dyDescent="0.25">
      <c r="A18" t="s">
        <v>35</v>
      </c>
      <c r="B18" s="5"/>
      <c r="C18" s="5" t="s">
        <v>2239</v>
      </c>
      <c r="D18" t="b">
        <f t="shared" si="0"/>
        <v>1</v>
      </c>
      <c r="F18" s="4"/>
      <c r="G18" s="2"/>
    </row>
    <row r="19" spans="1:7" x14ac:dyDescent="0.25">
      <c r="A19" t="s">
        <v>35</v>
      </c>
      <c r="B19" s="5"/>
      <c r="C19" s="5" t="s">
        <v>143</v>
      </c>
      <c r="D19" t="b">
        <f t="shared" si="0"/>
        <v>1</v>
      </c>
    </row>
    <row r="20" spans="1:7" x14ac:dyDescent="0.25">
      <c r="A20" t="s">
        <v>35</v>
      </c>
      <c r="B20" s="5"/>
      <c r="C20" s="5" t="s">
        <v>2240</v>
      </c>
      <c r="D20" t="b">
        <f t="shared" si="0"/>
        <v>1</v>
      </c>
    </row>
    <row r="21" spans="1:7" x14ac:dyDescent="0.25">
      <c r="A21" t="s">
        <v>35</v>
      </c>
      <c r="B21" s="5"/>
      <c r="C21" s="5" t="s">
        <v>2245</v>
      </c>
      <c r="D21" t="b">
        <f t="shared" si="0"/>
        <v>1</v>
      </c>
    </row>
    <row r="22" spans="1:7" x14ac:dyDescent="0.25">
      <c r="A22" t="s">
        <v>35</v>
      </c>
      <c r="B22" s="5"/>
      <c r="C22" s="5" t="s">
        <v>140</v>
      </c>
      <c r="D22" t="b">
        <f t="shared" si="0"/>
        <v>1</v>
      </c>
    </row>
    <row r="23" spans="1:7" x14ac:dyDescent="0.25">
      <c r="A23" t="s">
        <v>35</v>
      </c>
      <c r="B23" s="5"/>
      <c r="C23" s="5" t="s">
        <v>1298</v>
      </c>
      <c r="D23" t="b">
        <f t="shared" si="0"/>
        <v>1</v>
      </c>
    </row>
    <row r="24" spans="1:7" x14ac:dyDescent="0.25">
      <c r="A24" t="s">
        <v>35</v>
      </c>
      <c r="B24" s="5"/>
      <c r="C24" s="5" t="s">
        <v>1823</v>
      </c>
      <c r="D24" t="b">
        <f t="shared" si="0"/>
        <v>1</v>
      </c>
    </row>
    <row r="25" spans="1:7" x14ac:dyDescent="0.25">
      <c r="A25" t="s">
        <v>35</v>
      </c>
      <c r="B25" s="5"/>
      <c r="C25" s="5" t="s">
        <v>2238</v>
      </c>
      <c r="D25" t="b">
        <f t="shared" si="0"/>
        <v>1</v>
      </c>
    </row>
    <row r="26" spans="1:7" x14ac:dyDescent="0.25">
      <c r="A26" t="s">
        <v>35</v>
      </c>
      <c r="B26" s="5"/>
      <c r="C26" s="5" t="s">
        <v>1927</v>
      </c>
      <c r="D26" t="b">
        <f t="shared" si="0"/>
        <v>1</v>
      </c>
    </row>
    <row r="27" spans="1:7" x14ac:dyDescent="0.25">
      <c r="A27" t="s">
        <v>35</v>
      </c>
      <c r="B27" s="5"/>
      <c r="C27" s="5" t="s">
        <v>86</v>
      </c>
      <c r="D27" t="b">
        <f t="shared" si="0"/>
        <v>1</v>
      </c>
    </row>
    <row r="28" spans="1:7" x14ac:dyDescent="0.25">
      <c r="A28" t="s">
        <v>35</v>
      </c>
      <c r="B28" s="5"/>
      <c r="C28" s="5" t="s">
        <v>86</v>
      </c>
      <c r="D28" t="b">
        <f t="shared" si="0"/>
        <v>1</v>
      </c>
    </row>
    <row r="29" spans="1:7" x14ac:dyDescent="0.25">
      <c r="A29" t="s">
        <v>35</v>
      </c>
      <c r="B29" s="5"/>
      <c r="C29" s="5" t="s">
        <v>86</v>
      </c>
      <c r="D29" t="b">
        <f t="shared" si="0"/>
        <v>1</v>
      </c>
    </row>
    <row r="30" spans="1:7" x14ac:dyDescent="0.25">
      <c r="A30" t="s">
        <v>35</v>
      </c>
      <c r="B30" s="5"/>
      <c r="C30" s="5" t="s">
        <v>86</v>
      </c>
      <c r="D30" t="b">
        <f t="shared" si="0"/>
        <v>1</v>
      </c>
    </row>
    <row r="31" spans="1:7" x14ac:dyDescent="0.25">
      <c r="A31" t="s">
        <v>35</v>
      </c>
      <c r="B31" s="5"/>
      <c r="C31" s="5" t="s">
        <v>205</v>
      </c>
      <c r="D31" t="b">
        <f t="shared" si="0"/>
        <v>1</v>
      </c>
    </row>
    <row r="32" spans="1:7" x14ac:dyDescent="0.25">
      <c r="A32" t="s">
        <v>35</v>
      </c>
      <c r="B32" s="5"/>
      <c r="C32" s="5" t="s">
        <v>205</v>
      </c>
      <c r="D32" t="b">
        <f t="shared" si="0"/>
        <v>1</v>
      </c>
    </row>
    <row r="33" spans="1:4" x14ac:dyDescent="0.25">
      <c r="A33" t="s">
        <v>35</v>
      </c>
      <c r="B33" s="5"/>
      <c r="C33" s="5" t="s">
        <v>205</v>
      </c>
      <c r="D33" t="b">
        <f t="shared" si="0"/>
        <v>1</v>
      </c>
    </row>
    <row r="34" spans="1:4" x14ac:dyDescent="0.25">
      <c r="A34" t="s">
        <v>35</v>
      </c>
      <c r="B34" s="5"/>
      <c r="C34" s="5" t="s">
        <v>153</v>
      </c>
      <c r="D34" t="b">
        <f t="shared" si="0"/>
        <v>1</v>
      </c>
    </row>
    <row r="35" spans="1:4" x14ac:dyDescent="0.25">
      <c r="A35" t="s">
        <v>35</v>
      </c>
      <c r="B35" s="5"/>
      <c r="C35" s="5" t="s">
        <v>153</v>
      </c>
      <c r="D35" t="b">
        <f t="shared" si="0"/>
        <v>1</v>
      </c>
    </row>
    <row r="36" spans="1:4" x14ac:dyDescent="0.25">
      <c r="A36" t="s">
        <v>35</v>
      </c>
      <c r="B36" s="5"/>
      <c r="C36" s="5" t="s">
        <v>153</v>
      </c>
      <c r="D36" t="b">
        <f t="shared" si="0"/>
        <v>1</v>
      </c>
    </row>
    <row r="37" spans="1:4" x14ac:dyDescent="0.25">
      <c r="A37" t="s">
        <v>41</v>
      </c>
      <c r="B37" s="5"/>
      <c r="C37" s="5" t="s">
        <v>206</v>
      </c>
      <c r="D37" t="b">
        <f t="shared" si="0"/>
        <v>1</v>
      </c>
    </row>
    <row r="38" spans="1:4" x14ac:dyDescent="0.25">
      <c r="A38" t="s">
        <v>41</v>
      </c>
      <c r="B38" s="5"/>
      <c r="C38" s="5" t="s">
        <v>209</v>
      </c>
      <c r="D38" t="b">
        <f t="shared" si="0"/>
        <v>1</v>
      </c>
    </row>
    <row r="39" spans="1:4" x14ac:dyDescent="0.25">
      <c r="A39" t="s">
        <v>41</v>
      </c>
      <c r="B39" s="5"/>
      <c r="C39" s="5" t="s">
        <v>155</v>
      </c>
      <c r="D39" t="b">
        <f t="shared" si="0"/>
        <v>1</v>
      </c>
    </row>
    <row r="40" spans="1:4" x14ac:dyDescent="0.25">
      <c r="A40" t="s">
        <v>41</v>
      </c>
      <c r="B40" s="5"/>
      <c r="C40" s="5" t="s">
        <v>352</v>
      </c>
      <c r="D40" t="b">
        <f t="shared" si="0"/>
        <v>1</v>
      </c>
    </row>
    <row r="41" spans="1:4" x14ac:dyDescent="0.25">
      <c r="A41" t="s">
        <v>41</v>
      </c>
      <c r="B41" s="5"/>
      <c r="C41" s="5" t="s">
        <v>207</v>
      </c>
      <c r="D41" t="b">
        <f t="shared" si="0"/>
        <v>1</v>
      </c>
    </row>
    <row r="42" spans="1:4" x14ac:dyDescent="0.25">
      <c r="A42" t="s">
        <v>41</v>
      </c>
      <c r="B42" s="5"/>
      <c r="C42" s="5" t="s">
        <v>2195</v>
      </c>
      <c r="D42" t="b">
        <f t="shared" si="0"/>
        <v>1</v>
      </c>
    </row>
    <row r="43" spans="1:4" x14ac:dyDescent="0.25">
      <c r="A43" t="s">
        <v>41</v>
      </c>
      <c r="B43" s="5"/>
      <c r="C43" s="5" t="s">
        <v>2194</v>
      </c>
      <c r="D43" t="b">
        <f t="shared" si="0"/>
        <v>1</v>
      </c>
    </row>
    <row r="44" spans="1:4" x14ac:dyDescent="0.25">
      <c r="A44" t="s">
        <v>41</v>
      </c>
      <c r="B44" s="5"/>
      <c r="C44" s="5" t="s">
        <v>1229</v>
      </c>
      <c r="D44" t="b">
        <f t="shared" si="0"/>
        <v>1</v>
      </c>
    </row>
    <row r="45" spans="1:4" x14ac:dyDescent="0.25">
      <c r="A45" t="s">
        <v>41</v>
      </c>
      <c r="B45" s="5"/>
      <c r="C45" s="5" t="s">
        <v>92</v>
      </c>
      <c r="D45" t="b">
        <f t="shared" si="0"/>
        <v>1</v>
      </c>
    </row>
    <row r="46" spans="1:4" x14ac:dyDescent="0.25">
      <c r="A46" t="s">
        <v>41</v>
      </c>
      <c r="B46" s="5"/>
      <c r="C46" s="5" t="s">
        <v>2219</v>
      </c>
      <c r="D46" t="b">
        <f t="shared" si="0"/>
        <v>1</v>
      </c>
    </row>
    <row r="47" spans="1:4" x14ac:dyDescent="0.25">
      <c r="A47" t="s">
        <v>42</v>
      </c>
      <c r="B47" s="5"/>
      <c r="C47" s="5" t="s">
        <v>2241</v>
      </c>
      <c r="D47" t="b">
        <f t="shared" si="0"/>
        <v>1</v>
      </c>
    </row>
    <row r="48" spans="1:4" x14ac:dyDescent="0.25">
      <c r="A48" t="s">
        <v>42</v>
      </c>
      <c r="B48" s="5"/>
      <c r="C48" s="5" t="s">
        <v>2205</v>
      </c>
      <c r="D48" t="b">
        <f t="shared" si="0"/>
        <v>1</v>
      </c>
    </row>
    <row r="49" spans="1:4" x14ac:dyDescent="0.25">
      <c r="A49" t="s">
        <v>42</v>
      </c>
      <c r="B49" s="5"/>
      <c r="C49" s="5" t="s">
        <v>1925</v>
      </c>
      <c r="D49" t="b">
        <f t="shared" si="0"/>
        <v>1</v>
      </c>
    </row>
    <row r="50" spans="1:4" x14ac:dyDescent="0.25">
      <c r="A50" t="s">
        <v>42</v>
      </c>
      <c r="B50" s="5"/>
      <c r="C50" s="5" t="s">
        <v>2235</v>
      </c>
      <c r="D50" t="b">
        <f t="shared" si="0"/>
        <v>1</v>
      </c>
    </row>
    <row r="51" spans="1:4" x14ac:dyDescent="0.25">
      <c r="A51" t="s">
        <v>42</v>
      </c>
      <c r="B51" s="5"/>
      <c r="C51" s="5" t="s">
        <v>2233</v>
      </c>
      <c r="D51" t="b">
        <f t="shared" si="0"/>
        <v>1</v>
      </c>
    </row>
    <row r="52" spans="1:4" x14ac:dyDescent="0.25">
      <c r="A52" t="s">
        <v>42</v>
      </c>
      <c r="B52" s="5"/>
      <c r="C52" s="5" t="s">
        <v>2228</v>
      </c>
      <c r="D52" t="b">
        <f t="shared" si="0"/>
        <v>1</v>
      </c>
    </row>
    <row r="53" spans="1:4" x14ac:dyDescent="0.25">
      <c r="A53" t="s">
        <v>42</v>
      </c>
      <c r="B53" s="5"/>
      <c r="C53" s="5" t="s">
        <v>2236</v>
      </c>
      <c r="D53" t="b">
        <f t="shared" si="0"/>
        <v>1</v>
      </c>
    </row>
    <row r="54" spans="1:4" x14ac:dyDescent="0.25">
      <c r="A54" t="s">
        <v>42</v>
      </c>
      <c r="B54" s="5"/>
      <c r="C54" s="5" t="s">
        <v>1945</v>
      </c>
      <c r="D54" t="b">
        <f t="shared" si="0"/>
        <v>1</v>
      </c>
    </row>
    <row r="55" spans="1:4" x14ac:dyDescent="0.25">
      <c r="A55" t="s">
        <v>42</v>
      </c>
      <c r="B55" s="5"/>
      <c r="C55" s="5" t="s">
        <v>1706</v>
      </c>
      <c r="D55" t="b">
        <f t="shared" si="0"/>
        <v>1</v>
      </c>
    </row>
    <row r="56" spans="1:4" x14ac:dyDescent="0.25">
      <c r="A56" t="s">
        <v>42</v>
      </c>
      <c r="B56" s="5"/>
      <c r="C56" s="5" t="s">
        <v>2197</v>
      </c>
      <c r="D56" t="b">
        <f t="shared" si="0"/>
        <v>1</v>
      </c>
    </row>
    <row r="57" spans="1:4" x14ac:dyDescent="0.25">
      <c r="A57" t="s">
        <v>68</v>
      </c>
      <c r="B57" s="5"/>
      <c r="C57" s="5" t="s">
        <v>1384</v>
      </c>
      <c r="D57" t="b">
        <f t="shared" si="0"/>
        <v>1</v>
      </c>
    </row>
    <row r="58" spans="1:4" x14ac:dyDescent="0.25">
      <c r="A58" t="s">
        <v>68</v>
      </c>
      <c r="B58" s="5"/>
      <c r="C58" s="5" t="s">
        <v>1834</v>
      </c>
      <c r="D58" t="b">
        <f t="shared" si="0"/>
        <v>1</v>
      </c>
    </row>
    <row r="59" spans="1:4" x14ac:dyDescent="0.25">
      <c r="A59" t="s">
        <v>68</v>
      </c>
      <c r="B59" s="5"/>
      <c r="C59" s="5" t="s">
        <v>363</v>
      </c>
      <c r="D59" t="b">
        <f t="shared" si="0"/>
        <v>1</v>
      </c>
    </row>
    <row r="60" spans="1:4" x14ac:dyDescent="0.25">
      <c r="A60" t="s">
        <v>68</v>
      </c>
      <c r="B60" s="5"/>
      <c r="C60" s="5" t="s">
        <v>129</v>
      </c>
      <c r="D60" t="b">
        <f t="shared" si="0"/>
        <v>1</v>
      </c>
    </row>
    <row r="61" spans="1:4" x14ac:dyDescent="0.25">
      <c r="A61" t="s">
        <v>66</v>
      </c>
      <c r="B61" s="5"/>
      <c r="C61" s="5" t="s">
        <v>2244</v>
      </c>
      <c r="D61" t="b">
        <f t="shared" si="0"/>
        <v>1</v>
      </c>
    </row>
    <row r="62" spans="1:4" x14ac:dyDescent="0.25">
      <c r="A62" t="s">
        <v>66</v>
      </c>
      <c r="B62" s="5"/>
      <c r="C62" s="5" t="s">
        <v>2243</v>
      </c>
      <c r="D62" t="b">
        <f t="shared" si="0"/>
        <v>1</v>
      </c>
    </row>
    <row r="63" spans="1:4" x14ac:dyDescent="0.25">
      <c r="A63" t="s">
        <v>66</v>
      </c>
      <c r="B63" s="5"/>
      <c r="C63" s="5" t="s">
        <v>709</v>
      </c>
      <c r="D63" t="b">
        <f t="shared" si="0"/>
        <v>1</v>
      </c>
    </row>
    <row r="64" spans="1:4" x14ac:dyDescent="0.25">
      <c r="A64" t="s">
        <v>66</v>
      </c>
      <c r="B64" s="5"/>
      <c r="C64" s="5" t="s">
        <v>2234</v>
      </c>
      <c r="D64" t="b">
        <f t="shared" si="0"/>
        <v>1</v>
      </c>
    </row>
    <row r="65" spans="1:4" x14ac:dyDescent="0.25">
      <c r="A65" t="s">
        <v>2187</v>
      </c>
      <c r="B65" s="5"/>
      <c r="C65" s="5" t="s">
        <v>2229</v>
      </c>
      <c r="D65" t="b">
        <f t="shared" si="0"/>
        <v>1</v>
      </c>
    </row>
    <row r="66" spans="1:4" x14ac:dyDescent="0.25">
      <c r="A66" t="s">
        <v>2187</v>
      </c>
      <c r="B66" s="5"/>
      <c r="C66" s="5" t="s">
        <v>2230</v>
      </c>
      <c r="D66" t="b">
        <f t="shared" si="0"/>
        <v>1</v>
      </c>
    </row>
    <row r="67" spans="1:4" x14ac:dyDescent="0.25">
      <c r="A67" t="s">
        <v>2187</v>
      </c>
      <c r="B67" s="5"/>
      <c r="C67" s="5" t="s">
        <v>2196</v>
      </c>
      <c r="D67" t="b">
        <f t="shared" si="0"/>
        <v>1</v>
      </c>
    </row>
    <row r="68" spans="1:4" x14ac:dyDescent="0.25">
      <c r="A68" t="s">
        <v>2187</v>
      </c>
      <c r="B68" s="5"/>
      <c r="C68" s="5" t="s">
        <v>2198</v>
      </c>
      <c r="D68" t="b">
        <f t="shared" si="0"/>
        <v>1</v>
      </c>
    </row>
    <row r="69" spans="1:4" x14ac:dyDescent="0.25">
      <c r="A69" t="s">
        <v>2187</v>
      </c>
      <c r="B69" s="5"/>
      <c r="C69" s="5" t="s">
        <v>2201</v>
      </c>
      <c r="D69" t="b">
        <f t="shared" ref="D69:D102" si="2">B69&lt;&gt;C69</f>
        <v>1</v>
      </c>
    </row>
    <row r="70" spans="1:4" x14ac:dyDescent="0.25">
      <c r="A70" t="s">
        <v>2187</v>
      </c>
      <c r="B70" s="5"/>
      <c r="C70" s="5" t="s">
        <v>2221</v>
      </c>
      <c r="D70" t="b">
        <f t="shared" si="2"/>
        <v>1</v>
      </c>
    </row>
    <row r="71" spans="1:4" x14ac:dyDescent="0.25">
      <c r="A71" t="s">
        <v>2187</v>
      </c>
      <c r="B71" s="5"/>
      <c r="C71" s="5" t="s">
        <v>2223</v>
      </c>
      <c r="D71" t="b">
        <f t="shared" si="2"/>
        <v>1</v>
      </c>
    </row>
    <row r="72" spans="1:4" x14ac:dyDescent="0.25">
      <c r="A72" t="s">
        <v>2187</v>
      </c>
      <c r="B72" s="5"/>
      <c r="C72" s="5" t="s">
        <v>2222</v>
      </c>
      <c r="D72" t="b">
        <f t="shared" si="2"/>
        <v>1</v>
      </c>
    </row>
    <row r="73" spans="1:4" x14ac:dyDescent="0.25">
      <c r="A73" t="s">
        <v>2187</v>
      </c>
      <c r="B73" s="5"/>
      <c r="C73" s="5" t="s">
        <v>2224</v>
      </c>
      <c r="D73" t="b">
        <f t="shared" si="2"/>
        <v>1</v>
      </c>
    </row>
    <row r="74" spans="1:4" x14ac:dyDescent="0.25">
      <c r="A74" t="s">
        <v>2187</v>
      </c>
      <c r="B74" s="5"/>
      <c r="C74" s="5" t="s">
        <v>2225</v>
      </c>
      <c r="D74" t="b">
        <f t="shared" si="2"/>
        <v>1</v>
      </c>
    </row>
    <row r="75" spans="1:4" x14ac:dyDescent="0.25">
      <c r="A75" t="s">
        <v>2187</v>
      </c>
      <c r="B75" s="5"/>
      <c r="C75" s="5" t="s">
        <v>2227</v>
      </c>
      <c r="D75" t="b">
        <f t="shared" si="2"/>
        <v>1</v>
      </c>
    </row>
    <row r="76" spans="1:4" x14ac:dyDescent="0.25">
      <c r="A76" t="s">
        <v>2187</v>
      </c>
      <c r="B76" s="5"/>
      <c r="C76" s="5" t="s">
        <v>2226</v>
      </c>
      <c r="D76" t="b">
        <f t="shared" si="2"/>
        <v>1</v>
      </c>
    </row>
    <row r="77" spans="1:4" x14ac:dyDescent="0.25">
      <c r="A77" t="s">
        <v>2187</v>
      </c>
      <c r="B77" s="5"/>
      <c r="C77" s="5" t="s">
        <v>583</v>
      </c>
      <c r="D77" t="b">
        <f t="shared" si="2"/>
        <v>1</v>
      </c>
    </row>
    <row r="78" spans="1:4" x14ac:dyDescent="0.25">
      <c r="A78" t="s">
        <v>2187</v>
      </c>
      <c r="B78" s="5"/>
      <c r="C78" s="5" t="s">
        <v>2202</v>
      </c>
      <c r="D78" t="b">
        <f t="shared" si="2"/>
        <v>1</v>
      </c>
    </row>
    <row r="79" spans="1:4" x14ac:dyDescent="0.25">
      <c r="A79" t="s">
        <v>2187</v>
      </c>
      <c r="B79" s="5"/>
      <c r="C79" s="5" t="s">
        <v>2217</v>
      </c>
      <c r="D79" t="b">
        <f t="shared" si="2"/>
        <v>1</v>
      </c>
    </row>
    <row r="80" spans="1:4" x14ac:dyDescent="0.25">
      <c r="A80" t="s">
        <v>2187</v>
      </c>
      <c r="B80" s="5"/>
      <c r="C80" s="5" t="s">
        <v>398</v>
      </c>
      <c r="D80" t="b">
        <f t="shared" si="2"/>
        <v>1</v>
      </c>
    </row>
    <row r="81" spans="1:6" x14ac:dyDescent="0.25">
      <c r="A81" t="s">
        <v>2192</v>
      </c>
      <c r="B81" s="5"/>
      <c r="C81" s="5" t="s">
        <v>2193</v>
      </c>
      <c r="D81" t="b">
        <f t="shared" si="2"/>
        <v>1</v>
      </c>
    </row>
    <row r="82" spans="1:6" x14ac:dyDescent="0.25">
      <c r="A82" t="s">
        <v>2192</v>
      </c>
      <c r="B82" s="5"/>
      <c r="C82" s="5" t="s">
        <v>1816</v>
      </c>
      <c r="D82" t="b">
        <f t="shared" si="2"/>
        <v>1</v>
      </c>
    </row>
    <row r="83" spans="1:6" x14ac:dyDescent="0.25">
      <c r="A83" t="s">
        <v>2192</v>
      </c>
      <c r="B83" s="5"/>
      <c r="C83" s="5" t="s">
        <v>2203</v>
      </c>
      <c r="D83" t="b">
        <f t="shared" si="2"/>
        <v>1</v>
      </c>
    </row>
    <row r="84" spans="1:6" x14ac:dyDescent="0.25">
      <c r="A84" t="s">
        <v>2192</v>
      </c>
      <c r="B84" s="5"/>
      <c r="C84" s="5" t="s">
        <v>2204</v>
      </c>
      <c r="D84" t="b">
        <f t="shared" si="2"/>
        <v>1</v>
      </c>
    </row>
    <row r="85" spans="1:6" x14ac:dyDescent="0.25">
      <c r="A85" t="s">
        <v>2192</v>
      </c>
      <c r="B85" s="5"/>
      <c r="C85" s="5" t="s">
        <v>1929</v>
      </c>
      <c r="D85" t="b">
        <f t="shared" si="2"/>
        <v>1</v>
      </c>
    </row>
    <row r="86" spans="1:6" x14ac:dyDescent="0.25">
      <c r="A86" t="s">
        <v>2192</v>
      </c>
      <c r="B86" s="5"/>
      <c r="C86" s="5" t="s">
        <v>2200</v>
      </c>
      <c r="D86" t="b">
        <f t="shared" si="2"/>
        <v>1</v>
      </c>
    </row>
    <row r="87" spans="1:6" x14ac:dyDescent="0.25">
      <c r="A87" t="s">
        <v>151</v>
      </c>
      <c r="B87" s="5"/>
      <c r="C87" s="5" t="s">
        <v>2242</v>
      </c>
      <c r="D87" t="b">
        <f t="shared" si="2"/>
        <v>1</v>
      </c>
    </row>
    <row r="88" spans="1:6" x14ac:dyDescent="0.25">
      <c r="A88" t="s">
        <v>151</v>
      </c>
      <c r="B88" s="5"/>
      <c r="C88" s="5" t="s">
        <v>248</v>
      </c>
      <c r="D88" t="b">
        <f t="shared" si="2"/>
        <v>1</v>
      </c>
    </row>
    <row r="89" spans="1:6" x14ac:dyDescent="0.25">
      <c r="A89" t="s">
        <v>151</v>
      </c>
      <c r="B89" s="5"/>
      <c r="C89" s="5" t="s">
        <v>2253</v>
      </c>
      <c r="D89" t="b">
        <f t="shared" si="2"/>
        <v>1</v>
      </c>
    </row>
    <row r="90" spans="1:6" x14ac:dyDescent="0.25">
      <c r="A90" t="s">
        <v>151</v>
      </c>
      <c r="B90" s="5"/>
      <c r="C90" s="5" t="s">
        <v>2206</v>
      </c>
      <c r="D90" t="b">
        <f t="shared" si="2"/>
        <v>1</v>
      </c>
    </row>
    <row r="91" spans="1:6" x14ac:dyDescent="0.25">
      <c r="A91" t="s">
        <v>2255</v>
      </c>
      <c r="B91" s="5"/>
      <c r="C91" s="5"/>
      <c r="D91" t="b">
        <f t="shared" si="2"/>
        <v>0</v>
      </c>
      <c r="F91" s="3" t="s">
        <v>2199</v>
      </c>
    </row>
    <row r="92" spans="1:6" x14ac:dyDescent="0.25">
      <c r="A92" t="s">
        <v>2255</v>
      </c>
      <c r="B92" s="5"/>
      <c r="C92" s="5"/>
      <c r="D92" t="b">
        <f t="shared" si="2"/>
        <v>0</v>
      </c>
    </row>
    <row r="93" spans="1:6" x14ac:dyDescent="0.25">
      <c r="A93" t="s">
        <v>2255</v>
      </c>
      <c r="B93" s="5"/>
      <c r="C93" s="5"/>
      <c r="D93" t="b">
        <f t="shared" si="2"/>
        <v>0</v>
      </c>
    </row>
    <row r="94" spans="1:6" x14ac:dyDescent="0.25">
      <c r="A94" t="s">
        <v>2255</v>
      </c>
      <c r="B94" s="5"/>
      <c r="C94" s="5" t="s">
        <v>2250</v>
      </c>
      <c r="D94" t="b">
        <f t="shared" si="2"/>
        <v>1</v>
      </c>
    </row>
    <row r="95" spans="1:6" x14ac:dyDescent="0.25">
      <c r="A95" t="s">
        <v>2255</v>
      </c>
      <c r="B95" s="5"/>
      <c r="C95" s="5" t="s">
        <v>2251</v>
      </c>
      <c r="D95" t="b">
        <f t="shared" si="2"/>
        <v>1</v>
      </c>
    </row>
    <row r="96" spans="1:6" x14ac:dyDescent="0.25">
      <c r="A96" t="s">
        <v>2255</v>
      </c>
      <c r="B96" s="5"/>
      <c r="C96" s="5" t="s">
        <v>2252</v>
      </c>
      <c r="D96" t="b">
        <f t="shared" si="2"/>
        <v>1</v>
      </c>
    </row>
    <row r="97" spans="1:6" x14ac:dyDescent="0.25">
      <c r="A97" t="s">
        <v>2255</v>
      </c>
      <c r="B97" s="5"/>
      <c r="C97" s="5" t="s">
        <v>2254</v>
      </c>
      <c r="D97" t="b">
        <f t="shared" si="2"/>
        <v>1</v>
      </c>
    </row>
    <row r="98" spans="1:6" x14ac:dyDescent="0.25">
      <c r="A98" t="s">
        <v>2255</v>
      </c>
      <c r="B98" s="5"/>
      <c r="C98" s="5" t="s">
        <v>2249</v>
      </c>
      <c r="D98" t="b">
        <f t="shared" si="2"/>
        <v>1</v>
      </c>
    </row>
    <row r="99" spans="1:6" x14ac:dyDescent="0.25">
      <c r="A99" t="s">
        <v>2256</v>
      </c>
      <c r="B99" s="5"/>
      <c r="C99" s="5" t="s">
        <v>2231</v>
      </c>
      <c r="D99" t="b">
        <f t="shared" si="2"/>
        <v>1</v>
      </c>
      <c r="F99" s="3" t="s">
        <v>2248</v>
      </c>
    </row>
    <row r="100" spans="1:6" x14ac:dyDescent="0.25">
      <c r="A100" t="s">
        <v>2256</v>
      </c>
      <c r="B100" s="5"/>
      <c r="C100" s="5" t="s">
        <v>2232</v>
      </c>
      <c r="D100" t="b">
        <f t="shared" si="2"/>
        <v>1</v>
      </c>
    </row>
    <row r="101" spans="1:6" x14ac:dyDescent="0.25">
      <c r="A101" t="s">
        <v>2256</v>
      </c>
      <c r="B101" s="5"/>
      <c r="C101" s="5" t="s">
        <v>2218</v>
      </c>
      <c r="D101" t="b">
        <f t="shared" si="2"/>
        <v>1</v>
      </c>
    </row>
    <row r="102" spans="1:6" x14ac:dyDescent="0.25">
      <c r="A102" t="s">
        <v>2256</v>
      </c>
      <c r="B102" s="5"/>
      <c r="C102" s="5" t="s">
        <v>2220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3AE54A45-7A9C-4858-B8DE-B71025CC8E2A}">
            <xm:f>ISERROR(SEARCH(A3,B3))</xm:f>
            <xm:f>A3</xm:f>
            <x14:dxf>
              <fill>
                <patternFill>
                  <bgColor theme="5" tint="0.79998168889431442"/>
                </patternFill>
              </fill>
            </x14:dxf>
          </x14:cfRule>
          <xm:sqref>B3 C3:C102</xm:sqref>
        </x14:conditionalFormatting>
        <x14:conditionalFormatting xmlns:xm="http://schemas.microsoft.com/office/excel/2006/main">
          <x14:cfRule type="notContainsText" priority="2" operator="notContains" id="{0161277E-191C-4449-AF3C-5B39DAE46527}">
            <xm:f>ISERROR(SEARCH(C4,B4))</xm:f>
            <xm:f>C4</xm:f>
            <x14:dxf>
              <fill>
                <patternFill>
                  <bgColor theme="5" tint="0.79998168889431442"/>
                </patternFill>
              </fill>
            </x14:dxf>
          </x14:cfRule>
          <xm:sqref>B4:B102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BF03-9746-45C0-8145-71CB0C99D325}">
  <dimension ref="A1:G102"/>
  <sheetViews>
    <sheetView workbookViewId="0">
      <selection activeCell="F16" sqref="F16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2208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0</v>
      </c>
    </row>
    <row r="3" spans="1:7" x14ac:dyDescent="0.25">
      <c r="A3" s="24" t="s">
        <v>2031</v>
      </c>
      <c r="B3" s="5" t="s">
        <v>2184</v>
      </c>
      <c r="C3" s="5" t="s">
        <v>2184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23"/>
      <c r="C4" s="5"/>
      <c r="D4" t="b">
        <f>B4&lt;&gt;C4</f>
        <v>0</v>
      </c>
    </row>
    <row r="5" spans="1:7" x14ac:dyDescent="0.25">
      <c r="A5" t="s">
        <v>35</v>
      </c>
      <c r="B5" s="23"/>
      <c r="C5" s="5"/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23"/>
      <c r="C6" s="5"/>
      <c r="D6" t="b">
        <f t="shared" si="0"/>
        <v>0</v>
      </c>
      <c r="F6" s="7" t="s">
        <v>2031</v>
      </c>
      <c r="G6" s="2">
        <f t="shared" ref="G6:G13" si="1">COUNTIF(A:A,F6)</f>
        <v>1</v>
      </c>
    </row>
    <row r="7" spans="1:7" x14ac:dyDescent="0.25">
      <c r="A7" t="s">
        <v>35</v>
      </c>
      <c r="B7" s="5"/>
      <c r="C7" s="5"/>
      <c r="D7" t="b">
        <f t="shared" si="0"/>
        <v>0</v>
      </c>
      <c r="F7" s="3" t="s">
        <v>35</v>
      </c>
      <c r="G7" s="2">
        <f t="shared" si="1"/>
        <v>35</v>
      </c>
    </row>
    <row r="8" spans="1:7" x14ac:dyDescent="0.25">
      <c r="A8" t="s">
        <v>35</v>
      </c>
      <c r="B8" s="5"/>
      <c r="C8" s="5"/>
      <c r="D8" t="b">
        <f t="shared" si="0"/>
        <v>0</v>
      </c>
      <c r="F8" s="7" t="s">
        <v>41</v>
      </c>
      <c r="G8" s="2">
        <f t="shared" si="1"/>
        <v>8</v>
      </c>
    </row>
    <row r="9" spans="1:7" x14ac:dyDescent="0.25">
      <c r="A9" t="s">
        <v>35</v>
      </c>
      <c r="B9" s="5"/>
      <c r="C9" s="5"/>
      <c r="D9" t="b">
        <f t="shared" si="0"/>
        <v>0</v>
      </c>
      <c r="F9" s="7" t="s">
        <v>42</v>
      </c>
      <c r="G9" s="2">
        <f t="shared" si="1"/>
        <v>10</v>
      </c>
    </row>
    <row r="10" spans="1:7" x14ac:dyDescent="0.25">
      <c r="A10" t="s">
        <v>35</v>
      </c>
      <c r="B10" s="5"/>
      <c r="C10" s="5"/>
      <c r="D10" t="b">
        <f t="shared" si="0"/>
        <v>0</v>
      </c>
      <c r="F10" s="7" t="s">
        <v>68</v>
      </c>
      <c r="G10" s="2">
        <f t="shared" si="1"/>
        <v>10</v>
      </c>
    </row>
    <row r="11" spans="1:7" x14ac:dyDescent="0.25">
      <c r="A11" t="s">
        <v>35</v>
      </c>
      <c r="B11" s="5"/>
      <c r="C11" s="5"/>
      <c r="D11" t="b">
        <f t="shared" si="0"/>
        <v>0</v>
      </c>
      <c r="F11" s="7" t="s">
        <v>66</v>
      </c>
      <c r="G11" s="2">
        <f t="shared" si="1"/>
        <v>10</v>
      </c>
    </row>
    <row r="12" spans="1:7" x14ac:dyDescent="0.25">
      <c r="A12" t="s">
        <v>35</v>
      </c>
      <c r="B12" s="5"/>
      <c r="C12" s="5"/>
      <c r="D12" t="b">
        <f t="shared" si="0"/>
        <v>0</v>
      </c>
      <c r="F12" s="7" t="s">
        <v>2207</v>
      </c>
      <c r="G12" s="2">
        <f t="shared" si="1"/>
        <v>16</v>
      </c>
    </row>
    <row r="13" spans="1:7" x14ac:dyDescent="0.25">
      <c r="A13" t="s">
        <v>35</v>
      </c>
      <c r="B13" s="5"/>
      <c r="C13" s="5"/>
      <c r="D13" t="b">
        <f t="shared" si="0"/>
        <v>0</v>
      </c>
      <c r="F13" s="7" t="s">
        <v>151</v>
      </c>
      <c r="G13" s="2">
        <f t="shared" si="1"/>
        <v>10</v>
      </c>
    </row>
    <row r="14" spans="1:7" x14ac:dyDescent="0.25">
      <c r="A14" t="s">
        <v>35</v>
      </c>
      <c r="B14" s="5"/>
      <c r="C14" s="5"/>
      <c r="D14" t="b">
        <f t="shared" si="0"/>
        <v>0</v>
      </c>
    </row>
    <row r="15" spans="1:7" x14ac:dyDescent="0.25">
      <c r="A15" t="s">
        <v>35</v>
      </c>
      <c r="B15" s="5"/>
      <c r="C15" s="5"/>
      <c r="D15" t="b">
        <f t="shared" si="0"/>
        <v>0</v>
      </c>
    </row>
    <row r="16" spans="1:7" x14ac:dyDescent="0.25">
      <c r="A16" t="s">
        <v>35</v>
      </c>
      <c r="B16" s="5"/>
      <c r="C16" s="5"/>
      <c r="D16" t="b">
        <f t="shared" si="0"/>
        <v>0</v>
      </c>
      <c r="F16" s="7"/>
      <c r="G16" s="2"/>
    </row>
    <row r="17" spans="1:7" x14ac:dyDescent="0.25">
      <c r="A17" t="s">
        <v>35</v>
      </c>
      <c r="B17" s="5"/>
      <c r="C17" s="5"/>
      <c r="D17" t="b">
        <f t="shared" si="0"/>
        <v>0</v>
      </c>
      <c r="F17" s="4"/>
      <c r="G17" s="2"/>
    </row>
    <row r="18" spans="1:7" x14ac:dyDescent="0.25">
      <c r="A18" t="s">
        <v>35</v>
      </c>
      <c r="B18" s="5"/>
      <c r="C18" s="5"/>
      <c r="D18" t="b">
        <f t="shared" si="0"/>
        <v>0</v>
      </c>
      <c r="F18" s="4"/>
      <c r="G18" s="2"/>
    </row>
    <row r="19" spans="1:7" x14ac:dyDescent="0.25">
      <c r="A19" t="s">
        <v>35</v>
      </c>
      <c r="B19" s="5"/>
      <c r="C19" s="5"/>
      <c r="D19" t="b">
        <f t="shared" si="0"/>
        <v>0</v>
      </c>
    </row>
    <row r="20" spans="1:7" x14ac:dyDescent="0.25">
      <c r="A20" t="s">
        <v>35</v>
      </c>
      <c r="B20" s="5"/>
      <c r="C20" s="5"/>
      <c r="D20" t="b">
        <f t="shared" si="0"/>
        <v>0</v>
      </c>
    </row>
    <row r="21" spans="1:7" x14ac:dyDescent="0.25">
      <c r="A21" t="s">
        <v>35</v>
      </c>
      <c r="B21" s="5"/>
      <c r="C21" s="5"/>
      <c r="D21" t="b">
        <f t="shared" si="0"/>
        <v>0</v>
      </c>
    </row>
    <row r="22" spans="1:7" x14ac:dyDescent="0.25">
      <c r="A22" t="s">
        <v>35</v>
      </c>
      <c r="B22" s="5"/>
      <c r="C22" s="5"/>
      <c r="D22" t="b">
        <f t="shared" si="0"/>
        <v>0</v>
      </c>
    </row>
    <row r="23" spans="1:7" x14ac:dyDescent="0.25">
      <c r="A23" t="s">
        <v>35</v>
      </c>
      <c r="B23" s="5"/>
      <c r="C23" s="5"/>
      <c r="D23" t="b">
        <f t="shared" si="0"/>
        <v>0</v>
      </c>
    </row>
    <row r="24" spans="1:7" x14ac:dyDescent="0.25">
      <c r="A24" t="s">
        <v>35</v>
      </c>
      <c r="B24" s="5"/>
      <c r="C24" s="5"/>
      <c r="D24" t="b">
        <f t="shared" si="0"/>
        <v>0</v>
      </c>
    </row>
    <row r="25" spans="1:7" x14ac:dyDescent="0.25">
      <c r="A25" t="s">
        <v>35</v>
      </c>
      <c r="B25" s="5"/>
      <c r="C25" s="5"/>
      <c r="D25" t="b">
        <f t="shared" si="0"/>
        <v>0</v>
      </c>
    </row>
    <row r="26" spans="1:7" x14ac:dyDescent="0.25">
      <c r="A26" t="s">
        <v>35</v>
      </c>
      <c r="B26" s="5"/>
      <c r="C26" s="5"/>
      <c r="D26" t="b">
        <f t="shared" si="0"/>
        <v>0</v>
      </c>
    </row>
    <row r="27" spans="1:7" x14ac:dyDescent="0.25">
      <c r="A27" t="s">
        <v>35</v>
      </c>
      <c r="B27" s="5"/>
      <c r="C27" s="5"/>
      <c r="D27" t="b">
        <f t="shared" si="0"/>
        <v>0</v>
      </c>
    </row>
    <row r="28" spans="1:7" x14ac:dyDescent="0.25">
      <c r="A28" t="s">
        <v>35</v>
      </c>
      <c r="B28" s="5"/>
      <c r="C28" s="5"/>
      <c r="D28" t="b">
        <f t="shared" si="0"/>
        <v>0</v>
      </c>
    </row>
    <row r="29" spans="1:7" x14ac:dyDescent="0.25">
      <c r="A29" t="s">
        <v>35</v>
      </c>
      <c r="B29" s="5"/>
      <c r="C29" s="5"/>
      <c r="D29" t="b">
        <f t="shared" si="0"/>
        <v>0</v>
      </c>
    </row>
    <row r="30" spans="1:7" x14ac:dyDescent="0.25">
      <c r="A30" t="s">
        <v>35</v>
      </c>
      <c r="B30" s="5"/>
      <c r="C30" s="5"/>
      <c r="D30" t="b">
        <f t="shared" si="0"/>
        <v>0</v>
      </c>
    </row>
    <row r="31" spans="1:7" x14ac:dyDescent="0.25">
      <c r="A31" t="s">
        <v>35</v>
      </c>
      <c r="B31" s="5"/>
      <c r="C31" s="5"/>
      <c r="D31" t="b">
        <f t="shared" si="0"/>
        <v>0</v>
      </c>
    </row>
    <row r="32" spans="1:7" x14ac:dyDescent="0.25">
      <c r="A32" t="s">
        <v>35</v>
      </c>
      <c r="B32" s="5"/>
      <c r="C32" s="5"/>
      <c r="D32" t="b">
        <f t="shared" si="0"/>
        <v>0</v>
      </c>
    </row>
    <row r="33" spans="1:4" x14ac:dyDescent="0.25">
      <c r="A33" t="s">
        <v>35</v>
      </c>
      <c r="B33" s="5"/>
      <c r="C33" s="5"/>
      <c r="D33" t="b">
        <f t="shared" si="0"/>
        <v>0</v>
      </c>
    </row>
    <row r="34" spans="1:4" x14ac:dyDescent="0.25">
      <c r="A34" t="s">
        <v>35</v>
      </c>
      <c r="B34" s="5"/>
      <c r="C34" s="5"/>
      <c r="D34" t="b">
        <f t="shared" si="0"/>
        <v>0</v>
      </c>
    </row>
    <row r="35" spans="1:4" x14ac:dyDescent="0.25">
      <c r="A35" t="s">
        <v>35</v>
      </c>
      <c r="B35" s="5"/>
      <c r="C35" s="5"/>
      <c r="D35" t="b">
        <f t="shared" si="0"/>
        <v>0</v>
      </c>
    </row>
    <row r="36" spans="1:4" x14ac:dyDescent="0.25">
      <c r="A36" t="s">
        <v>35</v>
      </c>
      <c r="B36" s="5"/>
      <c r="C36" s="5"/>
      <c r="D36" t="b">
        <f t="shared" si="0"/>
        <v>0</v>
      </c>
    </row>
    <row r="37" spans="1:4" x14ac:dyDescent="0.25">
      <c r="A37" t="s">
        <v>35</v>
      </c>
      <c r="B37" s="5"/>
      <c r="C37" s="5"/>
      <c r="D37" t="b">
        <f t="shared" si="0"/>
        <v>0</v>
      </c>
    </row>
    <row r="38" spans="1:4" x14ac:dyDescent="0.25">
      <c r="A38" t="s">
        <v>35</v>
      </c>
      <c r="B38" s="5"/>
      <c r="C38" s="5"/>
      <c r="D38" t="b">
        <f t="shared" si="0"/>
        <v>0</v>
      </c>
    </row>
    <row r="39" spans="1:4" x14ac:dyDescent="0.25">
      <c r="A39" t="s">
        <v>41</v>
      </c>
      <c r="B39" s="5"/>
      <c r="C39" s="5"/>
      <c r="D39" t="b">
        <f t="shared" si="0"/>
        <v>0</v>
      </c>
    </row>
    <row r="40" spans="1:4" x14ac:dyDescent="0.25">
      <c r="A40" t="s">
        <v>41</v>
      </c>
      <c r="B40" s="5"/>
      <c r="C40" s="5"/>
      <c r="D40" t="b">
        <f t="shared" si="0"/>
        <v>0</v>
      </c>
    </row>
    <row r="41" spans="1:4" x14ac:dyDescent="0.25">
      <c r="A41" t="s">
        <v>41</v>
      </c>
      <c r="B41" s="5"/>
      <c r="C41" s="5"/>
      <c r="D41" t="b">
        <f t="shared" si="0"/>
        <v>0</v>
      </c>
    </row>
    <row r="42" spans="1:4" x14ac:dyDescent="0.25">
      <c r="A42" t="s">
        <v>41</v>
      </c>
      <c r="B42" s="5"/>
      <c r="C42" s="5"/>
      <c r="D42" t="b">
        <f t="shared" si="0"/>
        <v>0</v>
      </c>
    </row>
    <row r="43" spans="1:4" x14ac:dyDescent="0.25">
      <c r="A43" t="s">
        <v>41</v>
      </c>
      <c r="B43" s="5"/>
      <c r="C43" s="5"/>
      <c r="D43" t="b">
        <f t="shared" si="0"/>
        <v>0</v>
      </c>
    </row>
    <row r="44" spans="1:4" x14ac:dyDescent="0.25">
      <c r="A44" t="s">
        <v>41</v>
      </c>
      <c r="B44" s="5"/>
      <c r="C44" s="5"/>
      <c r="D44" t="b">
        <f t="shared" si="0"/>
        <v>0</v>
      </c>
    </row>
    <row r="45" spans="1:4" x14ac:dyDescent="0.25">
      <c r="A45" t="s">
        <v>41</v>
      </c>
      <c r="B45" s="5"/>
      <c r="C45" s="5"/>
      <c r="D45" t="b">
        <f t="shared" si="0"/>
        <v>0</v>
      </c>
    </row>
    <row r="46" spans="1:4" x14ac:dyDescent="0.25">
      <c r="A46" t="s">
        <v>41</v>
      </c>
      <c r="B46" s="5"/>
      <c r="C46" s="5"/>
      <c r="D46" t="b">
        <f t="shared" si="0"/>
        <v>0</v>
      </c>
    </row>
    <row r="47" spans="1:4" x14ac:dyDescent="0.25">
      <c r="A47" t="s">
        <v>42</v>
      </c>
      <c r="B47" s="5"/>
      <c r="C47" s="5"/>
      <c r="D47" t="b">
        <f t="shared" si="0"/>
        <v>0</v>
      </c>
    </row>
    <row r="48" spans="1:4" x14ac:dyDescent="0.25">
      <c r="A48" t="s">
        <v>42</v>
      </c>
      <c r="B48" s="5"/>
      <c r="C48" s="5"/>
      <c r="D48" t="b">
        <f t="shared" si="0"/>
        <v>0</v>
      </c>
    </row>
    <row r="49" spans="1:4" x14ac:dyDescent="0.25">
      <c r="A49" t="s">
        <v>42</v>
      </c>
      <c r="B49" s="5"/>
      <c r="C49" s="5"/>
      <c r="D49" t="b">
        <f t="shared" si="0"/>
        <v>0</v>
      </c>
    </row>
    <row r="50" spans="1:4" x14ac:dyDescent="0.25">
      <c r="A50" t="s">
        <v>42</v>
      </c>
      <c r="B50" s="5"/>
      <c r="C50" s="5"/>
      <c r="D50" t="b">
        <f t="shared" si="0"/>
        <v>0</v>
      </c>
    </row>
    <row r="51" spans="1:4" x14ac:dyDescent="0.25">
      <c r="A51" t="s">
        <v>42</v>
      </c>
      <c r="B51" s="5"/>
      <c r="C51" s="5"/>
      <c r="D51" t="b">
        <f t="shared" si="0"/>
        <v>0</v>
      </c>
    </row>
    <row r="52" spans="1:4" x14ac:dyDescent="0.25">
      <c r="A52" t="s">
        <v>42</v>
      </c>
      <c r="B52" s="5"/>
      <c r="C52" s="5"/>
      <c r="D52" t="b">
        <f t="shared" si="0"/>
        <v>0</v>
      </c>
    </row>
    <row r="53" spans="1:4" x14ac:dyDescent="0.25">
      <c r="A53" t="s">
        <v>42</v>
      </c>
      <c r="B53" s="5"/>
      <c r="C53" s="5"/>
      <c r="D53" t="b">
        <f t="shared" si="0"/>
        <v>0</v>
      </c>
    </row>
    <row r="54" spans="1:4" x14ac:dyDescent="0.25">
      <c r="A54" t="s">
        <v>42</v>
      </c>
      <c r="B54" s="5"/>
      <c r="C54" s="5"/>
      <c r="D54" t="b">
        <f t="shared" si="0"/>
        <v>0</v>
      </c>
    </row>
    <row r="55" spans="1:4" x14ac:dyDescent="0.25">
      <c r="A55" t="s">
        <v>42</v>
      </c>
      <c r="B55" s="5"/>
      <c r="C55" s="5"/>
      <c r="D55" t="b">
        <f t="shared" si="0"/>
        <v>0</v>
      </c>
    </row>
    <row r="56" spans="1:4" x14ac:dyDescent="0.25">
      <c r="A56" t="s">
        <v>42</v>
      </c>
      <c r="B56" s="5"/>
      <c r="C56" s="5"/>
      <c r="D56" t="b">
        <f t="shared" si="0"/>
        <v>0</v>
      </c>
    </row>
    <row r="57" spans="1:4" x14ac:dyDescent="0.25">
      <c r="A57" t="s">
        <v>68</v>
      </c>
      <c r="B57" s="5"/>
      <c r="C57" s="5"/>
      <c r="D57" t="b">
        <f t="shared" si="0"/>
        <v>0</v>
      </c>
    </row>
    <row r="58" spans="1:4" x14ac:dyDescent="0.25">
      <c r="A58" t="s">
        <v>68</v>
      </c>
      <c r="B58" s="5"/>
      <c r="C58" s="5"/>
      <c r="D58" t="b">
        <f t="shared" si="0"/>
        <v>0</v>
      </c>
    </row>
    <row r="59" spans="1:4" x14ac:dyDescent="0.25">
      <c r="A59" t="s">
        <v>68</v>
      </c>
      <c r="B59" s="5"/>
      <c r="C59" s="5"/>
      <c r="D59" t="b">
        <f t="shared" si="0"/>
        <v>0</v>
      </c>
    </row>
    <row r="60" spans="1:4" x14ac:dyDescent="0.25">
      <c r="A60" t="s">
        <v>68</v>
      </c>
      <c r="B60" s="5"/>
      <c r="C60" s="5"/>
      <c r="D60" t="b">
        <f t="shared" si="0"/>
        <v>0</v>
      </c>
    </row>
    <row r="61" spans="1:4" x14ac:dyDescent="0.25">
      <c r="A61" t="s">
        <v>68</v>
      </c>
      <c r="B61" s="5"/>
      <c r="C61" s="5"/>
      <c r="D61" t="b">
        <f t="shared" si="0"/>
        <v>0</v>
      </c>
    </row>
    <row r="62" spans="1:4" x14ac:dyDescent="0.25">
      <c r="A62" t="s">
        <v>68</v>
      </c>
      <c r="B62" s="5"/>
      <c r="C62" s="5"/>
      <c r="D62" t="b">
        <f t="shared" si="0"/>
        <v>0</v>
      </c>
    </row>
    <row r="63" spans="1:4" x14ac:dyDescent="0.25">
      <c r="A63" t="s">
        <v>68</v>
      </c>
      <c r="B63" s="5"/>
      <c r="C63" s="5"/>
      <c r="D63" t="b">
        <f t="shared" si="0"/>
        <v>0</v>
      </c>
    </row>
    <row r="64" spans="1:4" x14ac:dyDescent="0.25">
      <c r="A64" t="s">
        <v>68</v>
      </c>
      <c r="B64" s="5"/>
      <c r="C64" s="5"/>
      <c r="D64" t="b">
        <f t="shared" si="0"/>
        <v>0</v>
      </c>
    </row>
    <row r="65" spans="1:4" x14ac:dyDescent="0.25">
      <c r="A65" t="s">
        <v>68</v>
      </c>
      <c r="B65" s="5"/>
      <c r="C65" s="5"/>
      <c r="D65" t="b">
        <f t="shared" si="0"/>
        <v>0</v>
      </c>
    </row>
    <row r="66" spans="1:4" x14ac:dyDescent="0.25">
      <c r="A66" t="s">
        <v>68</v>
      </c>
      <c r="B66" s="5"/>
      <c r="C66" s="5"/>
      <c r="D66" t="b">
        <f t="shared" si="0"/>
        <v>0</v>
      </c>
    </row>
    <row r="67" spans="1:4" x14ac:dyDescent="0.25">
      <c r="A67" t="s">
        <v>66</v>
      </c>
      <c r="B67" s="5"/>
      <c r="C67" s="5"/>
      <c r="D67" t="b">
        <f t="shared" si="0"/>
        <v>0</v>
      </c>
    </row>
    <row r="68" spans="1:4" x14ac:dyDescent="0.25">
      <c r="A68" t="s">
        <v>66</v>
      </c>
      <c r="B68" s="5"/>
      <c r="C68" s="5"/>
      <c r="D68" t="b">
        <f t="shared" si="0"/>
        <v>0</v>
      </c>
    </row>
    <row r="69" spans="1:4" x14ac:dyDescent="0.25">
      <c r="A69" t="s">
        <v>66</v>
      </c>
      <c r="B69" s="5"/>
      <c r="C69" s="5"/>
      <c r="D69" t="b">
        <f t="shared" ref="D69:D102" si="2">B69&lt;&gt;C69</f>
        <v>0</v>
      </c>
    </row>
    <row r="70" spans="1:4" x14ac:dyDescent="0.25">
      <c r="A70" t="s">
        <v>66</v>
      </c>
      <c r="B70" s="5"/>
      <c r="C70" s="5"/>
      <c r="D70" t="b">
        <f t="shared" si="2"/>
        <v>0</v>
      </c>
    </row>
    <row r="71" spans="1:4" x14ac:dyDescent="0.25">
      <c r="A71" t="s">
        <v>66</v>
      </c>
      <c r="B71" s="5"/>
      <c r="C71" s="5"/>
      <c r="D71" t="b">
        <f t="shared" si="2"/>
        <v>0</v>
      </c>
    </row>
    <row r="72" spans="1:4" x14ac:dyDescent="0.25">
      <c r="A72" t="s">
        <v>66</v>
      </c>
      <c r="B72" s="5"/>
      <c r="C72" s="5"/>
      <c r="D72" t="b">
        <f t="shared" si="2"/>
        <v>0</v>
      </c>
    </row>
    <row r="73" spans="1:4" x14ac:dyDescent="0.25">
      <c r="A73" t="s">
        <v>66</v>
      </c>
      <c r="B73" s="5"/>
      <c r="C73" s="5"/>
      <c r="D73" t="b">
        <f t="shared" si="2"/>
        <v>0</v>
      </c>
    </row>
    <row r="74" spans="1:4" x14ac:dyDescent="0.25">
      <c r="A74" t="s">
        <v>66</v>
      </c>
      <c r="B74" s="5"/>
      <c r="C74" s="5"/>
      <c r="D74" t="b">
        <f t="shared" si="2"/>
        <v>0</v>
      </c>
    </row>
    <row r="75" spans="1:4" x14ac:dyDescent="0.25">
      <c r="A75" t="s">
        <v>66</v>
      </c>
      <c r="B75" s="5"/>
      <c r="C75" s="5"/>
      <c r="D75" t="b">
        <f t="shared" si="2"/>
        <v>0</v>
      </c>
    </row>
    <row r="76" spans="1:4" x14ac:dyDescent="0.25">
      <c r="A76" t="s">
        <v>66</v>
      </c>
      <c r="B76" s="5"/>
      <c r="C76" s="5"/>
      <c r="D76" t="b">
        <f t="shared" si="2"/>
        <v>0</v>
      </c>
    </row>
    <row r="77" spans="1:4" x14ac:dyDescent="0.25">
      <c r="A77" t="s">
        <v>2207</v>
      </c>
      <c r="B77" s="5"/>
      <c r="C77" s="5"/>
      <c r="D77" t="b">
        <f t="shared" si="2"/>
        <v>0</v>
      </c>
    </row>
    <row r="78" spans="1:4" x14ac:dyDescent="0.25">
      <c r="A78" t="s">
        <v>2207</v>
      </c>
      <c r="B78" s="5"/>
      <c r="C78" s="5"/>
      <c r="D78" t="b">
        <f t="shared" si="2"/>
        <v>0</v>
      </c>
    </row>
    <row r="79" spans="1:4" x14ac:dyDescent="0.25">
      <c r="A79" t="s">
        <v>2207</v>
      </c>
      <c r="B79" s="5"/>
      <c r="C79" s="5"/>
      <c r="D79" t="b">
        <f t="shared" si="2"/>
        <v>0</v>
      </c>
    </row>
    <row r="80" spans="1:4" x14ac:dyDescent="0.25">
      <c r="A80" t="s">
        <v>2207</v>
      </c>
      <c r="B80" s="5"/>
      <c r="C80" s="5"/>
      <c r="D80" t="b">
        <f t="shared" si="2"/>
        <v>0</v>
      </c>
    </row>
    <row r="81" spans="1:4" x14ac:dyDescent="0.25">
      <c r="A81" t="s">
        <v>2207</v>
      </c>
      <c r="B81" s="5"/>
      <c r="C81" s="5"/>
      <c r="D81" t="b">
        <f t="shared" si="2"/>
        <v>0</v>
      </c>
    </row>
    <row r="82" spans="1:4" x14ac:dyDescent="0.25">
      <c r="A82" t="s">
        <v>2207</v>
      </c>
      <c r="B82" s="5"/>
      <c r="C82" s="5"/>
      <c r="D82" t="b">
        <f t="shared" si="2"/>
        <v>0</v>
      </c>
    </row>
    <row r="83" spans="1:4" x14ac:dyDescent="0.25">
      <c r="A83" t="s">
        <v>2207</v>
      </c>
      <c r="B83" s="5"/>
      <c r="C83" s="5"/>
      <c r="D83" t="b">
        <f t="shared" si="2"/>
        <v>0</v>
      </c>
    </row>
    <row r="84" spans="1:4" x14ac:dyDescent="0.25">
      <c r="A84" t="s">
        <v>2207</v>
      </c>
      <c r="B84" s="5"/>
      <c r="C84" s="5"/>
      <c r="D84" t="b">
        <f t="shared" si="2"/>
        <v>0</v>
      </c>
    </row>
    <row r="85" spans="1:4" x14ac:dyDescent="0.25">
      <c r="A85" t="s">
        <v>2207</v>
      </c>
      <c r="B85" s="5"/>
      <c r="C85" s="5"/>
      <c r="D85" t="b">
        <f t="shared" si="2"/>
        <v>0</v>
      </c>
    </row>
    <row r="86" spans="1:4" x14ac:dyDescent="0.25">
      <c r="A86" t="s">
        <v>2207</v>
      </c>
      <c r="B86" s="5"/>
      <c r="C86" s="5"/>
      <c r="D86" t="b">
        <f t="shared" si="2"/>
        <v>0</v>
      </c>
    </row>
    <row r="87" spans="1:4" x14ac:dyDescent="0.25">
      <c r="A87" t="s">
        <v>2207</v>
      </c>
      <c r="B87" s="5"/>
      <c r="C87" s="5"/>
      <c r="D87" t="b">
        <f t="shared" si="2"/>
        <v>0</v>
      </c>
    </row>
    <row r="88" spans="1:4" x14ac:dyDescent="0.25">
      <c r="A88" t="s">
        <v>2207</v>
      </c>
      <c r="B88" s="5"/>
      <c r="C88" s="5"/>
      <c r="D88" t="b">
        <f t="shared" si="2"/>
        <v>0</v>
      </c>
    </row>
    <row r="89" spans="1:4" x14ac:dyDescent="0.25">
      <c r="A89" t="s">
        <v>2207</v>
      </c>
      <c r="B89" s="5"/>
      <c r="C89" s="5"/>
      <c r="D89" t="b">
        <f t="shared" si="2"/>
        <v>0</v>
      </c>
    </row>
    <row r="90" spans="1:4" x14ac:dyDescent="0.25">
      <c r="A90" t="s">
        <v>2207</v>
      </c>
      <c r="B90" s="5"/>
      <c r="C90" s="5"/>
      <c r="D90" t="b">
        <f t="shared" si="2"/>
        <v>0</v>
      </c>
    </row>
    <row r="91" spans="1:4" x14ac:dyDescent="0.25">
      <c r="A91" t="s">
        <v>2207</v>
      </c>
      <c r="B91" s="5"/>
      <c r="C91" s="5"/>
      <c r="D91" t="b">
        <f t="shared" si="2"/>
        <v>0</v>
      </c>
    </row>
    <row r="92" spans="1:4" x14ac:dyDescent="0.25">
      <c r="A92" t="s">
        <v>2207</v>
      </c>
      <c r="B92" s="5"/>
      <c r="C92" s="5"/>
      <c r="D92" t="b">
        <f t="shared" si="2"/>
        <v>0</v>
      </c>
    </row>
    <row r="93" spans="1:4" x14ac:dyDescent="0.25">
      <c r="A93" t="s">
        <v>151</v>
      </c>
      <c r="B93" s="5"/>
      <c r="C93" s="5"/>
      <c r="D93" t="b">
        <f t="shared" si="2"/>
        <v>0</v>
      </c>
    </row>
    <row r="94" spans="1:4" x14ac:dyDescent="0.25">
      <c r="A94" t="s">
        <v>151</v>
      </c>
      <c r="B94" s="5"/>
      <c r="C94" s="5"/>
      <c r="D94" t="b">
        <f t="shared" si="2"/>
        <v>0</v>
      </c>
    </row>
    <row r="95" spans="1:4" x14ac:dyDescent="0.25">
      <c r="A95" t="s">
        <v>151</v>
      </c>
      <c r="B95" s="5"/>
      <c r="C95" s="5"/>
      <c r="D95" t="b">
        <f t="shared" si="2"/>
        <v>0</v>
      </c>
    </row>
    <row r="96" spans="1:4" x14ac:dyDescent="0.25">
      <c r="A96" t="s">
        <v>151</v>
      </c>
      <c r="B96" s="5"/>
      <c r="C96" s="5"/>
      <c r="D96" t="b">
        <f t="shared" si="2"/>
        <v>0</v>
      </c>
    </row>
    <row r="97" spans="1:4" x14ac:dyDescent="0.25">
      <c r="A97" t="s">
        <v>151</v>
      </c>
      <c r="B97" s="5"/>
      <c r="C97" s="5"/>
      <c r="D97" t="b">
        <f t="shared" si="2"/>
        <v>0</v>
      </c>
    </row>
    <row r="98" spans="1:4" x14ac:dyDescent="0.25">
      <c r="A98" t="s">
        <v>151</v>
      </c>
      <c r="B98" s="5"/>
      <c r="C98" s="5"/>
      <c r="D98" t="b">
        <f t="shared" si="2"/>
        <v>0</v>
      </c>
    </row>
    <row r="99" spans="1:4" x14ac:dyDescent="0.25">
      <c r="A99" t="s">
        <v>151</v>
      </c>
      <c r="B99" s="5"/>
      <c r="C99" s="5"/>
      <c r="D99" t="b">
        <f t="shared" si="2"/>
        <v>0</v>
      </c>
    </row>
    <row r="100" spans="1:4" x14ac:dyDescent="0.25">
      <c r="A100" t="s">
        <v>151</v>
      </c>
      <c r="B100" s="5"/>
      <c r="C100" s="5"/>
      <c r="D100" t="b">
        <f t="shared" si="2"/>
        <v>0</v>
      </c>
    </row>
    <row r="101" spans="1:4" x14ac:dyDescent="0.25">
      <c r="A101" t="s">
        <v>151</v>
      </c>
      <c r="B101" s="5"/>
      <c r="C101" s="5"/>
      <c r="D101" t="b">
        <f t="shared" si="2"/>
        <v>0</v>
      </c>
    </row>
    <row r="102" spans="1:4" x14ac:dyDescent="0.25">
      <c r="A102" t="s">
        <v>151</v>
      </c>
      <c r="B102" s="5"/>
      <c r="C102" s="5"/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AB145273-54C5-4F14-872A-9B072F6326D0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77A0F53C-1622-4E93-ACE9-7C5A53051937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EFDE-6504-40DC-97A6-AE499BEA990E}">
  <sheetPr codeName="Planilha15"/>
  <dimension ref="A1:G102"/>
  <sheetViews>
    <sheetView topLeftCell="A69" workbookViewId="0">
      <selection activeCell="C77" sqref="C77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19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12</v>
      </c>
    </row>
    <row r="3" spans="1:7" x14ac:dyDescent="0.25">
      <c r="A3" s="24" t="s">
        <v>2031</v>
      </c>
      <c r="B3" s="5" t="s">
        <v>2063</v>
      </c>
      <c r="C3" s="5" t="s">
        <v>2063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330</v>
      </c>
      <c r="C4" s="5" t="s">
        <v>330</v>
      </c>
      <c r="D4" t="b">
        <f>B4&lt;&gt;C4</f>
        <v>0</v>
      </c>
    </row>
    <row r="5" spans="1:7" x14ac:dyDescent="0.25">
      <c r="A5" t="s">
        <v>35</v>
      </c>
      <c r="B5" s="5" t="s">
        <v>45</v>
      </c>
      <c r="C5" s="5" t="s">
        <v>680</v>
      </c>
      <c r="D5" t="b">
        <f t="shared" ref="D5:D68" si="0">B5&lt;&gt;C5</f>
        <v>1</v>
      </c>
      <c r="F5" s="6" t="s">
        <v>39</v>
      </c>
      <c r="G5" s="1"/>
    </row>
    <row r="6" spans="1:7" x14ac:dyDescent="0.25">
      <c r="A6" t="s">
        <v>35</v>
      </c>
      <c r="B6" s="5" t="s">
        <v>681</v>
      </c>
      <c r="C6" s="5" t="s">
        <v>681</v>
      </c>
      <c r="D6" t="b">
        <f t="shared" si="0"/>
        <v>0</v>
      </c>
      <c r="F6" s="7" t="s">
        <v>2031</v>
      </c>
      <c r="G6" s="2">
        <f t="shared" ref="G6:G12" si="1">COUNTIF(A:A,F6)</f>
        <v>1</v>
      </c>
    </row>
    <row r="7" spans="1:7" x14ac:dyDescent="0.25">
      <c r="A7" t="s">
        <v>35</v>
      </c>
      <c r="B7" s="5" t="s">
        <v>682</v>
      </c>
      <c r="C7" s="5" t="s">
        <v>682</v>
      </c>
      <c r="D7" t="b">
        <f t="shared" si="0"/>
        <v>0</v>
      </c>
      <c r="F7" s="3" t="s">
        <v>35</v>
      </c>
      <c r="G7" s="2">
        <f t="shared" si="1"/>
        <v>31</v>
      </c>
    </row>
    <row r="8" spans="1:7" x14ac:dyDescent="0.25">
      <c r="A8" t="s">
        <v>35</v>
      </c>
      <c r="B8" s="5" t="s">
        <v>546</v>
      </c>
      <c r="C8" s="5" t="s">
        <v>546</v>
      </c>
      <c r="D8" t="b">
        <f t="shared" si="0"/>
        <v>0</v>
      </c>
      <c r="F8" s="7" t="s">
        <v>41</v>
      </c>
      <c r="G8" s="2">
        <f t="shared" si="1"/>
        <v>19</v>
      </c>
    </row>
    <row r="9" spans="1:7" x14ac:dyDescent="0.25">
      <c r="A9" t="s">
        <v>35</v>
      </c>
      <c r="B9" s="5" t="s">
        <v>683</v>
      </c>
      <c r="C9" s="5" t="s">
        <v>683</v>
      </c>
      <c r="D9" t="b">
        <f t="shared" si="0"/>
        <v>0</v>
      </c>
      <c r="F9" s="7" t="s">
        <v>6</v>
      </c>
      <c r="G9" s="2">
        <f t="shared" si="1"/>
        <v>26</v>
      </c>
    </row>
    <row r="10" spans="1:7" x14ac:dyDescent="0.25">
      <c r="A10" t="s">
        <v>35</v>
      </c>
      <c r="B10" s="5" t="s">
        <v>684</v>
      </c>
      <c r="C10" s="5" t="s">
        <v>684</v>
      </c>
      <c r="D10" t="b">
        <f t="shared" si="0"/>
        <v>0</v>
      </c>
      <c r="F10" s="7" t="s">
        <v>339</v>
      </c>
      <c r="G10" s="2">
        <f t="shared" si="1"/>
        <v>2</v>
      </c>
    </row>
    <row r="11" spans="1:7" x14ac:dyDescent="0.25">
      <c r="A11" t="s">
        <v>35</v>
      </c>
      <c r="B11" s="5" t="s">
        <v>685</v>
      </c>
      <c r="C11" s="5" t="s">
        <v>685</v>
      </c>
      <c r="D11" t="b">
        <f t="shared" si="0"/>
        <v>0</v>
      </c>
      <c r="F11" s="7" t="s">
        <v>66</v>
      </c>
      <c r="G11" s="2">
        <f t="shared" si="1"/>
        <v>8</v>
      </c>
    </row>
    <row r="12" spans="1:7" x14ac:dyDescent="0.25">
      <c r="A12" t="s">
        <v>35</v>
      </c>
      <c r="B12" s="5" t="s">
        <v>686</v>
      </c>
      <c r="C12" s="5" t="s">
        <v>686</v>
      </c>
      <c r="D12" t="b">
        <f t="shared" si="0"/>
        <v>0</v>
      </c>
      <c r="F12" s="7" t="s">
        <v>68</v>
      </c>
      <c r="G12" s="2">
        <f t="shared" si="1"/>
        <v>13</v>
      </c>
    </row>
    <row r="13" spans="1:7" x14ac:dyDescent="0.25">
      <c r="A13" t="s">
        <v>35</v>
      </c>
      <c r="B13" s="5" t="s">
        <v>687</v>
      </c>
      <c r="C13" s="5" t="s">
        <v>687</v>
      </c>
      <c r="D13" t="b">
        <f t="shared" si="0"/>
        <v>0</v>
      </c>
      <c r="F13" s="7"/>
      <c r="G13" s="2"/>
    </row>
    <row r="14" spans="1:7" x14ac:dyDescent="0.25">
      <c r="A14" t="s">
        <v>35</v>
      </c>
      <c r="B14" s="5" t="s">
        <v>45</v>
      </c>
      <c r="C14" s="5" t="s">
        <v>688</v>
      </c>
      <c r="D14" t="b">
        <f t="shared" si="0"/>
        <v>1</v>
      </c>
      <c r="F14" s="7"/>
      <c r="G14" s="2"/>
    </row>
    <row r="15" spans="1:7" x14ac:dyDescent="0.25">
      <c r="A15" t="s">
        <v>35</v>
      </c>
      <c r="B15" s="5" t="s">
        <v>542</v>
      </c>
      <c r="C15" s="5" t="s">
        <v>542</v>
      </c>
      <c r="D15" t="b">
        <f t="shared" si="0"/>
        <v>0</v>
      </c>
    </row>
    <row r="16" spans="1:7" x14ac:dyDescent="0.25">
      <c r="A16" t="s">
        <v>35</v>
      </c>
      <c r="B16" s="5" t="s">
        <v>45</v>
      </c>
      <c r="C16" s="5" t="s">
        <v>283</v>
      </c>
      <c r="D16" t="b">
        <f t="shared" si="0"/>
        <v>1</v>
      </c>
    </row>
    <row r="17" spans="1:7" x14ac:dyDescent="0.25">
      <c r="A17" t="s">
        <v>35</v>
      </c>
      <c r="B17" s="5" t="s">
        <v>45</v>
      </c>
      <c r="C17" s="5" t="s">
        <v>351</v>
      </c>
      <c r="D17" t="b">
        <f t="shared" si="0"/>
        <v>1</v>
      </c>
      <c r="F17" s="4"/>
      <c r="G17" s="2"/>
    </row>
    <row r="18" spans="1:7" x14ac:dyDescent="0.25">
      <c r="A18" t="s">
        <v>35</v>
      </c>
      <c r="B18" s="5" t="s">
        <v>204</v>
      </c>
      <c r="C18" s="5" t="s">
        <v>204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689</v>
      </c>
      <c r="C19" s="5" t="s">
        <v>689</v>
      </c>
      <c r="D19" t="b">
        <f t="shared" si="0"/>
        <v>0</v>
      </c>
    </row>
    <row r="20" spans="1:7" x14ac:dyDescent="0.25">
      <c r="A20" t="s">
        <v>35</v>
      </c>
      <c r="B20" s="5" t="s">
        <v>45</v>
      </c>
      <c r="C20" s="5" t="s">
        <v>45</v>
      </c>
      <c r="D20" t="b">
        <f t="shared" si="0"/>
        <v>0</v>
      </c>
    </row>
    <row r="21" spans="1:7" x14ac:dyDescent="0.25">
      <c r="A21" t="s">
        <v>35</v>
      </c>
      <c r="B21" s="5" t="s">
        <v>45</v>
      </c>
      <c r="C21" s="5" t="s">
        <v>45</v>
      </c>
      <c r="D21" t="b">
        <f t="shared" si="0"/>
        <v>0</v>
      </c>
    </row>
    <row r="22" spans="1:7" x14ac:dyDescent="0.25">
      <c r="A22" t="s">
        <v>35</v>
      </c>
      <c r="B22" s="5" t="s">
        <v>45</v>
      </c>
      <c r="C22" s="5" t="s">
        <v>45</v>
      </c>
      <c r="D22" t="b">
        <f t="shared" si="0"/>
        <v>0</v>
      </c>
    </row>
    <row r="23" spans="1:7" x14ac:dyDescent="0.25">
      <c r="A23" t="s">
        <v>35</v>
      </c>
      <c r="B23" s="5" t="s">
        <v>45</v>
      </c>
      <c r="C23" s="5" t="s">
        <v>45</v>
      </c>
      <c r="D23" t="b">
        <f t="shared" si="0"/>
        <v>0</v>
      </c>
    </row>
    <row r="24" spans="1:7" x14ac:dyDescent="0.25">
      <c r="A24" t="s">
        <v>35</v>
      </c>
      <c r="B24" s="5" t="s">
        <v>45</v>
      </c>
      <c r="C24" s="5" t="s">
        <v>45</v>
      </c>
      <c r="D24" t="b">
        <f t="shared" si="0"/>
        <v>0</v>
      </c>
    </row>
    <row r="25" spans="1:7" x14ac:dyDescent="0.25">
      <c r="A25" t="s">
        <v>35</v>
      </c>
      <c r="B25" s="5" t="s">
        <v>45</v>
      </c>
      <c r="C25" s="5" t="s">
        <v>45</v>
      </c>
      <c r="D25" t="b">
        <f t="shared" si="0"/>
        <v>0</v>
      </c>
    </row>
    <row r="26" spans="1:7" x14ac:dyDescent="0.25">
      <c r="A26" t="s">
        <v>35</v>
      </c>
      <c r="B26" s="5" t="s">
        <v>45</v>
      </c>
      <c r="C26" s="5" t="s">
        <v>45</v>
      </c>
      <c r="D26" t="b">
        <f t="shared" si="0"/>
        <v>0</v>
      </c>
    </row>
    <row r="27" spans="1:7" x14ac:dyDescent="0.25">
      <c r="A27" t="s">
        <v>35</v>
      </c>
      <c r="B27" s="5" t="s">
        <v>45</v>
      </c>
      <c r="C27" s="5" t="s">
        <v>45</v>
      </c>
      <c r="D27" t="b">
        <f t="shared" si="0"/>
        <v>0</v>
      </c>
    </row>
    <row r="28" spans="1:7" x14ac:dyDescent="0.25">
      <c r="A28" t="s">
        <v>35</v>
      </c>
      <c r="B28" s="5" t="s">
        <v>45</v>
      </c>
      <c r="C28" s="5" t="s">
        <v>45</v>
      </c>
      <c r="D28" t="b">
        <f t="shared" si="0"/>
        <v>0</v>
      </c>
    </row>
    <row r="29" spans="1:7" x14ac:dyDescent="0.25">
      <c r="A29" t="s">
        <v>35</v>
      </c>
      <c r="B29" s="5" t="s">
        <v>45</v>
      </c>
      <c r="C29" s="5" t="s">
        <v>45</v>
      </c>
      <c r="D29" t="b">
        <f t="shared" si="0"/>
        <v>0</v>
      </c>
    </row>
    <row r="30" spans="1:7" x14ac:dyDescent="0.25">
      <c r="A30" t="s">
        <v>35</v>
      </c>
      <c r="B30" s="5" t="s">
        <v>45</v>
      </c>
      <c r="C30" s="5" t="s">
        <v>45</v>
      </c>
      <c r="D30" t="b">
        <f t="shared" si="0"/>
        <v>0</v>
      </c>
    </row>
    <row r="31" spans="1:7" x14ac:dyDescent="0.25">
      <c r="A31" t="s">
        <v>35</v>
      </c>
      <c r="B31" s="5" t="s">
        <v>45</v>
      </c>
      <c r="C31" s="5" t="s">
        <v>45</v>
      </c>
      <c r="D31" t="b">
        <f t="shared" si="0"/>
        <v>0</v>
      </c>
    </row>
    <row r="32" spans="1:7" x14ac:dyDescent="0.25">
      <c r="A32" t="s">
        <v>35</v>
      </c>
      <c r="B32" s="5" t="s">
        <v>45</v>
      </c>
      <c r="C32" s="5" t="s">
        <v>45</v>
      </c>
      <c r="D32" t="b">
        <f t="shared" si="0"/>
        <v>0</v>
      </c>
    </row>
    <row r="33" spans="1:4" x14ac:dyDescent="0.25">
      <c r="A33" t="s">
        <v>35</v>
      </c>
      <c r="B33" s="5" t="s">
        <v>45</v>
      </c>
      <c r="C33" s="5" t="s">
        <v>45</v>
      </c>
      <c r="D33" t="b">
        <f t="shared" si="0"/>
        <v>0</v>
      </c>
    </row>
    <row r="34" spans="1:4" x14ac:dyDescent="0.25">
      <c r="A34" t="s">
        <v>35</v>
      </c>
      <c r="B34" s="5" t="s">
        <v>45</v>
      </c>
      <c r="C34" s="5" t="s">
        <v>45</v>
      </c>
      <c r="D34" t="b">
        <f t="shared" si="0"/>
        <v>0</v>
      </c>
    </row>
    <row r="35" spans="1:4" x14ac:dyDescent="0.25">
      <c r="A35" t="s">
        <v>41</v>
      </c>
      <c r="B35" s="5" t="s">
        <v>206</v>
      </c>
      <c r="C35" s="5" t="s">
        <v>206</v>
      </c>
      <c r="D35" t="b">
        <f t="shared" si="0"/>
        <v>0</v>
      </c>
    </row>
    <row r="36" spans="1:4" x14ac:dyDescent="0.25">
      <c r="A36" t="s">
        <v>41</v>
      </c>
      <c r="B36" s="5" t="s">
        <v>698</v>
      </c>
      <c r="C36" s="5" t="s">
        <v>698</v>
      </c>
      <c r="D36" t="b">
        <f t="shared" si="0"/>
        <v>0</v>
      </c>
    </row>
    <row r="37" spans="1:4" x14ac:dyDescent="0.25">
      <c r="A37" t="s">
        <v>41</v>
      </c>
      <c r="B37" s="5" t="s">
        <v>702</v>
      </c>
      <c r="C37" s="5" t="s">
        <v>702</v>
      </c>
      <c r="D37" t="b">
        <f t="shared" si="0"/>
        <v>0</v>
      </c>
    </row>
    <row r="38" spans="1:4" x14ac:dyDescent="0.25">
      <c r="A38" t="s">
        <v>41</v>
      </c>
      <c r="B38" s="5" t="s">
        <v>357</v>
      </c>
      <c r="C38" s="5" t="s">
        <v>357</v>
      </c>
      <c r="D38" t="b">
        <f t="shared" si="0"/>
        <v>0</v>
      </c>
    </row>
    <row r="39" spans="1:4" x14ac:dyDescent="0.25">
      <c r="A39" t="s">
        <v>41</v>
      </c>
      <c r="B39" s="5" t="s">
        <v>695</v>
      </c>
      <c r="C39" s="5" t="s">
        <v>695</v>
      </c>
      <c r="D39" t="b">
        <f t="shared" si="0"/>
        <v>0</v>
      </c>
    </row>
    <row r="40" spans="1:4" x14ac:dyDescent="0.25">
      <c r="A40" t="s">
        <v>41</v>
      </c>
      <c r="B40" s="5" t="s">
        <v>690</v>
      </c>
      <c r="C40" s="5" t="s">
        <v>690</v>
      </c>
      <c r="D40" t="b">
        <f t="shared" si="0"/>
        <v>0</v>
      </c>
    </row>
    <row r="41" spans="1:4" x14ac:dyDescent="0.25">
      <c r="A41" t="s">
        <v>41</v>
      </c>
      <c r="B41" s="5" t="s">
        <v>354</v>
      </c>
      <c r="C41" s="5" t="s">
        <v>354</v>
      </c>
      <c r="D41" t="b">
        <f t="shared" si="0"/>
        <v>0</v>
      </c>
    </row>
    <row r="42" spans="1:4" x14ac:dyDescent="0.25">
      <c r="A42" t="s">
        <v>41</v>
      </c>
      <c r="B42" s="5" t="s">
        <v>696</v>
      </c>
      <c r="C42" s="5" t="s">
        <v>1756</v>
      </c>
      <c r="D42" t="b">
        <f t="shared" si="0"/>
        <v>1</v>
      </c>
    </row>
    <row r="43" spans="1:4" x14ac:dyDescent="0.25">
      <c r="A43" t="s">
        <v>41</v>
      </c>
      <c r="B43" s="5" t="s">
        <v>697</v>
      </c>
      <c r="C43" s="5" t="s">
        <v>697</v>
      </c>
      <c r="D43" t="b">
        <f t="shared" si="0"/>
        <v>0</v>
      </c>
    </row>
    <row r="44" spans="1:4" x14ac:dyDescent="0.25">
      <c r="A44" t="s">
        <v>41</v>
      </c>
      <c r="B44" s="5" t="s">
        <v>701</v>
      </c>
      <c r="C44" s="5" t="s">
        <v>701</v>
      </c>
      <c r="D44" t="b">
        <f t="shared" si="0"/>
        <v>0</v>
      </c>
    </row>
    <row r="45" spans="1:4" x14ac:dyDescent="0.25">
      <c r="A45" t="s">
        <v>41</v>
      </c>
      <c r="B45" s="5" t="s">
        <v>700</v>
      </c>
      <c r="C45" s="5" t="s">
        <v>700</v>
      </c>
      <c r="D45" t="b">
        <f t="shared" si="0"/>
        <v>0</v>
      </c>
    </row>
    <row r="46" spans="1:4" x14ac:dyDescent="0.25">
      <c r="A46" t="s">
        <v>41</v>
      </c>
      <c r="B46" s="5" t="s">
        <v>359</v>
      </c>
      <c r="C46" s="5" t="s">
        <v>359</v>
      </c>
      <c r="D46" t="b">
        <f t="shared" si="0"/>
        <v>0</v>
      </c>
    </row>
    <row r="47" spans="1:4" x14ac:dyDescent="0.25">
      <c r="A47" t="s">
        <v>41</v>
      </c>
      <c r="B47" s="5" t="s">
        <v>693</v>
      </c>
      <c r="C47" s="5" t="s">
        <v>693</v>
      </c>
      <c r="D47" t="b">
        <f t="shared" si="0"/>
        <v>0</v>
      </c>
    </row>
    <row r="48" spans="1:4" x14ac:dyDescent="0.25">
      <c r="A48" t="s">
        <v>41</v>
      </c>
      <c r="B48" s="5" t="s">
        <v>158</v>
      </c>
      <c r="C48" s="5" t="s">
        <v>158</v>
      </c>
      <c r="D48" t="b">
        <f t="shared" si="0"/>
        <v>0</v>
      </c>
    </row>
    <row r="49" spans="1:4" x14ac:dyDescent="0.25">
      <c r="A49" t="s">
        <v>41</v>
      </c>
      <c r="B49" s="5" t="s">
        <v>358</v>
      </c>
      <c r="C49" s="5" t="s">
        <v>358</v>
      </c>
      <c r="D49" t="b">
        <f t="shared" si="0"/>
        <v>0</v>
      </c>
    </row>
    <row r="50" spans="1:4" x14ac:dyDescent="0.25">
      <c r="A50" t="s">
        <v>41</v>
      </c>
      <c r="B50" s="5" t="s">
        <v>692</v>
      </c>
      <c r="C50" s="5" t="s">
        <v>2093</v>
      </c>
      <c r="D50" t="b">
        <f t="shared" si="0"/>
        <v>1</v>
      </c>
    </row>
    <row r="51" spans="1:4" x14ac:dyDescent="0.25">
      <c r="A51" t="s">
        <v>41</v>
      </c>
      <c r="B51" s="5" t="s">
        <v>691</v>
      </c>
      <c r="C51" s="5" t="s">
        <v>691</v>
      </c>
      <c r="D51" t="b">
        <f t="shared" si="0"/>
        <v>0</v>
      </c>
    </row>
    <row r="52" spans="1:4" x14ac:dyDescent="0.25">
      <c r="A52" t="s">
        <v>41</v>
      </c>
      <c r="B52" s="5" t="s">
        <v>699</v>
      </c>
      <c r="C52" s="5" t="s">
        <v>699</v>
      </c>
      <c r="D52" t="b">
        <f t="shared" si="0"/>
        <v>0</v>
      </c>
    </row>
    <row r="53" spans="1:4" x14ac:dyDescent="0.25">
      <c r="A53" t="s">
        <v>41</v>
      </c>
      <c r="B53" s="5" t="s">
        <v>694</v>
      </c>
      <c r="C53" s="5" t="s">
        <v>694</v>
      </c>
      <c r="D53" t="b">
        <f t="shared" si="0"/>
        <v>0</v>
      </c>
    </row>
    <row r="54" spans="1:4" x14ac:dyDescent="0.25">
      <c r="A54" t="s">
        <v>66</v>
      </c>
      <c r="B54" s="5" t="s">
        <v>703</v>
      </c>
      <c r="C54" s="5" t="s">
        <v>703</v>
      </c>
      <c r="D54" t="b">
        <f t="shared" si="0"/>
        <v>0</v>
      </c>
    </row>
    <row r="55" spans="1:4" x14ac:dyDescent="0.25">
      <c r="A55" t="s">
        <v>66</v>
      </c>
      <c r="B55" s="5" t="s">
        <v>743</v>
      </c>
      <c r="C55" s="5" t="s">
        <v>2092</v>
      </c>
      <c r="D55" t="b">
        <f t="shared" si="0"/>
        <v>1</v>
      </c>
    </row>
    <row r="56" spans="1:4" x14ac:dyDescent="0.25">
      <c r="A56" t="s">
        <v>66</v>
      </c>
      <c r="B56" s="5" t="s">
        <v>704</v>
      </c>
      <c r="C56" s="5" t="s">
        <v>704</v>
      </c>
      <c r="D56" t="b">
        <f t="shared" si="0"/>
        <v>0</v>
      </c>
    </row>
    <row r="57" spans="1:4" x14ac:dyDescent="0.25">
      <c r="A57" t="s">
        <v>66</v>
      </c>
      <c r="B57" s="5" t="s">
        <v>706</v>
      </c>
      <c r="C57" s="5" t="s">
        <v>706</v>
      </c>
      <c r="D57" t="b">
        <f t="shared" si="0"/>
        <v>0</v>
      </c>
    </row>
    <row r="58" spans="1:4" x14ac:dyDescent="0.25">
      <c r="A58" t="s">
        <v>66</v>
      </c>
      <c r="B58" s="5" t="s">
        <v>707</v>
      </c>
      <c r="C58" s="5" t="s">
        <v>707</v>
      </c>
      <c r="D58" t="b">
        <f t="shared" si="0"/>
        <v>0</v>
      </c>
    </row>
    <row r="59" spans="1:4" x14ac:dyDescent="0.25">
      <c r="A59" t="s">
        <v>66</v>
      </c>
      <c r="B59" s="5" t="s">
        <v>708</v>
      </c>
      <c r="C59" s="5" t="s">
        <v>708</v>
      </c>
      <c r="D59" t="b">
        <f t="shared" si="0"/>
        <v>0</v>
      </c>
    </row>
    <row r="60" spans="1:4" x14ac:dyDescent="0.25">
      <c r="A60" t="s">
        <v>66</v>
      </c>
      <c r="B60" s="5" t="s">
        <v>714</v>
      </c>
      <c r="C60" s="5" t="s">
        <v>714</v>
      </c>
      <c r="D60" t="b">
        <f t="shared" si="0"/>
        <v>0</v>
      </c>
    </row>
    <row r="61" spans="1:4" x14ac:dyDescent="0.25">
      <c r="A61" t="s">
        <v>66</v>
      </c>
      <c r="B61" s="5" t="s">
        <v>709</v>
      </c>
      <c r="C61" s="5" t="s">
        <v>709</v>
      </c>
      <c r="D61" t="b">
        <f t="shared" si="0"/>
        <v>0</v>
      </c>
    </row>
    <row r="62" spans="1:4" x14ac:dyDescent="0.25">
      <c r="A62" t="s">
        <v>339</v>
      </c>
      <c r="B62" s="5" t="s">
        <v>711</v>
      </c>
      <c r="C62" s="5" t="s">
        <v>711</v>
      </c>
      <c r="D62" t="b">
        <f t="shared" si="0"/>
        <v>0</v>
      </c>
    </row>
    <row r="63" spans="1:4" x14ac:dyDescent="0.25">
      <c r="A63" t="s">
        <v>339</v>
      </c>
      <c r="B63" s="5" t="s">
        <v>1755</v>
      </c>
      <c r="C63" s="5" t="s">
        <v>1755</v>
      </c>
      <c r="D63" t="b">
        <f t="shared" si="0"/>
        <v>0</v>
      </c>
    </row>
    <row r="64" spans="1:4" x14ac:dyDescent="0.25">
      <c r="A64" t="s">
        <v>68</v>
      </c>
      <c r="B64" s="5" t="s">
        <v>712</v>
      </c>
      <c r="C64" s="5" t="s">
        <v>712</v>
      </c>
      <c r="D64" t="b">
        <f t="shared" si="0"/>
        <v>0</v>
      </c>
    </row>
    <row r="65" spans="1:5" x14ac:dyDescent="0.25">
      <c r="A65" t="s">
        <v>68</v>
      </c>
      <c r="B65" s="5" t="s">
        <v>713</v>
      </c>
      <c r="C65" s="5" t="s">
        <v>713</v>
      </c>
      <c r="D65" t="b">
        <f t="shared" si="0"/>
        <v>0</v>
      </c>
    </row>
    <row r="66" spans="1:5" x14ac:dyDescent="0.25">
      <c r="A66" t="s">
        <v>68</v>
      </c>
      <c r="B66" s="5" t="s">
        <v>715</v>
      </c>
      <c r="C66" s="5" t="s">
        <v>715</v>
      </c>
      <c r="D66" t="b">
        <f t="shared" si="0"/>
        <v>0</v>
      </c>
    </row>
    <row r="67" spans="1:5" x14ac:dyDescent="0.25">
      <c r="A67" t="s">
        <v>68</v>
      </c>
      <c r="B67" s="5" t="s">
        <v>716</v>
      </c>
      <c r="C67" s="5" t="s">
        <v>1955</v>
      </c>
      <c r="D67" t="b">
        <f t="shared" si="0"/>
        <v>1</v>
      </c>
    </row>
    <row r="68" spans="1:5" x14ac:dyDescent="0.25">
      <c r="A68" t="s">
        <v>68</v>
      </c>
      <c r="B68" s="5" t="s">
        <v>717</v>
      </c>
      <c r="C68" s="5" t="s">
        <v>718</v>
      </c>
      <c r="D68" t="b">
        <f t="shared" si="0"/>
        <v>1</v>
      </c>
    </row>
    <row r="69" spans="1:5" x14ac:dyDescent="0.25">
      <c r="A69" t="s">
        <v>68</v>
      </c>
      <c r="B69" s="23" t="s">
        <v>1956</v>
      </c>
      <c r="C69" s="5" t="s">
        <v>1956</v>
      </c>
      <c r="D69" t="b">
        <f t="shared" ref="D69:D102" si="2">B69&lt;&gt;C69</f>
        <v>0</v>
      </c>
      <c r="E69" t="s">
        <v>2032</v>
      </c>
    </row>
    <row r="70" spans="1:5" x14ac:dyDescent="0.25">
      <c r="A70" t="s">
        <v>68</v>
      </c>
      <c r="B70" s="5" t="s">
        <v>719</v>
      </c>
      <c r="C70" s="5" t="s">
        <v>719</v>
      </c>
      <c r="D70" t="b">
        <f t="shared" si="2"/>
        <v>0</v>
      </c>
    </row>
    <row r="71" spans="1:5" x14ac:dyDescent="0.25">
      <c r="A71" t="s">
        <v>68</v>
      </c>
      <c r="B71" s="5" t="s">
        <v>128</v>
      </c>
      <c r="C71" s="5" t="s">
        <v>128</v>
      </c>
      <c r="D71" t="b">
        <f t="shared" si="2"/>
        <v>0</v>
      </c>
    </row>
    <row r="72" spans="1:5" x14ac:dyDescent="0.25">
      <c r="A72" t="s">
        <v>68</v>
      </c>
      <c r="B72" s="5" t="s">
        <v>720</v>
      </c>
      <c r="C72" s="5" t="s">
        <v>720</v>
      </c>
      <c r="D72" t="b">
        <f t="shared" si="2"/>
        <v>0</v>
      </c>
    </row>
    <row r="73" spans="1:5" x14ac:dyDescent="0.25">
      <c r="A73" t="s">
        <v>68</v>
      </c>
      <c r="B73" s="5" t="s">
        <v>367</v>
      </c>
      <c r="C73" s="5" t="s">
        <v>367</v>
      </c>
      <c r="D73" t="b">
        <f t="shared" si="2"/>
        <v>0</v>
      </c>
    </row>
    <row r="74" spans="1:5" x14ac:dyDescent="0.25">
      <c r="A74" t="s">
        <v>68</v>
      </c>
      <c r="B74" s="5" t="s">
        <v>721</v>
      </c>
      <c r="C74" s="5" t="s">
        <v>721</v>
      </c>
      <c r="D74" t="b">
        <f t="shared" si="2"/>
        <v>0</v>
      </c>
    </row>
    <row r="75" spans="1:5" x14ac:dyDescent="0.25">
      <c r="A75" t="s">
        <v>68</v>
      </c>
      <c r="B75" s="5" t="s">
        <v>722</v>
      </c>
      <c r="C75" s="5" t="s">
        <v>722</v>
      </c>
      <c r="D75" t="b">
        <f t="shared" si="2"/>
        <v>0</v>
      </c>
    </row>
    <row r="76" spans="1:5" x14ac:dyDescent="0.25">
      <c r="A76" t="s">
        <v>68</v>
      </c>
      <c r="B76" s="5" t="s">
        <v>723</v>
      </c>
      <c r="C76" s="5" t="s">
        <v>723</v>
      </c>
      <c r="D76" t="b">
        <f t="shared" si="2"/>
        <v>0</v>
      </c>
    </row>
    <row r="77" spans="1:5" x14ac:dyDescent="0.25">
      <c r="A77" t="s">
        <v>6</v>
      </c>
      <c r="B77" s="5" t="s">
        <v>724</v>
      </c>
      <c r="C77" s="5" t="s">
        <v>724</v>
      </c>
      <c r="D77" t="b">
        <f t="shared" si="2"/>
        <v>0</v>
      </c>
    </row>
    <row r="78" spans="1:5" x14ac:dyDescent="0.25">
      <c r="A78" t="s">
        <v>6</v>
      </c>
      <c r="B78" s="5" t="s">
        <v>710</v>
      </c>
      <c r="C78" s="5" t="s">
        <v>1957</v>
      </c>
      <c r="D78" t="b">
        <f t="shared" si="2"/>
        <v>1</v>
      </c>
    </row>
    <row r="79" spans="1:5" x14ac:dyDescent="0.25">
      <c r="A79" t="s">
        <v>6</v>
      </c>
      <c r="B79" s="5" t="s">
        <v>725</v>
      </c>
      <c r="C79" s="5" t="s">
        <v>725</v>
      </c>
      <c r="D79" t="b">
        <f t="shared" si="2"/>
        <v>0</v>
      </c>
    </row>
    <row r="80" spans="1:5" x14ac:dyDescent="0.25">
      <c r="A80" t="s">
        <v>6</v>
      </c>
      <c r="B80" s="5" t="s">
        <v>726</v>
      </c>
      <c r="C80" s="5" t="s">
        <v>726</v>
      </c>
      <c r="D80" t="b">
        <f t="shared" si="2"/>
        <v>0</v>
      </c>
    </row>
    <row r="81" spans="1:5" x14ac:dyDescent="0.25">
      <c r="A81" t="s">
        <v>6</v>
      </c>
      <c r="B81" s="5" t="s">
        <v>727</v>
      </c>
      <c r="C81" s="5" t="s">
        <v>727</v>
      </c>
      <c r="D81" t="b">
        <f t="shared" si="2"/>
        <v>0</v>
      </c>
    </row>
    <row r="82" spans="1:5" x14ac:dyDescent="0.25">
      <c r="A82" t="s">
        <v>6</v>
      </c>
      <c r="B82" s="5" t="s">
        <v>1617</v>
      </c>
      <c r="C82" s="5" t="s">
        <v>1617</v>
      </c>
      <c r="D82" t="b">
        <f t="shared" si="2"/>
        <v>0</v>
      </c>
    </row>
    <row r="83" spans="1:5" x14ac:dyDescent="0.25">
      <c r="A83" t="s">
        <v>6</v>
      </c>
      <c r="B83" s="5" t="s">
        <v>522</v>
      </c>
      <c r="C83" s="5" t="s">
        <v>522</v>
      </c>
      <c r="D83" t="b">
        <f t="shared" si="2"/>
        <v>0</v>
      </c>
    </row>
    <row r="84" spans="1:5" x14ac:dyDescent="0.25">
      <c r="A84" t="s">
        <v>6</v>
      </c>
      <c r="B84" s="5" t="s">
        <v>728</v>
      </c>
      <c r="C84" s="5" t="s">
        <v>728</v>
      </c>
      <c r="D84" t="b">
        <f t="shared" si="2"/>
        <v>0</v>
      </c>
    </row>
    <row r="85" spans="1:5" x14ac:dyDescent="0.25">
      <c r="A85" t="s">
        <v>6</v>
      </c>
      <c r="B85" s="5" t="s">
        <v>705</v>
      </c>
      <c r="C85" s="5" t="s">
        <v>705</v>
      </c>
      <c r="D85" t="b">
        <f t="shared" si="2"/>
        <v>0</v>
      </c>
    </row>
    <row r="86" spans="1:5" x14ac:dyDescent="0.25">
      <c r="A86" t="s">
        <v>6</v>
      </c>
      <c r="B86" s="5" t="s">
        <v>729</v>
      </c>
      <c r="C86" s="5" t="s">
        <v>729</v>
      </c>
      <c r="D86" t="b">
        <f t="shared" si="2"/>
        <v>0</v>
      </c>
    </row>
    <row r="87" spans="1:5" x14ac:dyDescent="0.25">
      <c r="A87" t="s">
        <v>6</v>
      </c>
      <c r="B87" s="5" t="s">
        <v>730</v>
      </c>
      <c r="C87" s="5" t="s">
        <v>730</v>
      </c>
      <c r="D87" t="b">
        <f t="shared" si="2"/>
        <v>0</v>
      </c>
    </row>
    <row r="88" spans="1:5" x14ac:dyDescent="0.25">
      <c r="A88" t="s">
        <v>6</v>
      </c>
      <c r="B88" s="5" t="s">
        <v>731</v>
      </c>
      <c r="C88" s="5" t="s">
        <v>731</v>
      </c>
      <c r="D88" t="b">
        <f t="shared" si="2"/>
        <v>0</v>
      </c>
    </row>
    <row r="89" spans="1:5" x14ac:dyDescent="0.25">
      <c r="A89" t="s">
        <v>6</v>
      </c>
      <c r="B89" s="5" t="s">
        <v>732</v>
      </c>
      <c r="C89" s="5" t="s">
        <v>732</v>
      </c>
      <c r="D89" t="b">
        <f t="shared" si="2"/>
        <v>0</v>
      </c>
    </row>
    <row r="90" spans="1:5" x14ac:dyDescent="0.25">
      <c r="A90" t="s">
        <v>6</v>
      </c>
      <c r="B90" s="5" t="s">
        <v>733</v>
      </c>
      <c r="C90" s="5" t="s">
        <v>733</v>
      </c>
      <c r="D90" t="b">
        <f t="shared" si="2"/>
        <v>0</v>
      </c>
    </row>
    <row r="91" spans="1:5" x14ac:dyDescent="0.25">
      <c r="A91" t="s">
        <v>6</v>
      </c>
      <c r="B91" s="5" t="s">
        <v>734</v>
      </c>
      <c r="C91" s="5" t="s">
        <v>1338</v>
      </c>
      <c r="D91" t="b">
        <f t="shared" si="2"/>
        <v>1</v>
      </c>
    </row>
    <row r="92" spans="1:5" x14ac:dyDescent="0.25">
      <c r="A92" t="s">
        <v>6</v>
      </c>
      <c r="B92" s="5" t="s">
        <v>735</v>
      </c>
      <c r="C92" s="5" t="s">
        <v>735</v>
      </c>
      <c r="D92" t="b">
        <f t="shared" si="2"/>
        <v>0</v>
      </c>
    </row>
    <row r="93" spans="1:5" x14ac:dyDescent="0.25">
      <c r="A93" t="s">
        <v>6</v>
      </c>
      <c r="B93" s="5" t="s">
        <v>736</v>
      </c>
      <c r="C93" s="5" t="s">
        <v>736</v>
      </c>
      <c r="D93" t="b">
        <f t="shared" si="2"/>
        <v>0</v>
      </c>
    </row>
    <row r="94" spans="1:5" x14ac:dyDescent="0.25">
      <c r="A94" t="s">
        <v>6</v>
      </c>
      <c r="B94" s="5" t="s">
        <v>737</v>
      </c>
      <c r="C94" s="5" t="s">
        <v>737</v>
      </c>
      <c r="D94" t="b">
        <f t="shared" si="2"/>
        <v>0</v>
      </c>
    </row>
    <row r="95" spans="1:5" x14ac:dyDescent="0.25">
      <c r="A95" t="s">
        <v>6</v>
      </c>
      <c r="B95" s="23" t="s">
        <v>1754</v>
      </c>
      <c r="C95" s="5" t="s">
        <v>1754</v>
      </c>
      <c r="D95" t="b">
        <f t="shared" si="2"/>
        <v>0</v>
      </c>
      <c r="E95" t="s">
        <v>738</v>
      </c>
    </row>
    <row r="96" spans="1:5" x14ac:dyDescent="0.25">
      <c r="A96" t="s">
        <v>6</v>
      </c>
      <c r="B96" s="5" t="s">
        <v>739</v>
      </c>
      <c r="C96" s="5" t="s">
        <v>739</v>
      </c>
      <c r="D96" t="b">
        <f t="shared" si="2"/>
        <v>0</v>
      </c>
    </row>
    <row r="97" spans="1:4" x14ac:dyDescent="0.25">
      <c r="A97" t="s">
        <v>6</v>
      </c>
      <c r="B97" s="5" t="s">
        <v>740</v>
      </c>
      <c r="C97" s="5" t="s">
        <v>740</v>
      </c>
      <c r="D97" t="b">
        <f t="shared" si="2"/>
        <v>0</v>
      </c>
    </row>
    <row r="98" spans="1:4" x14ac:dyDescent="0.25">
      <c r="A98" t="s">
        <v>6</v>
      </c>
      <c r="B98" s="5" t="s">
        <v>741</v>
      </c>
      <c r="C98" s="5" t="s">
        <v>741</v>
      </c>
      <c r="D98" t="b">
        <f t="shared" si="2"/>
        <v>0</v>
      </c>
    </row>
    <row r="99" spans="1:4" x14ac:dyDescent="0.25">
      <c r="A99" t="s">
        <v>6</v>
      </c>
      <c r="B99" s="5" t="s">
        <v>125</v>
      </c>
      <c r="C99" s="5" t="s">
        <v>742</v>
      </c>
      <c r="D99" t="b">
        <f t="shared" si="2"/>
        <v>1</v>
      </c>
    </row>
    <row r="100" spans="1:4" x14ac:dyDescent="0.25">
      <c r="A100" t="s">
        <v>6</v>
      </c>
      <c r="B100" s="5" t="s">
        <v>539</v>
      </c>
      <c r="C100" s="5" t="s">
        <v>539</v>
      </c>
      <c r="D100" t="b">
        <f t="shared" si="2"/>
        <v>0</v>
      </c>
    </row>
    <row r="101" spans="1:4" x14ac:dyDescent="0.25">
      <c r="A101" t="s">
        <v>6</v>
      </c>
      <c r="B101" s="5" t="s">
        <v>1757</v>
      </c>
      <c r="C101" s="5" t="s">
        <v>1757</v>
      </c>
      <c r="D101" t="b">
        <f t="shared" si="2"/>
        <v>0</v>
      </c>
    </row>
    <row r="102" spans="1:4" x14ac:dyDescent="0.25">
      <c r="A102" t="s">
        <v>6</v>
      </c>
      <c r="B102" s="5" t="s">
        <v>383</v>
      </c>
      <c r="C102" s="5" t="s">
        <v>383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9351040B-FE65-4397-A5B8-2CAD5FA864E8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9985C82E-EBF9-4683-83DF-ED2E61DD2B8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71F5-45DA-463C-8695-545A3F46113B}">
  <sheetPr codeName="Planilha16"/>
  <dimension ref="A1:H102"/>
  <sheetViews>
    <sheetView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  <col min="9" max="9" width="9.85546875" bestFit="1" customWidth="1"/>
  </cols>
  <sheetData>
    <row r="1" spans="1:8" ht="21" x14ac:dyDescent="0.25">
      <c r="A1" s="31" t="s">
        <v>744</v>
      </c>
      <c r="B1" s="31"/>
      <c r="C1" s="31"/>
      <c r="D1" s="31"/>
      <c r="E1" s="31"/>
      <c r="F1" s="31"/>
      <c r="G1" s="31"/>
    </row>
    <row r="2" spans="1:8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7</v>
      </c>
    </row>
    <row r="3" spans="1:8" x14ac:dyDescent="0.25">
      <c r="A3" s="24" t="s">
        <v>2031</v>
      </c>
      <c r="B3" s="5" t="s">
        <v>744</v>
      </c>
      <c r="C3" s="5" t="s">
        <v>744</v>
      </c>
      <c r="D3" t="b">
        <f>B3&lt;&gt;C3</f>
        <v>0</v>
      </c>
      <c r="F3" s="4" t="s">
        <v>37</v>
      </c>
      <c r="G3" s="25">
        <f>SUM(G5:G29)</f>
        <v>100</v>
      </c>
    </row>
    <row r="4" spans="1:8" x14ac:dyDescent="0.25">
      <c r="A4" s="5" t="s">
        <v>35</v>
      </c>
      <c r="B4" s="5" t="s">
        <v>745</v>
      </c>
      <c r="C4" s="5" t="s">
        <v>745</v>
      </c>
      <c r="D4" t="b">
        <f>B4&lt;&gt;C4</f>
        <v>0</v>
      </c>
    </row>
    <row r="5" spans="1:8" x14ac:dyDescent="0.25">
      <c r="A5" s="5" t="s">
        <v>35</v>
      </c>
      <c r="B5" s="5" t="s">
        <v>746</v>
      </c>
      <c r="C5" s="5" t="s">
        <v>746</v>
      </c>
      <c r="D5" t="b">
        <f t="shared" ref="D5:D68" si="0">B5&lt;&gt;C5</f>
        <v>0</v>
      </c>
      <c r="F5" s="6" t="s">
        <v>39</v>
      </c>
      <c r="G5" s="1"/>
    </row>
    <row r="6" spans="1:8" x14ac:dyDescent="0.25">
      <c r="A6" s="5" t="s">
        <v>35</v>
      </c>
      <c r="B6" s="5" t="s">
        <v>747</v>
      </c>
      <c r="C6" s="5" t="s">
        <v>747</v>
      </c>
      <c r="D6" t="b">
        <f t="shared" si="0"/>
        <v>0</v>
      </c>
      <c r="F6" s="7" t="s">
        <v>2031</v>
      </c>
      <c r="G6" s="2">
        <f t="shared" ref="G6:G13" si="1">COUNTIF(A:A,F6)</f>
        <v>1</v>
      </c>
    </row>
    <row r="7" spans="1:8" x14ac:dyDescent="0.25">
      <c r="A7" s="5" t="s">
        <v>35</v>
      </c>
      <c r="B7" s="5" t="s">
        <v>748</v>
      </c>
      <c r="C7" s="5" t="s">
        <v>748</v>
      </c>
      <c r="D7" t="b">
        <f t="shared" si="0"/>
        <v>0</v>
      </c>
      <c r="F7" s="3" t="s">
        <v>35</v>
      </c>
      <c r="G7" s="2">
        <f t="shared" si="1"/>
        <v>33</v>
      </c>
    </row>
    <row r="8" spans="1:8" x14ac:dyDescent="0.25">
      <c r="A8" s="5" t="s">
        <v>35</v>
      </c>
      <c r="B8" s="5" t="s">
        <v>140</v>
      </c>
      <c r="C8" s="5" t="s">
        <v>140</v>
      </c>
      <c r="D8" t="b">
        <f t="shared" si="0"/>
        <v>0</v>
      </c>
      <c r="F8" s="7" t="s">
        <v>41</v>
      </c>
      <c r="G8" s="2">
        <f t="shared" si="1"/>
        <v>3</v>
      </c>
    </row>
    <row r="9" spans="1:8" x14ac:dyDescent="0.25">
      <c r="A9" s="5" t="s">
        <v>35</v>
      </c>
      <c r="B9" s="5" t="s">
        <v>749</v>
      </c>
      <c r="C9" s="5" t="s">
        <v>749</v>
      </c>
      <c r="D9" t="b">
        <f t="shared" si="0"/>
        <v>0</v>
      </c>
      <c r="F9" s="7" t="s">
        <v>42</v>
      </c>
      <c r="G9" s="2">
        <f t="shared" si="1"/>
        <v>22</v>
      </c>
    </row>
    <row r="10" spans="1:8" x14ac:dyDescent="0.25">
      <c r="A10" s="5" t="s">
        <v>35</v>
      </c>
      <c r="B10" s="5" t="s">
        <v>750</v>
      </c>
      <c r="C10" s="5" t="s">
        <v>750</v>
      </c>
      <c r="D10" t="b">
        <f t="shared" si="0"/>
        <v>0</v>
      </c>
      <c r="F10" s="7" t="s">
        <v>49</v>
      </c>
      <c r="G10" s="2">
        <f t="shared" si="1"/>
        <v>20</v>
      </c>
    </row>
    <row r="11" spans="1:8" x14ac:dyDescent="0.25">
      <c r="A11" s="5" t="s">
        <v>35</v>
      </c>
      <c r="B11" s="5" t="s">
        <v>751</v>
      </c>
      <c r="C11" s="5" t="s">
        <v>751</v>
      </c>
      <c r="D11" t="b">
        <f t="shared" si="0"/>
        <v>0</v>
      </c>
      <c r="F11" s="7" t="s">
        <v>43</v>
      </c>
      <c r="G11" s="2">
        <f t="shared" si="1"/>
        <v>7</v>
      </c>
    </row>
    <row r="12" spans="1:8" x14ac:dyDescent="0.25">
      <c r="A12" s="5" t="s">
        <v>35</v>
      </c>
      <c r="B12" s="5" t="s">
        <v>752</v>
      </c>
      <c r="C12" s="5" t="s">
        <v>752</v>
      </c>
      <c r="D12" t="b">
        <f t="shared" si="0"/>
        <v>0</v>
      </c>
      <c r="F12" s="7" t="s">
        <v>753</v>
      </c>
      <c r="G12" s="2">
        <f t="shared" si="1"/>
        <v>13</v>
      </c>
    </row>
    <row r="13" spans="1:8" x14ac:dyDescent="0.25">
      <c r="A13" s="5" t="s">
        <v>35</v>
      </c>
      <c r="B13" s="5" t="s">
        <v>412</v>
      </c>
      <c r="C13" s="5" t="s">
        <v>412</v>
      </c>
      <c r="D13" t="b">
        <f t="shared" si="0"/>
        <v>0</v>
      </c>
      <c r="F13" s="7" t="s">
        <v>484</v>
      </c>
      <c r="G13" s="2">
        <f t="shared" si="1"/>
        <v>1</v>
      </c>
    </row>
    <row r="14" spans="1:8" x14ac:dyDescent="0.25">
      <c r="A14" s="5" t="s">
        <v>35</v>
      </c>
      <c r="B14" s="5" t="s">
        <v>754</v>
      </c>
      <c r="C14" s="5" t="s">
        <v>754</v>
      </c>
      <c r="D14" t="b">
        <f t="shared" si="0"/>
        <v>0</v>
      </c>
      <c r="F14" s="7"/>
      <c r="G14" s="2"/>
    </row>
    <row r="15" spans="1:8" x14ac:dyDescent="0.25">
      <c r="A15" s="5" t="s">
        <v>35</v>
      </c>
      <c r="B15" s="5" t="s">
        <v>418</v>
      </c>
      <c r="C15" s="5" t="s">
        <v>418</v>
      </c>
      <c r="D15" t="b">
        <f t="shared" si="0"/>
        <v>0</v>
      </c>
    </row>
    <row r="16" spans="1:8" x14ac:dyDescent="0.25">
      <c r="A16" s="5" t="s">
        <v>35</v>
      </c>
      <c r="B16" s="5" t="s">
        <v>40</v>
      </c>
      <c r="C16" s="5" t="s">
        <v>40</v>
      </c>
      <c r="D16" t="b">
        <f t="shared" si="0"/>
        <v>0</v>
      </c>
      <c r="H16" s="3"/>
    </row>
    <row r="17" spans="1:7" x14ac:dyDescent="0.25">
      <c r="A17" s="5" t="s">
        <v>35</v>
      </c>
      <c r="B17" s="5" t="s">
        <v>755</v>
      </c>
      <c r="C17" s="5" t="s">
        <v>756</v>
      </c>
      <c r="D17" t="b">
        <f t="shared" si="0"/>
        <v>1</v>
      </c>
      <c r="F17" s="4"/>
      <c r="G17" s="2"/>
    </row>
    <row r="18" spans="1:7" x14ac:dyDescent="0.25">
      <c r="A18" s="5" t="s">
        <v>35</v>
      </c>
      <c r="B18" s="5" t="s">
        <v>757</v>
      </c>
      <c r="C18" s="5" t="s">
        <v>757</v>
      </c>
      <c r="D18" t="b">
        <f t="shared" si="0"/>
        <v>0</v>
      </c>
      <c r="F18" s="4"/>
      <c r="G18" s="2"/>
    </row>
    <row r="19" spans="1:7" x14ac:dyDescent="0.25">
      <c r="A19" s="5" t="s">
        <v>35</v>
      </c>
      <c r="B19" s="5" t="s">
        <v>84</v>
      </c>
      <c r="C19" s="5" t="s">
        <v>758</v>
      </c>
      <c r="D19" t="b">
        <f t="shared" si="0"/>
        <v>1</v>
      </c>
    </row>
    <row r="20" spans="1:7" x14ac:dyDescent="0.25">
      <c r="A20" s="5" t="s">
        <v>35</v>
      </c>
      <c r="B20" s="5" t="s">
        <v>1610</v>
      </c>
      <c r="C20" s="5" t="s">
        <v>1610</v>
      </c>
      <c r="D20" t="b">
        <f t="shared" si="0"/>
        <v>0</v>
      </c>
    </row>
    <row r="21" spans="1:7" x14ac:dyDescent="0.25">
      <c r="A21" s="5" t="s">
        <v>35</v>
      </c>
      <c r="B21" s="5" t="s">
        <v>84</v>
      </c>
      <c r="C21" s="5" t="s">
        <v>84</v>
      </c>
      <c r="D21" t="b">
        <f t="shared" si="0"/>
        <v>0</v>
      </c>
    </row>
    <row r="22" spans="1:7" x14ac:dyDescent="0.25">
      <c r="A22" s="5" t="s">
        <v>35</v>
      </c>
      <c r="B22" s="5" t="s">
        <v>84</v>
      </c>
      <c r="C22" s="5" t="s">
        <v>84</v>
      </c>
      <c r="D22" t="b">
        <f t="shared" si="0"/>
        <v>0</v>
      </c>
    </row>
    <row r="23" spans="1:7" x14ac:dyDescent="0.25">
      <c r="A23" s="5" t="s">
        <v>35</v>
      </c>
      <c r="B23" s="5" t="s">
        <v>84</v>
      </c>
      <c r="C23" s="5" t="s">
        <v>84</v>
      </c>
      <c r="D23" t="b">
        <f t="shared" si="0"/>
        <v>0</v>
      </c>
    </row>
    <row r="24" spans="1:7" x14ac:dyDescent="0.25">
      <c r="A24" s="5" t="s">
        <v>35</v>
      </c>
      <c r="B24" s="5" t="s">
        <v>84</v>
      </c>
      <c r="C24" s="5" t="s">
        <v>84</v>
      </c>
      <c r="D24" t="b">
        <f t="shared" si="0"/>
        <v>0</v>
      </c>
    </row>
    <row r="25" spans="1:7" x14ac:dyDescent="0.25">
      <c r="A25" s="5" t="s">
        <v>35</v>
      </c>
      <c r="B25" s="5" t="s">
        <v>84</v>
      </c>
      <c r="C25" s="5" t="s">
        <v>84</v>
      </c>
      <c r="D25" t="b">
        <f t="shared" si="0"/>
        <v>0</v>
      </c>
    </row>
    <row r="26" spans="1:7" x14ac:dyDescent="0.25">
      <c r="A26" s="5" t="s">
        <v>35</v>
      </c>
      <c r="B26" s="5" t="s">
        <v>84</v>
      </c>
      <c r="C26" s="5" t="s">
        <v>84</v>
      </c>
      <c r="D26" t="b">
        <f t="shared" si="0"/>
        <v>0</v>
      </c>
    </row>
    <row r="27" spans="1:7" x14ac:dyDescent="0.25">
      <c r="A27" s="5" t="s">
        <v>35</v>
      </c>
      <c r="B27" s="5" t="s">
        <v>84</v>
      </c>
      <c r="C27" s="5" t="s">
        <v>84</v>
      </c>
      <c r="D27" t="b">
        <f t="shared" si="0"/>
        <v>0</v>
      </c>
    </row>
    <row r="28" spans="1:7" x14ac:dyDescent="0.25">
      <c r="A28" s="5" t="s">
        <v>35</v>
      </c>
      <c r="B28" s="5" t="s">
        <v>84</v>
      </c>
      <c r="C28" s="5" t="s">
        <v>84</v>
      </c>
      <c r="D28" t="b">
        <f t="shared" si="0"/>
        <v>0</v>
      </c>
    </row>
    <row r="29" spans="1:7" x14ac:dyDescent="0.25">
      <c r="A29" s="5" t="s">
        <v>35</v>
      </c>
      <c r="B29" s="5" t="s">
        <v>153</v>
      </c>
      <c r="C29" s="5" t="s">
        <v>153</v>
      </c>
      <c r="D29" t="b">
        <f t="shared" si="0"/>
        <v>0</v>
      </c>
    </row>
    <row r="30" spans="1:7" x14ac:dyDescent="0.25">
      <c r="A30" s="5" t="s">
        <v>35</v>
      </c>
      <c r="B30" s="5" t="s">
        <v>153</v>
      </c>
      <c r="C30" s="5" t="s">
        <v>153</v>
      </c>
      <c r="D30" t="b">
        <f t="shared" si="0"/>
        <v>0</v>
      </c>
    </row>
    <row r="31" spans="1:7" x14ac:dyDescent="0.25">
      <c r="A31" s="5" t="s">
        <v>35</v>
      </c>
      <c r="B31" s="5" t="s">
        <v>153</v>
      </c>
      <c r="C31" s="5" t="s">
        <v>153</v>
      </c>
      <c r="D31" t="b">
        <f t="shared" si="0"/>
        <v>0</v>
      </c>
    </row>
    <row r="32" spans="1:7" x14ac:dyDescent="0.25">
      <c r="A32" s="5" t="s">
        <v>35</v>
      </c>
      <c r="B32" s="5" t="s">
        <v>153</v>
      </c>
      <c r="C32" s="5" t="s">
        <v>153</v>
      </c>
      <c r="D32" t="b">
        <f t="shared" si="0"/>
        <v>0</v>
      </c>
    </row>
    <row r="33" spans="1:4" x14ac:dyDescent="0.25">
      <c r="A33" s="5" t="s">
        <v>35</v>
      </c>
      <c r="B33" s="5" t="s">
        <v>153</v>
      </c>
      <c r="C33" s="5" t="s">
        <v>153</v>
      </c>
      <c r="D33" t="b">
        <f t="shared" si="0"/>
        <v>0</v>
      </c>
    </row>
    <row r="34" spans="1:4" x14ac:dyDescent="0.25">
      <c r="A34" s="5" t="s">
        <v>35</v>
      </c>
      <c r="B34" s="5" t="s">
        <v>153</v>
      </c>
      <c r="C34" s="5" t="s">
        <v>153</v>
      </c>
      <c r="D34" t="b">
        <f t="shared" si="0"/>
        <v>0</v>
      </c>
    </row>
    <row r="35" spans="1:4" x14ac:dyDescent="0.25">
      <c r="A35" s="5" t="s">
        <v>35</v>
      </c>
      <c r="B35" s="5" t="s">
        <v>153</v>
      </c>
      <c r="C35" s="5" t="s">
        <v>153</v>
      </c>
      <c r="D35" t="b">
        <f t="shared" si="0"/>
        <v>0</v>
      </c>
    </row>
    <row r="36" spans="1:4" x14ac:dyDescent="0.25">
      <c r="A36" s="5" t="s">
        <v>35</v>
      </c>
      <c r="B36" s="5" t="s">
        <v>153</v>
      </c>
      <c r="C36" s="5" t="s">
        <v>153</v>
      </c>
      <c r="D36" t="b">
        <f t="shared" si="0"/>
        <v>0</v>
      </c>
    </row>
    <row r="37" spans="1:4" x14ac:dyDescent="0.25">
      <c r="A37" s="5" t="s">
        <v>41</v>
      </c>
      <c r="B37" s="5" t="s">
        <v>759</v>
      </c>
      <c r="C37" s="5" t="s">
        <v>759</v>
      </c>
      <c r="D37" t="b">
        <f t="shared" si="0"/>
        <v>0</v>
      </c>
    </row>
    <row r="38" spans="1:4" x14ac:dyDescent="0.25">
      <c r="A38" s="5" t="s">
        <v>41</v>
      </c>
      <c r="B38" s="5" t="s">
        <v>1714</v>
      </c>
      <c r="C38" s="5" t="s">
        <v>1714</v>
      </c>
      <c r="D38" t="b">
        <f t="shared" si="0"/>
        <v>0</v>
      </c>
    </row>
    <row r="39" spans="1:4" x14ac:dyDescent="0.25">
      <c r="A39" s="5" t="s">
        <v>41</v>
      </c>
      <c r="B39" s="5" t="s">
        <v>760</v>
      </c>
      <c r="C39" s="5" t="s">
        <v>760</v>
      </c>
      <c r="D39" t="b">
        <f t="shared" si="0"/>
        <v>0</v>
      </c>
    </row>
    <row r="40" spans="1:4" x14ac:dyDescent="0.25">
      <c r="A40" s="5" t="s">
        <v>484</v>
      </c>
      <c r="B40" s="5" t="s">
        <v>761</v>
      </c>
      <c r="C40" s="5" t="s">
        <v>761</v>
      </c>
      <c r="D40" t="b">
        <f t="shared" si="0"/>
        <v>0</v>
      </c>
    </row>
    <row r="41" spans="1:4" x14ac:dyDescent="0.25">
      <c r="A41" s="5" t="s">
        <v>42</v>
      </c>
      <c r="B41" s="5" t="s">
        <v>762</v>
      </c>
      <c r="C41" s="5" t="s">
        <v>762</v>
      </c>
      <c r="D41" t="b">
        <f t="shared" si="0"/>
        <v>0</v>
      </c>
    </row>
    <row r="42" spans="1:4" x14ac:dyDescent="0.25">
      <c r="A42" s="5" t="s">
        <v>42</v>
      </c>
      <c r="B42" s="5" t="s">
        <v>763</v>
      </c>
      <c r="C42" s="5" t="s">
        <v>763</v>
      </c>
      <c r="D42" t="b">
        <f t="shared" si="0"/>
        <v>0</v>
      </c>
    </row>
    <row r="43" spans="1:4" x14ac:dyDescent="0.25">
      <c r="A43" s="5" t="s">
        <v>42</v>
      </c>
      <c r="B43" s="5" t="s">
        <v>764</v>
      </c>
      <c r="C43" s="5" t="s">
        <v>764</v>
      </c>
      <c r="D43" t="b">
        <f t="shared" si="0"/>
        <v>0</v>
      </c>
    </row>
    <row r="44" spans="1:4" x14ac:dyDescent="0.25">
      <c r="A44" s="5" t="s">
        <v>42</v>
      </c>
      <c r="B44" s="5" t="s">
        <v>765</v>
      </c>
      <c r="C44" s="5" t="s">
        <v>765</v>
      </c>
      <c r="D44" t="b">
        <f t="shared" si="0"/>
        <v>0</v>
      </c>
    </row>
    <row r="45" spans="1:4" x14ac:dyDescent="0.25">
      <c r="A45" s="5" t="s">
        <v>42</v>
      </c>
      <c r="B45" s="5" t="s">
        <v>766</v>
      </c>
      <c r="C45" s="5" t="s">
        <v>766</v>
      </c>
      <c r="D45" t="b">
        <f t="shared" si="0"/>
        <v>0</v>
      </c>
    </row>
    <row r="46" spans="1:4" x14ac:dyDescent="0.25">
      <c r="A46" s="5" t="s">
        <v>42</v>
      </c>
      <c r="B46" s="5" t="s">
        <v>767</v>
      </c>
      <c r="C46" s="5" t="s">
        <v>767</v>
      </c>
      <c r="D46" t="b">
        <f t="shared" si="0"/>
        <v>0</v>
      </c>
    </row>
    <row r="47" spans="1:4" x14ac:dyDescent="0.25">
      <c r="A47" s="5" t="s">
        <v>42</v>
      </c>
      <c r="B47" s="5" t="s">
        <v>215</v>
      </c>
      <c r="C47" s="5" t="s">
        <v>215</v>
      </c>
      <c r="D47" t="b">
        <f t="shared" si="0"/>
        <v>0</v>
      </c>
    </row>
    <row r="48" spans="1:4" x14ac:dyDescent="0.25">
      <c r="A48" s="5" t="s">
        <v>42</v>
      </c>
      <c r="B48" s="5" t="s">
        <v>1605</v>
      </c>
      <c r="C48" s="5" t="s">
        <v>768</v>
      </c>
      <c r="D48" t="b">
        <f t="shared" si="0"/>
        <v>1</v>
      </c>
    </row>
    <row r="49" spans="1:4" x14ac:dyDescent="0.25">
      <c r="A49" s="5" t="s">
        <v>42</v>
      </c>
      <c r="B49" s="5" t="s">
        <v>769</v>
      </c>
      <c r="C49" s="5" t="s">
        <v>769</v>
      </c>
      <c r="D49" t="b">
        <f t="shared" si="0"/>
        <v>0</v>
      </c>
    </row>
    <row r="50" spans="1:4" x14ac:dyDescent="0.25">
      <c r="A50" s="5" t="s">
        <v>42</v>
      </c>
      <c r="B50" s="5" t="s">
        <v>216</v>
      </c>
      <c r="C50" s="5" t="s">
        <v>216</v>
      </c>
      <c r="D50" t="b">
        <f t="shared" si="0"/>
        <v>0</v>
      </c>
    </row>
    <row r="51" spans="1:4" x14ac:dyDescent="0.25">
      <c r="A51" s="5" t="s">
        <v>42</v>
      </c>
      <c r="B51" s="5" t="s">
        <v>770</v>
      </c>
      <c r="C51" s="5" t="s">
        <v>770</v>
      </c>
      <c r="D51" t="b">
        <f t="shared" si="0"/>
        <v>0</v>
      </c>
    </row>
    <row r="52" spans="1:4" x14ac:dyDescent="0.25">
      <c r="A52" s="5" t="s">
        <v>42</v>
      </c>
      <c r="B52" s="5" t="s">
        <v>771</v>
      </c>
      <c r="C52" s="5" t="s">
        <v>771</v>
      </c>
      <c r="D52" t="b">
        <f t="shared" si="0"/>
        <v>0</v>
      </c>
    </row>
    <row r="53" spans="1:4" x14ac:dyDescent="0.25">
      <c r="A53" s="5" t="s">
        <v>42</v>
      </c>
      <c r="B53" s="5" t="s">
        <v>772</v>
      </c>
      <c r="C53" s="5" t="s">
        <v>772</v>
      </c>
      <c r="D53" t="b">
        <f t="shared" si="0"/>
        <v>0</v>
      </c>
    </row>
    <row r="54" spans="1:4" x14ac:dyDescent="0.25">
      <c r="A54" s="5" t="s">
        <v>42</v>
      </c>
      <c r="B54" s="5" t="s">
        <v>773</v>
      </c>
      <c r="C54" s="5" t="s">
        <v>773</v>
      </c>
      <c r="D54" t="b">
        <f t="shared" si="0"/>
        <v>0</v>
      </c>
    </row>
    <row r="55" spans="1:4" x14ac:dyDescent="0.25">
      <c r="A55" s="5" t="s">
        <v>42</v>
      </c>
      <c r="B55" s="5" t="s">
        <v>774</v>
      </c>
      <c r="C55" s="5" t="s">
        <v>774</v>
      </c>
      <c r="D55" t="b">
        <f t="shared" si="0"/>
        <v>0</v>
      </c>
    </row>
    <row r="56" spans="1:4" x14ac:dyDescent="0.25">
      <c r="A56" s="5" t="s">
        <v>42</v>
      </c>
      <c r="B56" s="5" t="s">
        <v>775</v>
      </c>
      <c r="C56" s="5" t="s">
        <v>775</v>
      </c>
      <c r="D56" t="b">
        <f t="shared" si="0"/>
        <v>0</v>
      </c>
    </row>
    <row r="57" spans="1:4" x14ac:dyDescent="0.25">
      <c r="A57" s="5" t="s">
        <v>42</v>
      </c>
      <c r="B57" s="5" t="s">
        <v>776</v>
      </c>
      <c r="C57" s="5" t="s">
        <v>776</v>
      </c>
      <c r="D57" t="b">
        <f t="shared" si="0"/>
        <v>0</v>
      </c>
    </row>
    <row r="58" spans="1:4" x14ac:dyDescent="0.25">
      <c r="A58" s="5" t="s">
        <v>42</v>
      </c>
      <c r="B58" s="5" t="s">
        <v>777</v>
      </c>
      <c r="C58" s="5" t="s">
        <v>777</v>
      </c>
      <c r="D58" t="b">
        <f t="shared" si="0"/>
        <v>0</v>
      </c>
    </row>
    <row r="59" spans="1:4" x14ac:dyDescent="0.25">
      <c r="A59" s="5" t="s">
        <v>42</v>
      </c>
      <c r="B59" s="5" t="s">
        <v>1546</v>
      </c>
      <c r="C59" s="5" t="s">
        <v>1546</v>
      </c>
      <c r="D59" t="b">
        <f t="shared" si="0"/>
        <v>0</v>
      </c>
    </row>
    <row r="60" spans="1:4" x14ac:dyDescent="0.25">
      <c r="A60" s="5" t="s">
        <v>42</v>
      </c>
      <c r="B60" s="5" t="s">
        <v>778</v>
      </c>
      <c r="C60" s="5" t="s">
        <v>778</v>
      </c>
      <c r="D60" t="b">
        <f t="shared" si="0"/>
        <v>0</v>
      </c>
    </row>
    <row r="61" spans="1:4" x14ac:dyDescent="0.25">
      <c r="A61" s="5" t="s">
        <v>42</v>
      </c>
      <c r="B61" s="5" t="s">
        <v>779</v>
      </c>
      <c r="C61" s="5" t="s">
        <v>808</v>
      </c>
      <c r="D61" t="b">
        <f t="shared" si="0"/>
        <v>1</v>
      </c>
    </row>
    <row r="62" spans="1:4" x14ac:dyDescent="0.25">
      <c r="A62" s="5" t="s">
        <v>42</v>
      </c>
      <c r="B62" s="5" t="s">
        <v>780</v>
      </c>
      <c r="C62" s="5" t="s">
        <v>780</v>
      </c>
      <c r="D62" t="b">
        <f t="shared" si="0"/>
        <v>0</v>
      </c>
    </row>
    <row r="63" spans="1:4" x14ac:dyDescent="0.25">
      <c r="A63" s="5" t="s">
        <v>49</v>
      </c>
      <c r="B63" s="5" t="s">
        <v>781</v>
      </c>
      <c r="C63" s="5" t="s">
        <v>781</v>
      </c>
      <c r="D63" t="b">
        <f t="shared" si="0"/>
        <v>0</v>
      </c>
    </row>
    <row r="64" spans="1:4" x14ac:dyDescent="0.25">
      <c r="A64" s="5" t="s">
        <v>49</v>
      </c>
      <c r="B64" s="5" t="s">
        <v>782</v>
      </c>
      <c r="C64" s="5" t="s">
        <v>782</v>
      </c>
      <c r="D64" t="b">
        <f t="shared" si="0"/>
        <v>0</v>
      </c>
    </row>
    <row r="65" spans="1:4" x14ac:dyDescent="0.25">
      <c r="A65" s="5" t="s">
        <v>49</v>
      </c>
      <c r="B65" s="5" t="s">
        <v>783</v>
      </c>
      <c r="C65" s="5" t="s">
        <v>783</v>
      </c>
      <c r="D65" t="b">
        <f t="shared" si="0"/>
        <v>0</v>
      </c>
    </row>
    <row r="66" spans="1:4" x14ac:dyDescent="0.25">
      <c r="A66" s="5" t="s">
        <v>49</v>
      </c>
      <c r="B66" s="5" t="s">
        <v>370</v>
      </c>
      <c r="C66" s="5" t="s">
        <v>370</v>
      </c>
      <c r="D66" t="b">
        <f t="shared" si="0"/>
        <v>0</v>
      </c>
    </row>
    <row r="67" spans="1:4" x14ac:dyDescent="0.25">
      <c r="A67" s="5" t="s">
        <v>49</v>
      </c>
      <c r="B67" s="5" t="s">
        <v>784</v>
      </c>
      <c r="C67" s="5" t="s">
        <v>784</v>
      </c>
      <c r="D67" t="b">
        <f t="shared" si="0"/>
        <v>0</v>
      </c>
    </row>
    <row r="68" spans="1:4" x14ac:dyDescent="0.25">
      <c r="A68" s="5" t="s">
        <v>49</v>
      </c>
      <c r="B68" s="5" t="s">
        <v>785</v>
      </c>
      <c r="C68" s="5" t="s">
        <v>785</v>
      </c>
      <c r="D68" t="b">
        <f t="shared" si="0"/>
        <v>0</v>
      </c>
    </row>
    <row r="69" spans="1:4" x14ac:dyDescent="0.25">
      <c r="A69" s="5" t="s">
        <v>49</v>
      </c>
      <c r="B69" s="5" t="s">
        <v>786</v>
      </c>
      <c r="C69" s="5" t="s">
        <v>786</v>
      </c>
      <c r="D69" t="b">
        <f t="shared" ref="D69:D102" si="2">B69&lt;&gt;C69</f>
        <v>0</v>
      </c>
    </row>
    <row r="70" spans="1:4" x14ac:dyDescent="0.25">
      <c r="A70" s="5" t="s">
        <v>49</v>
      </c>
      <c r="B70" s="5" t="s">
        <v>787</v>
      </c>
      <c r="C70" s="5" t="s">
        <v>788</v>
      </c>
      <c r="D70" t="b">
        <f t="shared" si="2"/>
        <v>1</v>
      </c>
    </row>
    <row r="71" spans="1:4" x14ac:dyDescent="0.25">
      <c r="A71" s="5" t="s">
        <v>49</v>
      </c>
      <c r="B71" s="5" t="s">
        <v>789</v>
      </c>
      <c r="C71" s="5" t="s">
        <v>789</v>
      </c>
      <c r="D71" t="b">
        <f t="shared" si="2"/>
        <v>0</v>
      </c>
    </row>
    <row r="72" spans="1:4" x14ac:dyDescent="0.25">
      <c r="A72" s="5" t="s">
        <v>49</v>
      </c>
      <c r="B72" s="5" t="s">
        <v>713</v>
      </c>
      <c r="C72" s="5" t="s">
        <v>713</v>
      </c>
      <c r="D72" t="b">
        <f t="shared" si="2"/>
        <v>0</v>
      </c>
    </row>
    <row r="73" spans="1:4" x14ac:dyDescent="0.25">
      <c r="A73" s="5" t="s">
        <v>49</v>
      </c>
      <c r="B73" s="5" t="s">
        <v>790</v>
      </c>
      <c r="C73" s="5" t="s">
        <v>790</v>
      </c>
      <c r="D73" t="b">
        <f t="shared" si="2"/>
        <v>0</v>
      </c>
    </row>
    <row r="74" spans="1:4" x14ac:dyDescent="0.25">
      <c r="A74" s="5" t="s">
        <v>49</v>
      </c>
      <c r="B74" s="5" t="s">
        <v>791</v>
      </c>
      <c r="C74" s="5" t="s">
        <v>791</v>
      </c>
      <c r="D74" t="b">
        <f t="shared" si="2"/>
        <v>0</v>
      </c>
    </row>
    <row r="75" spans="1:4" x14ac:dyDescent="0.25">
      <c r="A75" s="5" t="s">
        <v>49</v>
      </c>
      <c r="B75" s="5" t="s">
        <v>792</v>
      </c>
      <c r="C75" s="5" t="s">
        <v>792</v>
      </c>
      <c r="D75" t="b">
        <f t="shared" si="2"/>
        <v>0</v>
      </c>
    </row>
    <row r="76" spans="1:4" x14ac:dyDescent="0.25">
      <c r="A76" s="5" t="s">
        <v>49</v>
      </c>
      <c r="B76" s="5" t="s">
        <v>128</v>
      </c>
      <c r="C76" s="5" t="s">
        <v>128</v>
      </c>
      <c r="D76" t="b">
        <f t="shared" si="2"/>
        <v>0</v>
      </c>
    </row>
    <row r="77" spans="1:4" x14ac:dyDescent="0.25">
      <c r="A77" s="5" t="s">
        <v>49</v>
      </c>
      <c r="B77" s="5" t="s">
        <v>793</v>
      </c>
      <c r="C77" s="5" t="s">
        <v>793</v>
      </c>
      <c r="D77" t="b">
        <f t="shared" si="2"/>
        <v>0</v>
      </c>
    </row>
    <row r="78" spans="1:4" x14ac:dyDescent="0.25">
      <c r="A78" s="5" t="s">
        <v>49</v>
      </c>
      <c r="B78" s="5" t="s">
        <v>794</v>
      </c>
      <c r="C78" s="5" t="s">
        <v>794</v>
      </c>
      <c r="D78" t="b">
        <f t="shared" si="2"/>
        <v>0</v>
      </c>
    </row>
    <row r="79" spans="1:4" x14ac:dyDescent="0.25">
      <c r="A79" s="5" t="s">
        <v>49</v>
      </c>
      <c r="B79" s="5" t="s">
        <v>795</v>
      </c>
      <c r="C79" s="5" t="s">
        <v>795</v>
      </c>
      <c r="D79" t="b">
        <f t="shared" si="2"/>
        <v>0</v>
      </c>
    </row>
    <row r="80" spans="1:4" x14ac:dyDescent="0.25">
      <c r="A80" s="5" t="s">
        <v>49</v>
      </c>
      <c r="B80" s="5" t="s">
        <v>796</v>
      </c>
      <c r="C80" s="5" t="s">
        <v>796</v>
      </c>
      <c r="D80" t="b">
        <f t="shared" si="2"/>
        <v>0</v>
      </c>
    </row>
    <row r="81" spans="1:4" x14ac:dyDescent="0.25">
      <c r="A81" s="5" t="s">
        <v>49</v>
      </c>
      <c r="B81" s="5" t="s">
        <v>797</v>
      </c>
      <c r="C81" s="5" t="s">
        <v>797</v>
      </c>
      <c r="D81" t="b">
        <f t="shared" si="2"/>
        <v>0</v>
      </c>
    </row>
    <row r="82" spans="1:4" x14ac:dyDescent="0.25">
      <c r="A82" s="5" t="s">
        <v>49</v>
      </c>
      <c r="B82" s="5" t="s">
        <v>798</v>
      </c>
      <c r="C82" s="5" t="s">
        <v>798</v>
      </c>
      <c r="D82" t="b">
        <f t="shared" si="2"/>
        <v>0</v>
      </c>
    </row>
    <row r="83" spans="1:4" x14ac:dyDescent="0.25">
      <c r="A83" s="5" t="s">
        <v>43</v>
      </c>
      <c r="B83" s="5" t="s">
        <v>799</v>
      </c>
      <c r="C83" s="5" t="s">
        <v>799</v>
      </c>
      <c r="D83" t="b">
        <f t="shared" si="2"/>
        <v>0</v>
      </c>
    </row>
    <row r="84" spans="1:4" x14ac:dyDescent="0.25">
      <c r="A84" s="5" t="s">
        <v>43</v>
      </c>
      <c r="B84" s="5" t="s">
        <v>800</v>
      </c>
      <c r="C84" s="5" t="s">
        <v>800</v>
      </c>
      <c r="D84" t="b">
        <f t="shared" si="2"/>
        <v>0</v>
      </c>
    </row>
    <row r="85" spans="1:4" x14ac:dyDescent="0.25">
      <c r="A85" s="5" t="s">
        <v>43</v>
      </c>
      <c r="B85" s="5" t="s">
        <v>722</v>
      </c>
      <c r="C85" s="5" t="s">
        <v>722</v>
      </c>
      <c r="D85" t="b">
        <f t="shared" si="2"/>
        <v>0</v>
      </c>
    </row>
    <row r="86" spans="1:4" x14ac:dyDescent="0.25">
      <c r="A86" s="5" t="s">
        <v>43</v>
      </c>
      <c r="B86" s="5" t="s">
        <v>801</v>
      </c>
      <c r="C86" s="5" t="s">
        <v>801</v>
      </c>
      <c r="D86" t="b">
        <f t="shared" si="2"/>
        <v>0</v>
      </c>
    </row>
    <row r="87" spans="1:4" x14ac:dyDescent="0.25">
      <c r="A87" s="5" t="s">
        <v>43</v>
      </c>
      <c r="B87" s="5" t="s">
        <v>802</v>
      </c>
      <c r="C87" s="5" t="s">
        <v>802</v>
      </c>
      <c r="D87" t="b">
        <f t="shared" si="2"/>
        <v>0</v>
      </c>
    </row>
    <row r="88" spans="1:4" x14ac:dyDescent="0.25">
      <c r="A88" s="5" t="s">
        <v>43</v>
      </c>
      <c r="B88" s="5" t="s">
        <v>803</v>
      </c>
      <c r="C88" s="5" t="s">
        <v>803</v>
      </c>
      <c r="D88" t="b">
        <f t="shared" si="2"/>
        <v>0</v>
      </c>
    </row>
    <row r="89" spans="1:4" x14ac:dyDescent="0.25">
      <c r="A89" s="5" t="s">
        <v>43</v>
      </c>
      <c r="B89" s="5" t="s">
        <v>804</v>
      </c>
      <c r="C89" s="5" t="s">
        <v>804</v>
      </c>
      <c r="D89" t="b">
        <f t="shared" si="2"/>
        <v>0</v>
      </c>
    </row>
    <row r="90" spans="1:4" x14ac:dyDescent="0.25">
      <c r="A90" s="5" t="s">
        <v>753</v>
      </c>
      <c r="B90" s="5" t="s">
        <v>805</v>
      </c>
      <c r="C90" s="5" t="s">
        <v>1753</v>
      </c>
      <c r="D90" t="b">
        <f t="shared" si="2"/>
        <v>1</v>
      </c>
    </row>
    <row r="91" spans="1:4" x14ac:dyDescent="0.25">
      <c r="A91" s="5" t="s">
        <v>753</v>
      </c>
      <c r="B91" s="5" t="s">
        <v>807</v>
      </c>
      <c r="C91" s="5" t="s">
        <v>807</v>
      </c>
      <c r="D91" t="b">
        <f t="shared" si="2"/>
        <v>0</v>
      </c>
    </row>
    <row r="92" spans="1:4" x14ac:dyDescent="0.25">
      <c r="A92" s="5" t="s">
        <v>753</v>
      </c>
      <c r="B92" s="5" t="s">
        <v>84</v>
      </c>
      <c r="C92" s="5" t="s">
        <v>806</v>
      </c>
      <c r="D92" t="b">
        <f t="shared" si="2"/>
        <v>1</v>
      </c>
    </row>
    <row r="93" spans="1:4" x14ac:dyDescent="0.25">
      <c r="A93" s="5" t="s">
        <v>753</v>
      </c>
      <c r="B93" s="5" t="s">
        <v>809</v>
      </c>
      <c r="C93" s="5" t="s">
        <v>809</v>
      </c>
      <c r="D93" t="b">
        <f t="shared" si="2"/>
        <v>0</v>
      </c>
    </row>
    <row r="94" spans="1:4" x14ac:dyDescent="0.25">
      <c r="A94" s="5" t="s">
        <v>753</v>
      </c>
      <c r="B94" s="5" t="s">
        <v>810</v>
      </c>
      <c r="C94" s="5" t="s">
        <v>810</v>
      </c>
      <c r="D94" t="b">
        <f t="shared" si="2"/>
        <v>0</v>
      </c>
    </row>
    <row r="95" spans="1:4" x14ac:dyDescent="0.25">
      <c r="A95" s="5" t="s">
        <v>753</v>
      </c>
      <c r="B95" s="5" t="s">
        <v>811</v>
      </c>
      <c r="C95" s="5" t="s">
        <v>811</v>
      </c>
      <c r="D95" t="b">
        <f t="shared" si="2"/>
        <v>0</v>
      </c>
    </row>
    <row r="96" spans="1:4" x14ac:dyDescent="0.25">
      <c r="A96" s="5" t="s">
        <v>753</v>
      </c>
      <c r="B96" s="5" t="s">
        <v>812</v>
      </c>
      <c r="C96" s="5" t="s">
        <v>812</v>
      </c>
      <c r="D96" t="b">
        <f t="shared" si="2"/>
        <v>0</v>
      </c>
    </row>
    <row r="97" spans="1:4" x14ac:dyDescent="0.25">
      <c r="A97" s="5" t="s">
        <v>753</v>
      </c>
      <c r="B97" s="5" t="s">
        <v>258</v>
      </c>
      <c r="C97" s="5" t="s">
        <v>258</v>
      </c>
      <c r="D97" t="b">
        <f t="shared" si="2"/>
        <v>0</v>
      </c>
    </row>
    <row r="98" spans="1:4" x14ac:dyDescent="0.25">
      <c r="A98" s="5" t="s">
        <v>753</v>
      </c>
      <c r="B98" s="5" t="s">
        <v>125</v>
      </c>
      <c r="C98" s="5" t="s">
        <v>125</v>
      </c>
      <c r="D98" t="b">
        <f t="shared" si="2"/>
        <v>0</v>
      </c>
    </row>
    <row r="99" spans="1:4" x14ac:dyDescent="0.25">
      <c r="A99" s="5" t="s">
        <v>753</v>
      </c>
      <c r="B99" s="5" t="s">
        <v>126</v>
      </c>
      <c r="C99" s="5" t="s">
        <v>126</v>
      </c>
      <c r="D99" t="b">
        <f t="shared" si="2"/>
        <v>0</v>
      </c>
    </row>
    <row r="100" spans="1:4" x14ac:dyDescent="0.25">
      <c r="A100" s="5" t="s">
        <v>753</v>
      </c>
      <c r="B100" s="5" t="s">
        <v>813</v>
      </c>
      <c r="C100" s="5" t="s">
        <v>813</v>
      </c>
      <c r="D100" t="b">
        <f t="shared" si="2"/>
        <v>0</v>
      </c>
    </row>
    <row r="101" spans="1:4" x14ac:dyDescent="0.25">
      <c r="A101" s="5" t="s">
        <v>753</v>
      </c>
      <c r="B101" s="5" t="s">
        <v>814</v>
      </c>
      <c r="C101" s="5" t="s">
        <v>814</v>
      </c>
      <c r="D101" t="b">
        <f t="shared" si="2"/>
        <v>0</v>
      </c>
    </row>
    <row r="102" spans="1:4" x14ac:dyDescent="0.25">
      <c r="A102" s="5" t="s">
        <v>753</v>
      </c>
      <c r="B102" s="5" t="s">
        <v>815</v>
      </c>
      <c r="C102" s="5" t="s">
        <v>815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06CD599F-9600-4A28-8DCF-AC0A1E0E3875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DE6B93F2-E34F-4B85-ADE1-DD067B0E39BC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4074-238F-4E68-9DAA-CBE3D5952917}">
  <sheetPr codeName="Planilha17"/>
  <dimension ref="A1:G102"/>
  <sheetViews>
    <sheetView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21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5</v>
      </c>
    </row>
    <row r="3" spans="1:7" x14ac:dyDescent="0.25">
      <c r="A3" s="24" t="s">
        <v>2031</v>
      </c>
      <c r="B3" s="5" t="s">
        <v>2065</v>
      </c>
      <c r="C3" s="5" t="s">
        <v>2065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816</v>
      </c>
      <c r="C4" s="5" t="s">
        <v>816</v>
      </c>
      <c r="D4" t="b">
        <f>B4&lt;&gt;C4</f>
        <v>0</v>
      </c>
    </row>
    <row r="5" spans="1:7" x14ac:dyDescent="0.25">
      <c r="A5" t="s">
        <v>35</v>
      </c>
      <c r="B5" s="5" t="s">
        <v>69</v>
      </c>
      <c r="C5" s="5" t="s">
        <v>69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58</v>
      </c>
      <c r="C6" s="5" t="s">
        <v>58</v>
      </c>
      <c r="D6" t="b">
        <f t="shared" si="0"/>
        <v>0</v>
      </c>
      <c r="F6" s="7" t="s">
        <v>2031</v>
      </c>
      <c r="G6" s="2">
        <f t="shared" ref="G6:G14" si="1">COUNTIF(A:A,F6)</f>
        <v>1</v>
      </c>
    </row>
    <row r="7" spans="1:7" x14ac:dyDescent="0.25">
      <c r="A7" t="s">
        <v>35</v>
      </c>
      <c r="B7" s="5" t="s">
        <v>40</v>
      </c>
      <c r="C7" s="5" t="s">
        <v>40</v>
      </c>
      <c r="D7" t="b">
        <f t="shared" si="0"/>
        <v>0</v>
      </c>
      <c r="F7" s="3" t="s">
        <v>35</v>
      </c>
      <c r="G7" s="2">
        <f t="shared" si="1"/>
        <v>36</v>
      </c>
    </row>
    <row r="8" spans="1:7" x14ac:dyDescent="0.25">
      <c r="A8" t="s">
        <v>35</v>
      </c>
      <c r="B8" s="5" t="s">
        <v>67</v>
      </c>
      <c r="C8" s="5" t="s">
        <v>67</v>
      </c>
      <c r="D8" t="b">
        <f t="shared" si="0"/>
        <v>0</v>
      </c>
      <c r="F8" s="7" t="s">
        <v>41</v>
      </c>
      <c r="G8" s="2">
        <f t="shared" si="1"/>
        <v>12</v>
      </c>
    </row>
    <row r="9" spans="1:7" x14ac:dyDescent="0.25">
      <c r="A9" t="s">
        <v>35</v>
      </c>
      <c r="B9" s="5" t="s">
        <v>557</v>
      </c>
      <c r="C9" s="5" t="s">
        <v>557</v>
      </c>
      <c r="D9" t="b">
        <f t="shared" si="0"/>
        <v>0</v>
      </c>
      <c r="F9" s="7" t="s">
        <v>42</v>
      </c>
      <c r="G9" s="2">
        <f t="shared" si="1"/>
        <v>11</v>
      </c>
    </row>
    <row r="10" spans="1:7" x14ac:dyDescent="0.25">
      <c r="A10" t="s">
        <v>35</v>
      </c>
      <c r="B10" s="5" t="s">
        <v>276</v>
      </c>
      <c r="C10" s="5" t="s">
        <v>276</v>
      </c>
      <c r="D10" t="b">
        <f t="shared" si="0"/>
        <v>0</v>
      </c>
      <c r="F10" s="7" t="s">
        <v>818</v>
      </c>
      <c r="G10" s="2">
        <f t="shared" si="1"/>
        <v>11</v>
      </c>
    </row>
    <row r="11" spans="1:7" x14ac:dyDescent="0.25">
      <c r="A11" t="s">
        <v>35</v>
      </c>
      <c r="B11" s="5" t="s">
        <v>200</v>
      </c>
      <c r="C11" s="5" t="s">
        <v>200</v>
      </c>
      <c r="D11" t="b">
        <f t="shared" si="0"/>
        <v>0</v>
      </c>
      <c r="F11" s="7" t="s">
        <v>820</v>
      </c>
      <c r="G11" s="2">
        <f t="shared" si="1"/>
        <v>0</v>
      </c>
    </row>
    <row r="12" spans="1:7" x14ac:dyDescent="0.25">
      <c r="A12" t="s">
        <v>35</v>
      </c>
      <c r="B12" s="5" t="s">
        <v>819</v>
      </c>
      <c r="C12" s="5" t="s">
        <v>819</v>
      </c>
      <c r="D12" t="b">
        <f t="shared" si="0"/>
        <v>0</v>
      </c>
      <c r="F12" s="7" t="s">
        <v>68</v>
      </c>
      <c r="G12" s="2">
        <f t="shared" si="1"/>
        <v>14</v>
      </c>
    </row>
    <row r="13" spans="1:7" x14ac:dyDescent="0.25">
      <c r="A13" t="s">
        <v>35</v>
      </c>
      <c r="B13" s="5" t="s">
        <v>196</v>
      </c>
      <c r="C13" s="5" t="s">
        <v>196</v>
      </c>
      <c r="D13" t="b">
        <f t="shared" si="0"/>
        <v>0</v>
      </c>
      <c r="F13" s="7" t="s">
        <v>193</v>
      </c>
      <c r="G13" s="2">
        <f t="shared" si="1"/>
        <v>7</v>
      </c>
    </row>
    <row r="14" spans="1:7" x14ac:dyDescent="0.25">
      <c r="A14" t="s">
        <v>35</v>
      </c>
      <c r="B14" s="5" t="s">
        <v>270</v>
      </c>
      <c r="C14" s="5" t="s">
        <v>270</v>
      </c>
      <c r="D14" t="b">
        <f t="shared" si="0"/>
        <v>0</v>
      </c>
      <c r="F14" s="7" t="s">
        <v>197</v>
      </c>
      <c r="G14" s="2">
        <f t="shared" si="1"/>
        <v>8</v>
      </c>
    </row>
    <row r="15" spans="1:7" x14ac:dyDescent="0.25">
      <c r="A15" t="s">
        <v>35</v>
      </c>
      <c r="B15" s="5" t="s">
        <v>821</v>
      </c>
      <c r="C15" s="5" t="s">
        <v>821</v>
      </c>
      <c r="D15" t="b">
        <f t="shared" si="0"/>
        <v>0</v>
      </c>
    </row>
    <row r="16" spans="1:7" x14ac:dyDescent="0.25">
      <c r="A16" t="s">
        <v>35</v>
      </c>
      <c r="B16" s="5" t="s">
        <v>822</v>
      </c>
      <c r="C16" s="5" t="s">
        <v>822</v>
      </c>
      <c r="D16" t="b">
        <f t="shared" si="0"/>
        <v>0</v>
      </c>
    </row>
    <row r="17" spans="1:7" x14ac:dyDescent="0.25">
      <c r="A17" t="s">
        <v>35</v>
      </c>
      <c r="B17" s="5" t="s">
        <v>823</v>
      </c>
      <c r="C17" s="5" t="s">
        <v>823</v>
      </c>
      <c r="D17" t="b">
        <f t="shared" si="0"/>
        <v>0</v>
      </c>
      <c r="F17" s="4"/>
      <c r="G17" s="2"/>
    </row>
    <row r="18" spans="1:7" x14ac:dyDescent="0.25">
      <c r="A18" t="s">
        <v>35</v>
      </c>
      <c r="B18" s="5" t="s">
        <v>824</v>
      </c>
      <c r="C18" s="5" t="s">
        <v>824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44</v>
      </c>
      <c r="C19" s="5" t="s">
        <v>262</v>
      </c>
      <c r="D19" t="b">
        <f t="shared" si="0"/>
        <v>1</v>
      </c>
    </row>
    <row r="20" spans="1:7" x14ac:dyDescent="0.25">
      <c r="A20" t="s">
        <v>35</v>
      </c>
      <c r="B20" s="5" t="s">
        <v>825</v>
      </c>
      <c r="C20" s="5" t="s">
        <v>825</v>
      </c>
      <c r="D20" t="b">
        <f t="shared" si="0"/>
        <v>0</v>
      </c>
    </row>
    <row r="21" spans="1:7" x14ac:dyDescent="0.25">
      <c r="A21" t="s">
        <v>35</v>
      </c>
      <c r="B21" s="5" t="s">
        <v>826</v>
      </c>
      <c r="C21" s="5" t="s">
        <v>826</v>
      </c>
      <c r="D21" t="b">
        <f t="shared" si="0"/>
        <v>0</v>
      </c>
    </row>
    <row r="22" spans="1:7" x14ac:dyDescent="0.25">
      <c r="A22" t="s">
        <v>35</v>
      </c>
      <c r="B22" s="5" t="s">
        <v>827</v>
      </c>
      <c r="C22" s="5" t="s">
        <v>827</v>
      </c>
      <c r="D22" t="b">
        <f t="shared" si="0"/>
        <v>0</v>
      </c>
    </row>
    <row r="23" spans="1:7" x14ac:dyDescent="0.25">
      <c r="A23" t="s">
        <v>35</v>
      </c>
      <c r="B23" s="5" t="s">
        <v>828</v>
      </c>
      <c r="C23" s="5" t="s">
        <v>828</v>
      </c>
      <c r="D23" t="b">
        <f t="shared" si="0"/>
        <v>0</v>
      </c>
    </row>
    <row r="24" spans="1:7" x14ac:dyDescent="0.25">
      <c r="A24" t="s">
        <v>35</v>
      </c>
      <c r="B24" s="5" t="s">
        <v>44</v>
      </c>
      <c r="C24" s="5" t="s">
        <v>829</v>
      </c>
      <c r="D24" t="b">
        <f t="shared" si="0"/>
        <v>1</v>
      </c>
    </row>
    <row r="25" spans="1:7" x14ac:dyDescent="0.25">
      <c r="A25" t="s">
        <v>35</v>
      </c>
      <c r="B25" s="5" t="s">
        <v>44</v>
      </c>
      <c r="C25" s="5" t="s">
        <v>1927</v>
      </c>
      <c r="D25" t="b">
        <f t="shared" si="0"/>
        <v>1</v>
      </c>
    </row>
    <row r="26" spans="1:7" x14ac:dyDescent="0.25">
      <c r="A26" t="s">
        <v>35</v>
      </c>
      <c r="B26" s="5" t="s">
        <v>44</v>
      </c>
      <c r="C26" s="5" t="s">
        <v>44</v>
      </c>
      <c r="D26" t="b">
        <f t="shared" si="0"/>
        <v>0</v>
      </c>
    </row>
    <row r="27" spans="1:7" x14ac:dyDescent="0.25">
      <c r="A27" t="s">
        <v>35</v>
      </c>
      <c r="B27" s="5" t="s">
        <v>44</v>
      </c>
      <c r="C27" s="5" t="s">
        <v>44</v>
      </c>
      <c r="D27" t="b">
        <f t="shared" si="0"/>
        <v>0</v>
      </c>
    </row>
    <row r="28" spans="1:7" x14ac:dyDescent="0.25">
      <c r="A28" t="s">
        <v>35</v>
      </c>
      <c r="B28" s="5" t="s">
        <v>44</v>
      </c>
      <c r="C28" s="5" t="s">
        <v>44</v>
      </c>
      <c r="D28" t="b">
        <f t="shared" si="0"/>
        <v>0</v>
      </c>
    </row>
    <row r="29" spans="1:7" x14ac:dyDescent="0.25">
      <c r="A29" t="s">
        <v>35</v>
      </c>
      <c r="B29" s="5" t="s">
        <v>44</v>
      </c>
      <c r="C29" s="5" t="s">
        <v>44</v>
      </c>
      <c r="D29" t="b">
        <f t="shared" si="0"/>
        <v>0</v>
      </c>
    </row>
    <row r="30" spans="1:7" x14ac:dyDescent="0.25">
      <c r="A30" t="s">
        <v>35</v>
      </c>
      <c r="B30" s="5" t="s">
        <v>44</v>
      </c>
      <c r="C30" s="5" t="s">
        <v>44</v>
      </c>
      <c r="D30" t="b">
        <f t="shared" si="0"/>
        <v>0</v>
      </c>
    </row>
    <row r="31" spans="1:7" x14ac:dyDescent="0.25">
      <c r="A31" t="s">
        <v>35</v>
      </c>
      <c r="B31" s="5" t="s">
        <v>45</v>
      </c>
      <c r="C31" s="5" t="s">
        <v>45</v>
      </c>
      <c r="D31" t="b">
        <f t="shared" si="0"/>
        <v>0</v>
      </c>
    </row>
    <row r="32" spans="1:7" x14ac:dyDescent="0.25">
      <c r="A32" t="s">
        <v>35</v>
      </c>
      <c r="B32" s="5" t="s">
        <v>45</v>
      </c>
      <c r="C32" s="5" t="s">
        <v>45</v>
      </c>
      <c r="D32" t="b">
        <f t="shared" si="0"/>
        <v>0</v>
      </c>
    </row>
    <row r="33" spans="1:4" x14ac:dyDescent="0.25">
      <c r="A33" t="s">
        <v>35</v>
      </c>
      <c r="B33" s="5" t="s">
        <v>45</v>
      </c>
      <c r="C33" s="5" t="s">
        <v>45</v>
      </c>
      <c r="D33" t="b">
        <f t="shared" si="0"/>
        <v>0</v>
      </c>
    </row>
    <row r="34" spans="1:4" x14ac:dyDescent="0.25">
      <c r="A34" t="s">
        <v>35</v>
      </c>
      <c r="B34" s="5" t="s">
        <v>45</v>
      </c>
      <c r="C34" s="5" t="s">
        <v>45</v>
      </c>
      <c r="D34" t="b">
        <f t="shared" si="0"/>
        <v>0</v>
      </c>
    </row>
    <row r="35" spans="1:4" x14ac:dyDescent="0.25">
      <c r="A35" t="s">
        <v>35</v>
      </c>
      <c r="B35" s="5" t="s">
        <v>45</v>
      </c>
      <c r="C35" s="5" t="s">
        <v>45</v>
      </c>
      <c r="D35" t="b">
        <f t="shared" si="0"/>
        <v>0</v>
      </c>
    </row>
    <row r="36" spans="1:4" x14ac:dyDescent="0.25">
      <c r="A36" t="s">
        <v>35</v>
      </c>
      <c r="B36" s="5" t="s">
        <v>47</v>
      </c>
      <c r="C36" s="5" t="s">
        <v>47</v>
      </c>
      <c r="D36" t="b">
        <f t="shared" si="0"/>
        <v>0</v>
      </c>
    </row>
    <row r="37" spans="1:4" x14ac:dyDescent="0.25">
      <c r="A37" t="s">
        <v>35</v>
      </c>
      <c r="B37" s="5" t="s">
        <v>47</v>
      </c>
      <c r="C37" s="5" t="s">
        <v>47</v>
      </c>
      <c r="D37" t="b">
        <f t="shared" si="0"/>
        <v>0</v>
      </c>
    </row>
    <row r="38" spans="1:4" x14ac:dyDescent="0.25">
      <c r="A38" t="s">
        <v>35</v>
      </c>
      <c r="B38" s="5" t="s">
        <v>47</v>
      </c>
      <c r="C38" s="5" t="s">
        <v>47</v>
      </c>
      <c r="D38" t="b">
        <f t="shared" si="0"/>
        <v>0</v>
      </c>
    </row>
    <row r="39" spans="1:4" x14ac:dyDescent="0.25">
      <c r="A39" t="s">
        <v>35</v>
      </c>
      <c r="B39" s="5" t="s">
        <v>47</v>
      </c>
      <c r="C39" s="5" t="s">
        <v>47</v>
      </c>
      <c r="D39" t="b">
        <f t="shared" si="0"/>
        <v>0</v>
      </c>
    </row>
    <row r="40" spans="1:4" x14ac:dyDescent="0.25">
      <c r="A40" t="s">
        <v>41</v>
      </c>
      <c r="B40" s="5" t="s">
        <v>206</v>
      </c>
      <c r="C40" s="5" t="s">
        <v>206</v>
      </c>
      <c r="D40" t="b">
        <f t="shared" si="0"/>
        <v>0</v>
      </c>
    </row>
    <row r="41" spans="1:4" x14ac:dyDescent="0.25">
      <c r="A41" t="s">
        <v>41</v>
      </c>
      <c r="B41" s="5" t="s">
        <v>208</v>
      </c>
      <c r="C41" s="5" t="s">
        <v>208</v>
      </c>
      <c r="D41" t="b">
        <f t="shared" si="0"/>
        <v>0</v>
      </c>
    </row>
    <row r="42" spans="1:4" x14ac:dyDescent="0.25">
      <c r="A42" t="s">
        <v>41</v>
      </c>
      <c r="B42" s="5" t="s">
        <v>559</v>
      </c>
      <c r="C42" s="5" t="s">
        <v>559</v>
      </c>
      <c r="D42" t="b">
        <f t="shared" si="0"/>
        <v>0</v>
      </c>
    </row>
    <row r="43" spans="1:4" x14ac:dyDescent="0.25">
      <c r="A43" t="s">
        <v>41</v>
      </c>
      <c r="B43" s="5" t="s">
        <v>558</v>
      </c>
      <c r="C43" s="5" t="s">
        <v>558</v>
      </c>
      <c r="D43" t="b">
        <f t="shared" si="0"/>
        <v>0</v>
      </c>
    </row>
    <row r="44" spans="1:4" x14ac:dyDescent="0.25">
      <c r="A44" t="s">
        <v>41</v>
      </c>
      <c r="B44" s="5" t="s">
        <v>207</v>
      </c>
      <c r="C44" s="5" t="s">
        <v>207</v>
      </c>
      <c r="D44" t="b">
        <f t="shared" si="0"/>
        <v>0</v>
      </c>
    </row>
    <row r="45" spans="1:4" x14ac:dyDescent="0.25">
      <c r="A45" t="s">
        <v>41</v>
      </c>
      <c r="B45" s="5" t="s">
        <v>830</v>
      </c>
      <c r="C45" s="5" t="s">
        <v>830</v>
      </c>
      <c r="D45" t="b">
        <f t="shared" si="0"/>
        <v>0</v>
      </c>
    </row>
    <row r="46" spans="1:4" x14ac:dyDescent="0.25">
      <c r="A46" t="s">
        <v>41</v>
      </c>
      <c r="B46" s="5" t="s">
        <v>211</v>
      </c>
      <c r="C46" s="5" t="s">
        <v>211</v>
      </c>
      <c r="D46" t="b">
        <f t="shared" si="0"/>
        <v>0</v>
      </c>
    </row>
    <row r="47" spans="1:4" x14ac:dyDescent="0.25">
      <c r="A47" t="s">
        <v>41</v>
      </c>
      <c r="B47" s="5" t="s">
        <v>214</v>
      </c>
      <c r="C47" s="5" t="s">
        <v>214</v>
      </c>
      <c r="D47" t="b">
        <f t="shared" si="0"/>
        <v>0</v>
      </c>
    </row>
    <row r="48" spans="1:4" x14ac:dyDescent="0.25">
      <c r="A48" t="s">
        <v>41</v>
      </c>
      <c r="B48" s="5" t="s">
        <v>212</v>
      </c>
      <c r="C48" s="5" t="s">
        <v>212</v>
      </c>
      <c r="D48" t="b">
        <f t="shared" si="0"/>
        <v>0</v>
      </c>
    </row>
    <row r="49" spans="1:6" x14ac:dyDescent="0.25">
      <c r="A49" t="s">
        <v>41</v>
      </c>
      <c r="B49" s="5" t="s">
        <v>846</v>
      </c>
      <c r="C49" s="5" t="s">
        <v>1936</v>
      </c>
      <c r="D49" t="b">
        <f t="shared" si="0"/>
        <v>1</v>
      </c>
    </row>
    <row r="50" spans="1:6" x14ac:dyDescent="0.25">
      <c r="A50" t="s">
        <v>41</v>
      </c>
      <c r="B50" s="5" t="s">
        <v>831</v>
      </c>
      <c r="C50" s="5" t="s">
        <v>831</v>
      </c>
      <c r="D50" t="b">
        <f t="shared" si="0"/>
        <v>0</v>
      </c>
    </row>
    <row r="51" spans="1:6" x14ac:dyDescent="0.25">
      <c r="A51" t="s">
        <v>41</v>
      </c>
      <c r="B51" s="5" t="s">
        <v>832</v>
      </c>
      <c r="C51" s="5" t="s">
        <v>832</v>
      </c>
      <c r="D51" t="b">
        <f t="shared" si="0"/>
        <v>0</v>
      </c>
    </row>
    <row r="52" spans="1:6" x14ac:dyDescent="0.25">
      <c r="A52" t="s">
        <v>42</v>
      </c>
      <c r="B52" s="5" t="s">
        <v>833</v>
      </c>
      <c r="C52" s="5" t="s">
        <v>833</v>
      </c>
      <c r="D52" t="b">
        <f t="shared" si="0"/>
        <v>0</v>
      </c>
    </row>
    <row r="53" spans="1:6" x14ac:dyDescent="0.25">
      <c r="A53" t="s">
        <v>42</v>
      </c>
      <c r="B53" s="5" t="s">
        <v>98</v>
      </c>
      <c r="C53" s="5" t="s">
        <v>98</v>
      </c>
      <c r="D53" t="b">
        <f t="shared" si="0"/>
        <v>0</v>
      </c>
    </row>
    <row r="54" spans="1:6" x14ac:dyDescent="0.25">
      <c r="A54" t="s">
        <v>42</v>
      </c>
      <c r="B54" s="5" t="s">
        <v>834</v>
      </c>
      <c r="C54" s="5" t="s">
        <v>834</v>
      </c>
      <c r="D54" t="b">
        <f t="shared" si="0"/>
        <v>0</v>
      </c>
      <c r="F54"/>
    </row>
    <row r="55" spans="1:6" x14ac:dyDescent="0.25">
      <c r="A55" t="s">
        <v>42</v>
      </c>
      <c r="B55" s="5" t="s">
        <v>1751</v>
      </c>
      <c r="C55" s="5" t="s">
        <v>1751</v>
      </c>
      <c r="D55" t="b">
        <f t="shared" si="0"/>
        <v>0</v>
      </c>
    </row>
    <row r="56" spans="1:6" x14ac:dyDescent="0.25">
      <c r="A56" t="s">
        <v>42</v>
      </c>
      <c r="B56" s="5" t="s">
        <v>835</v>
      </c>
      <c r="C56" s="5" t="s">
        <v>835</v>
      </c>
      <c r="D56" t="b">
        <f t="shared" si="0"/>
        <v>0</v>
      </c>
    </row>
    <row r="57" spans="1:6" x14ac:dyDescent="0.25">
      <c r="A57" t="s">
        <v>42</v>
      </c>
      <c r="B57" s="5" t="s">
        <v>836</v>
      </c>
      <c r="C57" s="5" t="s">
        <v>836</v>
      </c>
      <c r="D57" t="b">
        <f t="shared" si="0"/>
        <v>0</v>
      </c>
    </row>
    <row r="58" spans="1:6" x14ac:dyDescent="0.25">
      <c r="A58" t="s">
        <v>42</v>
      </c>
      <c r="B58" s="5" t="s">
        <v>837</v>
      </c>
      <c r="C58" s="5" t="s">
        <v>837</v>
      </c>
      <c r="D58" t="b">
        <f t="shared" si="0"/>
        <v>0</v>
      </c>
    </row>
    <row r="59" spans="1:6" x14ac:dyDescent="0.25">
      <c r="A59" t="s">
        <v>42</v>
      </c>
      <c r="B59" s="5" t="s">
        <v>838</v>
      </c>
      <c r="C59" s="5" t="s">
        <v>838</v>
      </c>
      <c r="D59" t="b">
        <f t="shared" si="0"/>
        <v>0</v>
      </c>
    </row>
    <row r="60" spans="1:6" x14ac:dyDescent="0.25">
      <c r="A60" t="s">
        <v>42</v>
      </c>
      <c r="B60" s="5" t="s">
        <v>839</v>
      </c>
      <c r="C60" s="5" t="s">
        <v>839</v>
      </c>
      <c r="D60" t="b">
        <f t="shared" si="0"/>
        <v>0</v>
      </c>
    </row>
    <row r="61" spans="1:6" x14ac:dyDescent="0.25">
      <c r="A61" t="s">
        <v>42</v>
      </c>
      <c r="B61" s="5" t="s">
        <v>840</v>
      </c>
      <c r="C61" s="5" t="s">
        <v>840</v>
      </c>
      <c r="D61" t="b">
        <f t="shared" si="0"/>
        <v>0</v>
      </c>
    </row>
    <row r="62" spans="1:6" x14ac:dyDescent="0.25">
      <c r="A62" t="s">
        <v>42</v>
      </c>
      <c r="B62" s="5" t="s">
        <v>1616</v>
      </c>
      <c r="C62" s="5" t="s">
        <v>1616</v>
      </c>
      <c r="D62" t="b">
        <f t="shared" si="0"/>
        <v>0</v>
      </c>
    </row>
    <row r="63" spans="1:6" x14ac:dyDescent="0.25">
      <c r="A63" t="s">
        <v>818</v>
      </c>
      <c r="B63" s="5" t="s">
        <v>842</v>
      </c>
      <c r="C63" s="5" t="s">
        <v>842</v>
      </c>
      <c r="D63" t="b">
        <f t="shared" si="0"/>
        <v>0</v>
      </c>
    </row>
    <row r="64" spans="1:6" x14ac:dyDescent="0.25">
      <c r="A64" t="s">
        <v>818</v>
      </c>
      <c r="B64" s="5" t="s">
        <v>843</v>
      </c>
      <c r="C64" s="5" t="s">
        <v>843</v>
      </c>
      <c r="D64" t="b">
        <f t="shared" si="0"/>
        <v>0</v>
      </c>
    </row>
    <row r="65" spans="1:4" x14ac:dyDescent="0.25">
      <c r="A65" t="s">
        <v>818</v>
      </c>
      <c r="B65" s="5" t="s">
        <v>844</v>
      </c>
      <c r="C65" s="5" t="s">
        <v>844</v>
      </c>
      <c r="D65" t="b">
        <f t="shared" si="0"/>
        <v>0</v>
      </c>
    </row>
    <row r="66" spans="1:4" x14ac:dyDescent="0.25">
      <c r="A66" t="s">
        <v>818</v>
      </c>
      <c r="B66" s="5" t="s">
        <v>845</v>
      </c>
      <c r="C66" s="5" t="s">
        <v>845</v>
      </c>
      <c r="D66" t="b">
        <f t="shared" si="0"/>
        <v>0</v>
      </c>
    </row>
    <row r="67" spans="1:4" x14ac:dyDescent="0.25">
      <c r="A67" t="s">
        <v>818</v>
      </c>
      <c r="B67" s="5" t="s">
        <v>847</v>
      </c>
      <c r="C67" s="5" t="s">
        <v>847</v>
      </c>
      <c r="D67" t="b">
        <f t="shared" si="0"/>
        <v>0</v>
      </c>
    </row>
    <row r="68" spans="1:4" x14ac:dyDescent="0.25">
      <c r="A68" t="s">
        <v>818</v>
      </c>
      <c r="B68" s="5" t="s">
        <v>848</v>
      </c>
      <c r="C68" s="5" t="s">
        <v>848</v>
      </c>
      <c r="D68" t="b">
        <f t="shared" si="0"/>
        <v>0</v>
      </c>
    </row>
    <row r="69" spans="1:4" x14ac:dyDescent="0.25">
      <c r="A69" t="s">
        <v>818</v>
      </c>
      <c r="B69" s="5" t="s">
        <v>849</v>
      </c>
      <c r="C69" s="5" t="s">
        <v>849</v>
      </c>
      <c r="D69" t="b">
        <f t="shared" ref="D69:D102" si="2">B69&lt;&gt;C69</f>
        <v>0</v>
      </c>
    </row>
    <row r="70" spans="1:4" x14ac:dyDescent="0.25">
      <c r="A70" t="s">
        <v>818</v>
      </c>
      <c r="B70" s="5" t="s">
        <v>850</v>
      </c>
      <c r="C70" s="5" t="s">
        <v>850</v>
      </c>
      <c r="D70" t="b">
        <f t="shared" si="2"/>
        <v>0</v>
      </c>
    </row>
    <row r="71" spans="1:4" x14ac:dyDescent="0.25">
      <c r="A71" t="s">
        <v>818</v>
      </c>
      <c r="B71" s="5" t="s">
        <v>256</v>
      </c>
      <c r="C71" s="5" t="s">
        <v>256</v>
      </c>
      <c r="D71" t="b">
        <f t="shared" si="2"/>
        <v>0</v>
      </c>
    </row>
    <row r="72" spans="1:4" x14ac:dyDescent="0.25">
      <c r="A72" t="s">
        <v>818</v>
      </c>
      <c r="B72" s="5" t="s">
        <v>255</v>
      </c>
      <c r="C72" s="5" t="s">
        <v>255</v>
      </c>
      <c r="D72" t="b">
        <f t="shared" si="2"/>
        <v>0</v>
      </c>
    </row>
    <row r="73" spans="1:4" x14ac:dyDescent="0.25">
      <c r="A73" t="s">
        <v>818</v>
      </c>
      <c r="B73" s="5" t="s">
        <v>304</v>
      </c>
      <c r="C73" s="5" t="s">
        <v>304</v>
      </c>
      <c r="D73" t="b">
        <f t="shared" si="2"/>
        <v>0</v>
      </c>
    </row>
    <row r="74" spans="1:4" x14ac:dyDescent="0.25">
      <c r="A74" t="s">
        <v>68</v>
      </c>
      <c r="B74" s="5" t="s">
        <v>851</v>
      </c>
      <c r="C74" s="5" t="s">
        <v>851</v>
      </c>
      <c r="D74" t="b">
        <f t="shared" si="2"/>
        <v>0</v>
      </c>
    </row>
    <row r="75" spans="1:4" x14ac:dyDescent="0.25">
      <c r="A75" t="s">
        <v>68</v>
      </c>
      <c r="B75" s="5" t="s">
        <v>852</v>
      </c>
      <c r="C75" s="5" t="s">
        <v>852</v>
      </c>
      <c r="D75" t="b">
        <f t="shared" si="2"/>
        <v>0</v>
      </c>
    </row>
    <row r="76" spans="1:4" x14ac:dyDescent="0.25">
      <c r="A76" t="s">
        <v>68</v>
      </c>
      <c r="B76" s="5" t="s">
        <v>853</v>
      </c>
      <c r="C76" s="5" t="s">
        <v>853</v>
      </c>
      <c r="D76" t="b">
        <f t="shared" si="2"/>
        <v>0</v>
      </c>
    </row>
    <row r="77" spans="1:4" x14ac:dyDescent="0.25">
      <c r="A77" t="s">
        <v>68</v>
      </c>
      <c r="B77" s="5" t="s">
        <v>854</v>
      </c>
      <c r="C77" s="5" t="s">
        <v>854</v>
      </c>
      <c r="D77" t="b">
        <f t="shared" si="2"/>
        <v>0</v>
      </c>
    </row>
    <row r="78" spans="1:4" x14ac:dyDescent="0.25">
      <c r="A78" t="s">
        <v>68</v>
      </c>
      <c r="B78" s="5" t="s">
        <v>855</v>
      </c>
      <c r="C78" s="5" t="s">
        <v>855</v>
      </c>
      <c r="D78" t="b">
        <f t="shared" si="2"/>
        <v>0</v>
      </c>
    </row>
    <row r="79" spans="1:4" x14ac:dyDescent="0.25">
      <c r="A79" t="s">
        <v>68</v>
      </c>
      <c r="B79" s="5" t="s">
        <v>856</v>
      </c>
      <c r="C79" s="5" t="s">
        <v>856</v>
      </c>
      <c r="D79" t="b">
        <f t="shared" si="2"/>
        <v>0</v>
      </c>
    </row>
    <row r="80" spans="1:4" x14ac:dyDescent="0.25">
      <c r="A80" t="s">
        <v>68</v>
      </c>
      <c r="B80" s="5" t="s">
        <v>857</v>
      </c>
      <c r="C80" s="5" t="s">
        <v>857</v>
      </c>
      <c r="D80" t="b">
        <f t="shared" si="2"/>
        <v>0</v>
      </c>
    </row>
    <row r="81" spans="1:4" x14ac:dyDescent="0.25">
      <c r="A81" t="s">
        <v>68</v>
      </c>
      <c r="B81" s="5" t="s">
        <v>858</v>
      </c>
      <c r="C81" s="5" t="s">
        <v>858</v>
      </c>
      <c r="D81" t="b">
        <f t="shared" si="2"/>
        <v>0</v>
      </c>
    </row>
    <row r="82" spans="1:4" x14ac:dyDescent="0.25">
      <c r="A82" t="s">
        <v>68</v>
      </c>
      <c r="B82" s="5" t="s">
        <v>859</v>
      </c>
      <c r="C82" s="5" t="s">
        <v>859</v>
      </c>
      <c r="D82" t="b">
        <f t="shared" si="2"/>
        <v>0</v>
      </c>
    </row>
    <row r="83" spans="1:4" x14ac:dyDescent="0.25">
      <c r="A83" t="s">
        <v>68</v>
      </c>
      <c r="B83" s="5" t="s">
        <v>860</v>
      </c>
      <c r="C83" s="5" t="s">
        <v>860</v>
      </c>
      <c r="D83" t="b">
        <f t="shared" si="2"/>
        <v>0</v>
      </c>
    </row>
    <row r="84" spans="1:4" x14ac:dyDescent="0.25">
      <c r="A84" t="s">
        <v>68</v>
      </c>
      <c r="B84" s="5" t="s">
        <v>252</v>
      </c>
      <c r="C84" s="5" t="s">
        <v>252</v>
      </c>
      <c r="D84" t="b">
        <f t="shared" si="2"/>
        <v>0</v>
      </c>
    </row>
    <row r="85" spans="1:4" x14ac:dyDescent="0.25">
      <c r="A85" t="s">
        <v>68</v>
      </c>
      <c r="B85" s="5" t="s">
        <v>722</v>
      </c>
      <c r="C85" s="5" t="s">
        <v>722</v>
      </c>
      <c r="D85" t="b">
        <f t="shared" si="2"/>
        <v>0</v>
      </c>
    </row>
    <row r="86" spans="1:4" x14ac:dyDescent="0.25">
      <c r="A86" t="s">
        <v>68</v>
      </c>
      <c r="B86" s="5" t="s">
        <v>861</v>
      </c>
      <c r="C86" s="5" t="s">
        <v>861</v>
      </c>
      <c r="D86" t="b">
        <f t="shared" si="2"/>
        <v>0</v>
      </c>
    </row>
    <row r="87" spans="1:4" x14ac:dyDescent="0.25">
      <c r="A87" t="s">
        <v>68</v>
      </c>
      <c r="B87" s="5" t="s">
        <v>134</v>
      </c>
      <c r="C87" s="5" t="s">
        <v>134</v>
      </c>
      <c r="D87" t="b">
        <f t="shared" si="2"/>
        <v>0</v>
      </c>
    </row>
    <row r="88" spans="1:4" x14ac:dyDescent="0.25">
      <c r="A88" t="s">
        <v>197</v>
      </c>
      <c r="B88" s="5" t="s">
        <v>862</v>
      </c>
      <c r="C88" s="5" t="s">
        <v>862</v>
      </c>
      <c r="D88" t="b">
        <f t="shared" si="2"/>
        <v>0</v>
      </c>
    </row>
    <row r="89" spans="1:4" x14ac:dyDescent="0.25">
      <c r="A89" t="s">
        <v>197</v>
      </c>
      <c r="B89" s="5" t="s">
        <v>863</v>
      </c>
      <c r="C89" s="5" t="s">
        <v>863</v>
      </c>
      <c r="D89" t="b">
        <f t="shared" si="2"/>
        <v>0</v>
      </c>
    </row>
    <row r="90" spans="1:4" x14ac:dyDescent="0.25">
      <c r="A90" t="s">
        <v>197</v>
      </c>
      <c r="B90" s="5" t="s">
        <v>864</v>
      </c>
      <c r="C90" s="5" t="s">
        <v>864</v>
      </c>
      <c r="D90" t="b">
        <f t="shared" si="2"/>
        <v>0</v>
      </c>
    </row>
    <row r="91" spans="1:4" x14ac:dyDescent="0.25">
      <c r="A91" t="s">
        <v>197</v>
      </c>
      <c r="B91" s="5" t="s">
        <v>865</v>
      </c>
      <c r="C91" s="5" t="s">
        <v>1752</v>
      </c>
      <c r="D91" t="b">
        <f t="shared" si="2"/>
        <v>1</v>
      </c>
    </row>
    <row r="92" spans="1:4" x14ac:dyDescent="0.25">
      <c r="A92" t="s">
        <v>197</v>
      </c>
      <c r="B92" s="5" t="s">
        <v>866</v>
      </c>
      <c r="C92" s="5" t="s">
        <v>866</v>
      </c>
      <c r="D92" t="b">
        <f t="shared" si="2"/>
        <v>0</v>
      </c>
    </row>
    <row r="93" spans="1:4" x14ac:dyDescent="0.25">
      <c r="A93" t="s">
        <v>197</v>
      </c>
      <c r="B93" s="5" t="s">
        <v>867</v>
      </c>
      <c r="C93" s="5" t="s">
        <v>867</v>
      </c>
      <c r="D93" t="b">
        <f t="shared" si="2"/>
        <v>0</v>
      </c>
    </row>
    <row r="94" spans="1:4" x14ac:dyDescent="0.25">
      <c r="A94" t="s">
        <v>197</v>
      </c>
      <c r="B94" s="5" t="s">
        <v>868</v>
      </c>
      <c r="C94" s="5" t="s">
        <v>868</v>
      </c>
      <c r="D94" t="b">
        <f t="shared" si="2"/>
        <v>0</v>
      </c>
    </row>
    <row r="95" spans="1:4" x14ac:dyDescent="0.25">
      <c r="A95" t="s">
        <v>197</v>
      </c>
      <c r="B95" s="5" t="s">
        <v>869</v>
      </c>
      <c r="C95" s="5" t="s">
        <v>869</v>
      </c>
      <c r="D95" t="b">
        <f t="shared" si="2"/>
        <v>0</v>
      </c>
    </row>
    <row r="96" spans="1:4" x14ac:dyDescent="0.25">
      <c r="A96" t="s">
        <v>193</v>
      </c>
      <c r="B96" s="5" t="s">
        <v>870</v>
      </c>
      <c r="C96" s="5" t="s">
        <v>870</v>
      </c>
      <c r="D96" t="b">
        <f t="shared" si="2"/>
        <v>0</v>
      </c>
    </row>
    <row r="97" spans="1:4" x14ac:dyDescent="0.25">
      <c r="A97" t="s">
        <v>193</v>
      </c>
      <c r="B97" s="5" t="s">
        <v>871</v>
      </c>
      <c r="C97" s="5" t="s">
        <v>871</v>
      </c>
      <c r="D97" t="b">
        <f t="shared" si="2"/>
        <v>0</v>
      </c>
    </row>
    <row r="98" spans="1:4" x14ac:dyDescent="0.25">
      <c r="A98" t="s">
        <v>193</v>
      </c>
      <c r="B98" s="5" t="s">
        <v>126</v>
      </c>
      <c r="C98" s="5" t="s">
        <v>126</v>
      </c>
      <c r="D98" t="b">
        <f t="shared" si="2"/>
        <v>0</v>
      </c>
    </row>
    <row r="99" spans="1:4" x14ac:dyDescent="0.25">
      <c r="A99" t="s">
        <v>193</v>
      </c>
      <c r="B99" s="5" t="s">
        <v>125</v>
      </c>
      <c r="C99" s="5" t="s">
        <v>125</v>
      </c>
      <c r="D99" t="b">
        <f t="shared" si="2"/>
        <v>0</v>
      </c>
    </row>
    <row r="100" spans="1:4" x14ac:dyDescent="0.25">
      <c r="A100" t="s">
        <v>193</v>
      </c>
      <c r="B100" s="5" t="s">
        <v>106</v>
      </c>
      <c r="C100" s="5" t="s">
        <v>106</v>
      </c>
      <c r="D100" t="b">
        <f t="shared" si="2"/>
        <v>0</v>
      </c>
    </row>
    <row r="101" spans="1:4" x14ac:dyDescent="0.25">
      <c r="A101" t="s">
        <v>193</v>
      </c>
      <c r="B101" s="5" t="s">
        <v>872</v>
      </c>
      <c r="C101" s="5" t="s">
        <v>872</v>
      </c>
      <c r="D101" t="b">
        <f t="shared" si="2"/>
        <v>0</v>
      </c>
    </row>
    <row r="102" spans="1:4" x14ac:dyDescent="0.25">
      <c r="A102" t="s">
        <v>193</v>
      </c>
      <c r="B102" s="5" t="s">
        <v>873</v>
      </c>
      <c r="C102" s="5" t="s">
        <v>873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1ADA9BC5-7944-4620-ABA1-B0625CEC5E96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913B4F40-F016-4ACF-941E-1FA87BF69310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15-FAF5-4647-9F0B-1496C83D3244}">
  <sheetPr codeName="Planilha18"/>
  <dimension ref="A1:G102"/>
  <sheetViews>
    <sheetView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22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2</v>
      </c>
    </row>
    <row r="3" spans="1:7" x14ac:dyDescent="0.25">
      <c r="A3" s="24" t="s">
        <v>2031</v>
      </c>
      <c r="B3" s="5" t="s">
        <v>2066</v>
      </c>
      <c r="C3" s="5" t="s">
        <v>2066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874</v>
      </c>
      <c r="C4" s="5" t="s">
        <v>874</v>
      </c>
      <c r="D4" t="b">
        <f>B4&lt;&gt;C4</f>
        <v>0</v>
      </c>
    </row>
    <row r="5" spans="1:7" x14ac:dyDescent="0.25">
      <c r="A5" t="s">
        <v>35</v>
      </c>
      <c r="B5" s="5" t="s">
        <v>875</v>
      </c>
      <c r="C5" s="5" t="s">
        <v>875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876</v>
      </c>
      <c r="C6" s="5" t="s">
        <v>876</v>
      </c>
      <c r="D6" t="b">
        <f t="shared" si="0"/>
        <v>0</v>
      </c>
      <c r="F6" s="7" t="s">
        <v>2031</v>
      </c>
      <c r="G6" s="2">
        <f t="shared" ref="G6:G15" si="1">COUNTIF(A:A,F6)</f>
        <v>1</v>
      </c>
    </row>
    <row r="7" spans="1:7" x14ac:dyDescent="0.25">
      <c r="A7" t="s">
        <v>35</v>
      </c>
      <c r="B7" s="5" t="s">
        <v>40</v>
      </c>
      <c r="C7" s="5" t="s">
        <v>40</v>
      </c>
      <c r="D7" t="b">
        <f t="shared" si="0"/>
        <v>0</v>
      </c>
      <c r="F7" s="3" t="s">
        <v>35</v>
      </c>
      <c r="G7" s="2">
        <f t="shared" si="1"/>
        <v>34</v>
      </c>
    </row>
    <row r="8" spans="1:7" x14ac:dyDescent="0.25">
      <c r="A8" t="s">
        <v>35</v>
      </c>
      <c r="B8" s="5" t="s">
        <v>877</v>
      </c>
      <c r="C8" s="5" t="s">
        <v>877</v>
      </c>
      <c r="D8" t="b">
        <f t="shared" si="0"/>
        <v>0</v>
      </c>
      <c r="F8" s="7" t="s">
        <v>753</v>
      </c>
      <c r="G8" s="2">
        <f t="shared" si="1"/>
        <v>12</v>
      </c>
    </row>
    <row r="9" spans="1:7" x14ac:dyDescent="0.25">
      <c r="A9" t="s">
        <v>35</v>
      </c>
      <c r="B9" s="5" t="s">
        <v>204</v>
      </c>
      <c r="C9" s="5" t="s">
        <v>204</v>
      </c>
      <c r="D9" t="b">
        <f t="shared" si="0"/>
        <v>0</v>
      </c>
      <c r="F9" s="7" t="s">
        <v>151</v>
      </c>
      <c r="G9" s="2">
        <f t="shared" si="1"/>
        <v>13</v>
      </c>
    </row>
    <row r="10" spans="1:7" x14ac:dyDescent="0.25">
      <c r="A10" t="s">
        <v>35</v>
      </c>
      <c r="B10" s="5" t="s">
        <v>268</v>
      </c>
      <c r="C10" s="5" t="s">
        <v>268</v>
      </c>
      <c r="D10" t="b">
        <f t="shared" si="0"/>
        <v>0</v>
      </c>
      <c r="F10" s="7" t="s">
        <v>50</v>
      </c>
      <c r="G10" s="2">
        <f t="shared" si="1"/>
        <v>4</v>
      </c>
    </row>
    <row r="11" spans="1:7" x14ac:dyDescent="0.25">
      <c r="A11" t="s">
        <v>35</v>
      </c>
      <c r="B11" s="5" t="s">
        <v>878</v>
      </c>
      <c r="C11" s="5" t="s">
        <v>878</v>
      </c>
      <c r="D11" t="b">
        <f t="shared" si="0"/>
        <v>0</v>
      </c>
      <c r="F11" s="7" t="s">
        <v>43</v>
      </c>
      <c r="G11" s="2">
        <f t="shared" si="1"/>
        <v>6</v>
      </c>
    </row>
    <row r="12" spans="1:7" x14ac:dyDescent="0.25">
      <c r="A12" t="s">
        <v>35</v>
      </c>
      <c r="B12" s="5" t="s">
        <v>67</v>
      </c>
      <c r="C12" s="5" t="s">
        <v>67</v>
      </c>
      <c r="D12" t="b">
        <f t="shared" si="0"/>
        <v>0</v>
      </c>
      <c r="F12" s="7" t="s">
        <v>42</v>
      </c>
      <c r="G12" s="2">
        <f t="shared" si="1"/>
        <v>6</v>
      </c>
    </row>
    <row r="13" spans="1:7" x14ac:dyDescent="0.25">
      <c r="A13" t="s">
        <v>35</v>
      </c>
      <c r="B13" s="5" t="s">
        <v>341</v>
      </c>
      <c r="C13" s="5" t="s">
        <v>341</v>
      </c>
      <c r="D13" t="b">
        <f t="shared" si="0"/>
        <v>0</v>
      </c>
      <c r="F13" s="7" t="s">
        <v>197</v>
      </c>
      <c r="G13" s="2">
        <f t="shared" si="1"/>
        <v>8</v>
      </c>
    </row>
    <row r="14" spans="1:7" x14ac:dyDescent="0.25">
      <c r="A14" t="s">
        <v>35</v>
      </c>
      <c r="B14" s="5" t="s">
        <v>879</v>
      </c>
      <c r="C14" s="5" t="s">
        <v>879</v>
      </c>
      <c r="D14" t="b">
        <f t="shared" si="0"/>
        <v>0</v>
      </c>
      <c r="F14" s="7" t="s">
        <v>41</v>
      </c>
      <c r="G14" s="2">
        <f t="shared" si="1"/>
        <v>8</v>
      </c>
    </row>
    <row r="15" spans="1:7" x14ac:dyDescent="0.25">
      <c r="A15" t="s">
        <v>35</v>
      </c>
      <c r="B15" s="5" t="s">
        <v>880</v>
      </c>
      <c r="C15" s="5" t="s">
        <v>880</v>
      </c>
      <c r="D15" t="b">
        <f t="shared" si="0"/>
        <v>0</v>
      </c>
      <c r="F15" s="7" t="s">
        <v>337</v>
      </c>
      <c r="G15" s="2">
        <f t="shared" si="1"/>
        <v>8</v>
      </c>
    </row>
    <row r="16" spans="1:7" x14ac:dyDescent="0.25">
      <c r="A16" t="s">
        <v>35</v>
      </c>
      <c r="B16" s="5" t="s">
        <v>881</v>
      </c>
      <c r="C16" s="5" t="s">
        <v>881</v>
      </c>
      <c r="D16" t="b">
        <f t="shared" si="0"/>
        <v>0</v>
      </c>
    </row>
    <row r="17" spans="1:7" x14ac:dyDescent="0.25">
      <c r="A17" t="s">
        <v>35</v>
      </c>
      <c r="B17" s="5" t="s">
        <v>273</v>
      </c>
      <c r="C17" s="5" t="s">
        <v>273</v>
      </c>
      <c r="D17" t="b">
        <f t="shared" si="0"/>
        <v>0</v>
      </c>
    </row>
    <row r="18" spans="1:7" x14ac:dyDescent="0.25">
      <c r="A18" t="s">
        <v>35</v>
      </c>
      <c r="B18" s="5" t="s">
        <v>344</v>
      </c>
      <c r="C18" s="5" t="s">
        <v>344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196</v>
      </c>
      <c r="C19" s="5" t="s">
        <v>196</v>
      </c>
      <c r="D19" t="b">
        <f t="shared" si="0"/>
        <v>0</v>
      </c>
    </row>
    <row r="20" spans="1:7" x14ac:dyDescent="0.25">
      <c r="A20" t="s">
        <v>35</v>
      </c>
      <c r="B20" s="5" t="s">
        <v>275</v>
      </c>
      <c r="C20" s="5" t="s">
        <v>275</v>
      </c>
      <c r="D20" t="b">
        <f t="shared" si="0"/>
        <v>0</v>
      </c>
    </row>
    <row r="21" spans="1:7" x14ac:dyDescent="0.25">
      <c r="A21" t="s">
        <v>35</v>
      </c>
      <c r="B21" s="5" t="s">
        <v>475</v>
      </c>
      <c r="C21" s="5" t="s">
        <v>475</v>
      </c>
      <c r="D21" t="b">
        <f t="shared" si="0"/>
        <v>0</v>
      </c>
    </row>
    <row r="22" spans="1:7" x14ac:dyDescent="0.25">
      <c r="A22" t="s">
        <v>35</v>
      </c>
      <c r="B22" s="5" t="s">
        <v>200</v>
      </c>
      <c r="C22" s="5" t="s">
        <v>200</v>
      </c>
      <c r="D22" t="b">
        <f t="shared" si="0"/>
        <v>0</v>
      </c>
    </row>
    <row r="23" spans="1:7" x14ac:dyDescent="0.25">
      <c r="A23" t="s">
        <v>35</v>
      </c>
      <c r="B23" s="5" t="s">
        <v>48</v>
      </c>
      <c r="C23" s="5" t="s">
        <v>338</v>
      </c>
      <c r="D23" t="b">
        <f t="shared" si="0"/>
        <v>1</v>
      </c>
    </row>
    <row r="24" spans="1:7" x14ac:dyDescent="0.25">
      <c r="A24" t="s">
        <v>35</v>
      </c>
      <c r="B24" s="5" t="s">
        <v>882</v>
      </c>
      <c r="C24" s="5" t="s">
        <v>882</v>
      </c>
      <c r="D24" t="b">
        <f t="shared" si="0"/>
        <v>0</v>
      </c>
    </row>
    <row r="25" spans="1:7" x14ac:dyDescent="0.25">
      <c r="A25" t="s">
        <v>35</v>
      </c>
      <c r="B25" s="5" t="s">
        <v>45</v>
      </c>
      <c r="C25" s="5" t="s">
        <v>45</v>
      </c>
      <c r="D25" t="b">
        <f t="shared" si="0"/>
        <v>0</v>
      </c>
    </row>
    <row r="26" spans="1:7" x14ac:dyDescent="0.25">
      <c r="A26" t="s">
        <v>35</v>
      </c>
      <c r="B26" s="5" t="s">
        <v>45</v>
      </c>
      <c r="C26" s="5" t="s">
        <v>45</v>
      </c>
      <c r="D26" t="b">
        <f t="shared" si="0"/>
        <v>0</v>
      </c>
    </row>
    <row r="27" spans="1:7" x14ac:dyDescent="0.25">
      <c r="A27" t="s">
        <v>35</v>
      </c>
      <c r="B27" s="5" t="s">
        <v>45</v>
      </c>
      <c r="C27" s="5" t="s">
        <v>45</v>
      </c>
      <c r="D27" t="b">
        <f t="shared" si="0"/>
        <v>0</v>
      </c>
    </row>
    <row r="28" spans="1:7" x14ac:dyDescent="0.25">
      <c r="A28" t="s">
        <v>35</v>
      </c>
      <c r="B28" s="5" t="s">
        <v>45</v>
      </c>
      <c r="C28" s="5" t="s">
        <v>45</v>
      </c>
      <c r="D28" t="b">
        <f t="shared" si="0"/>
        <v>0</v>
      </c>
    </row>
    <row r="29" spans="1:7" x14ac:dyDescent="0.25">
      <c r="A29" t="s">
        <v>35</v>
      </c>
      <c r="B29" s="5" t="s">
        <v>45</v>
      </c>
      <c r="C29" s="5" t="s">
        <v>45</v>
      </c>
      <c r="D29" t="b">
        <f t="shared" si="0"/>
        <v>0</v>
      </c>
    </row>
    <row r="30" spans="1:7" x14ac:dyDescent="0.25">
      <c r="A30" t="s">
        <v>35</v>
      </c>
      <c r="B30" s="5" t="s">
        <v>48</v>
      </c>
      <c r="C30" s="5" t="s">
        <v>48</v>
      </c>
      <c r="D30" t="b">
        <f t="shared" si="0"/>
        <v>0</v>
      </c>
    </row>
    <row r="31" spans="1:7" x14ac:dyDescent="0.25">
      <c r="A31" t="s">
        <v>35</v>
      </c>
      <c r="B31" s="5" t="s">
        <v>48</v>
      </c>
      <c r="C31" s="5" t="s">
        <v>48</v>
      </c>
      <c r="D31" t="b">
        <f t="shared" si="0"/>
        <v>0</v>
      </c>
    </row>
    <row r="32" spans="1:7" x14ac:dyDescent="0.25">
      <c r="A32" t="s">
        <v>35</v>
      </c>
      <c r="B32" s="5" t="s">
        <v>48</v>
      </c>
      <c r="C32" s="5" t="s">
        <v>48</v>
      </c>
      <c r="D32" t="b">
        <f t="shared" si="0"/>
        <v>0</v>
      </c>
    </row>
    <row r="33" spans="1:4" x14ac:dyDescent="0.25">
      <c r="A33" t="s">
        <v>35</v>
      </c>
      <c r="B33" s="5" t="s">
        <v>48</v>
      </c>
      <c r="C33" s="5" t="s">
        <v>48</v>
      </c>
      <c r="D33" t="b">
        <f t="shared" si="0"/>
        <v>0</v>
      </c>
    </row>
    <row r="34" spans="1:4" x14ac:dyDescent="0.25">
      <c r="A34" t="s">
        <v>35</v>
      </c>
      <c r="B34" s="5" t="s">
        <v>48</v>
      </c>
      <c r="C34" s="5" t="s">
        <v>48</v>
      </c>
      <c r="D34" t="b">
        <f t="shared" si="0"/>
        <v>0</v>
      </c>
    </row>
    <row r="35" spans="1:4" x14ac:dyDescent="0.25">
      <c r="A35" t="s">
        <v>35</v>
      </c>
      <c r="B35" s="5" t="s">
        <v>44</v>
      </c>
      <c r="C35" s="5" t="s">
        <v>44</v>
      </c>
      <c r="D35" t="b">
        <f t="shared" si="0"/>
        <v>0</v>
      </c>
    </row>
    <row r="36" spans="1:4" x14ac:dyDescent="0.25">
      <c r="A36" t="s">
        <v>35</v>
      </c>
      <c r="B36" s="5" t="s">
        <v>44</v>
      </c>
      <c r="C36" s="5" t="s">
        <v>44</v>
      </c>
      <c r="D36" t="b">
        <f t="shared" si="0"/>
        <v>0</v>
      </c>
    </row>
    <row r="37" spans="1:4" x14ac:dyDescent="0.25">
      <c r="A37" t="s">
        <v>35</v>
      </c>
      <c r="B37" s="5" t="s">
        <v>44</v>
      </c>
      <c r="C37" s="5" t="s">
        <v>44</v>
      </c>
      <c r="D37" t="b">
        <f t="shared" si="0"/>
        <v>0</v>
      </c>
    </row>
    <row r="38" spans="1:4" x14ac:dyDescent="0.25">
      <c r="A38" t="s">
        <v>753</v>
      </c>
      <c r="B38" s="5" t="s">
        <v>883</v>
      </c>
      <c r="C38" s="5" t="s">
        <v>883</v>
      </c>
      <c r="D38" t="b">
        <f t="shared" si="0"/>
        <v>0</v>
      </c>
    </row>
    <row r="39" spans="1:4" x14ac:dyDescent="0.25">
      <c r="A39" t="s">
        <v>753</v>
      </c>
      <c r="B39" s="5" t="s">
        <v>884</v>
      </c>
      <c r="C39" s="5" t="s">
        <v>884</v>
      </c>
      <c r="D39" t="b">
        <f t="shared" si="0"/>
        <v>0</v>
      </c>
    </row>
    <row r="40" spans="1:4" x14ac:dyDescent="0.25">
      <c r="A40" t="s">
        <v>753</v>
      </c>
      <c r="B40" s="5" t="s">
        <v>885</v>
      </c>
      <c r="C40" s="5" t="s">
        <v>885</v>
      </c>
      <c r="D40" t="b">
        <f t="shared" si="0"/>
        <v>0</v>
      </c>
    </row>
    <row r="41" spans="1:4" x14ac:dyDescent="0.25">
      <c r="A41" t="s">
        <v>753</v>
      </c>
      <c r="B41" s="5" t="s">
        <v>886</v>
      </c>
      <c r="C41" s="5" t="s">
        <v>886</v>
      </c>
      <c r="D41" t="b">
        <f t="shared" si="0"/>
        <v>0</v>
      </c>
    </row>
    <row r="42" spans="1:4" x14ac:dyDescent="0.25">
      <c r="A42" t="s">
        <v>753</v>
      </c>
      <c r="B42" s="5" t="s">
        <v>887</v>
      </c>
      <c r="C42" s="5" t="s">
        <v>887</v>
      </c>
      <c r="D42" t="b">
        <f t="shared" si="0"/>
        <v>0</v>
      </c>
    </row>
    <row r="43" spans="1:4" x14ac:dyDescent="0.25">
      <c r="A43" t="s">
        <v>753</v>
      </c>
      <c r="B43" s="5" t="s">
        <v>888</v>
      </c>
      <c r="C43" s="5" t="s">
        <v>888</v>
      </c>
      <c r="D43" t="b">
        <f t="shared" si="0"/>
        <v>0</v>
      </c>
    </row>
    <row r="44" spans="1:4" x14ac:dyDescent="0.25">
      <c r="A44" t="s">
        <v>753</v>
      </c>
      <c r="B44" s="5" t="s">
        <v>889</v>
      </c>
      <c r="C44" s="5" t="s">
        <v>890</v>
      </c>
      <c r="D44" t="b">
        <f t="shared" si="0"/>
        <v>1</v>
      </c>
    </row>
    <row r="45" spans="1:4" x14ac:dyDescent="0.25">
      <c r="A45" t="s">
        <v>753</v>
      </c>
      <c r="B45" s="5" t="s">
        <v>893</v>
      </c>
      <c r="C45" s="5" t="s">
        <v>893</v>
      </c>
      <c r="D45" t="b">
        <f t="shared" si="0"/>
        <v>0</v>
      </c>
    </row>
    <row r="46" spans="1:4" x14ac:dyDescent="0.25">
      <c r="A46" t="s">
        <v>753</v>
      </c>
      <c r="B46" s="5" t="s">
        <v>894</v>
      </c>
      <c r="C46" s="5" t="s">
        <v>894</v>
      </c>
      <c r="D46" t="b">
        <f t="shared" si="0"/>
        <v>0</v>
      </c>
    </row>
    <row r="47" spans="1:4" x14ac:dyDescent="0.25">
      <c r="A47" t="s">
        <v>753</v>
      </c>
      <c r="B47" s="5" t="s">
        <v>895</v>
      </c>
      <c r="C47" s="5" t="s">
        <v>895</v>
      </c>
      <c r="D47" t="b">
        <f t="shared" si="0"/>
        <v>0</v>
      </c>
    </row>
    <row r="48" spans="1:4" x14ac:dyDescent="0.25">
      <c r="A48" t="s">
        <v>753</v>
      </c>
      <c r="B48" s="5" t="s">
        <v>898</v>
      </c>
      <c r="C48" s="5" t="s">
        <v>898</v>
      </c>
      <c r="D48" t="b">
        <f t="shared" si="0"/>
        <v>0</v>
      </c>
    </row>
    <row r="49" spans="1:4" x14ac:dyDescent="0.25">
      <c r="A49" t="s">
        <v>753</v>
      </c>
      <c r="B49" s="5" t="s">
        <v>900</v>
      </c>
      <c r="C49" s="5" t="s">
        <v>900</v>
      </c>
      <c r="D49" t="b">
        <f t="shared" si="0"/>
        <v>0</v>
      </c>
    </row>
    <row r="50" spans="1:4" x14ac:dyDescent="0.25">
      <c r="A50" t="s">
        <v>151</v>
      </c>
      <c r="B50" s="5" t="s">
        <v>902</v>
      </c>
      <c r="C50" s="5" t="s">
        <v>902</v>
      </c>
      <c r="D50" t="b">
        <f t="shared" si="0"/>
        <v>0</v>
      </c>
    </row>
    <row r="51" spans="1:4" x14ac:dyDescent="0.25">
      <c r="A51" t="s">
        <v>151</v>
      </c>
      <c r="B51" s="5" t="s">
        <v>903</v>
      </c>
      <c r="C51" s="5" t="s">
        <v>903</v>
      </c>
      <c r="D51" t="b">
        <f t="shared" si="0"/>
        <v>0</v>
      </c>
    </row>
    <row r="52" spans="1:4" x14ac:dyDescent="0.25">
      <c r="A52" t="s">
        <v>151</v>
      </c>
      <c r="B52" s="5" t="s">
        <v>904</v>
      </c>
      <c r="C52" s="5" t="s">
        <v>904</v>
      </c>
      <c r="D52" t="b">
        <f t="shared" si="0"/>
        <v>0</v>
      </c>
    </row>
    <row r="53" spans="1:4" x14ac:dyDescent="0.25">
      <c r="A53" t="s">
        <v>151</v>
      </c>
      <c r="B53" s="5" t="s">
        <v>905</v>
      </c>
      <c r="C53" s="5" t="s">
        <v>905</v>
      </c>
      <c r="D53" t="b">
        <f t="shared" si="0"/>
        <v>0</v>
      </c>
    </row>
    <row r="54" spans="1:4" x14ac:dyDescent="0.25">
      <c r="A54" t="s">
        <v>151</v>
      </c>
      <c r="B54" s="5" t="s">
        <v>906</v>
      </c>
      <c r="C54" s="5" t="s">
        <v>906</v>
      </c>
      <c r="D54" t="b">
        <f t="shared" si="0"/>
        <v>0</v>
      </c>
    </row>
    <row r="55" spans="1:4" x14ac:dyDescent="0.25">
      <c r="A55" t="s">
        <v>151</v>
      </c>
      <c r="B55" s="5" t="s">
        <v>892</v>
      </c>
      <c r="C55" s="5" t="s">
        <v>892</v>
      </c>
      <c r="D55" t="b">
        <f t="shared" si="0"/>
        <v>0</v>
      </c>
    </row>
    <row r="56" spans="1:4" x14ac:dyDescent="0.25">
      <c r="A56" t="s">
        <v>151</v>
      </c>
      <c r="B56" s="5" t="s">
        <v>907</v>
      </c>
      <c r="C56" s="5" t="s">
        <v>907</v>
      </c>
      <c r="D56" t="b">
        <f t="shared" si="0"/>
        <v>0</v>
      </c>
    </row>
    <row r="57" spans="1:4" x14ac:dyDescent="0.25">
      <c r="A57" t="s">
        <v>151</v>
      </c>
      <c r="B57" s="5" t="s">
        <v>908</v>
      </c>
      <c r="C57" s="5" t="s">
        <v>908</v>
      </c>
      <c r="D57" t="b">
        <f t="shared" si="0"/>
        <v>0</v>
      </c>
    </row>
    <row r="58" spans="1:4" x14ac:dyDescent="0.25">
      <c r="A58" t="s">
        <v>151</v>
      </c>
      <c r="B58" s="5" t="s">
        <v>909</v>
      </c>
      <c r="C58" s="5" t="s">
        <v>909</v>
      </c>
      <c r="D58" t="b">
        <f t="shared" si="0"/>
        <v>0</v>
      </c>
    </row>
    <row r="59" spans="1:4" x14ac:dyDescent="0.25">
      <c r="A59" t="s">
        <v>151</v>
      </c>
      <c r="B59" s="5" t="s">
        <v>910</v>
      </c>
      <c r="C59" s="5" t="s">
        <v>910</v>
      </c>
      <c r="D59" t="b">
        <f t="shared" si="0"/>
        <v>0</v>
      </c>
    </row>
    <row r="60" spans="1:4" x14ac:dyDescent="0.25">
      <c r="A60" t="s">
        <v>151</v>
      </c>
      <c r="B60" s="5" t="s">
        <v>1686</v>
      </c>
      <c r="C60" s="5" t="s">
        <v>1686</v>
      </c>
      <c r="D60" t="b">
        <f t="shared" si="0"/>
        <v>0</v>
      </c>
    </row>
    <row r="61" spans="1:4" x14ac:dyDescent="0.25">
      <c r="A61" t="s">
        <v>151</v>
      </c>
      <c r="B61" s="5" t="s">
        <v>911</v>
      </c>
      <c r="C61" s="5" t="s">
        <v>911</v>
      </c>
      <c r="D61" t="b">
        <f t="shared" si="0"/>
        <v>0</v>
      </c>
    </row>
    <row r="62" spans="1:4" x14ac:dyDescent="0.25">
      <c r="A62" t="s">
        <v>151</v>
      </c>
      <c r="B62" s="5" t="s">
        <v>912</v>
      </c>
      <c r="C62" s="5" t="s">
        <v>912</v>
      </c>
      <c r="D62" t="b">
        <f t="shared" si="0"/>
        <v>0</v>
      </c>
    </row>
    <row r="63" spans="1:4" x14ac:dyDescent="0.25">
      <c r="A63" t="s">
        <v>41</v>
      </c>
      <c r="B63" s="5" t="s">
        <v>159</v>
      </c>
      <c r="C63" s="5" t="s">
        <v>159</v>
      </c>
      <c r="D63" t="b">
        <f t="shared" si="0"/>
        <v>0</v>
      </c>
    </row>
    <row r="64" spans="1:4" x14ac:dyDescent="0.25">
      <c r="A64" t="s">
        <v>41</v>
      </c>
      <c r="B64" s="5" t="s">
        <v>161</v>
      </c>
      <c r="C64" s="5" t="s">
        <v>161</v>
      </c>
      <c r="D64" t="b">
        <f t="shared" si="0"/>
        <v>0</v>
      </c>
    </row>
    <row r="65" spans="1:4" x14ac:dyDescent="0.25">
      <c r="A65" t="s">
        <v>41</v>
      </c>
      <c r="B65" s="5" t="s">
        <v>679</v>
      </c>
      <c r="C65" s="5" t="s">
        <v>679</v>
      </c>
      <c r="D65" t="b">
        <f t="shared" si="0"/>
        <v>0</v>
      </c>
    </row>
    <row r="66" spans="1:4" x14ac:dyDescent="0.25">
      <c r="A66" t="s">
        <v>41</v>
      </c>
      <c r="B66" s="5" t="s">
        <v>206</v>
      </c>
      <c r="C66" s="5" t="s">
        <v>206</v>
      </c>
      <c r="D66" t="b">
        <f t="shared" si="0"/>
        <v>0</v>
      </c>
    </row>
    <row r="67" spans="1:4" x14ac:dyDescent="0.25">
      <c r="A67" t="s">
        <v>41</v>
      </c>
      <c r="B67" s="5" t="s">
        <v>913</v>
      </c>
      <c r="C67" s="5" t="s">
        <v>913</v>
      </c>
      <c r="D67" t="b">
        <f t="shared" si="0"/>
        <v>0</v>
      </c>
    </row>
    <row r="68" spans="1:4" x14ac:dyDescent="0.25">
      <c r="A68" t="s">
        <v>41</v>
      </c>
      <c r="B68" s="5" t="s">
        <v>88</v>
      </c>
      <c r="C68" s="5" t="s">
        <v>88</v>
      </c>
      <c r="D68" t="b">
        <f t="shared" si="0"/>
        <v>0</v>
      </c>
    </row>
    <row r="69" spans="1:4" x14ac:dyDescent="0.25">
      <c r="A69" t="s">
        <v>41</v>
      </c>
      <c r="B69" s="5" t="s">
        <v>914</v>
      </c>
      <c r="C69" s="5" t="s">
        <v>914</v>
      </c>
      <c r="D69" t="b">
        <f t="shared" ref="D69:D102" si="2">B69&lt;&gt;C69</f>
        <v>0</v>
      </c>
    </row>
    <row r="70" spans="1:4" x14ac:dyDescent="0.25">
      <c r="A70" t="s">
        <v>50</v>
      </c>
      <c r="B70" s="5" t="s">
        <v>915</v>
      </c>
      <c r="C70" s="5" t="s">
        <v>915</v>
      </c>
      <c r="D70" t="b">
        <f t="shared" si="2"/>
        <v>0</v>
      </c>
    </row>
    <row r="71" spans="1:4" x14ac:dyDescent="0.25">
      <c r="A71" t="s">
        <v>50</v>
      </c>
      <c r="B71" s="5" t="s">
        <v>1628</v>
      </c>
      <c r="C71" s="5" t="s">
        <v>1628</v>
      </c>
      <c r="D71" t="b">
        <f t="shared" si="2"/>
        <v>0</v>
      </c>
    </row>
    <row r="72" spans="1:4" x14ac:dyDescent="0.25">
      <c r="A72" t="s">
        <v>50</v>
      </c>
      <c r="B72" s="5" t="s">
        <v>917</v>
      </c>
      <c r="C72" s="5" t="s">
        <v>917</v>
      </c>
      <c r="D72" t="b">
        <f t="shared" si="2"/>
        <v>0</v>
      </c>
    </row>
    <row r="73" spans="1:4" x14ac:dyDescent="0.25">
      <c r="A73" t="s">
        <v>50</v>
      </c>
      <c r="B73" s="5" t="s">
        <v>918</v>
      </c>
      <c r="C73" s="5" t="s">
        <v>918</v>
      </c>
      <c r="D73" t="b">
        <f t="shared" si="2"/>
        <v>0</v>
      </c>
    </row>
    <row r="74" spans="1:4" x14ac:dyDescent="0.25">
      <c r="A74" t="s">
        <v>197</v>
      </c>
      <c r="B74" s="5" t="s">
        <v>1782</v>
      </c>
      <c r="C74" s="5" t="s">
        <v>1782</v>
      </c>
      <c r="D74" t="b">
        <f t="shared" si="2"/>
        <v>0</v>
      </c>
    </row>
    <row r="75" spans="1:4" x14ac:dyDescent="0.25">
      <c r="A75" t="s">
        <v>197</v>
      </c>
      <c r="B75" s="5" t="s">
        <v>919</v>
      </c>
      <c r="C75" s="5" t="s">
        <v>919</v>
      </c>
      <c r="D75" t="b">
        <f t="shared" si="2"/>
        <v>0</v>
      </c>
    </row>
    <row r="76" spans="1:4" x14ac:dyDescent="0.25">
      <c r="A76" t="s">
        <v>41</v>
      </c>
      <c r="B76" s="5" t="s">
        <v>920</v>
      </c>
      <c r="C76" s="5" t="s">
        <v>920</v>
      </c>
      <c r="D76" t="b">
        <f t="shared" si="2"/>
        <v>0</v>
      </c>
    </row>
    <row r="77" spans="1:4" x14ac:dyDescent="0.25">
      <c r="A77" t="s">
        <v>197</v>
      </c>
      <c r="B77" s="5" t="s">
        <v>921</v>
      </c>
      <c r="C77" s="5" t="s">
        <v>921</v>
      </c>
      <c r="D77" t="b">
        <f t="shared" si="2"/>
        <v>0</v>
      </c>
    </row>
    <row r="78" spans="1:4" x14ac:dyDescent="0.25">
      <c r="A78" t="s">
        <v>197</v>
      </c>
      <c r="B78" s="5" t="s">
        <v>896</v>
      </c>
      <c r="C78" s="5" t="s">
        <v>896</v>
      </c>
      <c r="D78" t="b">
        <f t="shared" si="2"/>
        <v>0</v>
      </c>
    </row>
    <row r="79" spans="1:4" x14ac:dyDescent="0.25">
      <c r="A79" t="s">
        <v>197</v>
      </c>
      <c r="B79" s="5" t="s">
        <v>891</v>
      </c>
      <c r="C79" s="5" t="s">
        <v>891</v>
      </c>
      <c r="D79" t="b">
        <f t="shared" si="2"/>
        <v>0</v>
      </c>
    </row>
    <row r="80" spans="1:4" x14ac:dyDescent="0.25">
      <c r="A80" t="s">
        <v>197</v>
      </c>
      <c r="B80" s="5" t="s">
        <v>901</v>
      </c>
      <c r="C80" s="5" t="s">
        <v>901</v>
      </c>
      <c r="D80" t="b">
        <f t="shared" si="2"/>
        <v>0</v>
      </c>
    </row>
    <row r="81" spans="1:4" x14ac:dyDescent="0.25">
      <c r="A81" t="s">
        <v>197</v>
      </c>
      <c r="B81" s="5" t="s">
        <v>897</v>
      </c>
      <c r="C81" s="5" t="s">
        <v>897</v>
      </c>
      <c r="D81" t="b">
        <f t="shared" si="2"/>
        <v>0</v>
      </c>
    </row>
    <row r="82" spans="1:4" x14ac:dyDescent="0.25">
      <c r="A82" t="s">
        <v>197</v>
      </c>
      <c r="B82" s="5" t="s">
        <v>899</v>
      </c>
      <c r="C82" s="5" t="s">
        <v>899</v>
      </c>
      <c r="D82" t="b">
        <f t="shared" si="2"/>
        <v>0</v>
      </c>
    </row>
    <row r="83" spans="1:4" x14ac:dyDescent="0.25">
      <c r="A83" t="s">
        <v>43</v>
      </c>
      <c r="B83" s="5" t="s">
        <v>372</v>
      </c>
      <c r="C83" s="5" t="s">
        <v>372</v>
      </c>
      <c r="D83" t="b">
        <f t="shared" si="2"/>
        <v>0</v>
      </c>
    </row>
    <row r="84" spans="1:4" x14ac:dyDescent="0.25">
      <c r="A84" t="s">
        <v>43</v>
      </c>
      <c r="B84" s="5" t="s">
        <v>922</v>
      </c>
      <c r="C84" s="5" t="s">
        <v>922</v>
      </c>
      <c r="D84" t="b">
        <f t="shared" si="2"/>
        <v>0</v>
      </c>
    </row>
    <row r="85" spans="1:4" x14ac:dyDescent="0.25">
      <c r="A85" t="s">
        <v>43</v>
      </c>
      <c r="B85" s="5" t="s">
        <v>253</v>
      </c>
      <c r="C85" s="5" t="s">
        <v>253</v>
      </c>
      <c r="D85" t="b">
        <f t="shared" si="2"/>
        <v>0</v>
      </c>
    </row>
    <row r="86" spans="1:4" x14ac:dyDescent="0.25">
      <c r="A86" t="s">
        <v>43</v>
      </c>
      <c r="B86" s="5" t="s">
        <v>363</v>
      </c>
      <c r="C86" s="5" t="s">
        <v>363</v>
      </c>
      <c r="D86" t="b">
        <f t="shared" si="2"/>
        <v>0</v>
      </c>
    </row>
    <row r="87" spans="1:4" x14ac:dyDescent="0.25">
      <c r="A87" t="s">
        <v>43</v>
      </c>
      <c r="B87" s="5" t="s">
        <v>713</v>
      </c>
      <c r="C87" s="5" t="s">
        <v>713</v>
      </c>
      <c r="D87" t="b">
        <f t="shared" si="2"/>
        <v>0</v>
      </c>
    </row>
    <row r="88" spans="1:4" x14ac:dyDescent="0.25">
      <c r="A88" t="s">
        <v>43</v>
      </c>
      <c r="B88" s="5" t="s">
        <v>923</v>
      </c>
      <c r="C88" s="5" t="s">
        <v>923</v>
      </c>
      <c r="D88" t="b">
        <f t="shared" si="2"/>
        <v>0</v>
      </c>
    </row>
    <row r="89" spans="1:4" x14ac:dyDescent="0.25">
      <c r="A89" t="s">
        <v>42</v>
      </c>
      <c r="B89" s="5" t="s">
        <v>1622</v>
      </c>
      <c r="C89" s="5" t="s">
        <v>1622</v>
      </c>
      <c r="D89" t="b">
        <f t="shared" si="2"/>
        <v>0</v>
      </c>
    </row>
    <row r="90" spans="1:4" x14ac:dyDescent="0.25">
      <c r="A90" t="s">
        <v>42</v>
      </c>
      <c r="B90" s="5" t="s">
        <v>925</v>
      </c>
      <c r="C90" s="5" t="s">
        <v>925</v>
      </c>
      <c r="D90" t="b">
        <f t="shared" si="2"/>
        <v>0</v>
      </c>
    </row>
    <row r="91" spans="1:4" x14ac:dyDescent="0.25">
      <c r="A91" t="s">
        <v>42</v>
      </c>
      <c r="B91" s="5" t="s">
        <v>926</v>
      </c>
      <c r="C91" s="5" t="s">
        <v>926</v>
      </c>
      <c r="D91" t="b">
        <f t="shared" si="2"/>
        <v>0</v>
      </c>
    </row>
    <row r="92" spans="1:4" x14ac:dyDescent="0.25">
      <c r="A92" t="s">
        <v>42</v>
      </c>
      <c r="B92" s="5" t="s">
        <v>927</v>
      </c>
      <c r="C92" s="5" t="s">
        <v>927</v>
      </c>
      <c r="D92" t="b">
        <f t="shared" si="2"/>
        <v>0</v>
      </c>
    </row>
    <row r="93" spans="1:4" x14ac:dyDescent="0.25">
      <c r="A93" t="s">
        <v>42</v>
      </c>
      <c r="B93" s="5" t="s">
        <v>928</v>
      </c>
      <c r="C93" s="5" t="s">
        <v>928</v>
      </c>
      <c r="D93" t="b">
        <f t="shared" si="2"/>
        <v>0</v>
      </c>
    </row>
    <row r="94" spans="1:4" x14ac:dyDescent="0.25">
      <c r="A94" t="s">
        <v>42</v>
      </c>
      <c r="B94" s="5" t="s">
        <v>929</v>
      </c>
      <c r="C94" s="5" t="s">
        <v>929</v>
      </c>
      <c r="D94" t="b">
        <f t="shared" si="2"/>
        <v>0</v>
      </c>
    </row>
    <row r="95" spans="1:4" x14ac:dyDescent="0.25">
      <c r="A95" t="s">
        <v>337</v>
      </c>
      <c r="B95" s="5" t="s">
        <v>1783</v>
      </c>
      <c r="C95" s="5" t="s">
        <v>1783</v>
      </c>
      <c r="D95" t="b">
        <f t="shared" si="2"/>
        <v>0</v>
      </c>
    </row>
    <row r="96" spans="1:4" x14ac:dyDescent="0.25">
      <c r="A96" t="s">
        <v>337</v>
      </c>
      <c r="B96" s="5" t="s">
        <v>1784</v>
      </c>
      <c r="C96" s="5" t="s">
        <v>1784</v>
      </c>
      <c r="D96" t="b">
        <f t="shared" si="2"/>
        <v>0</v>
      </c>
    </row>
    <row r="97" spans="1:4" x14ac:dyDescent="0.25">
      <c r="A97" t="s">
        <v>337</v>
      </c>
      <c r="B97" s="5" t="s">
        <v>930</v>
      </c>
      <c r="C97" s="5" t="s">
        <v>930</v>
      </c>
      <c r="D97" t="b">
        <f t="shared" si="2"/>
        <v>0</v>
      </c>
    </row>
    <row r="98" spans="1:4" x14ac:dyDescent="0.25">
      <c r="A98" t="s">
        <v>337</v>
      </c>
      <c r="B98" s="5" t="s">
        <v>931</v>
      </c>
      <c r="C98" s="5" t="s">
        <v>931</v>
      </c>
      <c r="D98" t="b">
        <f t="shared" si="2"/>
        <v>0</v>
      </c>
    </row>
    <row r="99" spans="1:4" x14ac:dyDescent="0.25">
      <c r="A99" t="s">
        <v>337</v>
      </c>
      <c r="B99" s="5" t="s">
        <v>125</v>
      </c>
      <c r="C99" s="5" t="s">
        <v>125</v>
      </c>
      <c r="D99" t="b">
        <f t="shared" si="2"/>
        <v>0</v>
      </c>
    </row>
    <row r="100" spans="1:4" x14ac:dyDescent="0.25">
      <c r="A100" t="s">
        <v>337</v>
      </c>
      <c r="B100" s="5" t="s">
        <v>126</v>
      </c>
      <c r="C100" s="5" t="s">
        <v>126</v>
      </c>
      <c r="D100" t="b">
        <f t="shared" si="2"/>
        <v>0</v>
      </c>
    </row>
    <row r="101" spans="1:4" x14ac:dyDescent="0.25">
      <c r="A101" t="s">
        <v>337</v>
      </c>
      <c r="B101" s="5" t="s">
        <v>932</v>
      </c>
      <c r="C101" s="5" t="s">
        <v>932</v>
      </c>
      <c r="D101" t="b">
        <f t="shared" si="2"/>
        <v>0</v>
      </c>
    </row>
    <row r="102" spans="1:4" x14ac:dyDescent="0.25">
      <c r="A102" t="s">
        <v>337</v>
      </c>
      <c r="B102" s="5" t="s">
        <v>933</v>
      </c>
      <c r="C102" s="5" t="s">
        <v>933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66229BB-6DEC-46B9-8B82-41BC965761C7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C3DA73C5-1980-4555-AF69-E24CB67E10FE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32A-A041-4D66-AD92-9000ED2E2DDB}">
  <sheetPr codeName="Planilha27"/>
  <dimension ref="A1:G103"/>
  <sheetViews>
    <sheetView workbookViewId="0">
      <selection activeCell="C7" sqref="C7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1420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11</v>
      </c>
    </row>
    <row r="3" spans="1:7" x14ac:dyDescent="0.25">
      <c r="A3" s="5" t="s">
        <v>2031</v>
      </c>
      <c r="B3" s="5" t="s">
        <v>2050</v>
      </c>
      <c r="C3" s="5" t="s">
        <v>2050</v>
      </c>
      <c r="D3" t="b">
        <f>B3&lt;&gt;C3</f>
        <v>0</v>
      </c>
      <c r="F3" s="4" t="s">
        <v>37</v>
      </c>
      <c r="G3" s="3">
        <f>SUM(G6:G27)</f>
        <v>100</v>
      </c>
    </row>
    <row r="4" spans="1:7" x14ac:dyDescent="0.25">
      <c r="A4" s="5" t="s">
        <v>2031</v>
      </c>
      <c r="B4" s="5" t="s">
        <v>2067</v>
      </c>
      <c r="C4" s="5" t="s">
        <v>2067</v>
      </c>
      <c r="D4" t="b">
        <f>B4&lt;&gt;C4</f>
        <v>0</v>
      </c>
    </row>
    <row r="5" spans="1:7" x14ac:dyDescent="0.25">
      <c r="A5" t="s">
        <v>35</v>
      </c>
      <c r="B5" s="5" t="s">
        <v>40</v>
      </c>
      <c r="C5" s="5" t="s">
        <v>40</v>
      </c>
      <c r="D5" t="b">
        <f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67</v>
      </c>
      <c r="C6" s="5" t="s">
        <v>67</v>
      </c>
      <c r="D6" t="b">
        <f t="shared" ref="D6:D69" si="0">B6&lt;&gt;C6</f>
        <v>0</v>
      </c>
      <c r="F6" s="3" t="s">
        <v>2031</v>
      </c>
      <c r="G6" s="2">
        <f t="shared" ref="G6:G14" si="1">COUNTIF(A:A,F6)</f>
        <v>2</v>
      </c>
    </row>
    <row r="7" spans="1:7" x14ac:dyDescent="0.25">
      <c r="A7" t="s">
        <v>35</v>
      </c>
      <c r="B7" s="5" t="s">
        <v>58</v>
      </c>
      <c r="C7" s="5" t="s">
        <v>58</v>
      </c>
      <c r="D7" t="b">
        <f t="shared" si="0"/>
        <v>0</v>
      </c>
      <c r="F7" s="7" t="s">
        <v>35</v>
      </c>
      <c r="G7" s="2">
        <f t="shared" si="1"/>
        <v>37</v>
      </c>
    </row>
    <row r="8" spans="1:7" x14ac:dyDescent="0.25">
      <c r="A8" t="s">
        <v>35</v>
      </c>
      <c r="B8" s="5" t="s">
        <v>1421</v>
      </c>
      <c r="C8" s="5" t="s">
        <v>1421</v>
      </c>
      <c r="D8" t="b">
        <f t="shared" si="0"/>
        <v>0</v>
      </c>
      <c r="F8" s="7" t="s">
        <v>41</v>
      </c>
      <c r="G8" s="2">
        <f t="shared" si="1"/>
        <v>10</v>
      </c>
    </row>
    <row r="9" spans="1:7" x14ac:dyDescent="0.25">
      <c r="A9" t="s">
        <v>35</v>
      </c>
      <c r="B9" s="5" t="s">
        <v>828</v>
      </c>
      <c r="C9" s="5" t="s">
        <v>828</v>
      </c>
      <c r="D9" t="b">
        <f t="shared" si="0"/>
        <v>0</v>
      </c>
      <c r="F9" s="7" t="s">
        <v>42</v>
      </c>
      <c r="G9" s="2">
        <f t="shared" si="1"/>
        <v>12</v>
      </c>
    </row>
    <row r="10" spans="1:7" x14ac:dyDescent="0.25">
      <c r="A10" t="s">
        <v>35</v>
      </c>
      <c r="B10" s="5" t="s">
        <v>1422</v>
      </c>
      <c r="C10" s="5" t="s">
        <v>1422</v>
      </c>
      <c r="D10" t="b">
        <f t="shared" si="0"/>
        <v>0</v>
      </c>
      <c r="F10" s="7" t="s">
        <v>43</v>
      </c>
      <c r="G10" s="2">
        <f t="shared" si="1"/>
        <v>10</v>
      </c>
    </row>
    <row r="11" spans="1:7" x14ac:dyDescent="0.25">
      <c r="A11" t="s">
        <v>35</v>
      </c>
      <c r="B11" s="5" t="s">
        <v>1114</v>
      </c>
      <c r="C11" s="5" t="s">
        <v>1114</v>
      </c>
      <c r="D11" t="b">
        <f t="shared" si="0"/>
        <v>0</v>
      </c>
      <c r="F11" s="7" t="s">
        <v>50</v>
      </c>
      <c r="G11" s="2">
        <f t="shared" si="1"/>
        <v>6</v>
      </c>
    </row>
    <row r="12" spans="1:7" x14ac:dyDescent="0.25">
      <c r="A12" t="s">
        <v>35</v>
      </c>
      <c r="B12" s="5" t="s">
        <v>69</v>
      </c>
      <c r="C12" s="5" t="s">
        <v>69</v>
      </c>
      <c r="D12" t="b">
        <f t="shared" si="0"/>
        <v>0</v>
      </c>
      <c r="F12" s="7" t="s">
        <v>49</v>
      </c>
      <c r="G12" s="2">
        <f t="shared" si="1"/>
        <v>5</v>
      </c>
    </row>
    <row r="13" spans="1:7" x14ac:dyDescent="0.25">
      <c r="A13" t="s">
        <v>35</v>
      </c>
      <c r="B13" s="5" t="s">
        <v>81</v>
      </c>
      <c r="C13" s="5" t="s">
        <v>81</v>
      </c>
      <c r="D13" t="b">
        <f t="shared" si="0"/>
        <v>0</v>
      </c>
      <c r="F13" s="7" t="s">
        <v>1713</v>
      </c>
      <c r="G13" s="2">
        <f t="shared" si="1"/>
        <v>11</v>
      </c>
    </row>
    <row r="14" spans="1:7" x14ac:dyDescent="0.25">
      <c r="A14" t="s">
        <v>35</v>
      </c>
      <c r="B14" s="5" t="s">
        <v>194</v>
      </c>
      <c r="C14" s="5" t="s">
        <v>77</v>
      </c>
      <c r="D14" t="b">
        <f t="shared" si="0"/>
        <v>1</v>
      </c>
      <c r="F14" s="7" t="s">
        <v>65</v>
      </c>
      <c r="G14" s="2">
        <f t="shared" si="1"/>
        <v>7</v>
      </c>
    </row>
    <row r="15" spans="1:7" x14ac:dyDescent="0.25">
      <c r="A15" t="s">
        <v>35</v>
      </c>
      <c r="B15" s="5" t="s">
        <v>75</v>
      </c>
      <c r="C15" s="5" t="s">
        <v>75</v>
      </c>
      <c r="D15" t="b">
        <f t="shared" si="0"/>
        <v>0</v>
      </c>
    </row>
    <row r="16" spans="1:7" x14ac:dyDescent="0.25">
      <c r="A16" t="s">
        <v>35</v>
      </c>
      <c r="B16" s="5" t="s">
        <v>80</v>
      </c>
      <c r="C16" s="5" t="s">
        <v>80</v>
      </c>
      <c r="D16" t="b">
        <f t="shared" si="0"/>
        <v>0</v>
      </c>
    </row>
    <row r="17" spans="1:7" x14ac:dyDescent="0.25">
      <c r="A17" t="s">
        <v>35</v>
      </c>
      <c r="B17" s="5" t="s">
        <v>78</v>
      </c>
      <c r="C17" s="5" t="s">
        <v>78</v>
      </c>
      <c r="D17" t="b">
        <f t="shared" si="0"/>
        <v>0</v>
      </c>
      <c r="F17" s="1"/>
      <c r="G17" s="2"/>
    </row>
    <row r="18" spans="1:7" x14ac:dyDescent="0.25">
      <c r="A18" t="s">
        <v>35</v>
      </c>
      <c r="B18" s="5" t="s">
        <v>79</v>
      </c>
      <c r="C18" s="5" t="s">
        <v>79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76</v>
      </c>
      <c r="C19" s="5" t="s">
        <v>76</v>
      </c>
      <c r="D19" t="b">
        <f t="shared" si="0"/>
        <v>0</v>
      </c>
    </row>
    <row r="20" spans="1:7" x14ac:dyDescent="0.25">
      <c r="A20" t="s">
        <v>35</v>
      </c>
      <c r="B20" s="5" t="s">
        <v>82</v>
      </c>
      <c r="C20" s="5" t="s">
        <v>82</v>
      </c>
      <c r="D20" t="b">
        <f t="shared" si="0"/>
        <v>0</v>
      </c>
    </row>
    <row r="21" spans="1:7" x14ac:dyDescent="0.25">
      <c r="A21" t="s">
        <v>35</v>
      </c>
      <c r="B21" s="5" t="s">
        <v>819</v>
      </c>
      <c r="C21" s="5" t="s">
        <v>1423</v>
      </c>
      <c r="D21" t="b">
        <f t="shared" si="0"/>
        <v>1</v>
      </c>
    </row>
    <row r="22" spans="1:7" x14ac:dyDescent="0.25">
      <c r="A22" t="s">
        <v>35</v>
      </c>
      <c r="B22" s="5" t="s">
        <v>83</v>
      </c>
      <c r="C22" s="5" t="s">
        <v>83</v>
      </c>
      <c r="D22" t="b">
        <f t="shared" si="0"/>
        <v>0</v>
      </c>
    </row>
    <row r="23" spans="1:7" x14ac:dyDescent="0.25">
      <c r="A23" t="s">
        <v>35</v>
      </c>
      <c r="B23" s="5" t="s">
        <v>345</v>
      </c>
      <c r="C23" s="5" t="s">
        <v>345</v>
      </c>
      <c r="D23" t="b">
        <f t="shared" si="0"/>
        <v>0</v>
      </c>
    </row>
    <row r="24" spans="1:7" x14ac:dyDescent="0.25">
      <c r="A24" t="s">
        <v>35</v>
      </c>
      <c r="B24" s="5" t="s">
        <v>192</v>
      </c>
      <c r="C24" s="5" t="s">
        <v>72</v>
      </c>
      <c r="D24" t="b">
        <f t="shared" si="0"/>
        <v>1</v>
      </c>
    </row>
    <row r="25" spans="1:7" x14ac:dyDescent="0.25">
      <c r="A25" t="s">
        <v>35</v>
      </c>
      <c r="B25" s="5" t="s">
        <v>1424</v>
      </c>
      <c r="C25" s="5" t="s">
        <v>1424</v>
      </c>
      <c r="D25" t="b">
        <f t="shared" si="0"/>
        <v>0</v>
      </c>
    </row>
    <row r="26" spans="1:7" x14ac:dyDescent="0.25">
      <c r="A26" t="s">
        <v>35</v>
      </c>
      <c r="B26" s="5" t="s">
        <v>349</v>
      </c>
      <c r="C26" s="5" t="s">
        <v>349</v>
      </c>
      <c r="D26" t="b">
        <f t="shared" si="0"/>
        <v>0</v>
      </c>
    </row>
    <row r="27" spans="1:7" x14ac:dyDescent="0.25">
      <c r="A27" t="s">
        <v>35</v>
      </c>
      <c r="B27" s="5" t="s">
        <v>348</v>
      </c>
      <c r="C27" s="5" t="s">
        <v>348</v>
      </c>
      <c r="D27" t="b">
        <f t="shared" si="0"/>
        <v>0</v>
      </c>
    </row>
    <row r="28" spans="1:7" x14ac:dyDescent="0.25">
      <c r="A28" t="s">
        <v>35</v>
      </c>
      <c r="B28" s="5" t="s">
        <v>817</v>
      </c>
      <c r="C28" s="5" t="s">
        <v>817</v>
      </c>
      <c r="D28" t="b">
        <f t="shared" si="0"/>
        <v>0</v>
      </c>
    </row>
    <row r="29" spans="1:7" x14ac:dyDescent="0.25">
      <c r="A29" t="s">
        <v>35</v>
      </c>
      <c r="B29" s="5" t="s">
        <v>936</v>
      </c>
      <c r="C29" s="5" t="s">
        <v>936</v>
      </c>
      <c r="D29" t="b">
        <f t="shared" si="0"/>
        <v>0</v>
      </c>
    </row>
    <row r="30" spans="1:7" x14ac:dyDescent="0.25">
      <c r="A30" t="s">
        <v>35</v>
      </c>
      <c r="B30" s="5" t="s">
        <v>1425</v>
      </c>
      <c r="C30" s="5" t="s">
        <v>1425</v>
      </c>
      <c r="D30" t="b">
        <f t="shared" si="0"/>
        <v>0</v>
      </c>
    </row>
    <row r="31" spans="1:7" x14ac:dyDescent="0.25">
      <c r="A31" t="s">
        <v>35</v>
      </c>
      <c r="B31" s="5" t="s">
        <v>188</v>
      </c>
      <c r="C31" s="5" t="s">
        <v>188</v>
      </c>
      <c r="D31" t="b">
        <f t="shared" si="0"/>
        <v>0</v>
      </c>
    </row>
    <row r="32" spans="1:7" x14ac:dyDescent="0.25">
      <c r="A32" t="s">
        <v>35</v>
      </c>
      <c r="B32" s="5" t="s">
        <v>824</v>
      </c>
      <c r="C32" s="5" t="s">
        <v>824</v>
      </c>
      <c r="D32" t="b">
        <f t="shared" si="0"/>
        <v>0</v>
      </c>
    </row>
    <row r="33" spans="1:4" x14ac:dyDescent="0.25">
      <c r="A33" t="s">
        <v>35</v>
      </c>
      <c r="B33" s="5" t="s">
        <v>187</v>
      </c>
      <c r="C33" s="5" t="s">
        <v>187</v>
      </c>
      <c r="D33" t="b">
        <f t="shared" si="0"/>
        <v>0</v>
      </c>
    </row>
    <row r="34" spans="1:4" x14ac:dyDescent="0.25">
      <c r="A34" t="s">
        <v>35</v>
      </c>
      <c r="B34" s="5" t="s">
        <v>45</v>
      </c>
      <c r="C34" s="5" t="s">
        <v>1715</v>
      </c>
      <c r="D34" t="b">
        <f t="shared" si="0"/>
        <v>1</v>
      </c>
    </row>
    <row r="35" spans="1:4" x14ac:dyDescent="0.25">
      <c r="A35" t="s">
        <v>35</v>
      </c>
      <c r="B35" s="5" t="s">
        <v>47</v>
      </c>
      <c r="C35" s="5" t="s">
        <v>190</v>
      </c>
      <c r="D35" t="b">
        <f t="shared" si="0"/>
        <v>1</v>
      </c>
    </row>
    <row r="36" spans="1:4" x14ac:dyDescent="0.25">
      <c r="A36" t="s">
        <v>35</v>
      </c>
      <c r="B36" s="5" t="s">
        <v>45</v>
      </c>
      <c r="C36" s="5" t="s">
        <v>45</v>
      </c>
      <c r="D36" t="b">
        <f t="shared" si="0"/>
        <v>0</v>
      </c>
    </row>
    <row r="37" spans="1:4" x14ac:dyDescent="0.25">
      <c r="A37" t="s">
        <v>35</v>
      </c>
      <c r="B37" s="5" t="s">
        <v>46</v>
      </c>
      <c r="C37" s="5" t="s">
        <v>46</v>
      </c>
      <c r="D37" t="b">
        <f t="shared" si="0"/>
        <v>0</v>
      </c>
    </row>
    <row r="38" spans="1:4" x14ac:dyDescent="0.25">
      <c r="A38" t="s">
        <v>35</v>
      </c>
      <c r="B38" s="5" t="s">
        <v>46</v>
      </c>
      <c r="C38" s="5" t="s">
        <v>46</v>
      </c>
      <c r="D38" t="b">
        <f t="shared" si="0"/>
        <v>0</v>
      </c>
    </row>
    <row r="39" spans="1:4" x14ac:dyDescent="0.25">
      <c r="A39" t="s">
        <v>35</v>
      </c>
      <c r="B39" s="5" t="s">
        <v>44</v>
      </c>
      <c r="C39" s="5" t="s">
        <v>44</v>
      </c>
      <c r="D39" t="b">
        <f t="shared" si="0"/>
        <v>0</v>
      </c>
    </row>
    <row r="40" spans="1:4" x14ac:dyDescent="0.25">
      <c r="A40" t="s">
        <v>35</v>
      </c>
      <c r="B40" s="5" t="s">
        <v>44</v>
      </c>
      <c r="C40" s="5" t="s">
        <v>44</v>
      </c>
      <c r="D40" t="b">
        <f t="shared" si="0"/>
        <v>0</v>
      </c>
    </row>
    <row r="41" spans="1:4" x14ac:dyDescent="0.25">
      <c r="A41" t="s">
        <v>35</v>
      </c>
      <c r="B41" s="5" t="s">
        <v>47</v>
      </c>
      <c r="C41" s="5" t="s">
        <v>47</v>
      </c>
      <c r="D41" t="b">
        <f t="shared" si="0"/>
        <v>0</v>
      </c>
    </row>
    <row r="42" spans="1:4" x14ac:dyDescent="0.25">
      <c r="A42" t="s">
        <v>41</v>
      </c>
      <c r="B42" s="5" t="s">
        <v>206</v>
      </c>
      <c r="C42" s="5" t="s">
        <v>206</v>
      </c>
      <c r="D42" t="b">
        <f t="shared" si="0"/>
        <v>0</v>
      </c>
    </row>
    <row r="43" spans="1:4" x14ac:dyDescent="0.25">
      <c r="A43" t="s">
        <v>41</v>
      </c>
      <c r="B43" s="5" t="s">
        <v>207</v>
      </c>
      <c r="C43" s="5" t="s">
        <v>207</v>
      </c>
      <c r="D43" t="b">
        <f t="shared" si="0"/>
        <v>0</v>
      </c>
    </row>
    <row r="44" spans="1:4" x14ac:dyDescent="0.25">
      <c r="A44" t="s">
        <v>41</v>
      </c>
      <c r="B44" s="5" t="s">
        <v>208</v>
      </c>
      <c r="C44" s="5" t="s">
        <v>208</v>
      </c>
      <c r="D44" t="b">
        <f t="shared" si="0"/>
        <v>0</v>
      </c>
    </row>
    <row r="45" spans="1:4" x14ac:dyDescent="0.25">
      <c r="A45" t="s">
        <v>41</v>
      </c>
      <c r="B45" s="5" t="s">
        <v>559</v>
      </c>
      <c r="C45" s="5" t="s">
        <v>559</v>
      </c>
      <c r="D45" t="b">
        <f t="shared" si="0"/>
        <v>0</v>
      </c>
    </row>
    <row r="46" spans="1:4" x14ac:dyDescent="0.25">
      <c r="A46" t="s">
        <v>41</v>
      </c>
      <c r="B46" s="5" t="s">
        <v>157</v>
      </c>
      <c r="C46" s="5" t="s">
        <v>157</v>
      </c>
      <c r="D46" t="b">
        <f t="shared" si="0"/>
        <v>0</v>
      </c>
    </row>
    <row r="47" spans="1:4" x14ac:dyDescent="0.25">
      <c r="A47" t="s">
        <v>41</v>
      </c>
      <c r="B47" s="5" t="s">
        <v>558</v>
      </c>
      <c r="C47" s="5" t="s">
        <v>558</v>
      </c>
      <c r="D47" t="b">
        <f t="shared" si="0"/>
        <v>0</v>
      </c>
    </row>
    <row r="48" spans="1:4" x14ac:dyDescent="0.25">
      <c r="A48" t="s">
        <v>41</v>
      </c>
      <c r="B48" s="5" t="s">
        <v>210</v>
      </c>
      <c r="C48" s="5" t="s">
        <v>210</v>
      </c>
      <c r="D48" t="b">
        <f t="shared" si="0"/>
        <v>0</v>
      </c>
    </row>
    <row r="49" spans="1:4" x14ac:dyDescent="0.25">
      <c r="A49" t="s">
        <v>41</v>
      </c>
      <c r="B49" s="5" t="s">
        <v>211</v>
      </c>
      <c r="C49" s="5" t="s">
        <v>211</v>
      </c>
      <c r="D49" t="b">
        <f t="shared" si="0"/>
        <v>0</v>
      </c>
    </row>
    <row r="50" spans="1:4" x14ac:dyDescent="0.25">
      <c r="A50" t="s">
        <v>41</v>
      </c>
      <c r="B50" s="5" t="s">
        <v>1714</v>
      </c>
      <c r="C50" s="5" t="s">
        <v>1714</v>
      </c>
      <c r="D50" t="b">
        <f t="shared" si="0"/>
        <v>0</v>
      </c>
    </row>
    <row r="51" spans="1:4" x14ac:dyDescent="0.25">
      <c r="A51" t="s">
        <v>41</v>
      </c>
      <c r="B51" s="5" t="s">
        <v>212</v>
      </c>
      <c r="C51" s="5" t="s">
        <v>212</v>
      </c>
      <c r="D51" t="b">
        <f t="shared" si="0"/>
        <v>0</v>
      </c>
    </row>
    <row r="52" spans="1:4" x14ac:dyDescent="0.25">
      <c r="A52" t="s">
        <v>42</v>
      </c>
      <c r="B52" s="5" t="s">
        <v>1014</v>
      </c>
      <c r="C52" s="5" t="s">
        <v>1014</v>
      </c>
      <c r="D52" t="b">
        <f t="shared" si="0"/>
        <v>0</v>
      </c>
    </row>
    <row r="53" spans="1:4" x14ac:dyDescent="0.25">
      <c r="A53" t="s">
        <v>42</v>
      </c>
      <c r="B53" s="5" t="s">
        <v>1431</v>
      </c>
      <c r="C53" s="5" t="s">
        <v>1431</v>
      </c>
      <c r="D53" t="b">
        <f t="shared" si="0"/>
        <v>0</v>
      </c>
    </row>
    <row r="54" spans="1:4" x14ac:dyDescent="0.25">
      <c r="A54" t="s">
        <v>42</v>
      </c>
      <c r="B54" s="5" t="s">
        <v>1728</v>
      </c>
      <c r="C54" s="5" t="s">
        <v>1728</v>
      </c>
      <c r="D54" t="b">
        <f t="shared" si="0"/>
        <v>0</v>
      </c>
    </row>
    <row r="55" spans="1:4" x14ac:dyDescent="0.25">
      <c r="A55" t="s">
        <v>42</v>
      </c>
      <c r="B55" s="5" t="s">
        <v>1430</v>
      </c>
      <c r="C55" s="5" t="s">
        <v>1430</v>
      </c>
      <c r="D55" t="b">
        <f t="shared" si="0"/>
        <v>0</v>
      </c>
    </row>
    <row r="56" spans="1:4" x14ac:dyDescent="0.25">
      <c r="A56" t="s">
        <v>42</v>
      </c>
      <c r="B56" s="5" t="s">
        <v>1427</v>
      </c>
      <c r="C56" s="5" t="s">
        <v>1427</v>
      </c>
      <c r="D56" t="b">
        <f t="shared" si="0"/>
        <v>0</v>
      </c>
    </row>
    <row r="57" spans="1:4" x14ac:dyDescent="0.25">
      <c r="A57" t="s">
        <v>42</v>
      </c>
      <c r="B57" s="5" t="s">
        <v>1266</v>
      </c>
      <c r="C57" s="5" t="s">
        <v>1266</v>
      </c>
      <c r="D57" t="b">
        <f t="shared" si="0"/>
        <v>0</v>
      </c>
    </row>
    <row r="58" spans="1:4" x14ac:dyDescent="0.25">
      <c r="A58" t="s">
        <v>42</v>
      </c>
      <c r="B58" s="5" t="s">
        <v>1428</v>
      </c>
      <c r="C58" s="5" t="s">
        <v>1428</v>
      </c>
      <c r="D58" t="b">
        <f t="shared" si="0"/>
        <v>0</v>
      </c>
    </row>
    <row r="59" spans="1:4" x14ac:dyDescent="0.25">
      <c r="A59" t="s">
        <v>42</v>
      </c>
      <c r="B59" s="5" t="s">
        <v>98</v>
      </c>
      <c r="C59" s="5" t="s">
        <v>98</v>
      </c>
      <c r="D59" t="b">
        <f t="shared" si="0"/>
        <v>0</v>
      </c>
    </row>
    <row r="60" spans="1:4" x14ac:dyDescent="0.25">
      <c r="A60" t="s">
        <v>42</v>
      </c>
      <c r="B60" s="5" t="s">
        <v>1429</v>
      </c>
      <c r="C60" s="5" t="s">
        <v>1429</v>
      </c>
      <c r="D60" t="b">
        <f t="shared" si="0"/>
        <v>0</v>
      </c>
    </row>
    <row r="61" spans="1:4" x14ac:dyDescent="0.25">
      <c r="A61" t="s">
        <v>42</v>
      </c>
      <c r="B61" s="5" t="s">
        <v>1717</v>
      </c>
      <c r="C61" s="5" t="s">
        <v>1717</v>
      </c>
      <c r="D61" t="b">
        <f t="shared" si="0"/>
        <v>0</v>
      </c>
    </row>
    <row r="62" spans="1:4" x14ac:dyDescent="0.25">
      <c r="A62" t="s">
        <v>42</v>
      </c>
      <c r="B62" s="5" t="s">
        <v>1443</v>
      </c>
      <c r="C62" s="5" t="s">
        <v>1443</v>
      </c>
      <c r="D62" t="b">
        <f t="shared" si="0"/>
        <v>0</v>
      </c>
    </row>
    <row r="63" spans="1:4" x14ac:dyDescent="0.25">
      <c r="A63" t="s">
        <v>42</v>
      </c>
      <c r="B63" s="5" t="s">
        <v>1432</v>
      </c>
      <c r="C63" s="5" t="s">
        <v>1432</v>
      </c>
      <c r="D63" t="b">
        <f t="shared" si="0"/>
        <v>0</v>
      </c>
    </row>
    <row r="64" spans="1:4" x14ac:dyDescent="0.25">
      <c r="A64" t="s">
        <v>43</v>
      </c>
      <c r="B64" s="5" t="s">
        <v>1433</v>
      </c>
      <c r="C64" s="5" t="s">
        <v>1931</v>
      </c>
      <c r="D64" t="b">
        <f t="shared" si="0"/>
        <v>1</v>
      </c>
    </row>
    <row r="65" spans="1:4" x14ac:dyDescent="0.25">
      <c r="A65" t="s">
        <v>43</v>
      </c>
      <c r="B65" s="5" t="s">
        <v>363</v>
      </c>
      <c r="C65" s="5" t="s">
        <v>363</v>
      </c>
      <c r="D65" t="b">
        <f t="shared" si="0"/>
        <v>0</v>
      </c>
    </row>
    <row r="66" spans="1:4" x14ac:dyDescent="0.25">
      <c r="A66" t="s">
        <v>43</v>
      </c>
      <c r="B66" s="5" t="s">
        <v>250</v>
      </c>
      <c r="C66" s="5" t="s">
        <v>250</v>
      </c>
      <c r="D66" t="b">
        <f t="shared" si="0"/>
        <v>0</v>
      </c>
    </row>
    <row r="67" spans="1:4" x14ac:dyDescent="0.25">
      <c r="A67" t="s">
        <v>43</v>
      </c>
      <c r="B67" s="5" t="s">
        <v>1831</v>
      </c>
      <c r="C67" s="5" t="s">
        <v>1729</v>
      </c>
      <c r="D67" t="b">
        <f t="shared" si="0"/>
        <v>1</v>
      </c>
    </row>
    <row r="68" spans="1:4" x14ac:dyDescent="0.25">
      <c r="A68" t="s">
        <v>43</v>
      </c>
      <c r="B68" s="5" t="s">
        <v>1435</v>
      </c>
      <c r="C68" s="5" t="s">
        <v>1435</v>
      </c>
      <c r="D68" t="b">
        <f t="shared" si="0"/>
        <v>0</v>
      </c>
    </row>
    <row r="69" spans="1:4" x14ac:dyDescent="0.25">
      <c r="A69" t="s">
        <v>43</v>
      </c>
      <c r="B69" s="5" t="s">
        <v>1716</v>
      </c>
      <c r="C69" s="5" t="s">
        <v>1716</v>
      </c>
      <c r="D69" t="b">
        <f t="shared" si="0"/>
        <v>0</v>
      </c>
    </row>
    <row r="70" spans="1:4" x14ac:dyDescent="0.25">
      <c r="A70" t="s">
        <v>43</v>
      </c>
      <c r="B70" s="5" t="s">
        <v>179</v>
      </c>
      <c r="C70" s="5" t="s">
        <v>179</v>
      </c>
      <c r="D70" t="b">
        <f t="shared" ref="D70:D103" si="2">B70&lt;&gt;C70</f>
        <v>0</v>
      </c>
    </row>
    <row r="71" spans="1:4" x14ac:dyDescent="0.25">
      <c r="A71" t="s">
        <v>43</v>
      </c>
      <c r="B71" s="5" t="s">
        <v>922</v>
      </c>
      <c r="C71" s="5" t="s">
        <v>922</v>
      </c>
      <c r="D71" t="b">
        <f t="shared" si="2"/>
        <v>0</v>
      </c>
    </row>
    <row r="72" spans="1:4" x14ac:dyDescent="0.25">
      <c r="A72" t="s">
        <v>43</v>
      </c>
      <c r="B72" s="5" t="s">
        <v>1040</v>
      </c>
      <c r="C72" s="5" t="s">
        <v>1040</v>
      </c>
      <c r="D72" t="b">
        <f t="shared" si="2"/>
        <v>0</v>
      </c>
    </row>
    <row r="73" spans="1:4" x14ac:dyDescent="0.25">
      <c r="A73" t="s">
        <v>43</v>
      </c>
      <c r="B73" s="5" t="s">
        <v>801</v>
      </c>
      <c r="C73" s="5" t="s">
        <v>801</v>
      </c>
      <c r="D73" t="b">
        <f t="shared" si="2"/>
        <v>0</v>
      </c>
    </row>
    <row r="74" spans="1:4" x14ac:dyDescent="0.25">
      <c r="A74" t="s">
        <v>50</v>
      </c>
      <c r="B74" s="5" t="s">
        <v>1438</v>
      </c>
      <c r="C74" s="5" t="s">
        <v>1438</v>
      </c>
      <c r="D74" t="b">
        <f t="shared" si="2"/>
        <v>0</v>
      </c>
    </row>
    <row r="75" spans="1:4" x14ac:dyDescent="0.25">
      <c r="A75" t="s">
        <v>50</v>
      </c>
      <c r="B75" s="5" t="s">
        <v>1444</v>
      </c>
      <c r="C75" s="5" t="s">
        <v>1444</v>
      </c>
      <c r="D75" t="b">
        <f t="shared" si="2"/>
        <v>0</v>
      </c>
    </row>
    <row r="76" spans="1:4" x14ac:dyDescent="0.25">
      <c r="A76" t="s">
        <v>50</v>
      </c>
      <c r="B76" s="5" t="s">
        <v>1439</v>
      </c>
      <c r="C76" s="5" t="s">
        <v>1439</v>
      </c>
      <c r="D76" t="b">
        <f t="shared" si="2"/>
        <v>0</v>
      </c>
    </row>
    <row r="77" spans="1:4" x14ac:dyDescent="0.25">
      <c r="A77" t="s">
        <v>50</v>
      </c>
      <c r="B77" s="5" t="s">
        <v>1440</v>
      </c>
      <c r="C77" s="5" t="s">
        <v>1440</v>
      </c>
      <c r="D77" t="b">
        <f t="shared" si="2"/>
        <v>0</v>
      </c>
    </row>
    <row r="78" spans="1:4" x14ac:dyDescent="0.25">
      <c r="A78" t="s">
        <v>50</v>
      </c>
      <c r="B78" s="5" t="s">
        <v>1727</v>
      </c>
      <c r="C78" s="5" t="s">
        <v>1727</v>
      </c>
      <c r="D78" t="b">
        <f t="shared" si="2"/>
        <v>0</v>
      </c>
    </row>
    <row r="79" spans="1:4" x14ac:dyDescent="0.25">
      <c r="A79" t="s">
        <v>50</v>
      </c>
      <c r="B79" s="5" t="s">
        <v>1437</v>
      </c>
      <c r="C79" s="5" t="s">
        <v>1437</v>
      </c>
      <c r="D79" t="b">
        <f t="shared" si="2"/>
        <v>0</v>
      </c>
    </row>
    <row r="80" spans="1:4" x14ac:dyDescent="0.25">
      <c r="A80" t="s">
        <v>49</v>
      </c>
      <c r="B80" s="5" t="s">
        <v>370</v>
      </c>
      <c r="C80" s="5" t="s">
        <v>370</v>
      </c>
      <c r="D80" t="b">
        <f t="shared" si="2"/>
        <v>0</v>
      </c>
    </row>
    <row r="81" spans="1:6" x14ac:dyDescent="0.25">
      <c r="A81" t="s">
        <v>49</v>
      </c>
      <c r="B81" s="5" t="s">
        <v>713</v>
      </c>
      <c r="C81" s="5" t="s">
        <v>713</v>
      </c>
      <c r="D81" t="b">
        <f t="shared" si="2"/>
        <v>0</v>
      </c>
    </row>
    <row r="82" spans="1:6" x14ac:dyDescent="0.25">
      <c r="A82" t="s">
        <v>49</v>
      </c>
      <c r="B82" s="5" t="s">
        <v>252</v>
      </c>
      <c r="C82" s="5" t="s">
        <v>252</v>
      </c>
      <c r="D82" t="b">
        <f t="shared" si="2"/>
        <v>0</v>
      </c>
    </row>
    <row r="83" spans="1:6" x14ac:dyDescent="0.25">
      <c r="A83" t="s">
        <v>49</v>
      </c>
      <c r="B83" s="5" t="s">
        <v>796</v>
      </c>
      <c r="C83" s="5" t="s">
        <v>796</v>
      </c>
      <c r="D83" t="b">
        <f t="shared" si="2"/>
        <v>0</v>
      </c>
    </row>
    <row r="84" spans="1:6" x14ac:dyDescent="0.25">
      <c r="A84" t="s">
        <v>49</v>
      </c>
      <c r="B84" s="5" t="s">
        <v>976</v>
      </c>
      <c r="C84" s="5" t="s">
        <v>976</v>
      </c>
      <c r="D84" t="b">
        <f t="shared" si="2"/>
        <v>0</v>
      </c>
    </row>
    <row r="85" spans="1:6" x14ac:dyDescent="0.25">
      <c r="A85" t="s">
        <v>1713</v>
      </c>
      <c r="B85" s="5" t="s">
        <v>1436</v>
      </c>
      <c r="C85" s="5" t="s">
        <v>1932</v>
      </c>
      <c r="D85" t="b">
        <f t="shared" si="2"/>
        <v>1</v>
      </c>
    </row>
    <row r="86" spans="1:6" x14ac:dyDescent="0.25">
      <c r="A86" t="s">
        <v>1713</v>
      </c>
      <c r="B86" s="5" t="s">
        <v>1718</v>
      </c>
      <c r="C86" s="5" t="s">
        <v>1718</v>
      </c>
      <c r="D86" t="b">
        <f t="shared" si="2"/>
        <v>0</v>
      </c>
      <c r="F86"/>
    </row>
    <row r="87" spans="1:6" x14ac:dyDescent="0.25">
      <c r="A87" t="s">
        <v>1713</v>
      </c>
      <c r="B87" s="5" t="s">
        <v>1724</v>
      </c>
      <c r="C87" s="5" t="s">
        <v>1724</v>
      </c>
      <c r="D87" t="b">
        <f t="shared" si="2"/>
        <v>0</v>
      </c>
      <c r="F87"/>
    </row>
    <row r="88" spans="1:6" x14ac:dyDescent="0.25">
      <c r="A88" t="s">
        <v>1713</v>
      </c>
      <c r="B88" s="5" t="s">
        <v>1426</v>
      </c>
      <c r="C88" s="5" t="s">
        <v>1725</v>
      </c>
      <c r="D88" t="b">
        <f t="shared" si="2"/>
        <v>1</v>
      </c>
      <c r="F88"/>
    </row>
    <row r="89" spans="1:6" x14ac:dyDescent="0.25">
      <c r="A89" t="s">
        <v>1713</v>
      </c>
      <c r="B89" s="5" t="s">
        <v>1830</v>
      </c>
      <c r="C89" s="5" t="s">
        <v>1726</v>
      </c>
      <c r="D89" t="b">
        <f t="shared" si="2"/>
        <v>1</v>
      </c>
      <c r="F89"/>
    </row>
    <row r="90" spans="1:6" x14ac:dyDescent="0.25">
      <c r="A90" t="s">
        <v>1713</v>
      </c>
      <c r="B90" s="5" t="s">
        <v>1719</v>
      </c>
      <c r="C90" s="5" t="s">
        <v>1719</v>
      </c>
      <c r="D90" t="b">
        <f t="shared" si="2"/>
        <v>0</v>
      </c>
      <c r="F90"/>
    </row>
    <row r="91" spans="1:6" x14ac:dyDescent="0.25">
      <c r="A91" t="s">
        <v>1713</v>
      </c>
      <c r="B91" s="5" t="s">
        <v>1721</v>
      </c>
      <c r="C91" s="5" t="s">
        <v>1721</v>
      </c>
      <c r="D91" t="b">
        <f t="shared" si="2"/>
        <v>0</v>
      </c>
      <c r="F91"/>
    </row>
    <row r="92" spans="1:6" x14ac:dyDescent="0.25">
      <c r="A92" t="s">
        <v>1713</v>
      </c>
      <c r="B92" s="5" t="s">
        <v>1447</v>
      </c>
      <c r="C92" s="5" t="s">
        <v>1447</v>
      </c>
      <c r="D92" t="b">
        <f t="shared" si="2"/>
        <v>0</v>
      </c>
      <c r="F92"/>
    </row>
    <row r="93" spans="1:6" x14ac:dyDescent="0.25">
      <c r="A93" t="s">
        <v>1713</v>
      </c>
      <c r="B93" s="5" t="s">
        <v>1723</v>
      </c>
      <c r="C93" s="5" t="s">
        <v>1723</v>
      </c>
      <c r="D93" t="b">
        <f t="shared" si="2"/>
        <v>0</v>
      </c>
      <c r="F93"/>
    </row>
    <row r="94" spans="1:6" x14ac:dyDescent="0.25">
      <c r="A94" t="s">
        <v>1713</v>
      </c>
      <c r="B94" s="5" t="s">
        <v>1833</v>
      </c>
      <c r="C94" s="5" t="s">
        <v>1722</v>
      </c>
      <c r="D94" t="b">
        <f t="shared" si="2"/>
        <v>1</v>
      </c>
    </row>
    <row r="95" spans="1:6" x14ac:dyDescent="0.25">
      <c r="A95" t="s">
        <v>1713</v>
      </c>
      <c r="B95" s="5" t="s">
        <v>1446</v>
      </c>
      <c r="C95" s="5" t="s">
        <v>1446</v>
      </c>
      <c r="D95" t="b">
        <f t="shared" si="2"/>
        <v>0</v>
      </c>
    </row>
    <row r="96" spans="1:6" x14ac:dyDescent="0.25">
      <c r="A96" t="s">
        <v>65</v>
      </c>
      <c r="B96" s="5" t="s">
        <v>1442</v>
      </c>
      <c r="C96" s="5" t="s">
        <v>1442</v>
      </c>
      <c r="D96" t="b">
        <f t="shared" si="2"/>
        <v>0</v>
      </c>
    </row>
    <row r="97" spans="1:6" x14ac:dyDescent="0.25">
      <c r="A97" t="s">
        <v>65</v>
      </c>
      <c r="B97" s="5" t="s">
        <v>1441</v>
      </c>
      <c r="C97" s="5" t="s">
        <v>1441</v>
      </c>
      <c r="D97" t="b">
        <f t="shared" si="2"/>
        <v>0</v>
      </c>
    </row>
    <row r="98" spans="1:6" x14ac:dyDescent="0.25">
      <c r="A98" t="s">
        <v>65</v>
      </c>
      <c r="B98" s="5" t="s">
        <v>1445</v>
      </c>
      <c r="C98" s="5" t="s">
        <v>1445</v>
      </c>
      <c r="D98" t="b">
        <f t="shared" si="2"/>
        <v>0</v>
      </c>
    </row>
    <row r="99" spans="1:6" x14ac:dyDescent="0.25">
      <c r="A99" t="s">
        <v>65</v>
      </c>
      <c r="B99" s="5" t="s">
        <v>806</v>
      </c>
      <c r="C99" s="5" t="s">
        <v>806</v>
      </c>
      <c r="D99" t="b">
        <f t="shared" si="2"/>
        <v>0</v>
      </c>
      <c r="F99"/>
    </row>
    <row r="100" spans="1:6" x14ac:dyDescent="0.25">
      <c r="A100" t="s">
        <v>65</v>
      </c>
      <c r="B100" s="5" t="s">
        <v>1417</v>
      </c>
      <c r="C100" s="5" t="s">
        <v>1417</v>
      </c>
      <c r="D100" t="b">
        <f t="shared" si="2"/>
        <v>0</v>
      </c>
    </row>
    <row r="101" spans="1:6" x14ac:dyDescent="0.25">
      <c r="A101" t="s">
        <v>65</v>
      </c>
      <c r="B101" s="5" t="s">
        <v>1720</v>
      </c>
      <c r="C101" s="5" t="s">
        <v>1720</v>
      </c>
      <c r="D101" t="b">
        <f t="shared" si="2"/>
        <v>0</v>
      </c>
    </row>
    <row r="102" spans="1:6" x14ac:dyDescent="0.25">
      <c r="A102" t="s">
        <v>65</v>
      </c>
      <c r="B102" s="5" t="s">
        <v>1194</v>
      </c>
      <c r="C102" s="5" t="s">
        <v>1194</v>
      </c>
      <c r="D102" t="b">
        <f t="shared" si="2"/>
        <v>0</v>
      </c>
    </row>
    <row r="103" spans="1:6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61DBC6B-5577-4AA0-84FD-7C1BAC6F1A5D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7C9AA45D-3492-4796-A2FA-7F6D4EA68DEB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FFD-C65F-440F-96C9-84F08FACEC45}">
  <sheetPr codeName="Planilha20"/>
  <dimension ref="A1:G102"/>
  <sheetViews>
    <sheetView topLeftCell="A83" workbookViewId="0">
      <selection activeCell="C94" sqref="C94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23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12</v>
      </c>
    </row>
    <row r="3" spans="1:7" x14ac:dyDescent="0.25">
      <c r="A3" s="5" t="s">
        <v>2031</v>
      </c>
      <c r="B3" s="5" t="s">
        <v>2068</v>
      </c>
      <c r="C3" s="5" t="s">
        <v>2068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997</v>
      </c>
      <c r="C4" s="5" t="s">
        <v>997</v>
      </c>
      <c r="D4" t="b">
        <f>B4&lt;&gt;C4</f>
        <v>0</v>
      </c>
    </row>
    <row r="5" spans="1:7" x14ac:dyDescent="0.25">
      <c r="A5" t="s">
        <v>35</v>
      </c>
      <c r="B5" s="5" t="s">
        <v>69</v>
      </c>
      <c r="C5" s="5" t="s">
        <v>69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85</v>
      </c>
      <c r="C6" s="5" t="s">
        <v>998</v>
      </c>
      <c r="D6" t="b">
        <f t="shared" si="0"/>
        <v>1</v>
      </c>
      <c r="F6" s="7" t="s">
        <v>2031</v>
      </c>
      <c r="G6" s="2">
        <f t="shared" ref="G6:G15" si="1">COUNTIF(A:A,F6)</f>
        <v>1</v>
      </c>
    </row>
    <row r="7" spans="1:7" x14ac:dyDescent="0.25">
      <c r="A7" t="s">
        <v>35</v>
      </c>
      <c r="B7" s="5" t="s">
        <v>84</v>
      </c>
      <c r="C7" s="5" t="s">
        <v>999</v>
      </c>
      <c r="D7" t="b">
        <f t="shared" si="0"/>
        <v>1</v>
      </c>
      <c r="F7" s="3" t="s">
        <v>35</v>
      </c>
      <c r="G7" s="2">
        <f t="shared" si="1"/>
        <v>33</v>
      </c>
    </row>
    <row r="8" spans="1:7" x14ac:dyDescent="0.25">
      <c r="A8" t="s">
        <v>35</v>
      </c>
      <c r="B8" s="5" t="s">
        <v>1000</v>
      </c>
      <c r="C8" s="5" t="s">
        <v>1000</v>
      </c>
      <c r="D8" t="b">
        <f t="shared" si="0"/>
        <v>0</v>
      </c>
      <c r="F8" s="7" t="s">
        <v>335</v>
      </c>
      <c r="G8" s="2">
        <f t="shared" si="1"/>
        <v>0</v>
      </c>
    </row>
    <row r="9" spans="1:7" x14ac:dyDescent="0.25">
      <c r="A9" t="s">
        <v>35</v>
      </c>
      <c r="B9" s="5" t="s">
        <v>85</v>
      </c>
      <c r="C9" s="5" t="s">
        <v>824</v>
      </c>
      <c r="D9" t="b">
        <f t="shared" si="0"/>
        <v>1</v>
      </c>
      <c r="F9" s="7" t="s">
        <v>42</v>
      </c>
      <c r="G9" s="2">
        <f t="shared" si="1"/>
        <v>8</v>
      </c>
    </row>
    <row r="10" spans="1:7" x14ac:dyDescent="0.25">
      <c r="A10" t="s">
        <v>35</v>
      </c>
      <c r="B10" s="5" t="s">
        <v>745</v>
      </c>
      <c r="C10" s="5" t="s">
        <v>745</v>
      </c>
      <c r="D10" t="b">
        <f t="shared" si="0"/>
        <v>0</v>
      </c>
      <c r="F10" s="7" t="s">
        <v>1002</v>
      </c>
      <c r="G10" s="2">
        <f t="shared" si="1"/>
        <v>14</v>
      </c>
    </row>
    <row r="11" spans="1:7" x14ac:dyDescent="0.25">
      <c r="A11" t="s">
        <v>35</v>
      </c>
      <c r="B11" s="5" t="s">
        <v>1001</v>
      </c>
      <c r="C11" s="5" t="s">
        <v>1001</v>
      </c>
      <c r="D11" t="b">
        <f t="shared" si="0"/>
        <v>0</v>
      </c>
      <c r="F11" s="7" t="s">
        <v>43</v>
      </c>
      <c r="G11" s="2">
        <f t="shared" si="1"/>
        <v>13</v>
      </c>
    </row>
    <row r="12" spans="1:7" x14ac:dyDescent="0.25">
      <c r="A12" t="s">
        <v>35</v>
      </c>
      <c r="B12" s="5" t="s">
        <v>58</v>
      </c>
      <c r="C12" s="5" t="s">
        <v>58</v>
      </c>
      <c r="D12" t="b">
        <f t="shared" si="0"/>
        <v>0</v>
      </c>
      <c r="F12" s="7" t="s">
        <v>50</v>
      </c>
      <c r="G12" s="2">
        <f t="shared" si="1"/>
        <v>7</v>
      </c>
    </row>
    <row r="13" spans="1:7" x14ac:dyDescent="0.25">
      <c r="A13" t="s">
        <v>35</v>
      </c>
      <c r="B13" s="5" t="s">
        <v>85</v>
      </c>
      <c r="C13" s="5" t="s">
        <v>1003</v>
      </c>
      <c r="D13" t="b">
        <f t="shared" si="0"/>
        <v>1</v>
      </c>
      <c r="F13" s="7" t="s">
        <v>1005</v>
      </c>
      <c r="G13" s="2">
        <f t="shared" si="1"/>
        <v>5</v>
      </c>
    </row>
    <row r="14" spans="1:7" x14ac:dyDescent="0.25">
      <c r="A14" t="s">
        <v>35</v>
      </c>
      <c r="B14" s="5" t="s">
        <v>1004</v>
      </c>
      <c r="C14" s="5" t="s">
        <v>1004</v>
      </c>
      <c r="D14" t="b">
        <f t="shared" si="0"/>
        <v>0</v>
      </c>
      <c r="F14" s="7" t="s">
        <v>337</v>
      </c>
      <c r="G14" s="2">
        <f t="shared" si="1"/>
        <v>13</v>
      </c>
    </row>
    <row r="15" spans="1:7" x14ac:dyDescent="0.25">
      <c r="A15" t="s">
        <v>35</v>
      </c>
      <c r="B15" s="5" t="s">
        <v>40</v>
      </c>
      <c r="C15" s="5" t="s">
        <v>40</v>
      </c>
      <c r="D15" t="b">
        <f t="shared" si="0"/>
        <v>0</v>
      </c>
      <c r="F15" s="7" t="s">
        <v>1007</v>
      </c>
      <c r="G15" s="2">
        <f t="shared" si="1"/>
        <v>6</v>
      </c>
    </row>
    <row r="16" spans="1:7" x14ac:dyDescent="0.25">
      <c r="A16" t="s">
        <v>35</v>
      </c>
      <c r="B16" s="5" t="s">
        <v>1006</v>
      </c>
      <c r="C16" s="5" t="s">
        <v>1006</v>
      </c>
      <c r="D16" t="b">
        <f t="shared" si="0"/>
        <v>0</v>
      </c>
    </row>
    <row r="17" spans="1:7" x14ac:dyDescent="0.25">
      <c r="A17" t="s">
        <v>35</v>
      </c>
      <c r="B17" s="5" t="s">
        <v>1008</v>
      </c>
      <c r="C17" s="5" t="s">
        <v>1008</v>
      </c>
      <c r="D17" t="b">
        <f t="shared" si="0"/>
        <v>0</v>
      </c>
    </row>
    <row r="18" spans="1:7" x14ac:dyDescent="0.25">
      <c r="A18" t="s">
        <v>35</v>
      </c>
      <c r="B18" s="5" t="s">
        <v>882</v>
      </c>
      <c r="C18" s="5" t="s">
        <v>882</v>
      </c>
      <c r="D18" t="b">
        <f t="shared" si="0"/>
        <v>0</v>
      </c>
      <c r="F18" s="5"/>
      <c r="G18" s="2"/>
    </row>
    <row r="19" spans="1:7" x14ac:dyDescent="0.25">
      <c r="A19" t="s">
        <v>35</v>
      </c>
      <c r="B19" s="5" t="s">
        <v>85</v>
      </c>
      <c r="C19" s="5" t="s">
        <v>72</v>
      </c>
      <c r="D19" t="b">
        <f t="shared" si="0"/>
        <v>1</v>
      </c>
    </row>
    <row r="20" spans="1:7" x14ac:dyDescent="0.25">
      <c r="A20" t="s">
        <v>35</v>
      </c>
      <c r="B20" s="5" t="s">
        <v>84</v>
      </c>
      <c r="C20" s="5" t="s">
        <v>819</v>
      </c>
      <c r="D20" t="b">
        <f t="shared" si="0"/>
        <v>1</v>
      </c>
    </row>
    <row r="21" spans="1:7" x14ac:dyDescent="0.25">
      <c r="A21" t="s">
        <v>35</v>
      </c>
      <c r="B21" s="5" t="s">
        <v>84</v>
      </c>
      <c r="C21" s="5" t="s">
        <v>937</v>
      </c>
      <c r="D21" t="b">
        <f t="shared" si="0"/>
        <v>1</v>
      </c>
    </row>
    <row r="22" spans="1:7" x14ac:dyDescent="0.25">
      <c r="A22" t="s">
        <v>35</v>
      </c>
      <c r="B22" s="5" t="s">
        <v>829</v>
      </c>
      <c r="C22" s="5" t="s">
        <v>829</v>
      </c>
      <c r="D22" t="b">
        <f t="shared" si="0"/>
        <v>0</v>
      </c>
    </row>
    <row r="23" spans="1:7" x14ac:dyDescent="0.25">
      <c r="A23" t="s">
        <v>35</v>
      </c>
      <c r="B23" s="5" t="s">
        <v>1009</v>
      </c>
      <c r="C23" s="5" t="s">
        <v>1009</v>
      </c>
      <c r="D23" t="b">
        <f t="shared" si="0"/>
        <v>0</v>
      </c>
    </row>
    <row r="24" spans="1:7" x14ac:dyDescent="0.25">
      <c r="A24" t="s">
        <v>35</v>
      </c>
      <c r="B24" s="5" t="s">
        <v>84</v>
      </c>
      <c r="C24" s="5" t="s">
        <v>84</v>
      </c>
      <c r="D24" t="b">
        <f t="shared" si="0"/>
        <v>0</v>
      </c>
    </row>
    <row r="25" spans="1:7" x14ac:dyDescent="0.25">
      <c r="A25" t="s">
        <v>35</v>
      </c>
      <c r="B25" s="5" t="s">
        <v>84</v>
      </c>
      <c r="C25" s="5" t="s">
        <v>84</v>
      </c>
      <c r="D25" t="b">
        <f t="shared" si="0"/>
        <v>0</v>
      </c>
    </row>
    <row r="26" spans="1:7" x14ac:dyDescent="0.25">
      <c r="A26" t="s">
        <v>35</v>
      </c>
      <c r="B26" s="5" t="s">
        <v>84</v>
      </c>
      <c r="C26" s="5" t="s">
        <v>84</v>
      </c>
      <c r="D26" t="b">
        <f t="shared" si="0"/>
        <v>0</v>
      </c>
    </row>
    <row r="27" spans="1:7" x14ac:dyDescent="0.25">
      <c r="A27" t="s">
        <v>35</v>
      </c>
      <c r="B27" s="5" t="s">
        <v>84</v>
      </c>
      <c r="C27" s="5" t="s">
        <v>84</v>
      </c>
      <c r="D27" t="b">
        <f t="shared" si="0"/>
        <v>0</v>
      </c>
    </row>
    <row r="28" spans="1:7" x14ac:dyDescent="0.25">
      <c r="A28" t="s">
        <v>35</v>
      </c>
      <c r="B28" s="5" t="s">
        <v>84</v>
      </c>
      <c r="C28" s="5" t="s">
        <v>84</v>
      </c>
      <c r="D28" t="b">
        <f t="shared" si="0"/>
        <v>0</v>
      </c>
    </row>
    <row r="29" spans="1:7" x14ac:dyDescent="0.25">
      <c r="A29" t="s">
        <v>35</v>
      </c>
      <c r="B29" s="5" t="s">
        <v>84</v>
      </c>
      <c r="C29" s="5" t="s">
        <v>84</v>
      </c>
      <c r="D29" t="b">
        <f t="shared" si="0"/>
        <v>0</v>
      </c>
    </row>
    <row r="30" spans="1:7" x14ac:dyDescent="0.25">
      <c r="A30" t="s">
        <v>35</v>
      </c>
      <c r="B30" s="5" t="s">
        <v>84</v>
      </c>
      <c r="C30" s="5" t="s">
        <v>84</v>
      </c>
      <c r="D30" t="b">
        <f t="shared" si="0"/>
        <v>0</v>
      </c>
    </row>
    <row r="31" spans="1:7" x14ac:dyDescent="0.25">
      <c r="A31" t="s">
        <v>35</v>
      </c>
      <c r="B31" s="5" t="s">
        <v>85</v>
      </c>
      <c r="C31" s="5" t="s">
        <v>85</v>
      </c>
      <c r="D31" t="b">
        <f t="shared" si="0"/>
        <v>0</v>
      </c>
    </row>
    <row r="32" spans="1:7" x14ac:dyDescent="0.25">
      <c r="A32" t="s">
        <v>35</v>
      </c>
      <c r="B32" s="5" t="s">
        <v>85</v>
      </c>
      <c r="C32" s="5" t="s">
        <v>85</v>
      </c>
      <c r="D32" t="b">
        <f t="shared" si="0"/>
        <v>0</v>
      </c>
    </row>
    <row r="33" spans="1:4" x14ac:dyDescent="0.25">
      <c r="A33" t="s">
        <v>35</v>
      </c>
      <c r="B33" s="5" t="s">
        <v>85</v>
      </c>
      <c r="C33" s="5" t="s">
        <v>85</v>
      </c>
      <c r="D33" t="b">
        <f t="shared" si="0"/>
        <v>0</v>
      </c>
    </row>
    <row r="34" spans="1:4" x14ac:dyDescent="0.25">
      <c r="A34" t="s">
        <v>35</v>
      </c>
      <c r="B34" s="5" t="s">
        <v>85</v>
      </c>
      <c r="C34" s="5" t="s">
        <v>85</v>
      </c>
      <c r="D34" t="b">
        <f t="shared" si="0"/>
        <v>0</v>
      </c>
    </row>
    <row r="35" spans="1:4" x14ac:dyDescent="0.25">
      <c r="A35" t="s">
        <v>35</v>
      </c>
      <c r="B35" s="5" t="s">
        <v>85</v>
      </c>
      <c r="C35" s="5" t="s">
        <v>85</v>
      </c>
      <c r="D35" t="b">
        <f t="shared" si="0"/>
        <v>0</v>
      </c>
    </row>
    <row r="36" spans="1:4" x14ac:dyDescent="0.25">
      <c r="A36" t="s">
        <v>35</v>
      </c>
      <c r="B36" s="5" t="s">
        <v>85</v>
      </c>
      <c r="C36" s="5" t="s">
        <v>85</v>
      </c>
      <c r="D36" t="b">
        <f t="shared" si="0"/>
        <v>0</v>
      </c>
    </row>
    <row r="37" spans="1:4" x14ac:dyDescent="0.25">
      <c r="A37" t="s">
        <v>42</v>
      </c>
      <c r="B37" s="5" t="s">
        <v>1010</v>
      </c>
      <c r="C37" s="5" t="s">
        <v>1010</v>
      </c>
      <c r="D37" t="b">
        <f t="shared" si="0"/>
        <v>0</v>
      </c>
    </row>
    <row r="38" spans="1:4" x14ac:dyDescent="0.25">
      <c r="A38" t="s">
        <v>42</v>
      </c>
      <c r="B38" s="5" t="s">
        <v>1011</v>
      </c>
      <c r="C38" s="5" t="s">
        <v>1762</v>
      </c>
      <c r="D38" t="b">
        <f t="shared" si="0"/>
        <v>1</v>
      </c>
    </row>
    <row r="39" spans="1:4" x14ac:dyDescent="0.25">
      <c r="A39" t="s">
        <v>42</v>
      </c>
      <c r="B39" s="5" t="s">
        <v>1012</v>
      </c>
      <c r="C39" s="5" t="s">
        <v>1012</v>
      </c>
      <c r="D39" t="b">
        <f t="shared" si="0"/>
        <v>0</v>
      </c>
    </row>
    <row r="40" spans="1:4" x14ac:dyDescent="0.25">
      <c r="A40" t="s">
        <v>42</v>
      </c>
      <c r="B40" s="5" t="s">
        <v>710</v>
      </c>
      <c r="C40" s="5" t="s">
        <v>710</v>
      </c>
      <c r="D40" t="b">
        <f t="shared" si="0"/>
        <v>0</v>
      </c>
    </row>
    <row r="41" spans="1:4" x14ac:dyDescent="0.25">
      <c r="A41" t="s">
        <v>42</v>
      </c>
      <c r="B41" s="5" t="s">
        <v>221</v>
      </c>
      <c r="C41" s="5" t="s">
        <v>221</v>
      </c>
      <c r="D41" t="b">
        <f t="shared" si="0"/>
        <v>0</v>
      </c>
    </row>
    <row r="42" spans="1:4" x14ac:dyDescent="0.25">
      <c r="A42" t="s">
        <v>42</v>
      </c>
      <c r="B42" s="5" t="s">
        <v>1013</v>
      </c>
      <c r="C42" s="5" t="s">
        <v>1013</v>
      </c>
      <c r="D42" t="b">
        <f t="shared" si="0"/>
        <v>0</v>
      </c>
    </row>
    <row r="43" spans="1:4" x14ac:dyDescent="0.25">
      <c r="A43" t="s">
        <v>42</v>
      </c>
      <c r="B43" s="5" t="s">
        <v>1014</v>
      </c>
      <c r="C43" s="5" t="s">
        <v>1014</v>
      </c>
      <c r="D43" t="b">
        <f t="shared" si="0"/>
        <v>0</v>
      </c>
    </row>
    <row r="44" spans="1:4" x14ac:dyDescent="0.25">
      <c r="A44" t="s">
        <v>42</v>
      </c>
      <c r="B44" s="5" t="s">
        <v>991</v>
      </c>
      <c r="C44" s="5" t="s">
        <v>991</v>
      </c>
      <c r="D44" t="b">
        <f t="shared" si="0"/>
        <v>0</v>
      </c>
    </row>
    <row r="45" spans="1:4" x14ac:dyDescent="0.25">
      <c r="A45" t="s">
        <v>1002</v>
      </c>
      <c r="B45" s="5" t="s">
        <v>896</v>
      </c>
      <c r="C45" s="5" t="s">
        <v>896</v>
      </c>
      <c r="D45" t="b">
        <f t="shared" si="0"/>
        <v>0</v>
      </c>
    </row>
    <row r="46" spans="1:4" x14ac:dyDescent="0.25">
      <c r="A46" t="s">
        <v>1002</v>
      </c>
      <c r="B46" s="5" t="s">
        <v>1015</v>
      </c>
      <c r="C46" s="5" t="s">
        <v>1015</v>
      </c>
      <c r="D46" t="b">
        <f t="shared" si="0"/>
        <v>0</v>
      </c>
    </row>
    <row r="47" spans="1:4" x14ac:dyDescent="0.25">
      <c r="A47" t="s">
        <v>1002</v>
      </c>
      <c r="B47" s="5" t="s">
        <v>1016</v>
      </c>
      <c r="C47" s="5" t="s">
        <v>1016</v>
      </c>
      <c r="D47" t="b">
        <f t="shared" si="0"/>
        <v>0</v>
      </c>
    </row>
    <row r="48" spans="1:4" x14ac:dyDescent="0.25">
      <c r="A48" t="s">
        <v>1002</v>
      </c>
      <c r="B48" s="5" t="s">
        <v>1017</v>
      </c>
      <c r="C48" s="5" t="s">
        <v>1017</v>
      </c>
      <c r="D48" t="b">
        <f t="shared" si="0"/>
        <v>0</v>
      </c>
    </row>
    <row r="49" spans="1:6" x14ac:dyDescent="0.25">
      <c r="A49" t="s">
        <v>1002</v>
      </c>
      <c r="B49" s="5" t="s">
        <v>1764</v>
      </c>
      <c r="C49" s="5" t="s">
        <v>1764</v>
      </c>
      <c r="D49" t="b">
        <f t="shared" si="0"/>
        <v>0</v>
      </c>
    </row>
    <row r="50" spans="1:6" x14ac:dyDescent="0.25">
      <c r="A50" t="s">
        <v>1002</v>
      </c>
      <c r="B50" s="5" t="s">
        <v>1018</v>
      </c>
      <c r="C50" s="5" t="s">
        <v>1018</v>
      </c>
      <c r="D50" t="b">
        <f t="shared" si="0"/>
        <v>0</v>
      </c>
    </row>
    <row r="51" spans="1:6" x14ac:dyDescent="0.25">
      <c r="A51" t="s">
        <v>1002</v>
      </c>
      <c r="B51" s="5" t="s">
        <v>1019</v>
      </c>
      <c r="C51" s="5" t="s">
        <v>1019</v>
      </c>
      <c r="D51" t="b">
        <f t="shared" si="0"/>
        <v>0</v>
      </c>
    </row>
    <row r="52" spans="1:6" x14ac:dyDescent="0.25">
      <c r="A52" t="s">
        <v>1002</v>
      </c>
      <c r="B52" s="5" t="s">
        <v>1620</v>
      </c>
      <c r="C52" s="5" t="s">
        <v>1620</v>
      </c>
      <c r="D52" t="b">
        <f t="shared" si="0"/>
        <v>0</v>
      </c>
    </row>
    <row r="53" spans="1:6" x14ac:dyDescent="0.25">
      <c r="A53" t="s">
        <v>1002</v>
      </c>
      <c r="B53" s="5" t="s">
        <v>1020</v>
      </c>
      <c r="C53" s="5" t="s">
        <v>1020</v>
      </c>
      <c r="D53" t="b">
        <f t="shared" si="0"/>
        <v>0</v>
      </c>
    </row>
    <row r="54" spans="1:6" x14ac:dyDescent="0.25">
      <c r="A54" t="s">
        <v>1002</v>
      </c>
      <c r="B54" s="5" t="s">
        <v>1763</v>
      </c>
      <c r="C54" s="5" t="s">
        <v>1763</v>
      </c>
      <c r="D54" t="b">
        <f t="shared" si="0"/>
        <v>0</v>
      </c>
    </row>
    <row r="55" spans="1:6" x14ac:dyDescent="0.25">
      <c r="A55" t="s">
        <v>1002</v>
      </c>
      <c r="B55" s="5" t="s">
        <v>1021</v>
      </c>
      <c r="C55" s="5" t="s">
        <v>1021</v>
      </c>
      <c r="D55" t="b">
        <f t="shared" si="0"/>
        <v>0</v>
      </c>
    </row>
    <row r="56" spans="1:6" x14ac:dyDescent="0.25">
      <c r="A56" t="s">
        <v>1002</v>
      </c>
      <c r="B56" s="5" t="s">
        <v>1022</v>
      </c>
      <c r="C56" s="5" t="s">
        <v>1022</v>
      </c>
      <c r="D56" t="b">
        <f t="shared" si="0"/>
        <v>0</v>
      </c>
    </row>
    <row r="57" spans="1:6" x14ac:dyDescent="0.25">
      <c r="A57" t="s">
        <v>1002</v>
      </c>
      <c r="B57" s="5" t="s">
        <v>1023</v>
      </c>
      <c r="C57" s="5" t="s">
        <v>1023</v>
      </c>
      <c r="D57" t="b">
        <f t="shared" si="0"/>
        <v>0</v>
      </c>
      <c r="F57"/>
    </row>
    <row r="58" spans="1:6" x14ac:dyDescent="0.25">
      <c r="A58" t="s">
        <v>1002</v>
      </c>
      <c r="B58" s="5" t="s">
        <v>1024</v>
      </c>
      <c r="C58" s="5" t="s">
        <v>1024</v>
      </c>
      <c r="D58" t="b">
        <f t="shared" si="0"/>
        <v>0</v>
      </c>
    </row>
    <row r="59" spans="1:6" x14ac:dyDescent="0.25">
      <c r="A59" t="s">
        <v>1007</v>
      </c>
      <c r="B59" s="5" t="s">
        <v>1025</v>
      </c>
      <c r="C59" s="5" t="s">
        <v>1025</v>
      </c>
      <c r="D59" t="b">
        <f t="shared" si="0"/>
        <v>0</v>
      </c>
    </row>
    <row r="60" spans="1:6" x14ac:dyDescent="0.25">
      <c r="A60" t="s">
        <v>1007</v>
      </c>
      <c r="B60" s="5" t="s">
        <v>1026</v>
      </c>
      <c r="C60" s="5" t="s">
        <v>1026</v>
      </c>
      <c r="D60" t="b">
        <f t="shared" si="0"/>
        <v>0</v>
      </c>
    </row>
    <row r="61" spans="1:6" x14ac:dyDescent="0.25">
      <c r="A61" t="s">
        <v>1007</v>
      </c>
      <c r="B61" s="5" t="s">
        <v>1027</v>
      </c>
      <c r="C61" s="5" t="s">
        <v>1027</v>
      </c>
      <c r="D61" t="b">
        <f t="shared" si="0"/>
        <v>0</v>
      </c>
    </row>
    <row r="62" spans="1:6" x14ac:dyDescent="0.25">
      <c r="A62" t="s">
        <v>1007</v>
      </c>
      <c r="B62" s="5" t="s">
        <v>1549</v>
      </c>
      <c r="C62" s="5" t="s">
        <v>1549</v>
      </c>
      <c r="D62" t="b">
        <f t="shared" si="0"/>
        <v>0</v>
      </c>
    </row>
    <row r="63" spans="1:6" x14ac:dyDescent="0.25">
      <c r="A63" t="s">
        <v>1007</v>
      </c>
      <c r="B63" s="5" t="s">
        <v>1028</v>
      </c>
      <c r="C63" s="5" t="s">
        <v>1028</v>
      </c>
      <c r="D63" t="b">
        <f t="shared" si="0"/>
        <v>0</v>
      </c>
    </row>
    <row r="64" spans="1:6" x14ac:dyDescent="0.25">
      <c r="A64" t="s">
        <v>1007</v>
      </c>
      <c r="B64" s="5" t="s">
        <v>1029</v>
      </c>
      <c r="C64" s="5" t="s">
        <v>1029</v>
      </c>
      <c r="D64" t="b">
        <f t="shared" si="0"/>
        <v>0</v>
      </c>
    </row>
    <row r="65" spans="1:6" x14ac:dyDescent="0.25">
      <c r="A65" t="s">
        <v>50</v>
      </c>
      <c r="B65" s="5" t="s">
        <v>962</v>
      </c>
      <c r="C65" s="5" t="s">
        <v>962</v>
      </c>
      <c r="D65" t="b">
        <f t="shared" si="0"/>
        <v>0</v>
      </c>
    </row>
    <row r="66" spans="1:6" x14ac:dyDescent="0.25">
      <c r="A66" t="s">
        <v>50</v>
      </c>
      <c r="B66" s="5" t="s">
        <v>964</v>
      </c>
      <c r="C66" s="5" t="s">
        <v>964</v>
      </c>
      <c r="D66" t="b">
        <f t="shared" si="0"/>
        <v>0</v>
      </c>
      <c r="F66"/>
    </row>
    <row r="67" spans="1:6" x14ac:dyDescent="0.25">
      <c r="A67" t="s">
        <v>50</v>
      </c>
      <c r="B67" s="5" t="s">
        <v>963</v>
      </c>
      <c r="C67" s="5" t="s">
        <v>1030</v>
      </c>
      <c r="D67" t="b">
        <f t="shared" si="0"/>
        <v>1</v>
      </c>
    </row>
    <row r="68" spans="1:6" x14ac:dyDescent="0.25">
      <c r="A68" t="s">
        <v>50</v>
      </c>
      <c r="B68" s="5" t="s">
        <v>1031</v>
      </c>
      <c r="C68" s="5" t="s">
        <v>1031</v>
      </c>
      <c r="D68" t="b">
        <f t="shared" si="0"/>
        <v>0</v>
      </c>
    </row>
    <row r="69" spans="1:6" x14ac:dyDescent="0.25">
      <c r="A69" t="s">
        <v>50</v>
      </c>
      <c r="B69" s="5" t="s">
        <v>968</v>
      </c>
      <c r="C69" s="5" t="s">
        <v>968</v>
      </c>
      <c r="D69" t="b">
        <f t="shared" ref="D69:D102" si="2">B69&lt;&gt;C69</f>
        <v>0</v>
      </c>
    </row>
    <row r="70" spans="1:6" x14ac:dyDescent="0.25">
      <c r="A70" t="s">
        <v>50</v>
      </c>
      <c r="B70" s="5" t="s">
        <v>1032</v>
      </c>
      <c r="C70" s="5" t="s">
        <v>1032</v>
      </c>
      <c r="D70" t="b">
        <f t="shared" si="2"/>
        <v>0</v>
      </c>
    </row>
    <row r="71" spans="1:6" x14ac:dyDescent="0.25">
      <c r="A71" t="s">
        <v>50</v>
      </c>
      <c r="B71" s="5" t="s">
        <v>1033</v>
      </c>
      <c r="C71" s="5" t="s">
        <v>1033</v>
      </c>
      <c r="D71" t="b">
        <f t="shared" si="2"/>
        <v>0</v>
      </c>
    </row>
    <row r="72" spans="1:6" x14ac:dyDescent="0.25">
      <c r="A72" t="s">
        <v>43</v>
      </c>
      <c r="B72" s="5" t="s">
        <v>1034</v>
      </c>
      <c r="C72" s="5" t="s">
        <v>1761</v>
      </c>
      <c r="D72" t="b">
        <f t="shared" si="2"/>
        <v>1</v>
      </c>
    </row>
    <row r="73" spans="1:6" x14ac:dyDescent="0.25">
      <c r="A73" t="s">
        <v>43</v>
      </c>
      <c r="B73" s="5" t="s">
        <v>128</v>
      </c>
      <c r="C73" s="5" t="s">
        <v>128</v>
      </c>
      <c r="D73" t="b">
        <f t="shared" si="2"/>
        <v>0</v>
      </c>
    </row>
    <row r="74" spans="1:6" x14ac:dyDescent="0.25">
      <c r="A74" t="s">
        <v>43</v>
      </c>
      <c r="B74" s="5" t="s">
        <v>1436</v>
      </c>
      <c r="C74" s="5" t="s">
        <v>1436</v>
      </c>
      <c r="D74" t="b">
        <f t="shared" si="2"/>
        <v>0</v>
      </c>
    </row>
    <row r="75" spans="1:6" x14ac:dyDescent="0.25">
      <c r="A75" t="s">
        <v>43</v>
      </c>
      <c r="B75" s="5" t="s">
        <v>713</v>
      </c>
      <c r="C75" s="5" t="s">
        <v>713</v>
      </c>
      <c r="D75" t="b">
        <f t="shared" si="2"/>
        <v>0</v>
      </c>
    </row>
    <row r="76" spans="1:6" x14ac:dyDescent="0.25">
      <c r="A76" t="s">
        <v>43</v>
      </c>
      <c r="B76" s="5" t="s">
        <v>786</v>
      </c>
      <c r="C76" s="5" t="s">
        <v>786</v>
      </c>
      <c r="D76" t="b">
        <f t="shared" si="2"/>
        <v>0</v>
      </c>
    </row>
    <row r="77" spans="1:6" x14ac:dyDescent="0.25">
      <c r="A77" t="s">
        <v>43</v>
      </c>
      <c r="B77" s="5" t="s">
        <v>1035</v>
      </c>
      <c r="C77" s="5" t="s">
        <v>1035</v>
      </c>
      <c r="D77" t="b">
        <f t="shared" si="2"/>
        <v>0</v>
      </c>
    </row>
    <row r="78" spans="1:6" x14ac:dyDescent="0.25">
      <c r="A78" t="s">
        <v>43</v>
      </c>
      <c r="B78" s="5" t="s">
        <v>1036</v>
      </c>
      <c r="C78" s="5" t="s">
        <v>1036</v>
      </c>
      <c r="D78" t="b">
        <f t="shared" si="2"/>
        <v>0</v>
      </c>
    </row>
    <row r="79" spans="1:6" x14ac:dyDescent="0.25">
      <c r="A79" t="s">
        <v>43</v>
      </c>
      <c r="B79" s="5" t="s">
        <v>1037</v>
      </c>
      <c r="C79" s="5" t="s">
        <v>1037</v>
      </c>
      <c r="D79" t="b">
        <f t="shared" si="2"/>
        <v>0</v>
      </c>
    </row>
    <row r="80" spans="1:6" x14ac:dyDescent="0.25">
      <c r="A80" t="s">
        <v>43</v>
      </c>
      <c r="B80" s="5" t="s">
        <v>1038</v>
      </c>
      <c r="C80" s="5" t="s">
        <v>1038</v>
      </c>
      <c r="D80" t="b">
        <f t="shared" si="2"/>
        <v>0</v>
      </c>
    </row>
    <row r="81" spans="1:6" x14ac:dyDescent="0.25">
      <c r="A81" t="s">
        <v>43</v>
      </c>
      <c r="B81" s="5" t="s">
        <v>1039</v>
      </c>
      <c r="C81" s="5" t="s">
        <v>1039</v>
      </c>
      <c r="D81" t="b">
        <f t="shared" si="2"/>
        <v>0</v>
      </c>
    </row>
    <row r="82" spans="1:6" x14ac:dyDescent="0.25">
      <c r="A82" t="s">
        <v>43</v>
      </c>
      <c r="B82" s="5" t="s">
        <v>1040</v>
      </c>
      <c r="C82" s="5" t="s">
        <v>1040</v>
      </c>
      <c r="D82" t="b">
        <f t="shared" si="2"/>
        <v>0</v>
      </c>
    </row>
    <row r="83" spans="1:6" x14ac:dyDescent="0.25">
      <c r="A83" t="s">
        <v>43</v>
      </c>
      <c r="B83" s="5" t="s">
        <v>796</v>
      </c>
      <c r="C83" s="5" t="s">
        <v>796</v>
      </c>
      <c r="D83" t="b">
        <f t="shared" si="2"/>
        <v>0</v>
      </c>
    </row>
    <row r="84" spans="1:6" x14ac:dyDescent="0.25">
      <c r="A84" t="s">
        <v>43</v>
      </c>
      <c r="B84" s="5" t="s">
        <v>1041</v>
      </c>
      <c r="C84" s="5" t="s">
        <v>1041</v>
      </c>
      <c r="D84" t="b">
        <f t="shared" si="2"/>
        <v>0</v>
      </c>
    </row>
    <row r="85" spans="1:6" x14ac:dyDescent="0.25">
      <c r="A85" t="s">
        <v>1005</v>
      </c>
      <c r="B85" s="5" t="s">
        <v>1042</v>
      </c>
      <c r="C85" s="5" t="s">
        <v>1043</v>
      </c>
      <c r="D85" t="b">
        <f t="shared" si="2"/>
        <v>1</v>
      </c>
    </row>
    <row r="86" spans="1:6" x14ac:dyDescent="0.25">
      <c r="A86" t="s">
        <v>1005</v>
      </c>
      <c r="B86" s="5" t="s">
        <v>1044</v>
      </c>
      <c r="C86" s="5" t="s">
        <v>1044</v>
      </c>
      <c r="D86" t="b">
        <f t="shared" si="2"/>
        <v>0</v>
      </c>
    </row>
    <row r="87" spans="1:6" x14ac:dyDescent="0.25">
      <c r="A87" t="s">
        <v>1005</v>
      </c>
      <c r="B87" s="5" t="s">
        <v>1045</v>
      </c>
      <c r="C87" s="5" t="s">
        <v>1045</v>
      </c>
      <c r="D87" t="b">
        <f t="shared" si="2"/>
        <v>0</v>
      </c>
    </row>
    <row r="88" spans="1:6" x14ac:dyDescent="0.25">
      <c r="A88" t="s">
        <v>1005</v>
      </c>
      <c r="B88" s="5" t="s">
        <v>1046</v>
      </c>
      <c r="C88" s="5" t="s">
        <v>1048</v>
      </c>
      <c r="D88" t="b">
        <f t="shared" si="2"/>
        <v>1</v>
      </c>
    </row>
    <row r="89" spans="1:6" x14ac:dyDescent="0.25">
      <c r="A89" t="s">
        <v>1005</v>
      </c>
      <c r="B89" s="5" t="s">
        <v>1047</v>
      </c>
      <c r="C89" s="5" t="s">
        <v>1047</v>
      </c>
      <c r="D89" t="b">
        <f t="shared" si="2"/>
        <v>0</v>
      </c>
    </row>
    <row r="90" spans="1:6" x14ac:dyDescent="0.25">
      <c r="A90" t="s">
        <v>337</v>
      </c>
      <c r="B90" s="5" t="s">
        <v>1619</v>
      </c>
      <c r="C90" s="5" t="s">
        <v>1619</v>
      </c>
      <c r="D90" t="b">
        <f t="shared" si="2"/>
        <v>0</v>
      </c>
      <c r="F90" s="3" t="s">
        <v>1688</v>
      </c>
    </row>
    <row r="91" spans="1:6" x14ac:dyDescent="0.25">
      <c r="A91" t="s">
        <v>337</v>
      </c>
      <c r="B91" s="5" t="s">
        <v>1049</v>
      </c>
      <c r="C91" s="5" t="s">
        <v>1049</v>
      </c>
      <c r="D91" t="b">
        <f t="shared" si="2"/>
        <v>0</v>
      </c>
    </row>
    <row r="92" spans="1:6" x14ac:dyDescent="0.25">
      <c r="A92" t="s">
        <v>337</v>
      </c>
      <c r="B92" s="5" t="s">
        <v>1050</v>
      </c>
      <c r="C92" s="5" t="s">
        <v>1050</v>
      </c>
      <c r="D92" t="b">
        <f t="shared" si="2"/>
        <v>0</v>
      </c>
    </row>
    <row r="93" spans="1:6" x14ac:dyDescent="0.25">
      <c r="A93" t="s">
        <v>337</v>
      </c>
      <c r="B93" s="5" t="s">
        <v>1051</v>
      </c>
      <c r="C93" s="5" t="s">
        <v>1051</v>
      </c>
      <c r="D93" t="b">
        <f t="shared" si="2"/>
        <v>0</v>
      </c>
    </row>
    <row r="94" spans="1:6" x14ac:dyDescent="0.25">
      <c r="A94" t="s">
        <v>337</v>
      </c>
      <c r="B94" s="5" t="s">
        <v>1052</v>
      </c>
      <c r="C94" s="5" t="s">
        <v>1052</v>
      </c>
      <c r="D94" t="b">
        <f t="shared" si="2"/>
        <v>0</v>
      </c>
    </row>
    <row r="95" spans="1:6" x14ac:dyDescent="0.25">
      <c r="A95" t="s">
        <v>337</v>
      </c>
      <c r="B95" s="5" t="s">
        <v>1053</v>
      </c>
      <c r="C95" s="5" t="s">
        <v>1053</v>
      </c>
      <c r="D95" t="b">
        <f t="shared" si="2"/>
        <v>0</v>
      </c>
    </row>
    <row r="96" spans="1:6" x14ac:dyDescent="0.25">
      <c r="A96" t="s">
        <v>337</v>
      </c>
      <c r="B96" s="5" t="s">
        <v>1054</v>
      </c>
      <c r="C96" s="5" t="s">
        <v>1054</v>
      </c>
      <c r="D96" t="b">
        <f t="shared" si="2"/>
        <v>0</v>
      </c>
    </row>
    <row r="97" spans="1:5" x14ac:dyDescent="0.25">
      <c r="A97" t="s">
        <v>337</v>
      </c>
      <c r="B97" s="5" t="s">
        <v>1055</v>
      </c>
      <c r="C97" s="5" t="s">
        <v>1055</v>
      </c>
      <c r="D97" t="b">
        <f t="shared" si="2"/>
        <v>0</v>
      </c>
    </row>
    <row r="98" spans="1:5" x14ac:dyDescent="0.25">
      <c r="A98" t="s">
        <v>337</v>
      </c>
      <c r="B98" s="5" t="s">
        <v>1056</v>
      </c>
      <c r="C98" s="5" t="s">
        <v>1056</v>
      </c>
      <c r="D98" t="b">
        <f t="shared" si="2"/>
        <v>0</v>
      </c>
    </row>
    <row r="99" spans="1:5" x14ac:dyDescent="0.25">
      <c r="A99" t="s">
        <v>337</v>
      </c>
      <c r="B99" s="5" t="s">
        <v>1057</v>
      </c>
      <c r="C99" s="5" t="s">
        <v>1057</v>
      </c>
      <c r="D99" t="b">
        <f t="shared" si="2"/>
        <v>0</v>
      </c>
    </row>
    <row r="100" spans="1:5" x14ac:dyDescent="0.25">
      <c r="A100" t="s">
        <v>337</v>
      </c>
      <c r="B100" s="5" t="s">
        <v>1058</v>
      </c>
      <c r="C100" s="5" t="s">
        <v>1058</v>
      </c>
      <c r="D100" t="b">
        <f t="shared" si="2"/>
        <v>0</v>
      </c>
    </row>
    <row r="101" spans="1:5" x14ac:dyDescent="0.25">
      <c r="A101" t="s">
        <v>337</v>
      </c>
      <c r="B101" s="23" t="s">
        <v>1550</v>
      </c>
      <c r="C101" s="5" t="s">
        <v>1550</v>
      </c>
      <c r="D101" t="b">
        <f t="shared" si="2"/>
        <v>0</v>
      </c>
      <c r="E101" t="s">
        <v>1059</v>
      </c>
    </row>
    <row r="102" spans="1:5" x14ac:dyDescent="0.25">
      <c r="A102" t="s">
        <v>337</v>
      </c>
      <c r="B102" s="5" t="s">
        <v>1060</v>
      </c>
      <c r="C102" s="5" t="s">
        <v>1060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44CCC8BE-F986-48C5-B5FF-0291F2BE3CE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5AAFFC5E-71D5-4C2D-AD20-00F4F38410A8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345B-186E-49E1-8614-1028C37C33C5}">
  <sheetPr codeName="Planilha21"/>
  <dimension ref="A1:G102"/>
  <sheetViews>
    <sheetView topLeftCell="A78" workbookViewId="0">
      <selection activeCell="F19" sqref="F19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24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3</v>
      </c>
    </row>
    <row r="3" spans="1:7" x14ac:dyDescent="0.25">
      <c r="A3" s="5" t="s">
        <v>2031</v>
      </c>
      <c r="B3" s="5" t="s">
        <v>2069</v>
      </c>
      <c r="C3" s="5" t="s">
        <v>2069</v>
      </c>
      <c r="D3" t="b">
        <f>B3&lt;&gt;C3</f>
        <v>0</v>
      </c>
      <c r="F3" s="4" t="s">
        <v>37</v>
      </c>
      <c r="G3" s="3">
        <f>SUM(G6:G26)</f>
        <v>100</v>
      </c>
    </row>
    <row r="4" spans="1:7" x14ac:dyDescent="0.25">
      <c r="A4" t="s">
        <v>35</v>
      </c>
      <c r="B4" s="5" t="s">
        <v>46</v>
      </c>
      <c r="C4" s="5" t="s">
        <v>1061</v>
      </c>
      <c r="D4" t="b">
        <f>B4&lt;&gt;C4</f>
        <v>1</v>
      </c>
    </row>
    <row r="5" spans="1:7" x14ac:dyDescent="0.25">
      <c r="A5" t="s">
        <v>35</v>
      </c>
      <c r="B5" s="5" t="s">
        <v>58</v>
      </c>
      <c r="C5" s="5" t="s">
        <v>58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150</v>
      </c>
      <c r="C6" s="5" t="s">
        <v>150</v>
      </c>
      <c r="D6" t="b">
        <f t="shared" si="0"/>
        <v>0</v>
      </c>
      <c r="F6" s="3" t="s">
        <v>2031</v>
      </c>
      <c r="G6" s="2">
        <f t="shared" ref="G6:G15" si="1">COUNTIF(A:A,F6)</f>
        <v>1</v>
      </c>
    </row>
    <row r="7" spans="1:7" x14ac:dyDescent="0.25">
      <c r="A7" t="s">
        <v>35</v>
      </c>
      <c r="B7" s="5" t="s">
        <v>619</v>
      </c>
      <c r="C7" s="5" t="s">
        <v>619</v>
      </c>
      <c r="D7" t="b">
        <f t="shared" si="0"/>
        <v>0</v>
      </c>
      <c r="F7" s="7" t="s">
        <v>35</v>
      </c>
      <c r="G7" s="2">
        <f t="shared" si="1"/>
        <v>36</v>
      </c>
    </row>
    <row r="8" spans="1:7" x14ac:dyDescent="0.25">
      <c r="A8" t="s">
        <v>35</v>
      </c>
      <c r="B8" s="5" t="s">
        <v>1062</v>
      </c>
      <c r="C8" s="5" t="s">
        <v>1062</v>
      </c>
      <c r="D8" t="b">
        <f t="shared" si="0"/>
        <v>0</v>
      </c>
      <c r="F8" s="7" t="s">
        <v>41</v>
      </c>
      <c r="G8" s="2">
        <f t="shared" si="1"/>
        <v>10</v>
      </c>
    </row>
    <row r="9" spans="1:7" x14ac:dyDescent="0.25">
      <c r="A9" t="s">
        <v>35</v>
      </c>
      <c r="B9" s="5" t="s">
        <v>40</v>
      </c>
      <c r="C9" s="5" t="s">
        <v>40</v>
      </c>
      <c r="D9" t="b">
        <f t="shared" si="0"/>
        <v>0</v>
      </c>
      <c r="F9" s="7" t="s">
        <v>68</v>
      </c>
      <c r="G9" s="2">
        <f t="shared" si="1"/>
        <v>16</v>
      </c>
    </row>
    <row r="10" spans="1:7" x14ac:dyDescent="0.25">
      <c r="A10" t="s">
        <v>35</v>
      </c>
      <c r="B10" s="5" t="s">
        <v>754</v>
      </c>
      <c r="C10" s="5" t="s">
        <v>754</v>
      </c>
      <c r="D10" t="b">
        <f t="shared" si="0"/>
        <v>0</v>
      </c>
      <c r="F10" s="7" t="s">
        <v>818</v>
      </c>
      <c r="G10" s="2">
        <f t="shared" si="1"/>
        <v>0</v>
      </c>
    </row>
    <row r="11" spans="1:7" x14ac:dyDescent="0.25">
      <c r="A11" t="s">
        <v>35</v>
      </c>
      <c r="B11" s="5" t="s">
        <v>204</v>
      </c>
      <c r="C11" s="5" t="s">
        <v>204</v>
      </c>
      <c r="D11" t="b">
        <f t="shared" si="0"/>
        <v>0</v>
      </c>
      <c r="F11" s="7" t="s">
        <v>551</v>
      </c>
      <c r="G11" s="2">
        <f t="shared" si="1"/>
        <v>4</v>
      </c>
    </row>
    <row r="12" spans="1:7" x14ac:dyDescent="0.25">
      <c r="A12" t="s">
        <v>35</v>
      </c>
      <c r="B12" s="5" t="s">
        <v>336</v>
      </c>
      <c r="C12" s="5" t="s">
        <v>336</v>
      </c>
      <c r="D12" t="b">
        <f t="shared" si="0"/>
        <v>0</v>
      </c>
      <c r="F12" s="7" t="s">
        <v>1063</v>
      </c>
      <c r="G12" s="2">
        <f t="shared" si="1"/>
        <v>12</v>
      </c>
    </row>
    <row r="13" spans="1:7" x14ac:dyDescent="0.25">
      <c r="A13" t="s">
        <v>35</v>
      </c>
      <c r="B13" s="5" t="s">
        <v>199</v>
      </c>
      <c r="C13" s="5" t="s">
        <v>199</v>
      </c>
      <c r="D13" t="b">
        <f t="shared" si="0"/>
        <v>0</v>
      </c>
      <c r="F13" s="7" t="s">
        <v>1065</v>
      </c>
      <c r="G13" s="2">
        <f t="shared" si="1"/>
        <v>7</v>
      </c>
    </row>
    <row r="14" spans="1:7" x14ac:dyDescent="0.25">
      <c r="A14" t="s">
        <v>35</v>
      </c>
      <c r="B14" s="5" t="s">
        <v>198</v>
      </c>
      <c r="C14" s="5" t="s">
        <v>198</v>
      </c>
      <c r="D14" t="b">
        <f t="shared" si="0"/>
        <v>0</v>
      </c>
      <c r="F14" s="7" t="s">
        <v>66</v>
      </c>
      <c r="G14" s="2">
        <f t="shared" si="1"/>
        <v>10</v>
      </c>
    </row>
    <row r="15" spans="1:7" x14ac:dyDescent="0.25">
      <c r="A15" t="s">
        <v>35</v>
      </c>
      <c r="B15" s="5" t="s">
        <v>200</v>
      </c>
      <c r="C15" s="5" t="s">
        <v>200</v>
      </c>
      <c r="D15" t="b">
        <f t="shared" si="0"/>
        <v>0</v>
      </c>
      <c r="F15" s="7" t="s">
        <v>1064</v>
      </c>
      <c r="G15" s="2">
        <f t="shared" si="1"/>
        <v>4</v>
      </c>
    </row>
    <row r="16" spans="1:7" x14ac:dyDescent="0.25">
      <c r="A16" t="s">
        <v>35</v>
      </c>
      <c r="B16" s="5" t="s">
        <v>196</v>
      </c>
      <c r="C16" s="5" t="s">
        <v>196</v>
      </c>
      <c r="D16" t="b">
        <f t="shared" si="0"/>
        <v>0</v>
      </c>
    </row>
    <row r="17" spans="1:7" x14ac:dyDescent="0.25">
      <c r="A17" t="s">
        <v>35</v>
      </c>
      <c r="B17" s="5" t="s">
        <v>46</v>
      </c>
      <c r="C17" s="5" t="s">
        <v>46</v>
      </c>
      <c r="D17" t="b">
        <f t="shared" si="0"/>
        <v>0</v>
      </c>
      <c r="F17" s="1"/>
      <c r="G17" s="2"/>
    </row>
    <row r="18" spans="1:7" x14ac:dyDescent="0.25">
      <c r="A18" t="s">
        <v>35</v>
      </c>
      <c r="B18" s="5" t="s">
        <v>46</v>
      </c>
      <c r="C18" s="5" t="s">
        <v>46</v>
      </c>
      <c r="D18" t="b">
        <f t="shared" si="0"/>
        <v>0</v>
      </c>
    </row>
    <row r="19" spans="1:7" x14ac:dyDescent="0.25">
      <c r="A19" t="s">
        <v>35</v>
      </c>
      <c r="B19" s="5" t="s">
        <v>46</v>
      </c>
      <c r="C19" s="5" t="s">
        <v>46</v>
      </c>
      <c r="D19" t="b">
        <f t="shared" si="0"/>
        <v>0</v>
      </c>
    </row>
    <row r="20" spans="1:7" x14ac:dyDescent="0.25">
      <c r="A20" t="s">
        <v>35</v>
      </c>
      <c r="B20" s="5" t="s">
        <v>46</v>
      </c>
      <c r="C20" s="5" t="s">
        <v>46</v>
      </c>
      <c r="D20" t="b">
        <f t="shared" si="0"/>
        <v>0</v>
      </c>
    </row>
    <row r="21" spans="1:7" x14ac:dyDescent="0.25">
      <c r="A21" t="s">
        <v>35</v>
      </c>
      <c r="B21" s="5" t="s">
        <v>46</v>
      </c>
      <c r="C21" s="5" t="s">
        <v>46</v>
      </c>
      <c r="D21" t="b">
        <f t="shared" si="0"/>
        <v>0</v>
      </c>
    </row>
    <row r="22" spans="1:7" x14ac:dyDescent="0.25">
      <c r="A22" t="s">
        <v>35</v>
      </c>
      <c r="B22" s="5" t="s">
        <v>46</v>
      </c>
      <c r="C22" s="5" t="s">
        <v>46</v>
      </c>
      <c r="D22" t="b">
        <f t="shared" si="0"/>
        <v>0</v>
      </c>
    </row>
    <row r="23" spans="1:7" x14ac:dyDescent="0.25">
      <c r="A23" t="s">
        <v>35</v>
      </c>
      <c r="B23" s="5" t="s">
        <v>46</v>
      </c>
      <c r="C23" s="5" t="s">
        <v>46</v>
      </c>
      <c r="D23" t="b">
        <f t="shared" si="0"/>
        <v>0</v>
      </c>
    </row>
    <row r="24" spans="1:7" x14ac:dyDescent="0.25">
      <c r="A24" t="s">
        <v>35</v>
      </c>
      <c r="B24" s="5" t="s">
        <v>45</v>
      </c>
      <c r="C24" s="5" t="s">
        <v>45</v>
      </c>
      <c r="D24" t="b">
        <f t="shared" si="0"/>
        <v>0</v>
      </c>
    </row>
    <row r="25" spans="1:7" x14ac:dyDescent="0.25">
      <c r="A25" t="s">
        <v>35</v>
      </c>
      <c r="B25" s="5" t="s">
        <v>45</v>
      </c>
      <c r="C25" s="5" t="s">
        <v>45</v>
      </c>
      <c r="D25" t="b">
        <f t="shared" si="0"/>
        <v>0</v>
      </c>
    </row>
    <row r="26" spans="1:7" x14ac:dyDescent="0.25">
      <c r="A26" t="s">
        <v>35</v>
      </c>
      <c r="B26" s="5" t="s">
        <v>45</v>
      </c>
      <c r="C26" s="5" t="s">
        <v>45</v>
      </c>
      <c r="D26" t="b">
        <f t="shared" si="0"/>
        <v>0</v>
      </c>
    </row>
    <row r="27" spans="1:7" x14ac:dyDescent="0.25">
      <c r="A27" t="s">
        <v>35</v>
      </c>
      <c r="B27" s="5" t="s">
        <v>45</v>
      </c>
      <c r="C27" s="5" t="s">
        <v>45</v>
      </c>
      <c r="D27" t="b">
        <f t="shared" si="0"/>
        <v>0</v>
      </c>
    </row>
    <row r="28" spans="1:7" x14ac:dyDescent="0.25">
      <c r="A28" t="s">
        <v>35</v>
      </c>
      <c r="B28" s="5" t="s">
        <v>45</v>
      </c>
      <c r="C28" s="5" t="s">
        <v>45</v>
      </c>
      <c r="D28" t="b">
        <f t="shared" si="0"/>
        <v>0</v>
      </c>
    </row>
    <row r="29" spans="1:7" x14ac:dyDescent="0.25">
      <c r="A29" t="s">
        <v>35</v>
      </c>
      <c r="B29" s="5" t="s">
        <v>45</v>
      </c>
      <c r="C29" s="5" t="s">
        <v>45</v>
      </c>
      <c r="D29" t="b">
        <f t="shared" si="0"/>
        <v>0</v>
      </c>
    </row>
    <row r="30" spans="1:7" x14ac:dyDescent="0.25">
      <c r="A30" t="s">
        <v>35</v>
      </c>
      <c r="B30" s="5" t="s">
        <v>45</v>
      </c>
      <c r="C30" s="5" t="s">
        <v>45</v>
      </c>
      <c r="D30" t="b">
        <f t="shared" si="0"/>
        <v>0</v>
      </c>
    </row>
    <row r="31" spans="1:7" x14ac:dyDescent="0.25">
      <c r="A31" t="s">
        <v>35</v>
      </c>
      <c r="B31" s="5" t="s">
        <v>45</v>
      </c>
      <c r="C31" s="5" t="s">
        <v>45</v>
      </c>
      <c r="D31" t="b">
        <f t="shared" si="0"/>
        <v>0</v>
      </c>
    </row>
    <row r="32" spans="1:7" x14ac:dyDescent="0.25">
      <c r="A32" t="s">
        <v>35</v>
      </c>
      <c r="B32" s="5" t="s">
        <v>45</v>
      </c>
      <c r="C32" s="5" t="s">
        <v>45</v>
      </c>
      <c r="D32" t="b">
        <f t="shared" si="0"/>
        <v>0</v>
      </c>
    </row>
    <row r="33" spans="1:4" x14ac:dyDescent="0.25">
      <c r="A33" t="s">
        <v>35</v>
      </c>
      <c r="B33" s="5" t="s">
        <v>44</v>
      </c>
      <c r="C33" s="5" t="s">
        <v>44</v>
      </c>
      <c r="D33" t="b">
        <f t="shared" si="0"/>
        <v>0</v>
      </c>
    </row>
    <row r="34" spans="1:4" x14ac:dyDescent="0.25">
      <c r="A34" t="s">
        <v>35</v>
      </c>
      <c r="B34" s="5" t="s">
        <v>44</v>
      </c>
      <c r="C34" s="5" t="s">
        <v>44</v>
      </c>
      <c r="D34" t="b">
        <f t="shared" si="0"/>
        <v>0</v>
      </c>
    </row>
    <row r="35" spans="1:4" x14ac:dyDescent="0.25">
      <c r="A35" t="s">
        <v>35</v>
      </c>
      <c r="B35" s="5" t="s">
        <v>44</v>
      </c>
      <c r="C35" s="5" t="s">
        <v>44</v>
      </c>
      <c r="D35" t="b">
        <f t="shared" si="0"/>
        <v>0</v>
      </c>
    </row>
    <row r="36" spans="1:4" x14ac:dyDescent="0.25">
      <c r="A36" t="s">
        <v>35</v>
      </c>
      <c r="B36" s="5" t="s">
        <v>44</v>
      </c>
      <c r="C36" s="5" t="s">
        <v>44</v>
      </c>
      <c r="D36" t="b">
        <f t="shared" si="0"/>
        <v>0</v>
      </c>
    </row>
    <row r="37" spans="1:4" x14ac:dyDescent="0.25">
      <c r="A37" t="s">
        <v>35</v>
      </c>
      <c r="B37" s="5" t="s">
        <v>44</v>
      </c>
      <c r="C37" s="5" t="s">
        <v>44</v>
      </c>
      <c r="D37" t="b">
        <f t="shared" si="0"/>
        <v>0</v>
      </c>
    </row>
    <row r="38" spans="1:4" x14ac:dyDescent="0.25">
      <c r="A38" t="s">
        <v>35</v>
      </c>
      <c r="B38" s="5" t="s">
        <v>44</v>
      </c>
      <c r="C38" s="5" t="s">
        <v>44</v>
      </c>
      <c r="D38" t="b">
        <f t="shared" si="0"/>
        <v>0</v>
      </c>
    </row>
    <row r="39" spans="1:4" x14ac:dyDescent="0.25">
      <c r="A39" t="s">
        <v>35</v>
      </c>
      <c r="B39" s="5" t="s">
        <v>44</v>
      </c>
      <c r="C39" s="5" t="s">
        <v>44</v>
      </c>
      <c r="D39" t="b">
        <f t="shared" si="0"/>
        <v>0</v>
      </c>
    </row>
    <row r="40" spans="1:4" x14ac:dyDescent="0.25">
      <c r="A40" t="s">
        <v>41</v>
      </c>
      <c r="B40" s="5" t="s">
        <v>206</v>
      </c>
      <c r="C40" s="5" t="s">
        <v>206</v>
      </c>
      <c r="D40" t="b">
        <f t="shared" si="0"/>
        <v>0</v>
      </c>
    </row>
    <row r="41" spans="1:4" x14ac:dyDescent="0.25">
      <c r="A41" t="s">
        <v>41</v>
      </c>
      <c r="B41" s="5" t="s">
        <v>212</v>
      </c>
      <c r="C41" s="5" t="s">
        <v>212</v>
      </c>
      <c r="D41" t="b">
        <f t="shared" si="0"/>
        <v>0</v>
      </c>
    </row>
    <row r="42" spans="1:4" x14ac:dyDescent="0.25">
      <c r="A42" t="s">
        <v>41</v>
      </c>
      <c r="B42" s="5" t="s">
        <v>160</v>
      </c>
      <c r="C42" s="5" t="s">
        <v>160</v>
      </c>
      <c r="D42" t="b">
        <f t="shared" si="0"/>
        <v>0</v>
      </c>
    </row>
    <row r="43" spans="1:4" x14ac:dyDescent="0.25">
      <c r="A43" t="s">
        <v>41</v>
      </c>
      <c r="B43" s="5" t="s">
        <v>696</v>
      </c>
      <c r="C43" s="5" t="s">
        <v>696</v>
      </c>
      <c r="D43" t="b">
        <f t="shared" si="0"/>
        <v>0</v>
      </c>
    </row>
    <row r="44" spans="1:4" x14ac:dyDescent="0.25">
      <c r="A44" t="s">
        <v>41</v>
      </c>
      <c r="B44" s="5" t="s">
        <v>1066</v>
      </c>
      <c r="C44" s="5" t="s">
        <v>1066</v>
      </c>
      <c r="D44" t="b">
        <f t="shared" si="0"/>
        <v>0</v>
      </c>
    </row>
    <row r="45" spans="1:4" x14ac:dyDescent="0.25">
      <c r="A45" t="s">
        <v>41</v>
      </c>
      <c r="B45" s="5" t="s">
        <v>208</v>
      </c>
      <c r="C45" s="5" t="s">
        <v>208</v>
      </c>
      <c r="D45" t="b">
        <f t="shared" si="0"/>
        <v>0</v>
      </c>
    </row>
    <row r="46" spans="1:4" x14ac:dyDescent="0.25">
      <c r="A46" t="s">
        <v>41</v>
      </c>
      <c r="B46" s="5" t="s">
        <v>209</v>
      </c>
      <c r="C46" s="5" t="s">
        <v>209</v>
      </c>
      <c r="D46" t="b">
        <f t="shared" si="0"/>
        <v>0</v>
      </c>
    </row>
    <row r="47" spans="1:4" x14ac:dyDescent="0.25">
      <c r="A47" t="s">
        <v>41</v>
      </c>
      <c r="B47" s="5" t="s">
        <v>1067</v>
      </c>
      <c r="C47" s="5" t="s">
        <v>1067</v>
      </c>
      <c r="D47" t="b">
        <f t="shared" si="0"/>
        <v>0</v>
      </c>
    </row>
    <row r="48" spans="1:4" x14ac:dyDescent="0.25">
      <c r="A48" t="s">
        <v>41</v>
      </c>
      <c r="B48" s="5" t="s">
        <v>1740</v>
      </c>
      <c r="C48" s="5" t="s">
        <v>1740</v>
      </c>
      <c r="D48" t="b">
        <f t="shared" si="0"/>
        <v>0</v>
      </c>
    </row>
    <row r="49" spans="1:4" x14ac:dyDescent="0.25">
      <c r="A49" t="s">
        <v>41</v>
      </c>
      <c r="B49" s="5" t="s">
        <v>210</v>
      </c>
      <c r="C49" s="5" t="s">
        <v>210</v>
      </c>
      <c r="D49" t="b">
        <f t="shared" si="0"/>
        <v>0</v>
      </c>
    </row>
    <row r="50" spans="1:4" x14ac:dyDescent="0.25">
      <c r="A50" t="s">
        <v>68</v>
      </c>
      <c r="B50" s="5" t="s">
        <v>713</v>
      </c>
      <c r="C50" s="5" t="s">
        <v>713</v>
      </c>
      <c r="D50" t="b">
        <f t="shared" si="0"/>
        <v>0</v>
      </c>
    </row>
    <row r="51" spans="1:4" x14ac:dyDescent="0.25">
      <c r="A51" t="s">
        <v>68</v>
      </c>
      <c r="B51" s="5" t="s">
        <v>798</v>
      </c>
      <c r="C51" s="5" t="s">
        <v>798</v>
      </c>
      <c r="D51" t="b">
        <f t="shared" si="0"/>
        <v>0</v>
      </c>
    </row>
    <row r="52" spans="1:4" x14ac:dyDescent="0.25">
      <c r="A52" t="s">
        <v>68</v>
      </c>
      <c r="B52" s="5" t="s">
        <v>1068</v>
      </c>
      <c r="C52" s="5" t="s">
        <v>1068</v>
      </c>
      <c r="D52" t="b">
        <f t="shared" si="0"/>
        <v>0</v>
      </c>
    </row>
    <row r="53" spans="1:4" x14ac:dyDescent="0.25">
      <c r="A53" t="s">
        <v>68</v>
      </c>
      <c r="B53" s="5" t="s">
        <v>254</v>
      </c>
      <c r="C53" s="5" t="s">
        <v>254</v>
      </c>
      <c r="D53" t="b">
        <f t="shared" si="0"/>
        <v>0</v>
      </c>
    </row>
    <row r="54" spans="1:4" x14ac:dyDescent="0.25">
      <c r="A54" t="s">
        <v>68</v>
      </c>
      <c r="B54" s="5" t="s">
        <v>1069</v>
      </c>
      <c r="C54" s="5" t="s">
        <v>1069</v>
      </c>
      <c r="D54" t="b">
        <f t="shared" si="0"/>
        <v>0</v>
      </c>
    </row>
    <row r="55" spans="1:4" x14ac:dyDescent="0.25">
      <c r="A55" t="s">
        <v>68</v>
      </c>
      <c r="B55" s="5" t="s">
        <v>1070</v>
      </c>
      <c r="C55" s="5" t="s">
        <v>1070</v>
      </c>
      <c r="D55" t="b">
        <f t="shared" si="0"/>
        <v>0</v>
      </c>
    </row>
    <row r="56" spans="1:4" x14ac:dyDescent="0.25">
      <c r="A56" t="s">
        <v>68</v>
      </c>
      <c r="B56" s="5" t="s">
        <v>858</v>
      </c>
      <c r="C56" s="5" t="s">
        <v>858</v>
      </c>
      <c r="D56" t="b">
        <f t="shared" si="0"/>
        <v>0</v>
      </c>
    </row>
    <row r="57" spans="1:4" x14ac:dyDescent="0.25">
      <c r="A57" t="s">
        <v>68</v>
      </c>
      <c r="B57" s="5" t="s">
        <v>857</v>
      </c>
      <c r="C57" s="5" t="s">
        <v>857</v>
      </c>
      <c r="D57" t="b">
        <f t="shared" si="0"/>
        <v>0</v>
      </c>
    </row>
    <row r="58" spans="1:4" x14ac:dyDescent="0.25">
      <c r="A58" t="s">
        <v>68</v>
      </c>
      <c r="B58" s="5" t="s">
        <v>859</v>
      </c>
      <c r="C58" s="5" t="s">
        <v>859</v>
      </c>
      <c r="D58" t="b">
        <f t="shared" si="0"/>
        <v>0</v>
      </c>
    </row>
    <row r="59" spans="1:4" x14ac:dyDescent="0.25">
      <c r="A59" t="s">
        <v>68</v>
      </c>
      <c r="B59" s="5" t="s">
        <v>796</v>
      </c>
      <c r="C59" s="5" t="s">
        <v>796</v>
      </c>
      <c r="D59" t="b">
        <f t="shared" si="0"/>
        <v>0</v>
      </c>
    </row>
    <row r="60" spans="1:4" x14ac:dyDescent="0.25">
      <c r="A60" t="s">
        <v>68</v>
      </c>
      <c r="B60" s="5" t="s">
        <v>1072</v>
      </c>
      <c r="C60" s="5" t="s">
        <v>1072</v>
      </c>
      <c r="D60" t="b">
        <f t="shared" si="0"/>
        <v>0</v>
      </c>
    </row>
    <row r="61" spans="1:4" x14ac:dyDescent="0.25">
      <c r="A61" t="s">
        <v>68</v>
      </c>
      <c r="B61" s="5" t="s">
        <v>1073</v>
      </c>
      <c r="C61" s="5" t="s">
        <v>2028</v>
      </c>
      <c r="D61" t="b">
        <f t="shared" si="0"/>
        <v>1</v>
      </c>
    </row>
    <row r="62" spans="1:4" x14ac:dyDescent="0.25">
      <c r="A62" t="s">
        <v>68</v>
      </c>
      <c r="B62" s="5" t="s">
        <v>1074</v>
      </c>
      <c r="C62" s="5" t="s">
        <v>1074</v>
      </c>
      <c r="D62" t="b">
        <f t="shared" si="0"/>
        <v>0</v>
      </c>
    </row>
    <row r="63" spans="1:4" x14ac:dyDescent="0.25">
      <c r="A63" t="s">
        <v>68</v>
      </c>
      <c r="B63" s="5" t="s">
        <v>252</v>
      </c>
      <c r="C63" s="5" t="s">
        <v>252</v>
      </c>
      <c r="D63" t="b">
        <f t="shared" si="0"/>
        <v>0</v>
      </c>
    </row>
    <row r="64" spans="1:4" x14ac:dyDescent="0.25">
      <c r="A64" t="s">
        <v>68</v>
      </c>
      <c r="B64" s="5" t="s">
        <v>1075</v>
      </c>
      <c r="C64" s="5" t="s">
        <v>1075</v>
      </c>
      <c r="D64" t="b">
        <f t="shared" si="0"/>
        <v>0</v>
      </c>
    </row>
    <row r="65" spans="1:4" x14ac:dyDescent="0.25">
      <c r="A65" t="s">
        <v>68</v>
      </c>
      <c r="B65" s="5" t="s">
        <v>1076</v>
      </c>
      <c r="C65" s="5" t="s">
        <v>1076</v>
      </c>
      <c r="D65" t="b">
        <f t="shared" si="0"/>
        <v>0</v>
      </c>
    </row>
    <row r="66" spans="1:4" x14ac:dyDescent="0.25">
      <c r="A66" t="s">
        <v>1065</v>
      </c>
      <c r="B66" s="5" t="s">
        <v>1077</v>
      </c>
      <c r="C66" s="5" t="s">
        <v>1077</v>
      </c>
      <c r="D66" t="b">
        <f t="shared" si="0"/>
        <v>0</v>
      </c>
    </row>
    <row r="67" spans="1:4" x14ac:dyDescent="0.25">
      <c r="A67" t="s">
        <v>1065</v>
      </c>
      <c r="B67" s="5" t="s">
        <v>1078</v>
      </c>
      <c r="C67" s="5" t="s">
        <v>1078</v>
      </c>
      <c r="D67" t="b">
        <f t="shared" si="0"/>
        <v>0</v>
      </c>
    </row>
    <row r="68" spans="1:4" x14ac:dyDescent="0.25">
      <c r="A68" t="s">
        <v>1065</v>
      </c>
      <c r="B68" s="5" t="s">
        <v>1079</v>
      </c>
      <c r="C68" s="5" t="s">
        <v>1079</v>
      </c>
      <c r="D68" t="b">
        <f t="shared" si="0"/>
        <v>0</v>
      </c>
    </row>
    <row r="69" spans="1:4" x14ac:dyDescent="0.25">
      <c r="A69" t="s">
        <v>1065</v>
      </c>
      <c r="B69" s="5" t="s">
        <v>1738</v>
      </c>
      <c r="C69" s="5" t="s">
        <v>1738</v>
      </c>
      <c r="D69" t="b">
        <f t="shared" ref="D69:D102" si="2">B69&lt;&gt;C69</f>
        <v>0</v>
      </c>
    </row>
    <row r="70" spans="1:4" x14ac:dyDescent="0.25">
      <c r="A70" t="s">
        <v>1065</v>
      </c>
      <c r="B70" s="5" t="s">
        <v>1737</v>
      </c>
      <c r="C70" s="5" t="s">
        <v>1737</v>
      </c>
      <c r="D70" t="b">
        <f t="shared" si="2"/>
        <v>0</v>
      </c>
    </row>
    <row r="71" spans="1:4" x14ac:dyDescent="0.25">
      <c r="A71" t="s">
        <v>1065</v>
      </c>
      <c r="B71" s="5" t="s">
        <v>1080</v>
      </c>
      <c r="C71" s="5" t="s">
        <v>1080</v>
      </c>
      <c r="D71" t="b">
        <f t="shared" si="2"/>
        <v>0</v>
      </c>
    </row>
    <row r="72" spans="1:4" x14ac:dyDescent="0.25">
      <c r="A72" t="s">
        <v>1065</v>
      </c>
      <c r="B72" s="5" t="s">
        <v>1527</v>
      </c>
      <c r="C72" s="5" t="s">
        <v>1527</v>
      </c>
      <c r="D72" t="b">
        <f t="shared" si="2"/>
        <v>0</v>
      </c>
    </row>
    <row r="73" spans="1:4" x14ac:dyDescent="0.25">
      <c r="A73" t="s">
        <v>551</v>
      </c>
      <c r="B73" s="5" t="s">
        <v>1086</v>
      </c>
      <c r="C73" s="5" t="s">
        <v>1086</v>
      </c>
      <c r="D73" t="b">
        <f t="shared" si="2"/>
        <v>0</v>
      </c>
    </row>
    <row r="74" spans="1:4" x14ac:dyDescent="0.25">
      <c r="A74" t="s">
        <v>551</v>
      </c>
      <c r="B74" s="5" t="s">
        <v>1087</v>
      </c>
      <c r="C74" s="5" t="s">
        <v>1087</v>
      </c>
      <c r="D74" t="b">
        <f t="shared" si="2"/>
        <v>0</v>
      </c>
    </row>
    <row r="75" spans="1:4" x14ac:dyDescent="0.25">
      <c r="A75" t="s">
        <v>551</v>
      </c>
      <c r="B75" s="5" t="s">
        <v>1088</v>
      </c>
      <c r="C75" s="5" t="s">
        <v>1088</v>
      </c>
      <c r="D75" t="b">
        <f t="shared" si="2"/>
        <v>0</v>
      </c>
    </row>
    <row r="76" spans="1:4" x14ac:dyDescent="0.25">
      <c r="A76" t="s">
        <v>551</v>
      </c>
      <c r="B76" s="5" t="s">
        <v>1089</v>
      </c>
      <c r="C76" s="5" t="s">
        <v>1089</v>
      </c>
      <c r="D76" t="b">
        <f t="shared" si="2"/>
        <v>0</v>
      </c>
    </row>
    <row r="77" spans="1:4" x14ac:dyDescent="0.25">
      <c r="A77" t="s">
        <v>1063</v>
      </c>
      <c r="B77" s="5" t="s">
        <v>1090</v>
      </c>
      <c r="C77" s="5" t="s">
        <v>1090</v>
      </c>
      <c r="D77" t="b">
        <f t="shared" si="2"/>
        <v>0</v>
      </c>
    </row>
    <row r="78" spans="1:4" x14ac:dyDescent="0.25">
      <c r="A78" t="s">
        <v>1063</v>
      </c>
      <c r="B78" s="5" t="s">
        <v>1091</v>
      </c>
      <c r="C78" s="5" t="s">
        <v>1091</v>
      </c>
      <c r="D78" t="b">
        <f t="shared" si="2"/>
        <v>0</v>
      </c>
    </row>
    <row r="79" spans="1:4" x14ac:dyDescent="0.25">
      <c r="A79" t="s">
        <v>1063</v>
      </c>
      <c r="B79" s="5" t="s">
        <v>1092</v>
      </c>
      <c r="C79" s="5" t="s">
        <v>1092</v>
      </c>
      <c r="D79" t="b">
        <f t="shared" si="2"/>
        <v>0</v>
      </c>
    </row>
    <row r="80" spans="1:4" x14ac:dyDescent="0.25">
      <c r="A80" t="s">
        <v>1063</v>
      </c>
      <c r="B80" s="5" t="s">
        <v>1093</v>
      </c>
      <c r="C80" s="5" t="s">
        <v>1093</v>
      </c>
      <c r="D80" t="b">
        <f t="shared" si="2"/>
        <v>0</v>
      </c>
    </row>
    <row r="81" spans="1:4" x14ac:dyDescent="0.25">
      <c r="A81" t="s">
        <v>1063</v>
      </c>
      <c r="B81" s="5" t="s">
        <v>1094</v>
      </c>
      <c r="C81" s="5" t="s">
        <v>1094</v>
      </c>
      <c r="D81" t="b">
        <f t="shared" si="2"/>
        <v>0</v>
      </c>
    </row>
    <row r="82" spans="1:4" x14ac:dyDescent="0.25">
      <c r="A82" t="s">
        <v>1063</v>
      </c>
      <c r="B82" s="5" t="s">
        <v>1095</v>
      </c>
      <c r="C82" s="5" t="s">
        <v>1095</v>
      </c>
      <c r="D82" t="b">
        <f t="shared" si="2"/>
        <v>0</v>
      </c>
    </row>
    <row r="83" spans="1:4" x14ac:dyDescent="0.25">
      <c r="A83" t="s">
        <v>1063</v>
      </c>
      <c r="B83" s="5" t="s">
        <v>1096</v>
      </c>
      <c r="C83" s="5" t="s">
        <v>1096</v>
      </c>
      <c r="D83" t="b">
        <f t="shared" si="2"/>
        <v>0</v>
      </c>
    </row>
    <row r="84" spans="1:4" x14ac:dyDescent="0.25">
      <c r="A84" t="s">
        <v>1063</v>
      </c>
      <c r="B84" s="5" t="s">
        <v>1097</v>
      </c>
      <c r="C84" s="5" t="s">
        <v>1097</v>
      </c>
      <c r="D84" t="b">
        <f t="shared" si="2"/>
        <v>0</v>
      </c>
    </row>
    <row r="85" spans="1:4" x14ac:dyDescent="0.25">
      <c r="A85" t="s">
        <v>1063</v>
      </c>
      <c r="B85" s="5" t="s">
        <v>1098</v>
      </c>
      <c r="C85" s="5" t="s">
        <v>1098</v>
      </c>
      <c r="D85" t="b">
        <f t="shared" si="2"/>
        <v>0</v>
      </c>
    </row>
    <row r="86" spans="1:4" x14ac:dyDescent="0.25">
      <c r="A86" t="s">
        <v>1063</v>
      </c>
      <c r="B86" s="5" t="s">
        <v>1099</v>
      </c>
      <c r="C86" s="5" t="s">
        <v>1099</v>
      </c>
      <c r="D86" t="b">
        <f t="shared" si="2"/>
        <v>0</v>
      </c>
    </row>
    <row r="87" spans="1:4" x14ac:dyDescent="0.25">
      <c r="A87" t="s">
        <v>1063</v>
      </c>
      <c r="B87" s="5" t="s">
        <v>1100</v>
      </c>
      <c r="C87" s="5" t="s">
        <v>1100</v>
      </c>
      <c r="D87" t="b">
        <f t="shared" si="2"/>
        <v>0</v>
      </c>
    </row>
    <row r="88" spans="1:4" x14ac:dyDescent="0.25">
      <c r="A88" t="s">
        <v>1063</v>
      </c>
      <c r="B88" s="5" t="s">
        <v>1101</v>
      </c>
      <c r="C88" s="5" t="s">
        <v>1101</v>
      </c>
      <c r="D88" t="b">
        <f t="shared" si="2"/>
        <v>0</v>
      </c>
    </row>
    <row r="89" spans="1:4" x14ac:dyDescent="0.25">
      <c r="A89" t="s">
        <v>66</v>
      </c>
      <c r="B89" s="5" t="s">
        <v>1071</v>
      </c>
      <c r="C89" s="5" t="s">
        <v>1741</v>
      </c>
      <c r="D89" t="b">
        <f t="shared" si="2"/>
        <v>1</v>
      </c>
    </row>
    <row r="90" spans="1:4" x14ac:dyDescent="0.25">
      <c r="A90" t="s">
        <v>66</v>
      </c>
      <c r="B90" s="5" t="s">
        <v>1102</v>
      </c>
      <c r="C90" s="5" t="s">
        <v>1102</v>
      </c>
      <c r="D90" t="b">
        <f t="shared" si="2"/>
        <v>0</v>
      </c>
    </row>
    <row r="91" spans="1:4" x14ac:dyDescent="0.25">
      <c r="A91" t="s">
        <v>66</v>
      </c>
      <c r="B91" s="5" t="s">
        <v>1081</v>
      </c>
      <c r="C91" s="5" t="s">
        <v>1081</v>
      </c>
      <c r="D91" t="b">
        <f t="shared" si="2"/>
        <v>0</v>
      </c>
    </row>
    <row r="92" spans="1:4" x14ac:dyDescent="0.25">
      <c r="A92" t="s">
        <v>66</v>
      </c>
      <c r="B92" s="5" t="s">
        <v>1082</v>
      </c>
      <c r="C92" s="5" t="s">
        <v>1082</v>
      </c>
      <c r="D92" t="b">
        <f t="shared" si="2"/>
        <v>0</v>
      </c>
    </row>
    <row r="93" spans="1:4" x14ac:dyDescent="0.25">
      <c r="A93" t="s">
        <v>66</v>
      </c>
      <c r="B93" s="5" t="s">
        <v>1083</v>
      </c>
      <c r="C93" s="5" t="s">
        <v>1083</v>
      </c>
      <c r="D93" t="b">
        <f t="shared" si="2"/>
        <v>0</v>
      </c>
    </row>
    <row r="94" spans="1:4" x14ac:dyDescent="0.25">
      <c r="A94" t="s">
        <v>66</v>
      </c>
      <c r="B94" s="5" t="s">
        <v>1084</v>
      </c>
      <c r="C94" s="5" t="s">
        <v>1084</v>
      </c>
      <c r="D94" t="b">
        <f t="shared" si="2"/>
        <v>0</v>
      </c>
    </row>
    <row r="95" spans="1:4" x14ac:dyDescent="0.25">
      <c r="A95" t="s">
        <v>66</v>
      </c>
      <c r="B95" s="5" t="s">
        <v>1085</v>
      </c>
      <c r="C95" s="5" t="s">
        <v>1085</v>
      </c>
      <c r="D95" t="b">
        <f t="shared" si="2"/>
        <v>0</v>
      </c>
    </row>
    <row r="96" spans="1:4" x14ac:dyDescent="0.25">
      <c r="A96" t="s">
        <v>66</v>
      </c>
      <c r="B96" s="5" t="s">
        <v>1739</v>
      </c>
      <c r="C96" s="5" t="s">
        <v>1739</v>
      </c>
      <c r="D96" t="b">
        <f t="shared" si="2"/>
        <v>0</v>
      </c>
    </row>
    <row r="97" spans="1:4" x14ac:dyDescent="0.25">
      <c r="A97" t="s">
        <v>66</v>
      </c>
      <c r="B97" s="5" t="s">
        <v>256</v>
      </c>
      <c r="C97" s="5" t="s">
        <v>256</v>
      </c>
      <c r="D97" t="b">
        <f t="shared" si="2"/>
        <v>0</v>
      </c>
    </row>
    <row r="98" spans="1:4" x14ac:dyDescent="0.25">
      <c r="A98" t="s">
        <v>66</v>
      </c>
      <c r="B98" s="5" t="s">
        <v>1103</v>
      </c>
      <c r="C98" s="5" t="s">
        <v>1103</v>
      </c>
      <c r="D98" t="b">
        <f t="shared" si="2"/>
        <v>0</v>
      </c>
    </row>
    <row r="99" spans="1:4" x14ac:dyDescent="0.25">
      <c r="A99" t="s">
        <v>1064</v>
      </c>
      <c r="B99" s="5" t="s">
        <v>248</v>
      </c>
      <c r="C99" s="5" t="s">
        <v>248</v>
      </c>
      <c r="D99" t="b">
        <f t="shared" si="2"/>
        <v>0</v>
      </c>
    </row>
    <row r="100" spans="1:4" x14ac:dyDescent="0.25">
      <c r="A100" t="s">
        <v>1064</v>
      </c>
      <c r="B100" s="5" t="s">
        <v>1104</v>
      </c>
      <c r="C100" s="5" t="s">
        <v>1104</v>
      </c>
      <c r="D100" t="b">
        <f t="shared" si="2"/>
        <v>0</v>
      </c>
    </row>
    <row r="101" spans="1:4" x14ac:dyDescent="0.25">
      <c r="A101" t="s">
        <v>1064</v>
      </c>
      <c r="B101" s="5" t="s">
        <v>1105</v>
      </c>
      <c r="C101" s="5" t="s">
        <v>1105</v>
      </c>
      <c r="D101" t="b">
        <f t="shared" si="2"/>
        <v>0</v>
      </c>
    </row>
    <row r="102" spans="1:4" x14ac:dyDescent="0.25">
      <c r="A102" t="s">
        <v>1064</v>
      </c>
      <c r="B102" s="5" t="s">
        <v>1106</v>
      </c>
      <c r="C102" s="5" t="s">
        <v>1106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1A5D577-B906-4FF4-8955-33579B0DE401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FBE9CFEA-6738-4AA1-9524-38FFE74BCAC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BD3E-8E5B-41EA-888D-34F7C2569BBC}">
  <sheetPr codeName="Planilha22"/>
  <dimension ref="A1:G102"/>
  <sheetViews>
    <sheetView topLeftCell="A66" workbookViewId="0">
      <selection activeCell="C42" sqref="C4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1107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12</v>
      </c>
    </row>
    <row r="3" spans="1:7" x14ac:dyDescent="0.25">
      <c r="A3" s="5" t="s">
        <v>2031</v>
      </c>
      <c r="B3" s="5" t="s">
        <v>2070</v>
      </c>
      <c r="C3" s="5" t="s">
        <v>2070</v>
      </c>
      <c r="D3" t="b">
        <f>B3&lt;&gt;C3</f>
        <v>0</v>
      </c>
      <c r="F3" s="4" t="s">
        <v>37</v>
      </c>
      <c r="G3" s="3">
        <f>SUM(G6:G26)</f>
        <v>100</v>
      </c>
    </row>
    <row r="4" spans="1:7" x14ac:dyDescent="0.25">
      <c r="A4" t="s">
        <v>35</v>
      </c>
      <c r="B4" s="5" t="s">
        <v>67</v>
      </c>
      <c r="C4" s="5" t="s">
        <v>67</v>
      </c>
      <c r="D4" t="b">
        <f>B4&lt;&gt;C4</f>
        <v>0</v>
      </c>
    </row>
    <row r="5" spans="1:7" x14ac:dyDescent="0.25">
      <c r="A5" t="s">
        <v>35</v>
      </c>
      <c r="B5" s="5" t="s">
        <v>40</v>
      </c>
      <c r="C5" s="5" t="s">
        <v>40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474</v>
      </c>
      <c r="C6" s="5" t="s">
        <v>474</v>
      </c>
      <c r="D6" t="b">
        <f t="shared" si="0"/>
        <v>0</v>
      </c>
      <c r="F6" s="3" t="s">
        <v>2031</v>
      </c>
      <c r="G6" s="2">
        <f t="shared" ref="G6:G14" si="1">COUNTIF(A:A,F6)</f>
        <v>1</v>
      </c>
    </row>
    <row r="7" spans="1:7" x14ac:dyDescent="0.25">
      <c r="A7" t="s">
        <v>35</v>
      </c>
      <c r="B7" s="5" t="s">
        <v>1108</v>
      </c>
      <c r="C7" s="5" t="s">
        <v>1108</v>
      </c>
      <c r="D7" t="b">
        <f t="shared" si="0"/>
        <v>0</v>
      </c>
      <c r="F7" s="7" t="s">
        <v>35</v>
      </c>
      <c r="G7" s="2">
        <f t="shared" si="1"/>
        <v>35</v>
      </c>
    </row>
    <row r="8" spans="1:7" x14ac:dyDescent="0.25">
      <c r="A8" t="s">
        <v>35</v>
      </c>
      <c r="B8" s="5" t="s">
        <v>150</v>
      </c>
      <c r="C8" s="5" t="s">
        <v>150</v>
      </c>
      <c r="D8" t="b">
        <f t="shared" si="0"/>
        <v>0</v>
      </c>
      <c r="F8" s="7" t="s">
        <v>42</v>
      </c>
      <c r="G8" s="2">
        <f t="shared" si="1"/>
        <v>12</v>
      </c>
    </row>
    <row r="9" spans="1:7" x14ac:dyDescent="0.25">
      <c r="A9" t="s">
        <v>35</v>
      </c>
      <c r="B9" s="5" t="s">
        <v>619</v>
      </c>
      <c r="C9" s="5" t="s">
        <v>619</v>
      </c>
      <c r="D9" t="b">
        <f t="shared" si="0"/>
        <v>0</v>
      </c>
      <c r="F9" s="7" t="s">
        <v>1110</v>
      </c>
      <c r="G9" s="2">
        <f t="shared" si="1"/>
        <v>4</v>
      </c>
    </row>
    <row r="10" spans="1:7" x14ac:dyDescent="0.25">
      <c r="A10" t="s">
        <v>35</v>
      </c>
      <c r="B10" s="5" t="s">
        <v>1109</v>
      </c>
      <c r="C10" s="5" t="s">
        <v>1109</v>
      </c>
      <c r="D10" t="b">
        <f t="shared" si="0"/>
        <v>0</v>
      </c>
      <c r="F10" s="7" t="s">
        <v>68</v>
      </c>
      <c r="G10" s="2">
        <f t="shared" si="1"/>
        <v>10</v>
      </c>
    </row>
    <row r="11" spans="1:7" x14ac:dyDescent="0.25">
      <c r="A11" t="s">
        <v>35</v>
      </c>
      <c r="B11" s="5" t="s">
        <v>45</v>
      </c>
      <c r="C11" s="5" t="s">
        <v>58</v>
      </c>
      <c r="D11" t="b">
        <f t="shared" si="0"/>
        <v>1</v>
      </c>
      <c r="F11" s="7" t="s">
        <v>335</v>
      </c>
      <c r="G11" s="2">
        <f t="shared" si="1"/>
        <v>16</v>
      </c>
    </row>
    <row r="12" spans="1:7" x14ac:dyDescent="0.25">
      <c r="A12" t="s">
        <v>35</v>
      </c>
      <c r="B12" s="5" t="s">
        <v>621</v>
      </c>
      <c r="C12" s="5" t="s">
        <v>621</v>
      </c>
      <c r="D12" t="b">
        <f t="shared" si="0"/>
        <v>0</v>
      </c>
      <c r="F12" s="7" t="s">
        <v>43</v>
      </c>
      <c r="G12" s="2">
        <f t="shared" si="1"/>
        <v>7</v>
      </c>
    </row>
    <row r="13" spans="1:7" x14ac:dyDescent="0.25">
      <c r="A13" t="s">
        <v>35</v>
      </c>
      <c r="B13" s="5" t="s">
        <v>757</v>
      </c>
      <c r="C13" s="5" t="s">
        <v>757</v>
      </c>
      <c r="D13" t="b">
        <f t="shared" si="0"/>
        <v>0</v>
      </c>
      <c r="F13" s="7" t="s">
        <v>41</v>
      </c>
      <c r="G13" s="2">
        <f t="shared" si="1"/>
        <v>8</v>
      </c>
    </row>
    <row r="14" spans="1:7" x14ac:dyDescent="0.25">
      <c r="A14" t="s">
        <v>35</v>
      </c>
      <c r="B14" s="5" t="s">
        <v>827</v>
      </c>
      <c r="C14" s="5" t="s">
        <v>827</v>
      </c>
      <c r="D14" t="b">
        <f t="shared" si="0"/>
        <v>0</v>
      </c>
      <c r="F14" s="7" t="s">
        <v>193</v>
      </c>
      <c r="G14" s="2">
        <f t="shared" si="1"/>
        <v>7</v>
      </c>
    </row>
    <row r="15" spans="1:7" x14ac:dyDescent="0.25">
      <c r="A15" t="s">
        <v>35</v>
      </c>
      <c r="B15" s="5" t="s">
        <v>1111</v>
      </c>
      <c r="C15" s="5" t="s">
        <v>1111</v>
      </c>
      <c r="D15" t="b">
        <f t="shared" si="0"/>
        <v>0</v>
      </c>
    </row>
    <row r="16" spans="1:7" x14ac:dyDescent="0.25">
      <c r="A16" t="s">
        <v>35</v>
      </c>
      <c r="B16" s="5" t="s">
        <v>152</v>
      </c>
      <c r="C16" s="5" t="s">
        <v>152</v>
      </c>
      <c r="D16" t="b">
        <f t="shared" si="0"/>
        <v>0</v>
      </c>
      <c r="F16" s="1"/>
      <c r="G16" s="2"/>
    </row>
    <row r="17" spans="1:7" x14ac:dyDescent="0.25">
      <c r="A17" t="s">
        <v>35</v>
      </c>
      <c r="B17" s="5" t="s">
        <v>541</v>
      </c>
      <c r="C17" s="5" t="s">
        <v>541</v>
      </c>
      <c r="D17" t="b">
        <f t="shared" si="0"/>
        <v>0</v>
      </c>
      <c r="F17" s="4"/>
      <c r="G17" s="2"/>
    </row>
    <row r="18" spans="1:7" x14ac:dyDescent="0.25">
      <c r="A18" t="s">
        <v>35</v>
      </c>
      <c r="B18" s="5" t="s">
        <v>684</v>
      </c>
      <c r="C18" s="5" t="s">
        <v>684</v>
      </c>
      <c r="D18" t="b">
        <f t="shared" si="0"/>
        <v>0</v>
      </c>
    </row>
    <row r="19" spans="1:7" x14ac:dyDescent="0.25">
      <c r="A19" t="s">
        <v>35</v>
      </c>
      <c r="B19" s="5" t="s">
        <v>1112</v>
      </c>
      <c r="C19" s="5" t="s">
        <v>1112</v>
      </c>
      <c r="D19" t="b">
        <f t="shared" si="0"/>
        <v>0</v>
      </c>
    </row>
    <row r="20" spans="1:7" x14ac:dyDescent="0.25">
      <c r="A20" t="s">
        <v>35</v>
      </c>
      <c r="B20" s="5" t="s">
        <v>1113</v>
      </c>
      <c r="C20" s="5" t="s">
        <v>69</v>
      </c>
      <c r="D20" t="b">
        <f t="shared" si="0"/>
        <v>1</v>
      </c>
    </row>
    <row r="21" spans="1:7" x14ac:dyDescent="0.25">
      <c r="A21" t="s">
        <v>35</v>
      </c>
      <c r="B21" s="5" t="s">
        <v>47</v>
      </c>
      <c r="C21" s="5" t="s">
        <v>1114</v>
      </c>
      <c r="D21" t="b">
        <f t="shared" si="0"/>
        <v>1</v>
      </c>
    </row>
    <row r="22" spans="1:7" x14ac:dyDescent="0.25">
      <c r="A22" t="s">
        <v>35</v>
      </c>
      <c r="B22" s="5" t="s">
        <v>1115</v>
      </c>
      <c r="C22" s="5" t="s">
        <v>1115</v>
      </c>
      <c r="D22" t="b">
        <f t="shared" si="0"/>
        <v>0</v>
      </c>
    </row>
    <row r="23" spans="1:7" x14ac:dyDescent="0.25">
      <c r="A23" t="s">
        <v>35</v>
      </c>
      <c r="B23" s="5" t="s">
        <v>686</v>
      </c>
      <c r="C23" s="5" t="s">
        <v>686</v>
      </c>
      <c r="D23" t="b">
        <f t="shared" si="0"/>
        <v>0</v>
      </c>
    </row>
    <row r="24" spans="1:7" x14ac:dyDescent="0.25">
      <c r="A24" t="s">
        <v>35</v>
      </c>
      <c r="B24" s="5" t="s">
        <v>755</v>
      </c>
      <c r="C24" s="5" t="s">
        <v>1116</v>
      </c>
      <c r="D24" t="b">
        <f t="shared" si="0"/>
        <v>1</v>
      </c>
    </row>
    <row r="25" spans="1:7" x14ac:dyDescent="0.25">
      <c r="A25" t="s">
        <v>35</v>
      </c>
      <c r="B25" s="5" t="s">
        <v>1117</v>
      </c>
      <c r="C25" s="5" t="s">
        <v>1117</v>
      </c>
      <c r="D25" t="b">
        <f t="shared" si="0"/>
        <v>0</v>
      </c>
    </row>
    <row r="26" spans="1:7" x14ac:dyDescent="0.25">
      <c r="A26" t="s">
        <v>35</v>
      </c>
      <c r="B26" s="5" t="s">
        <v>625</v>
      </c>
      <c r="C26" s="5" t="s">
        <v>625</v>
      </c>
      <c r="D26" t="b">
        <f t="shared" si="0"/>
        <v>0</v>
      </c>
    </row>
    <row r="27" spans="1:7" x14ac:dyDescent="0.25">
      <c r="A27" t="s">
        <v>35</v>
      </c>
      <c r="B27" s="5" t="s">
        <v>192</v>
      </c>
      <c r="C27" s="5" t="s">
        <v>192</v>
      </c>
      <c r="D27" t="b">
        <f t="shared" si="0"/>
        <v>0</v>
      </c>
    </row>
    <row r="28" spans="1:7" x14ac:dyDescent="0.25">
      <c r="A28" t="s">
        <v>35</v>
      </c>
      <c r="B28" s="5" t="s">
        <v>45</v>
      </c>
      <c r="C28" s="5" t="s">
        <v>45</v>
      </c>
      <c r="D28" t="b">
        <f t="shared" si="0"/>
        <v>0</v>
      </c>
    </row>
    <row r="29" spans="1:7" x14ac:dyDescent="0.25">
      <c r="A29" t="s">
        <v>35</v>
      </c>
      <c r="B29" s="5" t="s">
        <v>45</v>
      </c>
      <c r="C29" s="5" t="s">
        <v>45</v>
      </c>
      <c r="D29" t="b">
        <f t="shared" si="0"/>
        <v>0</v>
      </c>
    </row>
    <row r="30" spans="1:7" x14ac:dyDescent="0.25">
      <c r="A30" t="s">
        <v>35</v>
      </c>
      <c r="B30" s="5" t="s">
        <v>45</v>
      </c>
      <c r="C30" s="5" t="s">
        <v>45</v>
      </c>
      <c r="D30" t="b">
        <f t="shared" si="0"/>
        <v>0</v>
      </c>
    </row>
    <row r="31" spans="1:7" x14ac:dyDescent="0.25">
      <c r="A31" t="s">
        <v>35</v>
      </c>
      <c r="B31" s="5" t="s">
        <v>45</v>
      </c>
      <c r="C31" s="5" t="s">
        <v>45</v>
      </c>
      <c r="D31" t="b">
        <f t="shared" si="0"/>
        <v>0</v>
      </c>
    </row>
    <row r="32" spans="1:7" x14ac:dyDescent="0.25">
      <c r="A32" t="s">
        <v>35</v>
      </c>
      <c r="B32" s="5" t="s">
        <v>46</v>
      </c>
      <c r="C32" s="5" t="s">
        <v>46</v>
      </c>
      <c r="D32" t="b">
        <f t="shared" si="0"/>
        <v>0</v>
      </c>
    </row>
    <row r="33" spans="1:5" x14ac:dyDescent="0.25">
      <c r="A33" t="s">
        <v>35</v>
      </c>
      <c r="B33" s="5" t="s">
        <v>46</v>
      </c>
      <c r="C33" s="5" t="s">
        <v>46</v>
      </c>
      <c r="D33" t="b">
        <f t="shared" si="0"/>
        <v>0</v>
      </c>
    </row>
    <row r="34" spans="1:5" x14ac:dyDescent="0.25">
      <c r="A34" t="s">
        <v>35</v>
      </c>
      <c r="B34" s="5" t="s">
        <v>46</v>
      </c>
      <c r="C34" s="5" t="s">
        <v>46</v>
      </c>
      <c r="D34" t="b">
        <f t="shared" si="0"/>
        <v>0</v>
      </c>
    </row>
    <row r="35" spans="1:5" x14ac:dyDescent="0.25">
      <c r="A35" t="s">
        <v>35</v>
      </c>
      <c r="B35" s="5" t="s">
        <v>47</v>
      </c>
      <c r="C35" s="5" t="s">
        <v>47</v>
      </c>
      <c r="D35" t="b">
        <f t="shared" si="0"/>
        <v>0</v>
      </c>
    </row>
    <row r="36" spans="1:5" x14ac:dyDescent="0.25">
      <c r="A36" t="s">
        <v>35</v>
      </c>
      <c r="B36" s="5" t="s">
        <v>47</v>
      </c>
      <c r="C36" s="5" t="s">
        <v>47</v>
      </c>
      <c r="D36" t="b">
        <f t="shared" si="0"/>
        <v>0</v>
      </c>
    </row>
    <row r="37" spans="1:5" x14ac:dyDescent="0.25">
      <c r="A37" t="s">
        <v>35</v>
      </c>
      <c r="B37" s="5" t="s">
        <v>47</v>
      </c>
      <c r="C37" s="5" t="s">
        <v>47</v>
      </c>
      <c r="D37" t="b">
        <f t="shared" si="0"/>
        <v>0</v>
      </c>
    </row>
    <row r="38" spans="1:5" x14ac:dyDescent="0.25">
      <c r="A38" t="s">
        <v>35</v>
      </c>
      <c r="B38" s="5" t="s">
        <v>47</v>
      </c>
      <c r="C38" s="5" t="s">
        <v>47</v>
      </c>
      <c r="D38" t="b">
        <f t="shared" si="0"/>
        <v>0</v>
      </c>
    </row>
    <row r="39" spans="1:5" x14ac:dyDescent="0.25">
      <c r="A39" t="s">
        <v>41</v>
      </c>
      <c r="B39" s="5" t="s">
        <v>206</v>
      </c>
      <c r="C39" s="5" t="s">
        <v>206</v>
      </c>
      <c r="D39" t="b">
        <f t="shared" si="0"/>
        <v>0</v>
      </c>
    </row>
    <row r="40" spans="1:5" x14ac:dyDescent="0.25">
      <c r="A40" t="s">
        <v>41</v>
      </c>
      <c r="B40" s="5" t="s">
        <v>559</v>
      </c>
      <c r="C40" s="5" t="s">
        <v>559</v>
      </c>
      <c r="D40" t="b">
        <f t="shared" si="0"/>
        <v>0</v>
      </c>
    </row>
    <row r="41" spans="1:5" x14ac:dyDescent="0.25">
      <c r="A41" t="s">
        <v>41</v>
      </c>
      <c r="B41" s="5" t="s">
        <v>210</v>
      </c>
      <c r="C41" s="5" t="s">
        <v>210</v>
      </c>
      <c r="D41" t="b">
        <f t="shared" si="0"/>
        <v>0</v>
      </c>
    </row>
    <row r="42" spans="1:5" x14ac:dyDescent="0.25">
      <c r="A42" t="s">
        <v>41</v>
      </c>
      <c r="B42" s="5" t="s">
        <v>157</v>
      </c>
      <c r="C42" s="5" t="s">
        <v>157</v>
      </c>
      <c r="D42" t="b">
        <f t="shared" si="0"/>
        <v>0</v>
      </c>
    </row>
    <row r="43" spans="1:5" x14ac:dyDescent="0.25">
      <c r="A43" t="s">
        <v>41</v>
      </c>
      <c r="B43" s="23" t="s">
        <v>207</v>
      </c>
      <c r="C43" s="5" t="s">
        <v>207</v>
      </c>
      <c r="D43" t="b">
        <f t="shared" si="0"/>
        <v>0</v>
      </c>
      <c r="E43" t="s">
        <v>702</v>
      </c>
    </row>
    <row r="44" spans="1:5" x14ac:dyDescent="0.25">
      <c r="A44" t="s">
        <v>41</v>
      </c>
      <c r="B44" s="5" t="s">
        <v>1151</v>
      </c>
      <c r="C44" s="5" t="s">
        <v>1151</v>
      </c>
      <c r="D44" t="b">
        <f t="shared" si="0"/>
        <v>0</v>
      </c>
    </row>
    <row r="45" spans="1:5" x14ac:dyDescent="0.25">
      <c r="A45" t="s">
        <v>41</v>
      </c>
      <c r="B45" s="5" t="s">
        <v>1152</v>
      </c>
      <c r="C45" s="5" t="s">
        <v>1152</v>
      </c>
      <c r="D45" t="b">
        <f t="shared" si="0"/>
        <v>0</v>
      </c>
    </row>
    <row r="46" spans="1:5" x14ac:dyDescent="0.25">
      <c r="A46" t="s">
        <v>41</v>
      </c>
      <c r="B46" s="5" t="s">
        <v>356</v>
      </c>
      <c r="C46" s="5" t="s">
        <v>356</v>
      </c>
      <c r="D46" t="b">
        <f t="shared" si="0"/>
        <v>0</v>
      </c>
    </row>
    <row r="47" spans="1:5" x14ac:dyDescent="0.25">
      <c r="A47" t="s">
        <v>42</v>
      </c>
      <c r="B47" s="5" t="s">
        <v>1118</v>
      </c>
      <c r="C47" s="5" t="s">
        <v>1118</v>
      </c>
      <c r="D47" t="b">
        <f t="shared" si="0"/>
        <v>0</v>
      </c>
    </row>
    <row r="48" spans="1:5" x14ac:dyDescent="0.25">
      <c r="A48" t="s">
        <v>42</v>
      </c>
      <c r="B48" s="5" t="s">
        <v>1119</v>
      </c>
      <c r="C48" s="5" t="s">
        <v>1119</v>
      </c>
      <c r="D48" t="b">
        <f t="shared" si="0"/>
        <v>0</v>
      </c>
    </row>
    <row r="49" spans="1:4" x14ac:dyDescent="0.25">
      <c r="A49" t="s">
        <v>42</v>
      </c>
      <c r="B49" s="5" t="s">
        <v>1122</v>
      </c>
      <c r="C49" s="5" t="s">
        <v>1122</v>
      </c>
      <c r="D49" t="b">
        <f t="shared" si="0"/>
        <v>0</v>
      </c>
    </row>
    <row r="50" spans="1:4" x14ac:dyDescent="0.25">
      <c r="A50" t="s">
        <v>42</v>
      </c>
      <c r="B50" s="5" t="s">
        <v>1123</v>
      </c>
      <c r="C50" s="5" t="s">
        <v>1550</v>
      </c>
      <c r="D50" t="b">
        <f t="shared" si="0"/>
        <v>1</v>
      </c>
    </row>
    <row r="51" spans="1:4" x14ac:dyDescent="0.25">
      <c r="A51" t="s">
        <v>42</v>
      </c>
      <c r="B51" s="5" t="s">
        <v>1124</v>
      </c>
      <c r="C51" s="5" t="s">
        <v>1915</v>
      </c>
      <c r="D51" t="b">
        <f t="shared" si="0"/>
        <v>1</v>
      </c>
    </row>
    <row r="52" spans="1:4" x14ac:dyDescent="0.25">
      <c r="A52" t="s">
        <v>42</v>
      </c>
      <c r="B52" s="5" t="s">
        <v>1128</v>
      </c>
      <c r="C52" s="5" t="s">
        <v>1128</v>
      </c>
      <c r="D52" t="b">
        <f t="shared" si="0"/>
        <v>0</v>
      </c>
    </row>
    <row r="53" spans="1:4" x14ac:dyDescent="0.25">
      <c r="A53" t="s">
        <v>42</v>
      </c>
      <c r="B53" s="5" t="s">
        <v>1129</v>
      </c>
      <c r="C53" s="5" t="s">
        <v>1129</v>
      </c>
      <c r="D53" t="b">
        <f t="shared" si="0"/>
        <v>0</v>
      </c>
    </row>
    <row r="54" spans="1:4" x14ac:dyDescent="0.25">
      <c r="A54" t="s">
        <v>42</v>
      </c>
      <c r="B54" s="5" t="s">
        <v>1130</v>
      </c>
      <c r="C54" s="5" t="s">
        <v>1130</v>
      </c>
      <c r="D54" t="b">
        <f t="shared" si="0"/>
        <v>0</v>
      </c>
    </row>
    <row r="55" spans="1:4" x14ac:dyDescent="0.25">
      <c r="A55" t="s">
        <v>42</v>
      </c>
      <c r="B55" s="5" t="s">
        <v>1131</v>
      </c>
      <c r="C55" s="5" t="s">
        <v>1131</v>
      </c>
      <c r="D55" t="b">
        <f t="shared" si="0"/>
        <v>0</v>
      </c>
    </row>
    <row r="56" spans="1:4" x14ac:dyDescent="0.25">
      <c r="A56" t="s">
        <v>42</v>
      </c>
      <c r="B56" s="5" t="s">
        <v>1121</v>
      </c>
      <c r="C56" s="5" t="s">
        <v>1121</v>
      </c>
      <c r="D56" t="b">
        <f t="shared" si="0"/>
        <v>0</v>
      </c>
    </row>
    <row r="57" spans="1:4" x14ac:dyDescent="0.25">
      <c r="A57" t="s">
        <v>42</v>
      </c>
      <c r="B57" s="5" t="s">
        <v>1914</v>
      </c>
      <c r="C57" s="5" t="s">
        <v>1914</v>
      </c>
      <c r="D57" t="b">
        <f t="shared" si="0"/>
        <v>0</v>
      </c>
    </row>
    <row r="58" spans="1:4" x14ac:dyDescent="0.25">
      <c r="A58" t="s">
        <v>42</v>
      </c>
      <c r="B58" s="5" t="s">
        <v>1125</v>
      </c>
      <c r="C58" s="5" t="s">
        <v>1125</v>
      </c>
      <c r="D58" t="b">
        <f t="shared" si="0"/>
        <v>0</v>
      </c>
    </row>
    <row r="59" spans="1:4" x14ac:dyDescent="0.25">
      <c r="A59" t="s">
        <v>68</v>
      </c>
      <c r="B59" s="5" t="s">
        <v>1132</v>
      </c>
      <c r="C59" s="5" t="s">
        <v>1132</v>
      </c>
      <c r="D59" t="b">
        <f t="shared" si="0"/>
        <v>0</v>
      </c>
    </row>
    <row r="60" spans="1:4" x14ac:dyDescent="0.25">
      <c r="A60" t="s">
        <v>68</v>
      </c>
      <c r="B60" s="5" t="s">
        <v>1133</v>
      </c>
      <c r="C60" s="5" t="s">
        <v>1133</v>
      </c>
      <c r="D60" t="b">
        <f t="shared" si="0"/>
        <v>0</v>
      </c>
    </row>
    <row r="61" spans="1:4" x14ac:dyDescent="0.25">
      <c r="A61" t="s">
        <v>68</v>
      </c>
      <c r="B61" s="5" t="s">
        <v>1134</v>
      </c>
      <c r="C61" s="5" t="s">
        <v>1134</v>
      </c>
      <c r="D61" t="b">
        <f t="shared" si="0"/>
        <v>0</v>
      </c>
    </row>
    <row r="62" spans="1:4" x14ac:dyDescent="0.25">
      <c r="A62" t="s">
        <v>68</v>
      </c>
      <c r="B62" s="5" t="s">
        <v>1135</v>
      </c>
      <c r="C62" s="5" t="s">
        <v>1135</v>
      </c>
      <c r="D62" t="b">
        <f t="shared" si="0"/>
        <v>0</v>
      </c>
    </row>
    <row r="63" spans="1:4" x14ac:dyDescent="0.25">
      <c r="A63" t="s">
        <v>68</v>
      </c>
      <c r="B63" s="5" t="s">
        <v>1136</v>
      </c>
      <c r="C63" s="5" t="s">
        <v>1136</v>
      </c>
      <c r="D63" t="b">
        <f t="shared" si="0"/>
        <v>0</v>
      </c>
    </row>
    <row r="64" spans="1:4" x14ac:dyDescent="0.25">
      <c r="A64" t="s">
        <v>68</v>
      </c>
      <c r="B64" s="5" t="s">
        <v>1137</v>
      </c>
      <c r="C64" s="5" t="s">
        <v>1137</v>
      </c>
      <c r="D64" t="b">
        <f t="shared" si="0"/>
        <v>0</v>
      </c>
    </row>
    <row r="65" spans="1:4" x14ac:dyDescent="0.25">
      <c r="A65" t="s">
        <v>68</v>
      </c>
      <c r="B65" s="5" t="s">
        <v>1138</v>
      </c>
      <c r="C65" s="5" t="s">
        <v>1138</v>
      </c>
      <c r="D65" t="b">
        <f t="shared" si="0"/>
        <v>0</v>
      </c>
    </row>
    <row r="66" spans="1:4" x14ac:dyDescent="0.25">
      <c r="A66" t="s">
        <v>68</v>
      </c>
      <c r="B66" s="5" t="s">
        <v>1139</v>
      </c>
      <c r="C66" s="5" t="s">
        <v>1139</v>
      </c>
      <c r="D66" t="b">
        <f t="shared" si="0"/>
        <v>0</v>
      </c>
    </row>
    <row r="67" spans="1:4" x14ac:dyDescent="0.25">
      <c r="A67" t="s">
        <v>68</v>
      </c>
      <c r="B67" s="5" t="s">
        <v>1140</v>
      </c>
      <c r="C67" s="5" t="s">
        <v>1140</v>
      </c>
      <c r="D67" t="b">
        <f t="shared" si="0"/>
        <v>0</v>
      </c>
    </row>
    <row r="68" spans="1:4" x14ac:dyDescent="0.25">
      <c r="A68" t="s">
        <v>68</v>
      </c>
      <c r="B68" s="5" t="s">
        <v>1141</v>
      </c>
      <c r="C68" s="5" t="s">
        <v>1141</v>
      </c>
      <c r="D68" t="b">
        <f t="shared" si="0"/>
        <v>0</v>
      </c>
    </row>
    <row r="69" spans="1:4" x14ac:dyDescent="0.25">
      <c r="A69" t="s">
        <v>1110</v>
      </c>
      <c r="B69" s="5" t="s">
        <v>1142</v>
      </c>
      <c r="C69" s="5" t="s">
        <v>1142</v>
      </c>
      <c r="D69" t="b">
        <f t="shared" ref="D69:D102" si="2">B69&lt;&gt;C69</f>
        <v>0</v>
      </c>
    </row>
    <row r="70" spans="1:4" x14ac:dyDescent="0.25">
      <c r="A70" t="s">
        <v>1110</v>
      </c>
      <c r="B70" s="5" t="s">
        <v>1145</v>
      </c>
      <c r="C70" s="5" t="s">
        <v>1145</v>
      </c>
      <c r="D70" t="b">
        <f t="shared" si="2"/>
        <v>0</v>
      </c>
    </row>
    <row r="71" spans="1:4" x14ac:dyDescent="0.25">
      <c r="A71" t="s">
        <v>1110</v>
      </c>
      <c r="B71" s="5" t="s">
        <v>1143</v>
      </c>
      <c r="C71" s="5" t="s">
        <v>1143</v>
      </c>
      <c r="D71" t="b">
        <f t="shared" si="2"/>
        <v>0</v>
      </c>
    </row>
    <row r="72" spans="1:4" x14ac:dyDescent="0.25">
      <c r="A72" t="s">
        <v>1110</v>
      </c>
      <c r="B72" s="5" t="s">
        <v>1144</v>
      </c>
      <c r="C72" s="5" t="s">
        <v>1144</v>
      </c>
      <c r="D72" t="b">
        <f t="shared" si="2"/>
        <v>0</v>
      </c>
    </row>
    <row r="73" spans="1:4" x14ac:dyDescent="0.25">
      <c r="A73" t="s">
        <v>335</v>
      </c>
      <c r="B73" s="5" t="s">
        <v>1126</v>
      </c>
      <c r="C73" s="5" t="s">
        <v>1126</v>
      </c>
      <c r="D73" t="b">
        <f t="shared" si="2"/>
        <v>0</v>
      </c>
    </row>
    <row r="74" spans="1:4" x14ac:dyDescent="0.25">
      <c r="A74" t="s">
        <v>335</v>
      </c>
      <c r="B74" s="5" t="s">
        <v>1127</v>
      </c>
      <c r="C74" s="5" t="s">
        <v>1127</v>
      </c>
      <c r="D74" t="b">
        <f t="shared" si="2"/>
        <v>0</v>
      </c>
    </row>
    <row r="75" spans="1:4" x14ac:dyDescent="0.25">
      <c r="A75" t="s">
        <v>335</v>
      </c>
      <c r="B75" s="5" t="s">
        <v>1120</v>
      </c>
      <c r="C75" s="5" t="s">
        <v>1911</v>
      </c>
      <c r="D75" t="b">
        <f t="shared" si="2"/>
        <v>1</v>
      </c>
    </row>
    <row r="76" spans="1:4" x14ac:dyDescent="0.25">
      <c r="A76" t="s">
        <v>335</v>
      </c>
      <c r="B76" s="5" t="s">
        <v>1146</v>
      </c>
      <c r="C76" s="5" t="s">
        <v>1146</v>
      </c>
      <c r="D76" t="b">
        <f t="shared" si="2"/>
        <v>0</v>
      </c>
    </row>
    <row r="77" spans="1:4" x14ac:dyDescent="0.25">
      <c r="A77" t="s">
        <v>335</v>
      </c>
      <c r="B77" s="5" t="s">
        <v>1147</v>
      </c>
      <c r="C77" s="5" t="s">
        <v>1788</v>
      </c>
      <c r="D77" t="b">
        <f t="shared" si="2"/>
        <v>1</v>
      </c>
    </row>
    <row r="78" spans="1:4" x14ac:dyDescent="0.25">
      <c r="A78" t="s">
        <v>335</v>
      </c>
      <c r="B78" s="5" t="s">
        <v>1148</v>
      </c>
      <c r="C78" s="5" t="s">
        <v>1148</v>
      </c>
      <c r="D78" t="b">
        <f t="shared" si="2"/>
        <v>0</v>
      </c>
    </row>
    <row r="79" spans="1:4" x14ac:dyDescent="0.25">
      <c r="A79" t="s">
        <v>335</v>
      </c>
      <c r="B79" s="5" t="s">
        <v>1149</v>
      </c>
      <c r="C79" s="5" t="s">
        <v>1149</v>
      </c>
      <c r="D79" t="b">
        <f t="shared" si="2"/>
        <v>0</v>
      </c>
    </row>
    <row r="80" spans="1:4" x14ac:dyDescent="0.25">
      <c r="A80" t="s">
        <v>335</v>
      </c>
      <c r="B80" s="5" t="s">
        <v>1150</v>
      </c>
      <c r="C80" s="5" t="s">
        <v>1150</v>
      </c>
      <c r="D80" t="b">
        <f t="shared" si="2"/>
        <v>0</v>
      </c>
    </row>
    <row r="81" spans="1:4" x14ac:dyDescent="0.25">
      <c r="A81" t="s">
        <v>335</v>
      </c>
      <c r="B81" s="5" t="s">
        <v>1625</v>
      </c>
      <c r="C81" s="5" t="s">
        <v>1909</v>
      </c>
      <c r="D81" t="b">
        <f t="shared" si="2"/>
        <v>1</v>
      </c>
    </row>
    <row r="82" spans="1:4" x14ac:dyDescent="0.25">
      <c r="A82" t="s">
        <v>335</v>
      </c>
      <c r="B82" s="5" t="s">
        <v>1154</v>
      </c>
      <c r="C82" s="5" t="s">
        <v>1908</v>
      </c>
      <c r="D82" t="b">
        <f t="shared" si="2"/>
        <v>1</v>
      </c>
    </row>
    <row r="83" spans="1:4" x14ac:dyDescent="0.25">
      <c r="A83" t="s">
        <v>335</v>
      </c>
      <c r="B83" s="5" t="s">
        <v>1156</v>
      </c>
      <c r="C83" s="5" t="s">
        <v>1156</v>
      </c>
      <c r="D83" t="b">
        <f t="shared" si="2"/>
        <v>0</v>
      </c>
    </row>
    <row r="84" spans="1:4" x14ac:dyDescent="0.25">
      <c r="A84" t="s">
        <v>335</v>
      </c>
      <c r="B84" s="5" t="s">
        <v>1912</v>
      </c>
      <c r="C84" s="5" t="s">
        <v>1912</v>
      </c>
      <c r="D84" t="b">
        <f t="shared" si="2"/>
        <v>0</v>
      </c>
    </row>
    <row r="85" spans="1:4" x14ac:dyDescent="0.25">
      <c r="A85" t="s">
        <v>335</v>
      </c>
      <c r="B85" s="5" t="s">
        <v>302</v>
      </c>
      <c r="C85" s="5" t="s">
        <v>302</v>
      </c>
      <c r="D85" t="b">
        <f t="shared" si="2"/>
        <v>0</v>
      </c>
    </row>
    <row r="86" spans="1:4" x14ac:dyDescent="0.25">
      <c r="A86" t="s">
        <v>335</v>
      </c>
      <c r="B86" s="5" t="s">
        <v>1159</v>
      </c>
      <c r="C86" s="5" t="s">
        <v>1159</v>
      </c>
      <c r="D86" t="b">
        <f t="shared" si="2"/>
        <v>0</v>
      </c>
    </row>
    <row r="87" spans="1:4" x14ac:dyDescent="0.25">
      <c r="A87" t="s">
        <v>335</v>
      </c>
      <c r="B87" s="5" t="s">
        <v>1161</v>
      </c>
      <c r="C87" s="5" t="s">
        <v>1161</v>
      </c>
      <c r="D87" t="b">
        <f t="shared" si="2"/>
        <v>0</v>
      </c>
    </row>
    <row r="88" spans="1:4" x14ac:dyDescent="0.25">
      <c r="A88" t="s">
        <v>335</v>
      </c>
      <c r="B88" s="5" t="s">
        <v>1162</v>
      </c>
      <c r="C88" s="5" t="s">
        <v>1162</v>
      </c>
      <c r="D88" t="b">
        <f t="shared" si="2"/>
        <v>0</v>
      </c>
    </row>
    <row r="89" spans="1:4" x14ac:dyDescent="0.25">
      <c r="A89" t="s">
        <v>43</v>
      </c>
      <c r="B89" s="5" t="s">
        <v>323</v>
      </c>
      <c r="C89" s="5" t="s">
        <v>323</v>
      </c>
      <c r="D89" t="b">
        <f t="shared" si="2"/>
        <v>0</v>
      </c>
    </row>
    <row r="90" spans="1:4" x14ac:dyDescent="0.25">
      <c r="A90" t="s">
        <v>43</v>
      </c>
      <c r="B90" s="5" t="s">
        <v>786</v>
      </c>
      <c r="C90" s="5" t="s">
        <v>786</v>
      </c>
      <c r="D90" t="b">
        <f t="shared" si="2"/>
        <v>0</v>
      </c>
    </row>
    <row r="91" spans="1:4" x14ac:dyDescent="0.25">
      <c r="A91" t="s">
        <v>43</v>
      </c>
      <c r="B91" s="5" t="s">
        <v>713</v>
      </c>
      <c r="C91" s="5" t="s">
        <v>713</v>
      </c>
      <c r="D91" t="b">
        <f t="shared" si="2"/>
        <v>0</v>
      </c>
    </row>
    <row r="92" spans="1:4" x14ac:dyDescent="0.25">
      <c r="A92" t="s">
        <v>43</v>
      </c>
      <c r="B92" s="5" t="s">
        <v>370</v>
      </c>
      <c r="C92" s="5" t="s">
        <v>370</v>
      </c>
      <c r="D92" t="b">
        <f t="shared" si="2"/>
        <v>0</v>
      </c>
    </row>
    <row r="93" spans="1:4" x14ac:dyDescent="0.25">
      <c r="A93" t="s">
        <v>43</v>
      </c>
      <c r="B93" s="5" t="s">
        <v>127</v>
      </c>
      <c r="C93" s="5" t="s">
        <v>127</v>
      </c>
      <c r="D93" t="b">
        <f t="shared" si="2"/>
        <v>0</v>
      </c>
    </row>
    <row r="94" spans="1:4" x14ac:dyDescent="0.25">
      <c r="A94" t="s">
        <v>43</v>
      </c>
      <c r="B94" s="5" t="s">
        <v>179</v>
      </c>
      <c r="C94" s="5" t="s">
        <v>179</v>
      </c>
      <c r="D94" t="b">
        <f t="shared" si="2"/>
        <v>0</v>
      </c>
    </row>
    <row r="95" spans="1:4" x14ac:dyDescent="0.25">
      <c r="A95" t="s">
        <v>43</v>
      </c>
      <c r="B95" s="5" t="s">
        <v>177</v>
      </c>
      <c r="C95" s="5" t="s">
        <v>1910</v>
      </c>
      <c r="D95" t="b">
        <f t="shared" si="2"/>
        <v>1</v>
      </c>
    </row>
    <row r="96" spans="1:4" x14ac:dyDescent="0.25">
      <c r="A96" t="s">
        <v>193</v>
      </c>
      <c r="B96" s="5" t="s">
        <v>1916</v>
      </c>
      <c r="C96" s="5" t="s">
        <v>1916</v>
      </c>
      <c r="D96" t="b">
        <f t="shared" si="2"/>
        <v>0</v>
      </c>
    </row>
    <row r="97" spans="1:4" x14ac:dyDescent="0.25">
      <c r="A97" t="s">
        <v>193</v>
      </c>
      <c r="B97" s="5" t="s">
        <v>568</v>
      </c>
      <c r="C97" s="5" t="s">
        <v>568</v>
      </c>
      <c r="D97" t="b">
        <f t="shared" si="2"/>
        <v>0</v>
      </c>
    </row>
    <row r="98" spans="1:4" x14ac:dyDescent="0.25">
      <c r="A98" t="s">
        <v>193</v>
      </c>
      <c r="B98" s="5" t="s">
        <v>1157</v>
      </c>
      <c r="C98" s="5" t="s">
        <v>1157</v>
      </c>
      <c r="D98" t="b">
        <f t="shared" si="2"/>
        <v>0</v>
      </c>
    </row>
    <row r="99" spans="1:4" x14ac:dyDescent="0.25">
      <c r="A99" t="s">
        <v>193</v>
      </c>
      <c r="B99" s="5" t="s">
        <v>1153</v>
      </c>
      <c r="C99" s="5" t="s">
        <v>1153</v>
      </c>
      <c r="D99" t="b">
        <f t="shared" si="2"/>
        <v>0</v>
      </c>
    </row>
    <row r="100" spans="1:4" x14ac:dyDescent="0.25">
      <c r="A100" t="s">
        <v>193</v>
      </c>
      <c r="B100" s="5" t="s">
        <v>1160</v>
      </c>
      <c r="C100" s="5" t="s">
        <v>1160</v>
      </c>
      <c r="D100" t="b">
        <f t="shared" si="2"/>
        <v>0</v>
      </c>
    </row>
    <row r="101" spans="1:4" x14ac:dyDescent="0.25">
      <c r="A101" t="s">
        <v>193</v>
      </c>
      <c r="B101" s="5" t="s">
        <v>1155</v>
      </c>
      <c r="C101" s="5" t="s">
        <v>1155</v>
      </c>
      <c r="D101" t="b">
        <f t="shared" si="2"/>
        <v>0</v>
      </c>
    </row>
    <row r="102" spans="1:4" x14ac:dyDescent="0.25">
      <c r="A102" t="s">
        <v>193</v>
      </c>
      <c r="B102" s="5" t="s">
        <v>1163</v>
      </c>
      <c r="C102" s="5" t="s">
        <v>1164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F20371D4-45E2-4D3E-AC02-1472E227E525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1E1CA7B1-AAC5-4F53-A07B-75DE8BC1E801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4962-DB48-4C8D-A9F7-3CEA30E9EFC3}">
  <sheetPr codeName="Planilha23"/>
  <dimension ref="A1:G102"/>
  <sheetViews>
    <sheetView workbookViewId="0">
      <selection activeCell="E75" sqref="E75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26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15</v>
      </c>
    </row>
    <row r="3" spans="1:7" x14ac:dyDescent="0.25">
      <c r="A3" s="5" t="s">
        <v>2031</v>
      </c>
      <c r="B3" s="5" t="s">
        <v>2071</v>
      </c>
      <c r="C3" s="5" t="s">
        <v>2071</v>
      </c>
      <c r="D3" t="b">
        <f>B3&lt;&gt;C3</f>
        <v>0</v>
      </c>
      <c r="F3" s="4" t="s">
        <v>37</v>
      </c>
      <c r="G3" s="3">
        <f>SUM(G6:G26)</f>
        <v>100</v>
      </c>
    </row>
    <row r="4" spans="1:7" x14ac:dyDescent="0.25">
      <c r="A4" t="s">
        <v>35</v>
      </c>
      <c r="B4" s="5" t="s">
        <v>1165</v>
      </c>
      <c r="C4" s="5" t="s">
        <v>1165</v>
      </c>
      <c r="D4" t="b">
        <f>B4&lt;&gt;C4</f>
        <v>0</v>
      </c>
    </row>
    <row r="5" spans="1:7" x14ac:dyDescent="0.25">
      <c r="A5" t="s">
        <v>35</v>
      </c>
      <c r="B5" s="5" t="s">
        <v>1166</v>
      </c>
      <c r="C5" s="5" t="s">
        <v>1166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476</v>
      </c>
      <c r="C6" s="5" t="s">
        <v>476</v>
      </c>
      <c r="D6" t="b">
        <f t="shared" si="0"/>
        <v>0</v>
      </c>
      <c r="F6" s="3" t="s">
        <v>2031</v>
      </c>
      <c r="G6" s="2">
        <f t="shared" ref="G6:G14" si="1">COUNTIF(A:A,F6)</f>
        <v>1</v>
      </c>
    </row>
    <row r="7" spans="1:7" x14ac:dyDescent="0.25">
      <c r="A7" t="s">
        <v>35</v>
      </c>
      <c r="B7" s="5" t="s">
        <v>1167</v>
      </c>
      <c r="C7" s="5" t="s">
        <v>619</v>
      </c>
      <c r="D7" t="b">
        <f t="shared" si="0"/>
        <v>1</v>
      </c>
      <c r="F7" s="7" t="s">
        <v>35</v>
      </c>
      <c r="G7" s="2">
        <f t="shared" si="1"/>
        <v>38</v>
      </c>
    </row>
    <row r="8" spans="1:7" x14ac:dyDescent="0.25">
      <c r="A8" t="s">
        <v>35</v>
      </c>
      <c r="B8" s="5" t="s">
        <v>1114</v>
      </c>
      <c r="C8" s="5" t="s">
        <v>1114</v>
      </c>
      <c r="D8" t="b">
        <f t="shared" si="0"/>
        <v>0</v>
      </c>
      <c r="F8" s="7" t="s">
        <v>42</v>
      </c>
      <c r="G8" s="2">
        <f t="shared" si="1"/>
        <v>12</v>
      </c>
    </row>
    <row r="9" spans="1:7" x14ac:dyDescent="0.25">
      <c r="A9" t="s">
        <v>35</v>
      </c>
      <c r="B9" s="5" t="s">
        <v>205</v>
      </c>
      <c r="C9" s="5" t="s">
        <v>69</v>
      </c>
      <c r="D9" t="b">
        <f t="shared" si="0"/>
        <v>1</v>
      </c>
      <c r="F9" s="7" t="s">
        <v>269</v>
      </c>
      <c r="G9" s="2">
        <f t="shared" si="1"/>
        <v>21</v>
      </c>
    </row>
    <row r="10" spans="1:7" x14ac:dyDescent="0.25">
      <c r="A10" t="s">
        <v>35</v>
      </c>
      <c r="B10" s="5" t="s">
        <v>1168</v>
      </c>
      <c r="C10" s="5" t="s">
        <v>1168</v>
      </c>
      <c r="D10" t="b">
        <f t="shared" si="0"/>
        <v>0</v>
      </c>
      <c r="F10" s="7" t="s">
        <v>51</v>
      </c>
      <c r="G10" s="2">
        <f t="shared" si="1"/>
        <v>0</v>
      </c>
    </row>
    <row r="11" spans="1:7" x14ac:dyDescent="0.25">
      <c r="A11" t="s">
        <v>35</v>
      </c>
      <c r="B11" s="5" t="s">
        <v>1169</v>
      </c>
      <c r="C11" s="5" t="s">
        <v>1169</v>
      </c>
      <c r="D11" t="b">
        <f t="shared" si="0"/>
        <v>0</v>
      </c>
      <c r="F11" s="7" t="s">
        <v>337</v>
      </c>
      <c r="G11" s="2">
        <f t="shared" si="1"/>
        <v>7</v>
      </c>
    </row>
    <row r="12" spans="1:7" x14ac:dyDescent="0.25">
      <c r="A12" t="s">
        <v>35</v>
      </c>
      <c r="B12" s="5" t="s">
        <v>1170</v>
      </c>
      <c r="C12" s="5" t="s">
        <v>1170</v>
      </c>
      <c r="D12" t="b">
        <f t="shared" si="0"/>
        <v>0</v>
      </c>
      <c r="F12" s="7" t="s">
        <v>68</v>
      </c>
      <c r="G12" s="2">
        <f t="shared" si="1"/>
        <v>8</v>
      </c>
    </row>
    <row r="13" spans="1:7" x14ac:dyDescent="0.25">
      <c r="A13" t="s">
        <v>35</v>
      </c>
      <c r="B13" s="5" t="s">
        <v>1171</v>
      </c>
      <c r="C13" s="5" t="s">
        <v>1171</v>
      </c>
      <c r="D13" t="b">
        <f t="shared" si="0"/>
        <v>0</v>
      </c>
      <c r="F13" s="7" t="s">
        <v>1174</v>
      </c>
      <c r="G13" s="2">
        <f t="shared" si="1"/>
        <v>4</v>
      </c>
    </row>
    <row r="14" spans="1:7" x14ac:dyDescent="0.25">
      <c r="A14" t="s">
        <v>35</v>
      </c>
      <c r="B14" s="5" t="s">
        <v>1172</v>
      </c>
      <c r="C14" s="5" t="s">
        <v>1173</v>
      </c>
      <c r="D14" t="b">
        <f t="shared" si="0"/>
        <v>1</v>
      </c>
      <c r="F14" s="7" t="s">
        <v>1175</v>
      </c>
      <c r="G14" s="2">
        <f t="shared" si="1"/>
        <v>9</v>
      </c>
    </row>
    <row r="15" spans="1:7" x14ac:dyDescent="0.25">
      <c r="A15" t="s">
        <v>35</v>
      </c>
      <c r="B15" s="5" t="s">
        <v>1108</v>
      </c>
      <c r="C15" s="5" t="s">
        <v>1108</v>
      </c>
      <c r="D15" t="b">
        <f t="shared" si="0"/>
        <v>0</v>
      </c>
    </row>
    <row r="16" spans="1:7" x14ac:dyDescent="0.25">
      <c r="A16" t="s">
        <v>35</v>
      </c>
      <c r="B16" s="5" t="s">
        <v>40</v>
      </c>
      <c r="C16" s="5" t="s">
        <v>40</v>
      </c>
      <c r="D16" t="b">
        <f t="shared" si="0"/>
        <v>0</v>
      </c>
      <c r="F16" s="4"/>
      <c r="G16" s="2"/>
    </row>
    <row r="17" spans="1:7" x14ac:dyDescent="0.25">
      <c r="A17" t="s">
        <v>35</v>
      </c>
      <c r="B17" s="5" t="s">
        <v>270</v>
      </c>
      <c r="C17" s="5" t="s">
        <v>270</v>
      </c>
      <c r="D17" t="b">
        <f t="shared" si="0"/>
        <v>0</v>
      </c>
      <c r="F17" s="4"/>
      <c r="G17" s="2"/>
    </row>
    <row r="18" spans="1:7" x14ac:dyDescent="0.25">
      <c r="A18" t="s">
        <v>35</v>
      </c>
      <c r="B18" s="5" t="s">
        <v>205</v>
      </c>
      <c r="C18" s="5" t="s">
        <v>420</v>
      </c>
      <c r="D18" t="b">
        <f t="shared" si="0"/>
        <v>1</v>
      </c>
    </row>
    <row r="19" spans="1:7" x14ac:dyDescent="0.25">
      <c r="A19" t="s">
        <v>35</v>
      </c>
      <c r="B19" s="5" t="s">
        <v>140</v>
      </c>
      <c r="C19" s="5" t="s">
        <v>140</v>
      </c>
      <c r="D19" t="b">
        <f t="shared" si="0"/>
        <v>0</v>
      </c>
    </row>
    <row r="20" spans="1:7" x14ac:dyDescent="0.25">
      <c r="A20" t="s">
        <v>35</v>
      </c>
      <c r="B20" s="5" t="s">
        <v>1176</v>
      </c>
      <c r="C20" s="5" t="s">
        <v>1176</v>
      </c>
      <c r="D20" t="b">
        <f t="shared" si="0"/>
        <v>0</v>
      </c>
    </row>
    <row r="21" spans="1:7" x14ac:dyDescent="0.25">
      <c r="A21" t="s">
        <v>35</v>
      </c>
      <c r="B21" s="5" t="s">
        <v>67</v>
      </c>
      <c r="C21" s="5" t="s">
        <v>67</v>
      </c>
      <c r="D21" t="b">
        <f t="shared" si="0"/>
        <v>0</v>
      </c>
    </row>
    <row r="22" spans="1:7" x14ac:dyDescent="0.25">
      <c r="A22" t="s">
        <v>35</v>
      </c>
      <c r="B22" s="5" t="s">
        <v>276</v>
      </c>
      <c r="C22" s="5" t="s">
        <v>276</v>
      </c>
      <c r="D22" t="b">
        <f t="shared" si="0"/>
        <v>0</v>
      </c>
    </row>
    <row r="23" spans="1:7" x14ac:dyDescent="0.25">
      <c r="A23" t="s">
        <v>35</v>
      </c>
      <c r="B23" s="5" t="s">
        <v>1177</v>
      </c>
      <c r="C23" s="5" t="s">
        <v>1177</v>
      </c>
      <c r="D23" t="b">
        <f t="shared" si="0"/>
        <v>0</v>
      </c>
    </row>
    <row r="24" spans="1:7" x14ac:dyDescent="0.25">
      <c r="A24" t="s">
        <v>35</v>
      </c>
      <c r="B24" s="5" t="s">
        <v>63</v>
      </c>
      <c r="C24" s="5" t="s">
        <v>63</v>
      </c>
      <c r="D24" t="b">
        <f t="shared" si="0"/>
        <v>0</v>
      </c>
    </row>
    <row r="25" spans="1:7" x14ac:dyDescent="0.25">
      <c r="A25" t="s">
        <v>35</v>
      </c>
      <c r="B25" s="5" t="s">
        <v>1771</v>
      </c>
      <c r="C25" s="5" t="s">
        <v>1771</v>
      </c>
      <c r="D25" t="b">
        <f t="shared" si="0"/>
        <v>0</v>
      </c>
    </row>
    <row r="26" spans="1:7" x14ac:dyDescent="0.25">
      <c r="A26" t="s">
        <v>35</v>
      </c>
      <c r="B26" s="23" t="s">
        <v>150</v>
      </c>
      <c r="C26" s="5" t="s">
        <v>150</v>
      </c>
      <c r="D26" t="b">
        <f t="shared" si="0"/>
        <v>0</v>
      </c>
      <c r="E26" t="s">
        <v>85</v>
      </c>
    </row>
    <row r="27" spans="1:7" x14ac:dyDescent="0.25">
      <c r="A27" t="s">
        <v>35</v>
      </c>
      <c r="B27" s="5" t="s">
        <v>205</v>
      </c>
      <c r="C27" s="5" t="s">
        <v>205</v>
      </c>
      <c r="D27" t="b">
        <f t="shared" si="0"/>
        <v>0</v>
      </c>
    </row>
    <row r="28" spans="1:7" x14ac:dyDescent="0.25">
      <c r="A28" t="s">
        <v>35</v>
      </c>
      <c r="B28" s="5" t="s">
        <v>205</v>
      </c>
      <c r="C28" s="5" t="s">
        <v>205</v>
      </c>
      <c r="D28" t="b">
        <f t="shared" si="0"/>
        <v>0</v>
      </c>
    </row>
    <row r="29" spans="1:7" x14ac:dyDescent="0.25">
      <c r="A29" t="s">
        <v>35</v>
      </c>
      <c r="B29" s="5" t="s">
        <v>205</v>
      </c>
      <c r="C29" s="5" t="s">
        <v>205</v>
      </c>
      <c r="D29" t="b">
        <f t="shared" si="0"/>
        <v>0</v>
      </c>
    </row>
    <row r="30" spans="1:7" x14ac:dyDescent="0.25">
      <c r="A30" t="s">
        <v>35</v>
      </c>
      <c r="B30" s="5" t="s">
        <v>205</v>
      </c>
      <c r="C30" s="5" t="s">
        <v>205</v>
      </c>
      <c r="D30" t="b">
        <f t="shared" si="0"/>
        <v>0</v>
      </c>
    </row>
    <row r="31" spans="1:7" x14ac:dyDescent="0.25">
      <c r="A31" t="s">
        <v>35</v>
      </c>
      <c r="B31" s="5" t="s">
        <v>205</v>
      </c>
      <c r="C31" s="5" t="s">
        <v>205</v>
      </c>
      <c r="D31" t="b">
        <f t="shared" si="0"/>
        <v>0</v>
      </c>
    </row>
    <row r="32" spans="1:7" x14ac:dyDescent="0.25">
      <c r="A32" t="s">
        <v>35</v>
      </c>
      <c r="B32" s="5" t="s">
        <v>205</v>
      </c>
      <c r="C32" s="5" t="s">
        <v>205</v>
      </c>
      <c r="D32" t="b">
        <f t="shared" si="0"/>
        <v>0</v>
      </c>
    </row>
    <row r="33" spans="1:4" x14ac:dyDescent="0.25">
      <c r="A33" t="s">
        <v>35</v>
      </c>
      <c r="B33" s="5" t="s">
        <v>205</v>
      </c>
      <c r="C33" s="5" t="s">
        <v>205</v>
      </c>
      <c r="D33" t="b">
        <f t="shared" si="0"/>
        <v>0</v>
      </c>
    </row>
    <row r="34" spans="1:4" x14ac:dyDescent="0.25">
      <c r="A34" t="s">
        <v>35</v>
      </c>
      <c r="B34" s="5" t="s">
        <v>205</v>
      </c>
      <c r="C34" s="5" t="s">
        <v>205</v>
      </c>
      <c r="D34" t="b">
        <f t="shared" si="0"/>
        <v>0</v>
      </c>
    </row>
    <row r="35" spans="1:4" x14ac:dyDescent="0.25">
      <c r="A35" t="s">
        <v>35</v>
      </c>
      <c r="B35" s="5" t="s">
        <v>205</v>
      </c>
      <c r="C35" s="5" t="s">
        <v>205</v>
      </c>
      <c r="D35" t="b">
        <f t="shared" si="0"/>
        <v>0</v>
      </c>
    </row>
    <row r="36" spans="1:4" x14ac:dyDescent="0.25">
      <c r="A36" t="s">
        <v>35</v>
      </c>
      <c r="B36" s="5" t="s">
        <v>205</v>
      </c>
      <c r="C36" s="5" t="s">
        <v>205</v>
      </c>
      <c r="D36" t="b">
        <f t="shared" si="0"/>
        <v>0</v>
      </c>
    </row>
    <row r="37" spans="1:4" x14ac:dyDescent="0.25">
      <c r="A37" t="s">
        <v>35</v>
      </c>
      <c r="B37" s="5" t="s">
        <v>85</v>
      </c>
      <c r="C37" s="5" t="s">
        <v>85</v>
      </c>
      <c r="D37" t="b">
        <f t="shared" si="0"/>
        <v>0</v>
      </c>
    </row>
    <row r="38" spans="1:4" x14ac:dyDescent="0.25">
      <c r="A38" t="s">
        <v>35</v>
      </c>
      <c r="B38" s="5" t="s">
        <v>85</v>
      </c>
      <c r="C38" s="5" t="s">
        <v>85</v>
      </c>
      <c r="D38" t="b">
        <f t="shared" si="0"/>
        <v>0</v>
      </c>
    </row>
    <row r="39" spans="1:4" x14ac:dyDescent="0.25">
      <c r="A39" t="s">
        <v>35</v>
      </c>
      <c r="B39" s="5" t="s">
        <v>85</v>
      </c>
      <c r="C39" s="5" t="s">
        <v>85</v>
      </c>
      <c r="D39" t="b">
        <f t="shared" si="0"/>
        <v>0</v>
      </c>
    </row>
    <row r="40" spans="1:4" x14ac:dyDescent="0.25">
      <c r="A40" t="s">
        <v>35</v>
      </c>
      <c r="B40" s="5" t="s">
        <v>85</v>
      </c>
      <c r="C40" s="5" t="s">
        <v>85</v>
      </c>
      <c r="D40" t="b">
        <f t="shared" si="0"/>
        <v>0</v>
      </c>
    </row>
    <row r="41" spans="1:4" x14ac:dyDescent="0.25">
      <c r="A41" t="s">
        <v>35</v>
      </c>
      <c r="B41" s="5" t="s">
        <v>85</v>
      </c>
      <c r="C41" s="5" t="s">
        <v>85</v>
      </c>
      <c r="D41" t="b">
        <f t="shared" si="0"/>
        <v>0</v>
      </c>
    </row>
    <row r="42" spans="1:4" x14ac:dyDescent="0.25">
      <c r="A42" t="s">
        <v>42</v>
      </c>
      <c r="B42" s="5" t="s">
        <v>1178</v>
      </c>
      <c r="C42" s="5" t="s">
        <v>1178</v>
      </c>
      <c r="D42" t="b">
        <f t="shared" si="0"/>
        <v>0</v>
      </c>
    </row>
    <row r="43" spans="1:4" x14ac:dyDescent="0.25">
      <c r="A43" t="s">
        <v>42</v>
      </c>
      <c r="B43" s="5" t="s">
        <v>1179</v>
      </c>
      <c r="C43" s="5" t="s">
        <v>1179</v>
      </c>
      <c r="D43" t="b">
        <f t="shared" si="0"/>
        <v>0</v>
      </c>
    </row>
    <row r="44" spans="1:4" x14ac:dyDescent="0.25">
      <c r="A44" t="s">
        <v>42</v>
      </c>
      <c r="B44" s="5" t="s">
        <v>98</v>
      </c>
      <c r="C44" s="5" t="s">
        <v>98</v>
      </c>
      <c r="D44" t="b">
        <f t="shared" si="0"/>
        <v>0</v>
      </c>
    </row>
    <row r="45" spans="1:4" x14ac:dyDescent="0.25">
      <c r="A45" t="s">
        <v>42</v>
      </c>
      <c r="B45" s="5" t="s">
        <v>841</v>
      </c>
      <c r="C45" s="5" t="s">
        <v>841</v>
      </c>
      <c r="D45" t="b">
        <f t="shared" si="0"/>
        <v>0</v>
      </c>
    </row>
    <row r="46" spans="1:4" x14ac:dyDescent="0.25">
      <c r="A46" t="s">
        <v>42</v>
      </c>
      <c r="B46" s="5" t="s">
        <v>1717</v>
      </c>
      <c r="C46" s="5" t="s">
        <v>1717</v>
      </c>
      <c r="D46" t="b">
        <f t="shared" si="0"/>
        <v>0</v>
      </c>
    </row>
    <row r="47" spans="1:4" x14ac:dyDescent="0.25">
      <c r="A47" t="s">
        <v>42</v>
      </c>
      <c r="B47" s="5" t="s">
        <v>1180</v>
      </c>
      <c r="C47" s="5" t="s">
        <v>1613</v>
      </c>
      <c r="D47" t="b">
        <f t="shared" si="0"/>
        <v>1</v>
      </c>
    </row>
    <row r="48" spans="1:4" x14ac:dyDescent="0.25">
      <c r="A48" t="s">
        <v>42</v>
      </c>
      <c r="B48" s="5" t="s">
        <v>295</v>
      </c>
      <c r="C48" s="5" t="s">
        <v>1611</v>
      </c>
      <c r="D48" t="b">
        <f t="shared" si="0"/>
        <v>1</v>
      </c>
    </row>
    <row r="49" spans="1:4" x14ac:dyDescent="0.25">
      <c r="A49" t="s">
        <v>42</v>
      </c>
      <c r="B49" s="5" t="s">
        <v>1181</v>
      </c>
      <c r="C49" s="5" t="s">
        <v>1905</v>
      </c>
      <c r="D49" t="b">
        <f t="shared" si="0"/>
        <v>1</v>
      </c>
    </row>
    <row r="50" spans="1:4" x14ac:dyDescent="0.25">
      <c r="A50" t="s">
        <v>42</v>
      </c>
      <c r="B50" s="5" t="s">
        <v>1182</v>
      </c>
      <c r="C50" s="5" t="s">
        <v>1182</v>
      </c>
      <c r="D50" t="b">
        <f t="shared" si="0"/>
        <v>0</v>
      </c>
    </row>
    <row r="51" spans="1:4" x14ac:dyDescent="0.25">
      <c r="A51" t="s">
        <v>42</v>
      </c>
      <c r="B51" s="5" t="s">
        <v>1548</v>
      </c>
      <c r="C51" s="5" t="s">
        <v>1548</v>
      </c>
      <c r="D51" t="b">
        <f t="shared" si="0"/>
        <v>0</v>
      </c>
    </row>
    <row r="52" spans="1:4" x14ac:dyDescent="0.25">
      <c r="A52" t="s">
        <v>42</v>
      </c>
      <c r="B52" s="5" t="s">
        <v>1183</v>
      </c>
      <c r="C52" s="5" t="s">
        <v>1183</v>
      </c>
      <c r="D52" t="b">
        <f t="shared" si="0"/>
        <v>0</v>
      </c>
    </row>
    <row r="53" spans="1:4" x14ac:dyDescent="0.25">
      <c r="A53" t="s">
        <v>42</v>
      </c>
      <c r="B53" s="5" t="s">
        <v>1184</v>
      </c>
      <c r="C53" s="5" t="s">
        <v>1774</v>
      </c>
      <c r="D53" t="b">
        <f t="shared" si="0"/>
        <v>1</v>
      </c>
    </row>
    <row r="54" spans="1:4" x14ac:dyDescent="0.25">
      <c r="A54" t="s">
        <v>68</v>
      </c>
      <c r="B54" s="5" t="s">
        <v>1185</v>
      </c>
      <c r="C54" s="5" t="s">
        <v>1185</v>
      </c>
      <c r="D54" t="b">
        <f t="shared" si="0"/>
        <v>0</v>
      </c>
    </row>
    <row r="55" spans="1:4" x14ac:dyDescent="0.25">
      <c r="A55" t="s">
        <v>68</v>
      </c>
      <c r="B55" s="5" t="s">
        <v>1186</v>
      </c>
      <c r="C55" s="5" t="s">
        <v>1186</v>
      </c>
      <c r="D55" t="b">
        <f t="shared" si="0"/>
        <v>0</v>
      </c>
    </row>
    <row r="56" spans="1:4" x14ac:dyDescent="0.25">
      <c r="A56" t="s">
        <v>68</v>
      </c>
      <c r="B56" s="5" t="s">
        <v>1187</v>
      </c>
      <c r="C56" s="5" t="s">
        <v>1773</v>
      </c>
      <c r="D56" t="b">
        <f t="shared" si="0"/>
        <v>1</v>
      </c>
    </row>
    <row r="57" spans="1:4" x14ac:dyDescent="0.25">
      <c r="A57" t="s">
        <v>68</v>
      </c>
      <c r="B57" s="5" t="s">
        <v>591</v>
      </c>
      <c r="C57" s="5" t="s">
        <v>591</v>
      </c>
      <c r="D57" t="b">
        <f t="shared" si="0"/>
        <v>0</v>
      </c>
    </row>
    <row r="58" spans="1:4" x14ac:dyDescent="0.25">
      <c r="A58" t="s">
        <v>68</v>
      </c>
      <c r="B58" s="5" t="s">
        <v>916</v>
      </c>
      <c r="C58" s="5" t="s">
        <v>916</v>
      </c>
      <c r="D58" t="b">
        <f t="shared" si="0"/>
        <v>0</v>
      </c>
    </row>
    <row r="59" spans="1:4" x14ac:dyDescent="0.25">
      <c r="A59" t="s">
        <v>68</v>
      </c>
      <c r="B59" s="5" t="s">
        <v>1188</v>
      </c>
      <c r="C59" s="5" t="s">
        <v>1188</v>
      </c>
      <c r="D59" t="b">
        <f t="shared" si="0"/>
        <v>0</v>
      </c>
    </row>
    <row r="60" spans="1:4" x14ac:dyDescent="0.25">
      <c r="A60" t="s">
        <v>68</v>
      </c>
      <c r="B60" s="5" t="s">
        <v>1189</v>
      </c>
      <c r="C60" s="5" t="s">
        <v>1189</v>
      </c>
      <c r="D60" t="b">
        <f t="shared" si="0"/>
        <v>0</v>
      </c>
    </row>
    <row r="61" spans="1:4" x14ac:dyDescent="0.25">
      <c r="A61" t="s">
        <v>68</v>
      </c>
      <c r="B61" s="5" t="s">
        <v>1190</v>
      </c>
      <c r="C61" s="5" t="s">
        <v>1772</v>
      </c>
      <c r="D61" t="b">
        <f t="shared" si="0"/>
        <v>1</v>
      </c>
    </row>
    <row r="62" spans="1:4" x14ac:dyDescent="0.25">
      <c r="A62" t="s">
        <v>269</v>
      </c>
      <c r="B62" s="5" t="s">
        <v>1191</v>
      </c>
      <c r="C62" s="5" t="s">
        <v>1191</v>
      </c>
      <c r="D62" t="b">
        <f t="shared" si="0"/>
        <v>0</v>
      </c>
    </row>
    <row r="63" spans="1:4" x14ac:dyDescent="0.25">
      <c r="A63" t="s">
        <v>269</v>
      </c>
      <c r="B63" s="5" t="s">
        <v>1192</v>
      </c>
      <c r="C63" s="5" t="s">
        <v>1192</v>
      </c>
      <c r="D63" t="b">
        <f t="shared" si="0"/>
        <v>0</v>
      </c>
    </row>
    <row r="64" spans="1:4" x14ac:dyDescent="0.25">
      <c r="A64" t="s">
        <v>269</v>
      </c>
      <c r="B64" s="5" t="s">
        <v>1193</v>
      </c>
      <c r="C64" s="5" t="s">
        <v>1193</v>
      </c>
      <c r="D64" t="b">
        <f t="shared" si="0"/>
        <v>0</v>
      </c>
    </row>
    <row r="65" spans="1:4" x14ac:dyDescent="0.25">
      <c r="A65" t="s">
        <v>269</v>
      </c>
      <c r="B65" s="5" t="s">
        <v>1776</v>
      </c>
      <c r="C65" s="5" t="s">
        <v>1776</v>
      </c>
      <c r="D65" t="b">
        <f t="shared" si="0"/>
        <v>0</v>
      </c>
    </row>
    <row r="66" spans="1:4" x14ac:dyDescent="0.25">
      <c r="A66" t="s">
        <v>269</v>
      </c>
      <c r="B66" s="5" t="s">
        <v>1194</v>
      </c>
      <c r="C66" s="5" t="s">
        <v>1194</v>
      </c>
      <c r="D66" t="b">
        <f t="shared" si="0"/>
        <v>0</v>
      </c>
    </row>
    <row r="67" spans="1:4" x14ac:dyDescent="0.25">
      <c r="A67" t="s">
        <v>269</v>
      </c>
      <c r="B67" s="5" t="s">
        <v>1195</v>
      </c>
      <c r="C67" s="5" t="s">
        <v>1195</v>
      </c>
      <c r="D67" t="b">
        <f t="shared" si="0"/>
        <v>0</v>
      </c>
    </row>
    <row r="68" spans="1:4" x14ac:dyDescent="0.25">
      <c r="A68" t="s">
        <v>269</v>
      </c>
      <c r="B68" s="5" t="s">
        <v>1196</v>
      </c>
      <c r="C68" s="5" t="s">
        <v>1197</v>
      </c>
      <c r="D68" t="b">
        <f t="shared" si="0"/>
        <v>1</v>
      </c>
    </row>
    <row r="69" spans="1:4" x14ac:dyDescent="0.25">
      <c r="A69" t="s">
        <v>269</v>
      </c>
      <c r="B69" s="5" t="s">
        <v>1198</v>
      </c>
      <c r="C69" s="5" t="s">
        <v>1198</v>
      </c>
      <c r="D69" t="b">
        <f t="shared" ref="D69:D102" si="2">B69&lt;&gt;C69</f>
        <v>0</v>
      </c>
    </row>
    <row r="70" spans="1:4" x14ac:dyDescent="0.25">
      <c r="A70" t="s">
        <v>269</v>
      </c>
      <c r="B70" s="5" t="s">
        <v>1199</v>
      </c>
      <c r="C70" s="5" t="s">
        <v>1199</v>
      </c>
      <c r="D70" t="b">
        <f t="shared" si="2"/>
        <v>0</v>
      </c>
    </row>
    <row r="71" spans="1:4" x14ac:dyDescent="0.25">
      <c r="A71" t="s">
        <v>269</v>
      </c>
      <c r="B71" s="5" t="s">
        <v>1200</v>
      </c>
      <c r="C71" s="5" t="s">
        <v>1200</v>
      </c>
      <c r="D71" t="b">
        <f t="shared" si="2"/>
        <v>0</v>
      </c>
    </row>
    <row r="72" spans="1:4" x14ac:dyDescent="0.25">
      <c r="A72" t="s">
        <v>269</v>
      </c>
      <c r="B72" s="5" t="s">
        <v>1547</v>
      </c>
      <c r="C72" s="5" t="s">
        <v>1547</v>
      </c>
      <c r="D72" t="b">
        <f t="shared" si="2"/>
        <v>0</v>
      </c>
    </row>
    <row r="73" spans="1:4" x14ac:dyDescent="0.25">
      <c r="A73" t="s">
        <v>269</v>
      </c>
      <c r="B73" s="5" t="s">
        <v>1201</v>
      </c>
      <c r="C73" s="5" t="s">
        <v>1202</v>
      </c>
      <c r="D73" t="b">
        <f t="shared" si="2"/>
        <v>1</v>
      </c>
    </row>
    <row r="74" spans="1:4" x14ac:dyDescent="0.25">
      <c r="A74" t="s">
        <v>269</v>
      </c>
      <c r="B74" s="5" t="s">
        <v>1203</v>
      </c>
      <c r="C74" s="5" t="s">
        <v>1204</v>
      </c>
      <c r="D74" t="b">
        <f t="shared" si="2"/>
        <v>1</v>
      </c>
    </row>
    <row r="75" spans="1:4" x14ac:dyDescent="0.25">
      <c r="A75" t="s">
        <v>269</v>
      </c>
      <c r="B75" s="5" t="s">
        <v>1953</v>
      </c>
      <c r="C75" s="5" t="s">
        <v>1953</v>
      </c>
      <c r="D75" t="b">
        <f t="shared" si="2"/>
        <v>0</v>
      </c>
    </row>
    <row r="76" spans="1:4" x14ac:dyDescent="0.25">
      <c r="A76" t="s">
        <v>269</v>
      </c>
      <c r="B76" s="5" t="s">
        <v>1205</v>
      </c>
      <c r="C76" s="5" t="s">
        <v>1205</v>
      </c>
      <c r="D76" t="b">
        <f t="shared" si="2"/>
        <v>0</v>
      </c>
    </row>
    <row r="77" spans="1:4" x14ac:dyDescent="0.25">
      <c r="A77" t="s">
        <v>269</v>
      </c>
      <c r="B77" s="5" t="s">
        <v>2051</v>
      </c>
      <c r="C77" s="5" t="s">
        <v>2051</v>
      </c>
      <c r="D77" t="b">
        <f t="shared" si="2"/>
        <v>0</v>
      </c>
    </row>
    <row r="78" spans="1:4" x14ac:dyDescent="0.25">
      <c r="A78" t="s">
        <v>269</v>
      </c>
      <c r="B78" s="5" t="s">
        <v>1206</v>
      </c>
      <c r="C78" s="5" t="s">
        <v>1206</v>
      </c>
      <c r="D78" t="b">
        <f t="shared" si="2"/>
        <v>0</v>
      </c>
    </row>
    <row r="79" spans="1:4" x14ac:dyDescent="0.25">
      <c r="A79" t="s">
        <v>269</v>
      </c>
      <c r="B79" s="5" t="s">
        <v>1207</v>
      </c>
      <c r="C79" s="5" t="s">
        <v>1207</v>
      </c>
      <c r="D79" t="b">
        <f t="shared" si="2"/>
        <v>0</v>
      </c>
    </row>
    <row r="80" spans="1:4" x14ac:dyDescent="0.25">
      <c r="A80" t="s">
        <v>269</v>
      </c>
      <c r="B80" s="5" t="s">
        <v>1208</v>
      </c>
      <c r="C80" s="5" t="s">
        <v>1208</v>
      </c>
      <c r="D80" t="b">
        <f t="shared" si="2"/>
        <v>0</v>
      </c>
    </row>
    <row r="81" spans="1:4" x14ac:dyDescent="0.25">
      <c r="A81" t="s">
        <v>269</v>
      </c>
      <c r="B81" s="5" t="s">
        <v>1209</v>
      </c>
      <c r="C81" s="5" t="s">
        <v>1209</v>
      </c>
      <c r="D81" t="b">
        <f t="shared" si="2"/>
        <v>0</v>
      </c>
    </row>
    <row r="82" spans="1:4" x14ac:dyDescent="0.25">
      <c r="A82" t="s">
        <v>269</v>
      </c>
      <c r="B82" s="5" t="s">
        <v>1210</v>
      </c>
      <c r="C82" s="5" t="s">
        <v>1210</v>
      </c>
      <c r="D82" t="b">
        <f t="shared" si="2"/>
        <v>0</v>
      </c>
    </row>
    <row r="83" spans="1:4" x14ac:dyDescent="0.25">
      <c r="A83" t="s">
        <v>1174</v>
      </c>
      <c r="B83" s="5" t="s">
        <v>1211</v>
      </c>
      <c r="C83" s="5" t="s">
        <v>1211</v>
      </c>
      <c r="D83" t="b">
        <f t="shared" si="2"/>
        <v>0</v>
      </c>
    </row>
    <row r="84" spans="1:4" x14ac:dyDescent="0.25">
      <c r="A84" t="s">
        <v>1174</v>
      </c>
      <c r="B84" s="5" t="s">
        <v>1212</v>
      </c>
      <c r="C84" s="5" t="s">
        <v>1212</v>
      </c>
      <c r="D84" t="b">
        <f t="shared" si="2"/>
        <v>0</v>
      </c>
    </row>
    <row r="85" spans="1:4" x14ac:dyDescent="0.25">
      <c r="A85" t="s">
        <v>1174</v>
      </c>
      <c r="B85" s="5" t="s">
        <v>1555</v>
      </c>
      <c r="C85" s="5" t="s">
        <v>1555</v>
      </c>
      <c r="D85" t="b">
        <f t="shared" si="2"/>
        <v>0</v>
      </c>
    </row>
    <row r="86" spans="1:4" x14ac:dyDescent="0.25">
      <c r="A86" t="s">
        <v>1174</v>
      </c>
      <c r="B86" s="5" t="s">
        <v>1213</v>
      </c>
      <c r="C86" s="5" t="s">
        <v>1213</v>
      </c>
      <c r="D86" t="b">
        <f t="shared" si="2"/>
        <v>0</v>
      </c>
    </row>
    <row r="87" spans="1:4" x14ac:dyDescent="0.25">
      <c r="A87" t="s">
        <v>1175</v>
      </c>
      <c r="B87" s="5" t="s">
        <v>1214</v>
      </c>
      <c r="C87" s="5" t="s">
        <v>1214</v>
      </c>
      <c r="D87" t="b">
        <f t="shared" si="2"/>
        <v>0</v>
      </c>
    </row>
    <row r="88" spans="1:4" x14ac:dyDescent="0.25">
      <c r="A88" t="s">
        <v>1175</v>
      </c>
      <c r="B88" s="5" t="s">
        <v>1215</v>
      </c>
      <c r="C88" s="5" t="s">
        <v>1215</v>
      </c>
      <c r="D88" t="b">
        <f t="shared" si="2"/>
        <v>0</v>
      </c>
    </row>
    <row r="89" spans="1:4" x14ac:dyDescent="0.25">
      <c r="A89" t="s">
        <v>1175</v>
      </c>
      <c r="B89" s="5" t="s">
        <v>1216</v>
      </c>
      <c r="C89" s="5" t="s">
        <v>1216</v>
      </c>
      <c r="D89" t="b">
        <f t="shared" si="2"/>
        <v>0</v>
      </c>
    </row>
    <row r="90" spans="1:4" x14ac:dyDescent="0.25">
      <c r="A90" t="s">
        <v>1175</v>
      </c>
      <c r="B90" s="5" t="s">
        <v>1217</v>
      </c>
      <c r="C90" s="5" t="s">
        <v>1217</v>
      </c>
      <c r="D90" t="b">
        <f t="shared" si="2"/>
        <v>0</v>
      </c>
    </row>
    <row r="91" spans="1:4" x14ac:dyDescent="0.25">
      <c r="A91" t="s">
        <v>1175</v>
      </c>
      <c r="B91" s="5" t="s">
        <v>1218</v>
      </c>
      <c r="C91" s="5" t="s">
        <v>1218</v>
      </c>
      <c r="D91" t="b">
        <f t="shared" si="2"/>
        <v>0</v>
      </c>
    </row>
    <row r="92" spans="1:4" x14ac:dyDescent="0.25">
      <c r="A92" t="s">
        <v>1175</v>
      </c>
      <c r="B92" s="5" t="s">
        <v>1219</v>
      </c>
      <c r="C92" s="5" t="s">
        <v>1954</v>
      </c>
      <c r="D92" t="b">
        <f t="shared" si="2"/>
        <v>1</v>
      </c>
    </row>
    <row r="93" spans="1:4" x14ac:dyDescent="0.25">
      <c r="A93" t="s">
        <v>1175</v>
      </c>
      <c r="B93" s="5" t="s">
        <v>1220</v>
      </c>
      <c r="C93" s="5" t="s">
        <v>1220</v>
      </c>
      <c r="D93" t="b">
        <f t="shared" si="2"/>
        <v>0</v>
      </c>
    </row>
    <row r="94" spans="1:4" x14ac:dyDescent="0.25">
      <c r="A94" t="s">
        <v>1175</v>
      </c>
      <c r="B94" s="5" t="s">
        <v>1221</v>
      </c>
      <c r="C94" s="5" t="s">
        <v>1221</v>
      </c>
      <c r="D94" t="b">
        <f t="shared" si="2"/>
        <v>0</v>
      </c>
    </row>
    <row r="95" spans="1:4" x14ac:dyDescent="0.25">
      <c r="A95" t="s">
        <v>1175</v>
      </c>
      <c r="B95" s="5" t="s">
        <v>1222</v>
      </c>
      <c r="C95" s="5" t="s">
        <v>1222</v>
      </c>
      <c r="D95" t="b">
        <f t="shared" si="2"/>
        <v>0</v>
      </c>
    </row>
    <row r="96" spans="1:4" x14ac:dyDescent="0.25">
      <c r="A96" t="s">
        <v>337</v>
      </c>
      <c r="B96" s="5" t="s">
        <v>1612</v>
      </c>
      <c r="C96" s="5" t="s">
        <v>1612</v>
      </c>
      <c r="D96" t="b">
        <f t="shared" si="2"/>
        <v>0</v>
      </c>
    </row>
    <row r="97" spans="1:4" x14ac:dyDescent="0.25">
      <c r="A97" t="s">
        <v>337</v>
      </c>
      <c r="B97" s="5" t="s">
        <v>1223</v>
      </c>
      <c r="C97" s="5" t="s">
        <v>1223</v>
      </c>
      <c r="D97" t="b">
        <f t="shared" si="2"/>
        <v>0</v>
      </c>
    </row>
    <row r="98" spans="1:4" x14ac:dyDescent="0.25">
      <c r="A98" t="s">
        <v>337</v>
      </c>
      <c r="B98" s="5" t="s">
        <v>1224</v>
      </c>
      <c r="C98" s="5" t="s">
        <v>1224</v>
      </c>
      <c r="D98" t="b">
        <f t="shared" si="2"/>
        <v>0</v>
      </c>
    </row>
    <row r="99" spans="1:4" x14ac:dyDescent="0.25">
      <c r="A99" t="s">
        <v>337</v>
      </c>
      <c r="B99" s="5" t="s">
        <v>1225</v>
      </c>
      <c r="C99" s="5" t="s">
        <v>1225</v>
      </c>
      <c r="D99" t="b">
        <f t="shared" si="2"/>
        <v>0</v>
      </c>
    </row>
    <row r="100" spans="1:4" x14ac:dyDescent="0.25">
      <c r="A100" t="s">
        <v>337</v>
      </c>
      <c r="B100" s="5" t="s">
        <v>293</v>
      </c>
      <c r="C100" s="5" t="s">
        <v>293</v>
      </c>
      <c r="D100" t="b">
        <f t="shared" si="2"/>
        <v>0</v>
      </c>
    </row>
    <row r="101" spans="1:4" x14ac:dyDescent="0.25">
      <c r="A101" t="s">
        <v>337</v>
      </c>
      <c r="B101" s="5" t="s">
        <v>1226</v>
      </c>
      <c r="C101" s="5" t="s">
        <v>1226</v>
      </c>
      <c r="D101" t="b">
        <f t="shared" si="2"/>
        <v>0</v>
      </c>
    </row>
    <row r="102" spans="1:4" x14ac:dyDescent="0.25">
      <c r="A102" t="s">
        <v>337</v>
      </c>
      <c r="B102" s="5" t="s">
        <v>1881</v>
      </c>
      <c r="C102" s="5" t="s">
        <v>1775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D330924-8756-44B1-A10D-70D09F47A51D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6199ED1D-BB51-4A94-A2A7-6B9FC2465BDB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52BF-0F94-41B2-8DA5-D2D357D36D6F}">
  <sheetPr codeName="Planilha28"/>
  <dimension ref="A1:G102"/>
  <sheetViews>
    <sheetView topLeftCell="A70" workbookViewId="0">
      <selection activeCell="B77" sqref="B77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27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7</v>
      </c>
    </row>
    <row r="3" spans="1:7" x14ac:dyDescent="0.25">
      <c r="A3" s="5" t="s">
        <v>2031</v>
      </c>
      <c r="B3" s="5" t="s">
        <v>2072</v>
      </c>
      <c r="C3" s="5" t="s">
        <v>2072</v>
      </c>
      <c r="D3" t="b">
        <f>B3&lt;&gt;C3</f>
        <v>0</v>
      </c>
      <c r="F3" s="4" t="s">
        <v>37</v>
      </c>
      <c r="G3" s="3">
        <f>SUM(G6:G26)</f>
        <v>99</v>
      </c>
    </row>
    <row r="4" spans="1:7" x14ac:dyDescent="0.25">
      <c r="A4" t="s">
        <v>35</v>
      </c>
      <c r="B4" s="5" t="s">
        <v>47</v>
      </c>
      <c r="C4" s="5" t="s">
        <v>1758</v>
      </c>
      <c r="D4" t="b">
        <f>B4&lt;&gt;C4</f>
        <v>1</v>
      </c>
    </row>
    <row r="5" spans="1:7" x14ac:dyDescent="0.25">
      <c r="A5" t="s">
        <v>35</v>
      </c>
      <c r="B5" s="5" t="s">
        <v>681</v>
      </c>
      <c r="C5" s="5" t="s">
        <v>681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204</v>
      </c>
      <c r="C6" s="5" t="s">
        <v>204</v>
      </c>
      <c r="D6" t="b">
        <f t="shared" si="0"/>
        <v>0</v>
      </c>
      <c r="F6" s="3" t="s">
        <v>2060</v>
      </c>
      <c r="G6" s="2">
        <f t="shared" ref="G6:G12" si="1">COUNTIF(A:A,F6)</f>
        <v>0</v>
      </c>
    </row>
    <row r="7" spans="1:7" x14ac:dyDescent="0.25">
      <c r="A7" t="s">
        <v>35</v>
      </c>
      <c r="B7" s="5" t="s">
        <v>827</v>
      </c>
      <c r="C7" s="5" t="s">
        <v>827</v>
      </c>
      <c r="D7" t="b">
        <f t="shared" si="0"/>
        <v>0</v>
      </c>
      <c r="F7" s="7" t="s">
        <v>35</v>
      </c>
      <c r="G7" s="2">
        <f t="shared" si="1"/>
        <v>33</v>
      </c>
    </row>
    <row r="8" spans="1:7" x14ac:dyDescent="0.25">
      <c r="A8" t="s">
        <v>35</v>
      </c>
      <c r="B8" s="5" t="s">
        <v>686</v>
      </c>
      <c r="C8" s="5" t="s">
        <v>686</v>
      </c>
      <c r="D8" t="b">
        <f t="shared" si="0"/>
        <v>0</v>
      </c>
      <c r="F8" s="7" t="s">
        <v>41</v>
      </c>
      <c r="G8" s="2">
        <f t="shared" si="1"/>
        <v>25</v>
      </c>
    </row>
    <row r="9" spans="1:7" x14ac:dyDescent="0.25">
      <c r="A9" t="s">
        <v>35</v>
      </c>
      <c r="B9" s="5" t="s">
        <v>542</v>
      </c>
      <c r="C9" s="5" t="s">
        <v>542</v>
      </c>
      <c r="D9" t="b">
        <f t="shared" si="0"/>
        <v>0</v>
      </c>
      <c r="F9" s="7" t="s">
        <v>6</v>
      </c>
      <c r="G9" s="2">
        <f t="shared" si="1"/>
        <v>11</v>
      </c>
    </row>
    <row r="10" spans="1:7" x14ac:dyDescent="0.25">
      <c r="A10" t="s">
        <v>35</v>
      </c>
      <c r="B10" s="5" t="s">
        <v>40</v>
      </c>
      <c r="C10" s="5" t="s">
        <v>40</v>
      </c>
      <c r="D10" t="b">
        <f t="shared" si="0"/>
        <v>0</v>
      </c>
      <c r="F10" s="7" t="s">
        <v>68</v>
      </c>
      <c r="G10" s="2">
        <f t="shared" si="1"/>
        <v>13</v>
      </c>
    </row>
    <row r="11" spans="1:7" x14ac:dyDescent="0.25">
      <c r="A11" t="s">
        <v>35</v>
      </c>
      <c r="B11" s="5" t="s">
        <v>1448</v>
      </c>
      <c r="C11" s="5" t="s">
        <v>1448</v>
      </c>
      <c r="D11" t="b">
        <f t="shared" si="0"/>
        <v>0</v>
      </c>
      <c r="F11" s="7" t="s">
        <v>42</v>
      </c>
      <c r="G11" s="2">
        <f t="shared" si="1"/>
        <v>9</v>
      </c>
    </row>
    <row r="12" spans="1:7" x14ac:dyDescent="0.25">
      <c r="A12" t="s">
        <v>35</v>
      </c>
      <c r="B12" s="5" t="s">
        <v>67</v>
      </c>
      <c r="C12" s="5" t="s">
        <v>67</v>
      </c>
      <c r="D12" t="b">
        <f t="shared" si="0"/>
        <v>0</v>
      </c>
      <c r="F12" s="7" t="s">
        <v>1450</v>
      </c>
      <c r="G12" s="2">
        <f t="shared" si="1"/>
        <v>8</v>
      </c>
    </row>
    <row r="13" spans="1:7" x14ac:dyDescent="0.25">
      <c r="A13" t="s">
        <v>35</v>
      </c>
      <c r="B13" s="5" t="s">
        <v>1449</v>
      </c>
      <c r="C13" s="5" t="s">
        <v>1449</v>
      </c>
      <c r="D13" t="b">
        <f t="shared" si="0"/>
        <v>0</v>
      </c>
    </row>
    <row r="14" spans="1:7" x14ac:dyDescent="0.25">
      <c r="A14" t="s">
        <v>35</v>
      </c>
      <c r="B14" s="5" t="s">
        <v>45</v>
      </c>
      <c r="C14" s="5" t="s">
        <v>45</v>
      </c>
      <c r="D14" t="b">
        <f t="shared" si="0"/>
        <v>0</v>
      </c>
      <c r="F14" s="1"/>
      <c r="G14" s="2"/>
    </row>
    <row r="15" spans="1:7" x14ac:dyDescent="0.25">
      <c r="A15" t="s">
        <v>35</v>
      </c>
      <c r="B15" s="5" t="s">
        <v>45</v>
      </c>
      <c r="C15" s="5" t="s">
        <v>45</v>
      </c>
      <c r="D15" t="b">
        <f t="shared" si="0"/>
        <v>0</v>
      </c>
      <c r="F15" s="1"/>
      <c r="G15" s="2"/>
    </row>
    <row r="16" spans="1:7" x14ac:dyDescent="0.25">
      <c r="A16" t="s">
        <v>35</v>
      </c>
      <c r="B16" s="5" t="s">
        <v>45</v>
      </c>
      <c r="C16" s="5" t="s">
        <v>45</v>
      </c>
      <c r="D16" t="b">
        <f t="shared" si="0"/>
        <v>0</v>
      </c>
      <c r="F16" s="4"/>
      <c r="G16" s="2"/>
    </row>
    <row r="17" spans="1:7" x14ac:dyDescent="0.25">
      <c r="A17" t="s">
        <v>35</v>
      </c>
      <c r="B17" s="5" t="s">
        <v>45</v>
      </c>
      <c r="C17" s="5" t="s">
        <v>45</v>
      </c>
      <c r="D17" t="b">
        <f t="shared" si="0"/>
        <v>0</v>
      </c>
      <c r="F17" s="4"/>
      <c r="G17" s="2"/>
    </row>
    <row r="18" spans="1:7" x14ac:dyDescent="0.25">
      <c r="A18" t="s">
        <v>35</v>
      </c>
      <c r="B18" s="5" t="s">
        <v>45</v>
      </c>
      <c r="C18" s="5" t="s">
        <v>45</v>
      </c>
      <c r="D18" t="b">
        <f t="shared" si="0"/>
        <v>0</v>
      </c>
    </row>
    <row r="19" spans="1:7" x14ac:dyDescent="0.25">
      <c r="A19" t="s">
        <v>35</v>
      </c>
      <c r="B19" s="5" t="s">
        <v>45</v>
      </c>
      <c r="C19" s="5" t="s">
        <v>45</v>
      </c>
      <c r="D19" t="b">
        <f t="shared" si="0"/>
        <v>0</v>
      </c>
    </row>
    <row r="20" spans="1:7" x14ac:dyDescent="0.25">
      <c r="A20" t="s">
        <v>35</v>
      </c>
      <c r="B20" s="5" t="s">
        <v>45</v>
      </c>
      <c r="C20" s="5" t="s">
        <v>45</v>
      </c>
      <c r="D20" t="b">
        <f t="shared" si="0"/>
        <v>0</v>
      </c>
    </row>
    <row r="21" spans="1:7" x14ac:dyDescent="0.25">
      <c r="A21" t="s">
        <v>35</v>
      </c>
      <c r="B21" s="5" t="s">
        <v>45</v>
      </c>
      <c r="C21" s="5" t="s">
        <v>45</v>
      </c>
      <c r="D21" t="b">
        <f t="shared" si="0"/>
        <v>0</v>
      </c>
    </row>
    <row r="22" spans="1:7" x14ac:dyDescent="0.25">
      <c r="A22" t="s">
        <v>35</v>
      </c>
      <c r="B22" s="5" t="s">
        <v>45</v>
      </c>
      <c r="C22" s="5" t="s">
        <v>45</v>
      </c>
      <c r="D22" t="b">
        <f t="shared" si="0"/>
        <v>0</v>
      </c>
    </row>
    <row r="23" spans="1:7" x14ac:dyDescent="0.25">
      <c r="A23" t="s">
        <v>35</v>
      </c>
      <c r="B23" s="5" t="s">
        <v>45</v>
      </c>
      <c r="C23" s="5" t="s">
        <v>45</v>
      </c>
      <c r="D23" t="b">
        <f t="shared" si="0"/>
        <v>0</v>
      </c>
    </row>
    <row r="24" spans="1:7" x14ac:dyDescent="0.25">
      <c r="A24" t="s">
        <v>35</v>
      </c>
      <c r="B24" s="5" t="s">
        <v>45</v>
      </c>
      <c r="C24" s="5" t="s">
        <v>45</v>
      </c>
      <c r="D24" t="b">
        <f t="shared" si="0"/>
        <v>0</v>
      </c>
    </row>
    <row r="25" spans="1:7" x14ac:dyDescent="0.25">
      <c r="A25" t="s">
        <v>35</v>
      </c>
      <c r="B25" s="5" t="s">
        <v>45</v>
      </c>
      <c r="C25" s="5" t="s">
        <v>45</v>
      </c>
      <c r="D25" t="b">
        <f t="shared" si="0"/>
        <v>0</v>
      </c>
    </row>
    <row r="26" spans="1:7" x14ac:dyDescent="0.25">
      <c r="A26" t="s">
        <v>35</v>
      </c>
      <c r="B26" s="5" t="s">
        <v>45</v>
      </c>
      <c r="C26" s="5" t="s">
        <v>45</v>
      </c>
      <c r="D26" t="b">
        <f t="shared" si="0"/>
        <v>0</v>
      </c>
    </row>
    <row r="27" spans="1:7" x14ac:dyDescent="0.25">
      <c r="A27" t="s">
        <v>35</v>
      </c>
      <c r="B27" s="5" t="s">
        <v>45</v>
      </c>
      <c r="C27" s="5" t="s">
        <v>45</v>
      </c>
      <c r="D27" t="b">
        <f t="shared" si="0"/>
        <v>0</v>
      </c>
    </row>
    <row r="28" spans="1:7" x14ac:dyDescent="0.25">
      <c r="A28" t="s">
        <v>35</v>
      </c>
      <c r="B28" s="5" t="s">
        <v>47</v>
      </c>
      <c r="C28" s="5" t="s">
        <v>47</v>
      </c>
      <c r="D28" t="b">
        <f t="shared" si="0"/>
        <v>0</v>
      </c>
    </row>
    <row r="29" spans="1:7" x14ac:dyDescent="0.25">
      <c r="A29" t="s">
        <v>35</v>
      </c>
      <c r="B29" s="5" t="s">
        <v>47</v>
      </c>
      <c r="C29" s="5" t="s">
        <v>47</v>
      </c>
      <c r="D29" t="b">
        <f t="shared" si="0"/>
        <v>0</v>
      </c>
    </row>
    <row r="30" spans="1:7" x14ac:dyDescent="0.25">
      <c r="A30" t="s">
        <v>35</v>
      </c>
      <c r="B30" s="5" t="s">
        <v>47</v>
      </c>
      <c r="C30" s="5" t="s">
        <v>47</v>
      </c>
      <c r="D30" t="b">
        <f t="shared" si="0"/>
        <v>0</v>
      </c>
    </row>
    <row r="31" spans="1:7" x14ac:dyDescent="0.25">
      <c r="A31" t="s">
        <v>35</v>
      </c>
      <c r="B31" s="5" t="s">
        <v>47</v>
      </c>
      <c r="C31" s="5" t="s">
        <v>47</v>
      </c>
      <c r="D31" t="b">
        <f t="shared" si="0"/>
        <v>0</v>
      </c>
    </row>
    <row r="32" spans="1:7" x14ac:dyDescent="0.25">
      <c r="A32" t="s">
        <v>35</v>
      </c>
      <c r="B32" s="5" t="s">
        <v>47</v>
      </c>
      <c r="C32" s="5" t="s">
        <v>47</v>
      </c>
      <c r="D32" t="b">
        <f t="shared" si="0"/>
        <v>0</v>
      </c>
    </row>
    <row r="33" spans="1:4" x14ac:dyDescent="0.25">
      <c r="A33" t="s">
        <v>35</v>
      </c>
      <c r="B33" s="5" t="s">
        <v>47</v>
      </c>
      <c r="C33" s="5" t="s">
        <v>47</v>
      </c>
      <c r="D33" t="b">
        <f t="shared" si="0"/>
        <v>0</v>
      </c>
    </row>
    <row r="34" spans="1:4" x14ac:dyDescent="0.25">
      <c r="A34" t="s">
        <v>35</v>
      </c>
      <c r="B34" s="5" t="s">
        <v>47</v>
      </c>
      <c r="C34" s="5" t="s">
        <v>47</v>
      </c>
      <c r="D34" t="b">
        <f t="shared" si="0"/>
        <v>0</v>
      </c>
    </row>
    <row r="35" spans="1:4" x14ac:dyDescent="0.25">
      <c r="A35" t="s">
        <v>35</v>
      </c>
      <c r="B35" s="5" t="s">
        <v>47</v>
      </c>
      <c r="C35" s="5" t="s">
        <v>47</v>
      </c>
      <c r="D35" t="b">
        <f t="shared" si="0"/>
        <v>0</v>
      </c>
    </row>
    <row r="36" spans="1:4" x14ac:dyDescent="0.25">
      <c r="A36" t="s">
        <v>35</v>
      </c>
      <c r="B36" s="5" t="s">
        <v>47</v>
      </c>
      <c r="C36" s="5" t="s">
        <v>47</v>
      </c>
      <c r="D36" t="b">
        <f t="shared" si="0"/>
        <v>0</v>
      </c>
    </row>
    <row r="37" spans="1:4" x14ac:dyDescent="0.25">
      <c r="A37" t="s">
        <v>41</v>
      </c>
      <c r="B37" s="5" t="s">
        <v>206</v>
      </c>
      <c r="C37" s="5" t="s">
        <v>206</v>
      </c>
      <c r="D37" t="b">
        <f t="shared" si="0"/>
        <v>0</v>
      </c>
    </row>
    <row r="38" spans="1:4" x14ac:dyDescent="0.25">
      <c r="A38" t="s">
        <v>41</v>
      </c>
      <c r="B38" s="5" t="s">
        <v>698</v>
      </c>
      <c r="C38" s="5" t="s">
        <v>698</v>
      </c>
      <c r="D38" t="b">
        <f t="shared" si="0"/>
        <v>0</v>
      </c>
    </row>
    <row r="39" spans="1:4" x14ac:dyDescent="0.25">
      <c r="A39" t="s">
        <v>41</v>
      </c>
      <c r="B39" s="5" t="s">
        <v>559</v>
      </c>
      <c r="C39" s="5" t="s">
        <v>559</v>
      </c>
      <c r="D39" t="b">
        <f t="shared" si="0"/>
        <v>0</v>
      </c>
    </row>
    <row r="40" spans="1:4" x14ac:dyDescent="0.25">
      <c r="A40" t="s">
        <v>41</v>
      </c>
      <c r="B40" s="5" t="s">
        <v>158</v>
      </c>
      <c r="C40" s="5" t="s">
        <v>158</v>
      </c>
      <c r="D40" t="b">
        <f t="shared" si="0"/>
        <v>0</v>
      </c>
    </row>
    <row r="41" spans="1:4" x14ac:dyDescent="0.25">
      <c r="A41" t="s">
        <v>41</v>
      </c>
      <c r="B41" s="5" t="s">
        <v>160</v>
      </c>
      <c r="C41" s="5" t="s">
        <v>160</v>
      </c>
      <c r="D41" t="b">
        <f t="shared" si="0"/>
        <v>0</v>
      </c>
    </row>
    <row r="42" spans="1:4" x14ac:dyDescent="0.25">
      <c r="A42" t="s">
        <v>41</v>
      </c>
      <c r="B42" s="5" t="s">
        <v>1452</v>
      </c>
      <c r="C42" s="5" t="s">
        <v>1452</v>
      </c>
      <c r="D42" t="b">
        <f t="shared" si="0"/>
        <v>0</v>
      </c>
    </row>
    <row r="43" spans="1:4" x14ac:dyDescent="0.25">
      <c r="A43" t="s">
        <v>41</v>
      </c>
      <c r="B43" s="5" t="s">
        <v>702</v>
      </c>
      <c r="C43" s="5" t="s">
        <v>702</v>
      </c>
      <c r="D43" t="b">
        <f t="shared" si="0"/>
        <v>0</v>
      </c>
    </row>
    <row r="44" spans="1:4" x14ac:dyDescent="0.25">
      <c r="A44" t="s">
        <v>41</v>
      </c>
      <c r="B44" s="5" t="s">
        <v>1453</v>
      </c>
      <c r="C44" s="5" t="s">
        <v>1453</v>
      </c>
      <c r="D44" t="b">
        <f t="shared" si="0"/>
        <v>0</v>
      </c>
    </row>
    <row r="45" spans="1:4" x14ac:dyDescent="0.25">
      <c r="A45" t="s">
        <v>41</v>
      </c>
      <c r="B45" s="5" t="s">
        <v>357</v>
      </c>
      <c r="C45" s="5" t="s">
        <v>357</v>
      </c>
      <c r="D45" t="b">
        <f t="shared" si="0"/>
        <v>0</v>
      </c>
    </row>
    <row r="46" spans="1:4" x14ac:dyDescent="0.25">
      <c r="A46" t="s">
        <v>41</v>
      </c>
      <c r="B46" s="5" t="s">
        <v>1455</v>
      </c>
      <c r="C46" s="5" t="s">
        <v>1756</v>
      </c>
      <c r="D46" t="b">
        <f t="shared" si="0"/>
        <v>1</v>
      </c>
    </row>
    <row r="47" spans="1:4" x14ac:dyDescent="0.25">
      <c r="A47" t="s">
        <v>41</v>
      </c>
      <c r="B47" s="5" t="s">
        <v>1457</v>
      </c>
      <c r="C47" s="5" t="s">
        <v>1457</v>
      </c>
      <c r="D47" t="b">
        <f t="shared" si="0"/>
        <v>0</v>
      </c>
    </row>
    <row r="48" spans="1:4" x14ac:dyDescent="0.25">
      <c r="A48" t="s">
        <v>41</v>
      </c>
      <c r="B48" s="5" t="s">
        <v>1458</v>
      </c>
      <c r="C48" s="5" t="s">
        <v>1458</v>
      </c>
      <c r="D48" t="b">
        <f t="shared" si="0"/>
        <v>0</v>
      </c>
    </row>
    <row r="49" spans="1:5" x14ac:dyDescent="0.25">
      <c r="A49" t="s">
        <v>41</v>
      </c>
      <c r="B49" s="5" t="s">
        <v>830</v>
      </c>
      <c r="C49" s="5" t="s">
        <v>830</v>
      </c>
      <c r="D49" t="b">
        <f t="shared" si="0"/>
        <v>0</v>
      </c>
    </row>
    <row r="50" spans="1:5" x14ac:dyDescent="0.25">
      <c r="A50" t="s">
        <v>41</v>
      </c>
      <c r="B50" s="23" t="s">
        <v>1940</v>
      </c>
      <c r="C50" s="5" t="s">
        <v>1940</v>
      </c>
      <c r="D50" t="b">
        <f t="shared" si="0"/>
        <v>0</v>
      </c>
      <c r="E50" t="s">
        <v>1451</v>
      </c>
    </row>
    <row r="51" spans="1:5" x14ac:dyDescent="0.25">
      <c r="A51" t="s">
        <v>41</v>
      </c>
      <c r="B51" s="5" t="s">
        <v>700</v>
      </c>
      <c r="C51" s="5" t="s">
        <v>700</v>
      </c>
      <c r="D51" t="b">
        <f t="shared" si="0"/>
        <v>0</v>
      </c>
    </row>
    <row r="52" spans="1:5" x14ac:dyDescent="0.25">
      <c r="A52" t="s">
        <v>41</v>
      </c>
      <c r="B52" s="5" t="s">
        <v>1454</v>
      </c>
      <c r="C52" s="5" t="s">
        <v>1454</v>
      </c>
      <c r="D52" t="b">
        <f t="shared" si="0"/>
        <v>0</v>
      </c>
    </row>
    <row r="53" spans="1:5" x14ac:dyDescent="0.25">
      <c r="A53" t="s">
        <v>41</v>
      </c>
      <c r="B53" s="5" t="s">
        <v>359</v>
      </c>
      <c r="C53" s="5" t="s">
        <v>359</v>
      </c>
      <c r="D53" t="b">
        <f t="shared" si="0"/>
        <v>0</v>
      </c>
    </row>
    <row r="54" spans="1:5" x14ac:dyDescent="0.25">
      <c r="A54" t="s">
        <v>41</v>
      </c>
      <c r="B54" s="5" t="s">
        <v>1456</v>
      </c>
      <c r="C54" s="5" t="s">
        <v>1456</v>
      </c>
      <c r="D54" t="b">
        <f t="shared" si="0"/>
        <v>0</v>
      </c>
    </row>
    <row r="55" spans="1:5" x14ac:dyDescent="0.25">
      <c r="A55" t="s">
        <v>41</v>
      </c>
      <c r="B55" s="5" t="s">
        <v>693</v>
      </c>
      <c r="C55" s="5" t="s">
        <v>693</v>
      </c>
      <c r="D55" t="b">
        <f t="shared" si="0"/>
        <v>0</v>
      </c>
    </row>
    <row r="56" spans="1:5" x14ac:dyDescent="0.25">
      <c r="A56" t="s">
        <v>41</v>
      </c>
      <c r="B56" s="5" t="s">
        <v>358</v>
      </c>
      <c r="C56" s="5" t="s">
        <v>358</v>
      </c>
      <c r="D56" t="b">
        <f t="shared" si="0"/>
        <v>0</v>
      </c>
    </row>
    <row r="57" spans="1:5" x14ac:dyDescent="0.25">
      <c r="A57" t="s">
        <v>41</v>
      </c>
      <c r="B57" s="5" t="s">
        <v>1459</v>
      </c>
      <c r="C57" s="5" t="s">
        <v>1459</v>
      </c>
      <c r="D57" t="b">
        <f t="shared" si="0"/>
        <v>0</v>
      </c>
    </row>
    <row r="58" spans="1:5" x14ac:dyDescent="0.25">
      <c r="A58" t="s">
        <v>41</v>
      </c>
      <c r="B58" s="5" t="s">
        <v>699</v>
      </c>
      <c r="C58" s="5" t="s">
        <v>699</v>
      </c>
      <c r="D58" t="b">
        <f t="shared" si="0"/>
        <v>0</v>
      </c>
    </row>
    <row r="59" spans="1:5" x14ac:dyDescent="0.25">
      <c r="A59" t="s">
        <v>41</v>
      </c>
      <c r="B59" s="5" t="s">
        <v>1460</v>
      </c>
      <c r="C59" s="5" t="s">
        <v>1460</v>
      </c>
      <c r="D59" t="b">
        <f t="shared" si="0"/>
        <v>0</v>
      </c>
    </row>
    <row r="60" spans="1:5" x14ac:dyDescent="0.25">
      <c r="A60" t="s">
        <v>41</v>
      </c>
      <c r="B60" s="5" t="s">
        <v>1461</v>
      </c>
      <c r="C60" s="5" t="s">
        <v>1461</v>
      </c>
      <c r="D60" t="b">
        <f t="shared" si="0"/>
        <v>0</v>
      </c>
    </row>
    <row r="61" spans="1:5" x14ac:dyDescent="0.25">
      <c r="A61" t="s">
        <v>41</v>
      </c>
      <c r="B61" s="5" t="s">
        <v>1462</v>
      </c>
      <c r="C61" s="5" t="s">
        <v>1462</v>
      </c>
      <c r="D61" t="b">
        <f t="shared" si="0"/>
        <v>0</v>
      </c>
    </row>
    <row r="62" spans="1:5" x14ac:dyDescent="0.25">
      <c r="A62" t="s">
        <v>68</v>
      </c>
      <c r="B62" s="5" t="s">
        <v>722</v>
      </c>
      <c r="C62" s="5" t="s">
        <v>722</v>
      </c>
      <c r="D62" t="b">
        <f t="shared" si="0"/>
        <v>0</v>
      </c>
    </row>
    <row r="63" spans="1:5" x14ac:dyDescent="0.25">
      <c r="A63" t="s">
        <v>68</v>
      </c>
      <c r="B63" s="5" t="s">
        <v>1463</v>
      </c>
      <c r="C63" s="5" t="s">
        <v>1464</v>
      </c>
      <c r="D63" t="b">
        <f t="shared" si="0"/>
        <v>1</v>
      </c>
    </row>
    <row r="64" spans="1:5" x14ac:dyDescent="0.25">
      <c r="A64" t="s">
        <v>68</v>
      </c>
      <c r="B64" s="5" t="s">
        <v>1465</v>
      </c>
      <c r="C64" s="5" t="s">
        <v>1465</v>
      </c>
      <c r="D64" t="b">
        <f t="shared" si="0"/>
        <v>0</v>
      </c>
    </row>
    <row r="65" spans="1:5" x14ac:dyDescent="0.25">
      <c r="A65" t="s">
        <v>68</v>
      </c>
      <c r="B65" s="5" t="s">
        <v>1466</v>
      </c>
      <c r="C65" s="5" t="s">
        <v>1466</v>
      </c>
      <c r="D65" t="b">
        <f t="shared" si="0"/>
        <v>0</v>
      </c>
    </row>
    <row r="66" spans="1:5" x14ac:dyDescent="0.25">
      <c r="A66" t="s">
        <v>68</v>
      </c>
      <c r="B66" s="5" t="s">
        <v>1467</v>
      </c>
      <c r="C66" s="5" t="s">
        <v>1467</v>
      </c>
      <c r="D66" t="b">
        <f t="shared" si="0"/>
        <v>0</v>
      </c>
    </row>
    <row r="67" spans="1:5" x14ac:dyDescent="0.25">
      <c r="A67" t="s">
        <v>68</v>
      </c>
      <c r="B67" s="5" t="s">
        <v>793</v>
      </c>
      <c r="C67" s="5" t="s">
        <v>793</v>
      </c>
      <c r="D67" t="b">
        <f t="shared" si="0"/>
        <v>0</v>
      </c>
    </row>
    <row r="68" spans="1:5" x14ac:dyDescent="0.25">
      <c r="A68" t="s">
        <v>68</v>
      </c>
      <c r="B68" s="5" t="s">
        <v>1468</v>
      </c>
      <c r="C68" s="5" t="s">
        <v>1468</v>
      </c>
      <c r="D68" t="b">
        <f t="shared" si="0"/>
        <v>0</v>
      </c>
    </row>
    <row r="69" spans="1:5" x14ac:dyDescent="0.25">
      <c r="A69" t="s">
        <v>68</v>
      </c>
      <c r="B69" s="5" t="s">
        <v>128</v>
      </c>
      <c r="C69" s="5" t="s">
        <v>128</v>
      </c>
      <c r="D69" t="b">
        <f t="shared" ref="D69:D102" si="2">B69&lt;&gt;C69</f>
        <v>0</v>
      </c>
    </row>
    <row r="70" spans="1:5" x14ac:dyDescent="0.25">
      <c r="A70" t="s">
        <v>68</v>
      </c>
      <c r="B70" s="5" t="s">
        <v>782</v>
      </c>
      <c r="C70" s="5" t="s">
        <v>782</v>
      </c>
      <c r="D70" t="b">
        <f t="shared" si="2"/>
        <v>0</v>
      </c>
    </row>
    <row r="71" spans="1:5" x14ac:dyDescent="0.25">
      <c r="A71" t="s">
        <v>68</v>
      </c>
      <c r="B71" s="5" t="s">
        <v>719</v>
      </c>
      <c r="C71" s="5" t="s">
        <v>719</v>
      </c>
      <c r="D71" t="b">
        <f t="shared" si="2"/>
        <v>0</v>
      </c>
    </row>
    <row r="72" spans="1:5" x14ac:dyDescent="0.25">
      <c r="A72" t="s">
        <v>68</v>
      </c>
      <c r="B72" s="5" t="s">
        <v>796</v>
      </c>
      <c r="C72" s="5" t="s">
        <v>796</v>
      </c>
      <c r="D72" t="b">
        <f t="shared" si="2"/>
        <v>0</v>
      </c>
    </row>
    <row r="73" spans="1:5" x14ac:dyDescent="0.25">
      <c r="A73" t="s">
        <v>68</v>
      </c>
      <c r="B73" s="5" t="s">
        <v>976</v>
      </c>
      <c r="C73" s="5" t="s">
        <v>976</v>
      </c>
      <c r="D73" t="b">
        <f t="shared" si="2"/>
        <v>0</v>
      </c>
    </row>
    <row r="74" spans="1:5" x14ac:dyDescent="0.25">
      <c r="A74" t="s">
        <v>68</v>
      </c>
      <c r="B74" s="5" t="s">
        <v>1434</v>
      </c>
      <c r="C74" s="5" t="s">
        <v>1434</v>
      </c>
      <c r="D74" t="b">
        <f t="shared" si="2"/>
        <v>0</v>
      </c>
    </row>
    <row r="75" spans="1:5" x14ac:dyDescent="0.25">
      <c r="A75" t="s">
        <v>1450</v>
      </c>
      <c r="B75" s="5" t="s">
        <v>1469</v>
      </c>
      <c r="C75" s="5" t="s">
        <v>1469</v>
      </c>
      <c r="D75" t="b">
        <f t="shared" si="2"/>
        <v>0</v>
      </c>
    </row>
    <row r="76" spans="1:5" x14ac:dyDescent="0.25">
      <c r="A76" t="s">
        <v>1450</v>
      </c>
      <c r="B76" s="5" t="s">
        <v>1470</v>
      </c>
      <c r="C76" s="5" t="s">
        <v>1470</v>
      </c>
      <c r="D76" t="b">
        <f t="shared" si="2"/>
        <v>0</v>
      </c>
    </row>
    <row r="77" spans="1:5" x14ac:dyDescent="0.25">
      <c r="A77" t="s">
        <v>1450</v>
      </c>
      <c r="B77" s="23" t="s">
        <v>1951</v>
      </c>
      <c r="C77" s="5" t="s">
        <v>1951</v>
      </c>
      <c r="D77" t="b">
        <f t="shared" si="2"/>
        <v>0</v>
      </c>
      <c r="E77" t="s">
        <v>1483</v>
      </c>
    </row>
    <row r="78" spans="1:5" x14ac:dyDescent="0.25">
      <c r="A78" t="s">
        <v>1450</v>
      </c>
      <c r="B78" s="5" t="s">
        <v>522</v>
      </c>
      <c r="C78" s="5" t="s">
        <v>522</v>
      </c>
      <c r="D78" t="b">
        <f t="shared" si="2"/>
        <v>0</v>
      </c>
    </row>
    <row r="79" spans="1:5" x14ac:dyDescent="0.25">
      <c r="A79" t="s">
        <v>1450</v>
      </c>
      <c r="B79" s="5" t="s">
        <v>1471</v>
      </c>
      <c r="C79" s="5" t="s">
        <v>1471</v>
      </c>
      <c r="D79" t="b">
        <f t="shared" si="2"/>
        <v>0</v>
      </c>
    </row>
    <row r="80" spans="1:5" x14ac:dyDescent="0.25">
      <c r="A80" t="s">
        <v>1450</v>
      </c>
      <c r="B80" s="5" t="s">
        <v>1472</v>
      </c>
      <c r="C80" s="5" t="s">
        <v>1472</v>
      </c>
      <c r="D80" t="b">
        <f t="shared" si="2"/>
        <v>0</v>
      </c>
    </row>
    <row r="81" spans="1:4" x14ac:dyDescent="0.25">
      <c r="A81" t="s">
        <v>1450</v>
      </c>
      <c r="B81" s="5" t="s">
        <v>735</v>
      </c>
      <c r="C81" s="5" t="s">
        <v>735</v>
      </c>
      <c r="D81" t="b">
        <f t="shared" si="2"/>
        <v>0</v>
      </c>
    </row>
    <row r="82" spans="1:4" x14ac:dyDescent="0.25">
      <c r="A82" t="s">
        <v>1450</v>
      </c>
      <c r="B82" s="5" t="s">
        <v>1473</v>
      </c>
      <c r="C82" s="5" t="s">
        <v>1551</v>
      </c>
      <c r="D82" t="b">
        <f t="shared" si="2"/>
        <v>1</v>
      </c>
    </row>
    <row r="83" spans="1:4" x14ac:dyDescent="0.25">
      <c r="A83" t="s">
        <v>6</v>
      </c>
      <c r="B83" s="5" t="s">
        <v>1474</v>
      </c>
      <c r="C83" s="5" t="s">
        <v>1474</v>
      </c>
      <c r="D83" t="b">
        <f t="shared" si="2"/>
        <v>0</v>
      </c>
    </row>
    <row r="84" spans="1:4" x14ac:dyDescent="0.25">
      <c r="A84" t="s">
        <v>6</v>
      </c>
      <c r="B84" s="5" t="s">
        <v>737</v>
      </c>
      <c r="C84" s="5" t="s">
        <v>737</v>
      </c>
      <c r="D84" t="b">
        <f t="shared" si="2"/>
        <v>0</v>
      </c>
    </row>
    <row r="85" spans="1:4" x14ac:dyDescent="0.25">
      <c r="A85" t="s">
        <v>6</v>
      </c>
      <c r="B85" s="5" t="s">
        <v>728</v>
      </c>
      <c r="C85" s="5" t="s">
        <v>1757</v>
      </c>
      <c r="D85" t="b">
        <f t="shared" si="2"/>
        <v>1</v>
      </c>
    </row>
    <row r="86" spans="1:4" x14ac:dyDescent="0.25">
      <c r="A86" t="s">
        <v>6</v>
      </c>
      <c r="B86" s="5" t="s">
        <v>1475</v>
      </c>
      <c r="C86" s="5" t="s">
        <v>811</v>
      </c>
      <c r="D86" t="b">
        <f t="shared" si="2"/>
        <v>1</v>
      </c>
    </row>
    <row r="87" spans="1:4" x14ac:dyDescent="0.25">
      <c r="A87" t="s">
        <v>6</v>
      </c>
      <c r="B87" s="5" t="s">
        <v>383</v>
      </c>
      <c r="C87" s="5" t="s">
        <v>383</v>
      </c>
      <c r="D87" t="b">
        <f t="shared" si="2"/>
        <v>0</v>
      </c>
    </row>
    <row r="88" spans="1:4" x14ac:dyDescent="0.25">
      <c r="A88" t="s">
        <v>6</v>
      </c>
      <c r="B88" s="5" t="s">
        <v>730</v>
      </c>
      <c r="C88" s="5" t="s">
        <v>730</v>
      </c>
      <c r="D88" t="b">
        <f t="shared" si="2"/>
        <v>0</v>
      </c>
    </row>
    <row r="89" spans="1:4" x14ac:dyDescent="0.25">
      <c r="A89" t="s">
        <v>6</v>
      </c>
      <c r="B89" s="5" t="s">
        <v>1476</v>
      </c>
      <c r="C89" s="5" t="s">
        <v>1476</v>
      </c>
      <c r="D89" t="b">
        <f t="shared" si="2"/>
        <v>0</v>
      </c>
    </row>
    <row r="90" spans="1:4" x14ac:dyDescent="0.25">
      <c r="A90" t="s">
        <v>6</v>
      </c>
      <c r="B90" s="5" t="s">
        <v>116</v>
      </c>
      <c r="C90" s="5" t="s">
        <v>116</v>
      </c>
      <c r="D90" t="b">
        <f t="shared" si="2"/>
        <v>0</v>
      </c>
    </row>
    <row r="91" spans="1:4" x14ac:dyDescent="0.25">
      <c r="A91" t="s">
        <v>6</v>
      </c>
      <c r="B91" s="5" t="s">
        <v>1759</v>
      </c>
      <c r="C91" s="5" t="s">
        <v>1759</v>
      </c>
      <c r="D91" t="b">
        <f t="shared" si="2"/>
        <v>0</v>
      </c>
    </row>
    <row r="92" spans="1:4" x14ac:dyDescent="0.25">
      <c r="A92" t="s">
        <v>6</v>
      </c>
      <c r="B92" s="5" t="s">
        <v>1477</v>
      </c>
      <c r="C92" s="5" t="s">
        <v>1477</v>
      </c>
      <c r="D92" t="b">
        <f t="shared" si="2"/>
        <v>0</v>
      </c>
    </row>
    <row r="93" spans="1:4" x14ac:dyDescent="0.25">
      <c r="A93" t="s">
        <v>6</v>
      </c>
      <c r="B93" s="5" t="s">
        <v>1478</v>
      </c>
      <c r="C93" s="5" t="s">
        <v>1478</v>
      </c>
      <c r="D93" t="b">
        <f t="shared" si="2"/>
        <v>0</v>
      </c>
    </row>
    <row r="94" spans="1:4" x14ac:dyDescent="0.25">
      <c r="A94" t="s">
        <v>42</v>
      </c>
      <c r="B94" s="5" t="s">
        <v>1125</v>
      </c>
      <c r="C94" s="5" t="s">
        <v>1952</v>
      </c>
      <c r="D94" t="b">
        <f t="shared" si="2"/>
        <v>1</v>
      </c>
    </row>
    <row r="95" spans="1:4" x14ac:dyDescent="0.25">
      <c r="A95" t="s">
        <v>42</v>
      </c>
      <c r="B95" s="5" t="s">
        <v>565</v>
      </c>
      <c r="C95" s="5" t="s">
        <v>565</v>
      </c>
      <c r="D95" t="b">
        <f t="shared" si="2"/>
        <v>0</v>
      </c>
    </row>
    <row r="96" spans="1:4" x14ac:dyDescent="0.25">
      <c r="A96" t="s">
        <v>42</v>
      </c>
      <c r="B96" s="5" t="s">
        <v>1479</v>
      </c>
      <c r="C96" s="5" t="s">
        <v>1479</v>
      </c>
      <c r="D96" t="b">
        <f t="shared" si="2"/>
        <v>0</v>
      </c>
    </row>
    <row r="97" spans="1:4" x14ac:dyDescent="0.25">
      <c r="A97" t="s">
        <v>42</v>
      </c>
      <c r="B97" s="5" t="s">
        <v>571</v>
      </c>
      <c r="C97" s="5" t="s">
        <v>571</v>
      </c>
      <c r="D97" t="b">
        <f t="shared" si="2"/>
        <v>0</v>
      </c>
    </row>
    <row r="98" spans="1:4" x14ac:dyDescent="0.25">
      <c r="A98" t="s">
        <v>42</v>
      </c>
      <c r="B98" s="5" t="s">
        <v>1480</v>
      </c>
      <c r="C98" s="5" t="s">
        <v>1480</v>
      </c>
      <c r="D98" t="b">
        <f t="shared" si="2"/>
        <v>0</v>
      </c>
    </row>
    <row r="99" spans="1:4" x14ac:dyDescent="0.25">
      <c r="A99" t="s">
        <v>42</v>
      </c>
      <c r="B99" s="5" t="s">
        <v>1481</v>
      </c>
      <c r="C99" s="5" t="s">
        <v>1481</v>
      </c>
      <c r="D99" t="b">
        <f t="shared" si="2"/>
        <v>0</v>
      </c>
    </row>
    <row r="100" spans="1:4" x14ac:dyDescent="0.25">
      <c r="A100" t="s">
        <v>42</v>
      </c>
      <c r="B100" s="5" t="s">
        <v>838</v>
      </c>
      <c r="C100" s="5" t="s">
        <v>838</v>
      </c>
      <c r="D100" t="b">
        <f t="shared" si="2"/>
        <v>0</v>
      </c>
    </row>
    <row r="101" spans="1:4" x14ac:dyDescent="0.25">
      <c r="A101" t="s">
        <v>42</v>
      </c>
      <c r="B101" s="5" t="s">
        <v>1482</v>
      </c>
      <c r="C101" s="5" t="s">
        <v>1482</v>
      </c>
      <c r="D101" t="b">
        <f t="shared" si="2"/>
        <v>0</v>
      </c>
    </row>
    <row r="102" spans="1:4" x14ac:dyDescent="0.25">
      <c r="A102" t="s">
        <v>42</v>
      </c>
      <c r="B102" s="5" t="s">
        <v>395</v>
      </c>
      <c r="C102" s="5" t="s">
        <v>395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F1BDBD9-46EC-42C5-94B0-CC629F86EB9E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BA4D98DE-CDBA-496C-93F8-291FE6A71963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862-2C2B-4693-8520-25B9A32D4305}">
  <sheetPr codeName="Planilha24"/>
  <dimension ref="A1:G102"/>
  <sheetViews>
    <sheetView workbookViewId="0">
      <selection activeCell="B4" sqref="B4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28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9</v>
      </c>
    </row>
    <row r="3" spans="1:7" x14ac:dyDescent="0.25">
      <c r="A3" s="5" t="s">
        <v>2031</v>
      </c>
      <c r="B3" s="5" t="s">
        <v>2073</v>
      </c>
      <c r="C3" s="5" t="s">
        <v>2073</v>
      </c>
      <c r="D3" t="b">
        <f>B3&lt;&gt;C3</f>
        <v>0</v>
      </c>
      <c r="F3" s="4" t="s">
        <v>37</v>
      </c>
      <c r="G3" s="3">
        <f>SUM(G6:G26)</f>
        <v>100</v>
      </c>
    </row>
    <row r="4" spans="1:7" x14ac:dyDescent="0.25">
      <c r="A4" t="s">
        <v>35</v>
      </c>
      <c r="B4" s="5" t="s">
        <v>139</v>
      </c>
      <c r="C4" s="5" t="s">
        <v>139</v>
      </c>
      <c r="D4" t="b">
        <f>B4&lt;&gt;C4</f>
        <v>0</v>
      </c>
    </row>
    <row r="5" spans="1:7" x14ac:dyDescent="0.25">
      <c r="A5" t="s">
        <v>35</v>
      </c>
      <c r="B5" s="5" t="s">
        <v>140</v>
      </c>
      <c r="C5" s="5" t="s">
        <v>140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141</v>
      </c>
      <c r="C6" s="5" t="s">
        <v>141</v>
      </c>
      <c r="D6" t="b">
        <f t="shared" si="0"/>
        <v>0</v>
      </c>
      <c r="F6" s="3" t="s">
        <v>2031</v>
      </c>
      <c r="G6" s="2">
        <f t="shared" ref="G6:G15" si="1">COUNTIF(A:A,F6)</f>
        <v>1</v>
      </c>
    </row>
    <row r="7" spans="1:7" x14ac:dyDescent="0.25">
      <c r="A7" t="s">
        <v>35</v>
      </c>
      <c r="B7" s="5" t="s">
        <v>142</v>
      </c>
      <c r="C7" s="5" t="s">
        <v>142</v>
      </c>
      <c r="D7" t="b">
        <f t="shared" si="0"/>
        <v>0</v>
      </c>
      <c r="F7" s="7" t="s">
        <v>35</v>
      </c>
      <c r="G7" s="2">
        <f t="shared" si="1"/>
        <v>35</v>
      </c>
    </row>
    <row r="8" spans="1:7" x14ac:dyDescent="0.25">
      <c r="A8" t="s">
        <v>35</v>
      </c>
      <c r="B8" s="5" t="s">
        <v>143</v>
      </c>
      <c r="C8" s="5" t="s">
        <v>143</v>
      </c>
      <c r="D8" t="b">
        <f t="shared" si="0"/>
        <v>0</v>
      </c>
      <c r="F8" s="7" t="s">
        <v>41</v>
      </c>
      <c r="G8" s="2">
        <f t="shared" si="1"/>
        <v>10</v>
      </c>
    </row>
    <row r="9" spans="1:7" x14ac:dyDescent="0.25">
      <c r="A9" t="s">
        <v>35</v>
      </c>
      <c r="B9" s="5" t="s">
        <v>144</v>
      </c>
      <c r="C9" s="5" t="s">
        <v>144</v>
      </c>
      <c r="D9" t="b">
        <f t="shared" si="0"/>
        <v>0</v>
      </c>
      <c r="F9" s="7" t="s">
        <v>50</v>
      </c>
      <c r="G9" s="2">
        <f t="shared" si="1"/>
        <v>8</v>
      </c>
    </row>
    <row r="10" spans="1:7" x14ac:dyDescent="0.25">
      <c r="A10" t="s">
        <v>35</v>
      </c>
      <c r="B10" s="5" t="s">
        <v>145</v>
      </c>
      <c r="C10" s="5" t="s">
        <v>145</v>
      </c>
      <c r="D10" t="b">
        <f t="shared" si="0"/>
        <v>0</v>
      </c>
      <c r="F10" s="7" t="s">
        <v>274</v>
      </c>
      <c r="G10" s="2">
        <f t="shared" si="1"/>
        <v>10</v>
      </c>
    </row>
    <row r="11" spans="1:7" x14ac:dyDescent="0.25">
      <c r="A11" t="s">
        <v>35</v>
      </c>
      <c r="B11" s="5" t="s">
        <v>146</v>
      </c>
      <c r="C11" s="5" t="s">
        <v>146</v>
      </c>
      <c r="D11" t="b">
        <f t="shared" si="0"/>
        <v>0</v>
      </c>
      <c r="F11" s="7" t="s">
        <v>66</v>
      </c>
      <c r="G11" s="2">
        <f t="shared" si="1"/>
        <v>4</v>
      </c>
    </row>
    <row r="12" spans="1:7" x14ac:dyDescent="0.25">
      <c r="A12" t="s">
        <v>35</v>
      </c>
      <c r="B12" s="5" t="s">
        <v>148</v>
      </c>
      <c r="C12" s="5" t="s">
        <v>148</v>
      </c>
      <c r="D12" t="b">
        <f t="shared" si="0"/>
        <v>0</v>
      </c>
      <c r="F12" s="7" t="s">
        <v>43</v>
      </c>
      <c r="G12" s="2">
        <f t="shared" si="1"/>
        <v>11</v>
      </c>
    </row>
    <row r="13" spans="1:7" x14ac:dyDescent="0.25">
      <c r="A13" t="s">
        <v>35</v>
      </c>
      <c r="B13" s="5" t="s">
        <v>149</v>
      </c>
      <c r="C13" s="5" t="s">
        <v>149</v>
      </c>
      <c r="D13" t="b">
        <f t="shared" si="0"/>
        <v>0</v>
      </c>
      <c r="F13" s="7" t="s">
        <v>42</v>
      </c>
      <c r="G13" s="2">
        <f t="shared" si="1"/>
        <v>8</v>
      </c>
    </row>
    <row r="14" spans="1:7" x14ac:dyDescent="0.25">
      <c r="A14" t="s">
        <v>35</v>
      </c>
      <c r="B14" s="5" t="s">
        <v>150</v>
      </c>
      <c r="C14" s="5" t="s">
        <v>150</v>
      </c>
      <c r="D14" t="b">
        <f t="shared" si="0"/>
        <v>0</v>
      </c>
      <c r="F14" s="7" t="s">
        <v>6</v>
      </c>
      <c r="G14" s="2">
        <f t="shared" si="1"/>
        <v>5</v>
      </c>
    </row>
    <row r="15" spans="1:7" x14ac:dyDescent="0.25">
      <c r="A15" t="s">
        <v>35</v>
      </c>
      <c r="B15" s="5" t="s">
        <v>40</v>
      </c>
      <c r="C15" s="5" t="s">
        <v>40</v>
      </c>
      <c r="D15" t="b">
        <f t="shared" si="0"/>
        <v>0</v>
      </c>
      <c r="F15" s="7" t="s">
        <v>1227</v>
      </c>
      <c r="G15" s="2">
        <f t="shared" si="1"/>
        <v>8</v>
      </c>
    </row>
    <row r="16" spans="1:7" x14ac:dyDescent="0.25">
      <c r="A16" t="s">
        <v>35</v>
      </c>
      <c r="B16" s="5" t="s">
        <v>67</v>
      </c>
      <c r="C16" s="5" t="s">
        <v>67</v>
      </c>
      <c r="D16" t="b">
        <f t="shared" si="0"/>
        <v>0</v>
      </c>
    </row>
    <row r="17" spans="1:7" x14ac:dyDescent="0.25">
      <c r="A17" t="s">
        <v>35</v>
      </c>
      <c r="B17" s="5" t="s">
        <v>204</v>
      </c>
      <c r="C17" s="5" t="s">
        <v>204</v>
      </c>
      <c r="D17" t="b">
        <f t="shared" si="0"/>
        <v>0</v>
      </c>
      <c r="F17" s="1"/>
      <c r="G17" s="2"/>
    </row>
    <row r="18" spans="1:7" x14ac:dyDescent="0.25">
      <c r="A18" t="s">
        <v>35</v>
      </c>
      <c r="B18" s="5" t="s">
        <v>64</v>
      </c>
      <c r="C18" s="5" t="s">
        <v>64</v>
      </c>
      <c r="D18" t="b">
        <f t="shared" si="0"/>
        <v>0</v>
      </c>
    </row>
    <row r="19" spans="1:7" x14ac:dyDescent="0.25">
      <c r="A19" t="s">
        <v>35</v>
      </c>
      <c r="B19" s="5" t="s">
        <v>1228</v>
      </c>
      <c r="C19" s="5" t="s">
        <v>1228</v>
      </c>
      <c r="D19" t="b">
        <f t="shared" si="0"/>
        <v>0</v>
      </c>
    </row>
    <row r="20" spans="1:7" x14ac:dyDescent="0.25">
      <c r="A20" t="s">
        <v>35</v>
      </c>
      <c r="B20" s="5" t="s">
        <v>85</v>
      </c>
      <c r="C20" s="5" t="s">
        <v>85</v>
      </c>
      <c r="D20" t="b">
        <f t="shared" si="0"/>
        <v>0</v>
      </c>
    </row>
    <row r="21" spans="1:7" x14ac:dyDescent="0.25">
      <c r="A21" t="s">
        <v>35</v>
      </c>
      <c r="B21" s="5" t="s">
        <v>85</v>
      </c>
      <c r="C21" s="5" t="s">
        <v>85</v>
      </c>
      <c r="D21" t="b">
        <f t="shared" si="0"/>
        <v>0</v>
      </c>
    </row>
    <row r="22" spans="1:7" x14ac:dyDescent="0.25">
      <c r="A22" t="s">
        <v>35</v>
      </c>
      <c r="B22" s="5" t="s">
        <v>85</v>
      </c>
      <c r="C22" s="5" t="s">
        <v>85</v>
      </c>
      <c r="D22" t="b">
        <f t="shared" si="0"/>
        <v>0</v>
      </c>
    </row>
    <row r="23" spans="1:7" x14ac:dyDescent="0.25">
      <c r="A23" t="s">
        <v>35</v>
      </c>
      <c r="B23" s="5" t="s">
        <v>85</v>
      </c>
      <c r="C23" s="5" t="s">
        <v>85</v>
      </c>
      <c r="D23" t="b">
        <f t="shared" si="0"/>
        <v>0</v>
      </c>
    </row>
    <row r="24" spans="1:7" x14ac:dyDescent="0.25">
      <c r="A24" t="s">
        <v>35</v>
      </c>
      <c r="B24" s="5" t="s">
        <v>85</v>
      </c>
      <c r="C24" s="5" t="s">
        <v>85</v>
      </c>
      <c r="D24" t="b">
        <f t="shared" si="0"/>
        <v>0</v>
      </c>
    </row>
    <row r="25" spans="1:7" x14ac:dyDescent="0.25">
      <c r="A25" t="s">
        <v>35</v>
      </c>
      <c r="B25" s="5" t="s">
        <v>85</v>
      </c>
      <c r="C25" s="5" t="s">
        <v>85</v>
      </c>
      <c r="D25" t="b">
        <f t="shared" si="0"/>
        <v>0</v>
      </c>
    </row>
    <row r="26" spans="1:7" x14ac:dyDescent="0.25">
      <c r="A26" t="s">
        <v>35</v>
      </c>
      <c r="B26" s="5" t="s">
        <v>153</v>
      </c>
      <c r="C26" s="5" t="s">
        <v>153</v>
      </c>
      <c r="D26" t="b">
        <f t="shared" si="0"/>
        <v>0</v>
      </c>
    </row>
    <row r="27" spans="1:7" x14ac:dyDescent="0.25">
      <c r="A27" t="s">
        <v>35</v>
      </c>
      <c r="B27" s="5" t="s">
        <v>153</v>
      </c>
      <c r="C27" s="5" t="s">
        <v>153</v>
      </c>
      <c r="D27" t="b">
        <f t="shared" si="0"/>
        <v>0</v>
      </c>
    </row>
    <row r="28" spans="1:7" x14ac:dyDescent="0.25">
      <c r="A28" t="s">
        <v>35</v>
      </c>
      <c r="B28" s="5" t="s">
        <v>153</v>
      </c>
      <c r="C28" s="5" t="s">
        <v>153</v>
      </c>
      <c r="D28" t="b">
        <f t="shared" si="0"/>
        <v>0</v>
      </c>
    </row>
    <row r="29" spans="1:7" x14ac:dyDescent="0.25">
      <c r="A29" t="s">
        <v>35</v>
      </c>
      <c r="B29" s="5" t="s">
        <v>153</v>
      </c>
      <c r="C29" s="5" t="s">
        <v>153</v>
      </c>
      <c r="D29" t="b">
        <f t="shared" si="0"/>
        <v>0</v>
      </c>
    </row>
    <row r="30" spans="1:7" x14ac:dyDescent="0.25">
      <c r="A30" t="s">
        <v>35</v>
      </c>
      <c r="B30" s="5" t="s">
        <v>153</v>
      </c>
      <c r="C30" s="5" t="s">
        <v>153</v>
      </c>
      <c r="D30" t="b">
        <f t="shared" si="0"/>
        <v>0</v>
      </c>
    </row>
    <row r="31" spans="1:7" x14ac:dyDescent="0.25">
      <c r="A31" t="s">
        <v>35</v>
      </c>
      <c r="B31" s="5" t="s">
        <v>86</v>
      </c>
      <c r="C31" s="5" t="s">
        <v>86</v>
      </c>
      <c r="D31" t="b">
        <f t="shared" si="0"/>
        <v>0</v>
      </c>
    </row>
    <row r="32" spans="1:7" x14ac:dyDescent="0.25">
      <c r="A32" t="s">
        <v>35</v>
      </c>
      <c r="B32" s="5" t="s">
        <v>86</v>
      </c>
      <c r="C32" s="5" t="s">
        <v>86</v>
      </c>
      <c r="D32" t="b">
        <f t="shared" si="0"/>
        <v>0</v>
      </c>
    </row>
    <row r="33" spans="1:4" x14ac:dyDescent="0.25">
      <c r="A33" t="s">
        <v>35</v>
      </c>
      <c r="B33" s="5" t="s">
        <v>86</v>
      </c>
      <c r="C33" s="5" t="s">
        <v>86</v>
      </c>
      <c r="D33" t="b">
        <f t="shared" si="0"/>
        <v>0</v>
      </c>
    </row>
    <row r="34" spans="1:4" x14ac:dyDescent="0.25">
      <c r="A34" t="s">
        <v>35</v>
      </c>
      <c r="B34" s="5" t="s">
        <v>86</v>
      </c>
      <c r="C34" s="5" t="s">
        <v>86</v>
      </c>
      <c r="D34" t="b">
        <f t="shared" si="0"/>
        <v>0</v>
      </c>
    </row>
    <row r="35" spans="1:4" x14ac:dyDescent="0.25">
      <c r="A35" t="s">
        <v>35</v>
      </c>
      <c r="B35" s="5" t="s">
        <v>86</v>
      </c>
      <c r="C35" s="5" t="s">
        <v>86</v>
      </c>
      <c r="D35" t="b">
        <f t="shared" si="0"/>
        <v>0</v>
      </c>
    </row>
    <row r="36" spans="1:4" x14ac:dyDescent="0.25">
      <c r="A36" t="s">
        <v>35</v>
      </c>
      <c r="B36" s="5" t="s">
        <v>86</v>
      </c>
      <c r="C36" s="5" t="s">
        <v>86</v>
      </c>
      <c r="D36" t="b">
        <f t="shared" si="0"/>
        <v>0</v>
      </c>
    </row>
    <row r="37" spans="1:4" x14ac:dyDescent="0.25">
      <c r="A37" t="s">
        <v>35</v>
      </c>
      <c r="B37" s="5" t="s">
        <v>86</v>
      </c>
      <c r="C37" s="5" t="s">
        <v>86</v>
      </c>
      <c r="D37" t="b">
        <f t="shared" si="0"/>
        <v>0</v>
      </c>
    </row>
    <row r="38" spans="1:4" x14ac:dyDescent="0.25">
      <c r="A38" t="s">
        <v>35</v>
      </c>
      <c r="B38" s="5" t="s">
        <v>86</v>
      </c>
      <c r="C38" s="5" t="s">
        <v>86</v>
      </c>
      <c r="D38" t="b">
        <f t="shared" si="0"/>
        <v>0</v>
      </c>
    </row>
    <row r="39" spans="1:4" x14ac:dyDescent="0.25">
      <c r="A39" t="s">
        <v>41</v>
      </c>
      <c r="B39" s="5" t="s">
        <v>287</v>
      </c>
      <c r="C39" s="5" t="s">
        <v>287</v>
      </c>
      <c r="D39" t="b">
        <f t="shared" si="0"/>
        <v>0</v>
      </c>
    </row>
    <row r="40" spans="1:4" x14ac:dyDescent="0.25">
      <c r="A40" t="s">
        <v>41</v>
      </c>
      <c r="B40" s="5" t="s">
        <v>88</v>
      </c>
      <c r="C40" s="5" t="s">
        <v>88</v>
      </c>
      <c r="D40" t="b">
        <f t="shared" si="0"/>
        <v>0</v>
      </c>
    </row>
    <row r="41" spans="1:4" x14ac:dyDescent="0.25">
      <c r="A41" t="s">
        <v>41</v>
      </c>
      <c r="B41" s="5" t="s">
        <v>1229</v>
      </c>
      <c r="C41" s="5" t="s">
        <v>1229</v>
      </c>
      <c r="D41" t="b">
        <f t="shared" si="0"/>
        <v>0</v>
      </c>
    </row>
    <row r="42" spans="1:4" x14ac:dyDescent="0.25">
      <c r="A42" t="s">
        <v>41</v>
      </c>
      <c r="B42" s="5" t="s">
        <v>159</v>
      </c>
      <c r="C42" s="5" t="s">
        <v>159</v>
      </c>
      <c r="D42" t="b">
        <f t="shared" si="0"/>
        <v>0</v>
      </c>
    </row>
    <row r="43" spans="1:4" x14ac:dyDescent="0.25">
      <c r="A43" t="s">
        <v>41</v>
      </c>
      <c r="B43" s="5" t="s">
        <v>161</v>
      </c>
      <c r="C43" s="5" t="s">
        <v>161</v>
      </c>
      <c r="D43" t="b">
        <f t="shared" si="0"/>
        <v>0</v>
      </c>
    </row>
    <row r="44" spans="1:4" x14ac:dyDescent="0.25">
      <c r="A44" t="s">
        <v>41</v>
      </c>
      <c r="B44" s="5" t="s">
        <v>496</v>
      </c>
      <c r="C44" s="5" t="s">
        <v>496</v>
      </c>
      <c r="D44" t="b">
        <f t="shared" si="0"/>
        <v>0</v>
      </c>
    </row>
    <row r="45" spans="1:4" x14ac:dyDescent="0.25">
      <c r="A45" t="s">
        <v>41</v>
      </c>
      <c r="B45" s="5" t="s">
        <v>494</v>
      </c>
      <c r="C45" s="5" t="s">
        <v>494</v>
      </c>
      <c r="D45" t="b">
        <f t="shared" si="0"/>
        <v>0</v>
      </c>
    </row>
    <row r="46" spans="1:4" x14ac:dyDescent="0.25">
      <c r="A46" t="s">
        <v>41</v>
      </c>
      <c r="B46" s="5" t="s">
        <v>497</v>
      </c>
      <c r="C46" s="5" t="s">
        <v>497</v>
      </c>
      <c r="D46" t="b">
        <f t="shared" si="0"/>
        <v>0</v>
      </c>
    </row>
    <row r="47" spans="1:4" x14ac:dyDescent="0.25">
      <c r="A47" t="s">
        <v>41</v>
      </c>
      <c r="B47" s="5" t="s">
        <v>1230</v>
      </c>
      <c r="C47" s="5" t="s">
        <v>1777</v>
      </c>
      <c r="D47" t="b">
        <f t="shared" si="0"/>
        <v>1</v>
      </c>
    </row>
    <row r="48" spans="1:4" x14ac:dyDescent="0.25">
      <c r="A48" t="s">
        <v>41</v>
      </c>
      <c r="B48" s="5" t="s">
        <v>1231</v>
      </c>
      <c r="C48" s="5" t="s">
        <v>1231</v>
      </c>
      <c r="D48" t="b">
        <f t="shared" si="0"/>
        <v>0</v>
      </c>
    </row>
    <row r="49" spans="1:4" x14ac:dyDescent="0.25">
      <c r="A49" t="s">
        <v>66</v>
      </c>
      <c r="B49" s="5" t="s">
        <v>1232</v>
      </c>
      <c r="C49" s="5" t="s">
        <v>1232</v>
      </c>
      <c r="D49" t="b">
        <f t="shared" si="0"/>
        <v>0</v>
      </c>
    </row>
    <row r="50" spans="1:4" x14ac:dyDescent="0.25">
      <c r="A50" t="s">
        <v>66</v>
      </c>
      <c r="B50" s="5" t="s">
        <v>124</v>
      </c>
      <c r="C50" s="5" t="s">
        <v>124</v>
      </c>
      <c r="D50" t="b">
        <f t="shared" si="0"/>
        <v>0</v>
      </c>
    </row>
    <row r="51" spans="1:4" x14ac:dyDescent="0.25">
      <c r="A51" t="s">
        <v>66</v>
      </c>
      <c r="B51" s="5" t="s">
        <v>1233</v>
      </c>
      <c r="C51" s="5" t="s">
        <v>1233</v>
      </c>
      <c r="D51" t="b">
        <f t="shared" si="0"/>
        <v>0</v>
      </c>
    </row>
    <row r="52" spans="1:4" x14ac:dyDescent="0.25">
      <c r="A52" t="s">
        <v>66</v>
      </c>
      <c r="B52" s="5" t="s">
        <v>125</v>
      </c>
      <c r="C52" s="5" t="s">
        <v>125</v>
      </c>
      <c r="D52" t="b">
        <f t="shared" si="0"/>
        <v>0</v>
      </c>
    </row>
    <row r="53" spans="1:4" x14ac:dyDescent="0.25">
      <c r="A53" t="s">
        <v>43</v>
      </c>
      <c r="B53" s="5" t="s">
        <v>1234</v>
      </c>
      <c r="C53" s="5" t="s">
        <v>1234</v>
      </c>
      <c r="D53" t="b">
        <f t="shared" si="0"/>
        <v>0</v>
      </c>
    </row>
    <row r="54" spans="1:4" x14ac:dyDescent="0.25">
      <c r="A54" t="s">
        <v>43</v>
      </c>
      <c r="B54" s="5" t="s">
        <v>1235</v>
      </c>
      <c r="C54" s="5" t="s">
        <v>1235</v>
      </c>
      <c r="D54" t="b">
        <f t="shared" si="0"/>
        <v>0</v>
      </c>
    </row>
    <row r="55" spans="1:4" x14ac:dyDescent="0.25">
      <c r="A55" t="s">
        <v>43</v>
      </c>
      <c r="B55" s="5" t="s">
        <v>1236</v>
      </c>
      <c r="C55" s="5" t="s">
        <v>1236</v>
      </c>
      <c r="D55" t="b">
        <f t="shared" si="0"/>
        <v>0</v>
      </c>
    </row>
    <row r="56" spans="1:4" x14ac:dyDescent="0.25">
      <c r="A56" t="s">
        <v>43</v>
      </c>
      <c r="B56" s="5" t="s">
        <v>176</v>
      </c>
      <c r="C56" s="5" t="s">
        <v>176</v>
      </c>
      <c r="D56" t="b">
        <f t="shared" si="0"/>
        <v>0</v>
      </c>
    </row>
    <row r="57" spans="1:4" x14ac:dyDescent="0.25">
      <c r="A57" t="s">
        <v>43</v>
      </c>
      <c r="B57" s="5" t="s">
        <v>1237</v>
      </c>
      <c r="C57" s="5" t="s">
        <v>1237</v>
      </c>
      <c r="D57" t="b">
        <f t="shared" si="0"/>
        <v>0</v>
      </c>
    </row>
    <row r="58" spans="1:4" x14ac:dyDescent="0.25">
      <c r="A58" t="s">
        <v>43</v>
      </c>
      <c r="B58" s="5" t="s">
        <v>431</v>
      </c>
      <c r="C58" s="5" t="s">
        <v>431</v>
      </c>
      <c r="D58" t="b">
        <f t="shared" si="0"/>
        <v>0</v>
      </c>
    </row>
    <row r="59" spans="1:4" x14ac:dyDescent="0.25">
      <c r="A59" t="s">
        <v>43</v>
      </c>
      <c r="B59" s="5" t="s">
        <v>520</v>
      </c>
      <c r="C59" s="5" t="s">
        <v>1926</v>
      </c>
      <c r="D59" t="b">
        <f t="shared" si="0"/>
        <v>1</v>
      </c>
    </row>
    <row r="60" spans="1:4" x14ac:dyDescent="0.25">
      <c r="A60" t="s">
        <v>43</v>
      </c>
      <c r="B60" s="5" t="s">
        <v>1238</v>
      </c>
      <c r="C60" s="5" t="s">
        <v>1238</v>
      </c>
      <c r="D60" t="b">
        <f t="shared" si="0"/>
        <v>0</v>
      </c>
    </row>
    <row r="61" spans="1:4" x14ac:dyDescent="0.25">
      <c r="A61" t="s">
        <v>43</v>
      </c>
      <c r="B61" s="5" t="s">
        <v>1239</v>
      </c>
      <c r="C61" s="5" t="s">
        <v>1239</v>
      </c>
      <c r="D61" t="b">
        <f t="shared" si="0"/>
        <v>0</v>
      </c>
    </row>
    <row r="62" spans="1:4" x14ac:dyDescent="0.25">
      <c r="A62" t="s">
        <v>43</v>
      </c>
      <c r="B62" s="5" t="s">
        <v>1240</v>
      </c>
      <c r="C62" s="5" t="s">
        <v>1240</v>
      </c>
      <c r="D62" t="b">
        <f t="shared" si="0"/>
        <v>0</v>
      </c>
    </row>
    <row r="63" spans="1:4" x14ac:dyDescent="0.25">
      <c r="A63" t="s">
        <v>43</v>
      </c>
      <c r="B63" s="5" t="s">
        <v>1241</v>
      </c>
      <c r="C63" s="5" t="s">
        <v>1241</v>
      </c>
      <c r="D63" t="b">
        <f t="shared" si="0"/>
        <v>0</v>
      </c>
    </row>
    <row r="64" spans="1:4" x14ac:dyDescent="0.25">
      <c r="A64" t="s">
        <v>274</v>
      </c>
      <c r="B64" s="5" t="s">
        <v>1242</v>
      </c>
      <c r="C64" s="5" t="s">
        <v>1242</v>
      </c>
      <c r="D64" t="b">
        <f t="shared" si="0"/>
        <v>0</v>
      </c>
    </row>
    <row r="65" spans="1:4" x14ac:dyDescent="0.25">
      <c r="A65" t="s">
        <v>274</v>
      </c>
      <c r="B65" s="5" t="s">
        <v>1243</v>
      </c>
      <c r="C65" s="5" t="s">
        <v>1243</v>
      </c>
      <c r="D65" t="b">
        <f t="shared" si="0"/>
        <v>0</v>
      </c>
    </row>
    <row r="66" spans="1:4" x14ac:dyDescent="0.25">
      <c r="A66" t="s">
        <v>274</v>
      </c>
      <c r="B66" s="5" t="s">
        <v>1244</v>
      </c>
      <c r="C66" s="5" t="s">
        <v>1244</v>
      </c>
      <c r="D66" t="b">
        <f t="shared" si="0"/>
        <v>0</v>
      </c>
    </row>
    <row r="67" spans="1:4" x14ac:dyDescent="0.25">
      <c r="A67" t="s">
        <v>274</v>
      </c>
      <c r="B67" s="5" t="s">
        <v>1245</v>
      </c>
      <c r="C67" s="5" t="s">
        <v>1245</v>
      </c>
      <c r="D67" t="b">
        <f t="shared" si="0"/>
        <v>0</v>
      </c>
    </row>
    <row r="68" spans="1:4" x14ac:dyDescent="0.25">
      <c r="A68" t="s">
        <v>274</v>
      </c>
      <c r="B68" s="5" t="s">
        <v>1246</v>
      </c>
      <c r="C68" s="5" t="s">
        <v>1246</v>
      </c>
      <c r="D68" t="b">
        <f t="shared" si="0"/>
        <v>0</v>
      </c>
    </row>
    <row r="69" spans="1:4" x14ac:dyDescent="0.25">
      <c r="A69" t="s">
        <v>274</v>
      </c>
      <c r="B69" s="5" t="s">
        <v>1247</v>
      </c>
      <c r="C69" s="5" t="s">
        <v>1248</v>
      </c>
      <c r="D69" t="b">
        <f t="shared" ref="D69:D102" si="2">B69&lt;&gt;C69</f>
        <v>1</v>
      </c>
    </row>
    <row r="70" spans="1:4" x14ac:dyDescent="0.25">
      <c r="A70" t="s">
        <v>274</v>
      </c>
      <c r="B70" s="5" t="s">
        <v>1249</v>
      </c>
      <c r="C70" s="5" t="s">
        <v>1249</v>
      </c>
      <c r="D70" t="b">
        <f t="shared" si="2"/>
        <v>0</v>
      </c>
    </row>
    <row r="71" spans="1:4" x14ac:dyDescent="0.25">
      <c r="A71" t="s">
        <v>274</v>
      </c>
      <c r="B71" s="5" t="s">
        <v>1250</v>
      </c>
      <c r="C71" s="5" t="s">
        <v>1250</v>
      </c>
      <c r="D71" t="b">
        <f t="shared" si="2"/>
        <v>0</v>
      </c>
    </row>
    <row r="72" spans="1:4" x14ac:dyDescent="0.25">
      <c r="A72" t="s">
        <v>274</v>
      </c>
      <c r="B72" s="5" t="s">
        <v>1251</v>
      </c>
      <c r="C72" s="5" t="s">
        <v>1251</v>
      </c>
      <c r="D72" t="b">
        <f t="shared" si="2"/>
        <v>0</v>
      </c>
    </row>
    <row r="73" spans="1:4" x14ac:dyDescent="0.25">
      <c r="A73" t="s">
        <v>274</v>
      </c>
      <c r="B73" s="5" t="s">
        <v>1252</v>
      </c>
      <c r="C73" s="5" t="s">
        <v>1252</v>
      </c>
      <c r="D73" t="b">
        <f t="shared" si="2"/>
        <v>0</v>
      </c>
    </row>
    <row r="74" spans="1:4" x14ac:dyDescent="0.25">
      <c r="A74" t="s">
        <v>50</v>
      </c>
      <c r="B74" s="5" t="s">
        <v>1253</v>
      </c>
      <c r="C74" s="5" t="s">
        <v>799</v>
      </c>
      <c r="D74" t="b">
        <f t="shared" si="2"/>
        <v>1</v>
      </c>
    </row>
    <row r="75" spans="1:4" x14ac:dyDescent="0.25">
      <c r="A75" t="s">
        <v>50</v>
      </c>
      <c r="B75" s="5" t="s">
        <v>1608</v>
      </c>
      <c r="C75" s="5" t="s">
        <v>1608</v>
      </c>
      <c r="D75" t="b">
        <f t="shared" si="2"/>
        <v>0</v>
      </c>
    </row>
    <row r="76" spans="1:4" x14ac:dyDescent="0.25">
      <c r="A76" t="s">
        <v>50</v>
      </c>
      <c r="B76" s="5" t="s">
        <v>1254</v>
      </c>
      <c r="C76" s="5" t="s">
        <v>1254</v>
      </c>
      <c r="D76" t="b">
        <f t="shared" si="2"/>
        <v>0</v>
      </c>
    </row>
    <row r="77" spans="1:4" x14ac:dyDescent="0.25">
      <c r="A77" t="s">
        <v>50</v>
      </c>
      <c r="B77" s="5" t="s">
        <v>1255</v>
      </c>
      <c r="C77" s="5" t="s">
        <v>1255</v>
      </c>
      <c r="D77" t="b">
        <f t="shared" si="2"/>
        <v>0</v>
      </c>
    </row>
    <row r="78" spans="1:4" x14ac:dyDescent="0.25">
      <c r="A78" t="s">
        <v>50</v>
      </c>
      <c r="B78" s="5" t="s">
        <v>1256</v>
      </c>
      <c r="C78" s="5" t="s">
        <v>1779</v>
      </c>
      <c r="D78" t="b">
        <f t="shared" si="2"/>
        <v>1</v>
      </c>
    </row>
    <row r="79" spans="1:4" x14ac:dyDescent="0.25">
      <c r="A79" t="s">
        <v>50</v>
      </c>
      <c r="B79" s="5" t="s">
        <v>1257</v>
      </c>
      <c r="C79" s="5" t="s">
        <v>1257</v>
      </c>
      <c r="D79" t="b">
        <f t="shared" si="2"/>
        <v>0</v>
      </c>
    </row>
    <row r="80" spans="1:4" x14ac:dyDescent="0.25">
      <c r="A80" t="s">
        <v>50</v>
      </c>
      <c r="B80" s="5" t="s">
        <v>1258</v>
      </c>
      <c r="C80" s="5" t="s">
        <v>1258</v>
      </c>
      <c r="D80" t="b">
        <f t="shared" si="2"/>
        <v>0</v>
      </c>
    </row>
    <row r="81" spans="1:4" x14ac:dyDescent="0.25">
      <c r="A81" t="s">
        <v>50</v>
      </c>
      <c r="B81" s="5" t="s">
        <v>1259</v>
      </c>
      <c r="C81" s="5" t="s">
        <v>1259</v>
      </c>
      <c r="D81" t="b">
        <f t="shared" si="2"/>
        <v>0</v>
      </c>
    </row>
    <row r="82" spans="1:4" x14ac:dyDescent="0.25">
      <c r="A82" t="s">
        <v>42</v>
      </c>
      <c r="B82" s="5" t="s">
        <v>1260</v>
      </c>
      <c r="C82" s="5" t="s">
        <v>1260</v>
      </c>
      <c r="D82" t="b">
        <f t="shared" si="2"/>
        <v>0</v>
      </c>
    </row>
    <row r="83" spans="1:4" x14ac:dyDescent="0.25">
      <c r="A83" t="s">
        <v>42</v>
      </c>
      <c r="B83" s="5" t="s">
        <v>1261</v>
      </c>
      <c r="C83" s="5" t="s">
        <v>1684</v>
      </c>
      <c r="D83" t="b">
        <f t="shared" si="2"/>
        <v>1</v>
      </c>
    </row>
    <row r="84" spans="1:4" x14ac:dyDescent="0.25">
      <c r="A84" t="s">
        <v>42</v>
      </c>
      <c r="B84" s="5" t="s">
        <v>1262</v>
      </c>
      <c r="C84" s="5" t="s">
        <v>1262</v>
      </c>
      <c r="D84" t="b">
        <f t="shared" si="2"/>
        <v>0</v>
      </c>
    </row>
    <row r="85" spans="1:4" x14ac:dyDescent="0.25">
      <c r="A85" t="s">
        <v>42</v>
      </c>
      <c r="B85" s="5" t="s">
        <v>1263</v>
      </c>
      <c r="C85" s="5" t="s">
        <v>1263</v>
      </c>
      <c r="D85" t="b">
        <f t="shared" si="2"/>
        <v>0</v>
      </c>
    </row>
    <row r="86" spans="1:4" x14ac:dyDescent="0.25">
      <c r="A86" t="s">
        <v>42</v>
      </c>
      <c r="B86" s="5" t="s">
        <v>97</v>
      </c>
      <c r="C86" s="5" t="s">
        <v>97</v>
      </c>
      <c r="D86" t="b">
        <f t="shared" si="2"/>
        <v>0</v>
      </c>
    </row>
    <row r="87" spans="1:4" x14ac:dyDescent="0.25">
      <c r="A87" t="s">
        <v>42</v>
      </c>
      <c r="B87" s="5" t="s">
        <v>1264</v>
      </c>
      <c r="C87" s="5" t="s">
        <v>1264</v>
      </c>
      <c r="D87" t="b">
        <f t="shared" si="2"/>
        <v>0</v>
      </c>
    </row>
    <row r="88" spans="1:4" x14ac:dyDescent="0.25">
      <c r="A88" t="s">
        <v>42</v>
      </c>
      <c r="B88" s="5" t="s">
        <v>1265</v>
      </c>
      <c r="C88" s="5" t="s">
        <v>1781</v>
      </c>
      <c r="D88" t="b">
        <f t="shared" si="2"/>
        <v>1</v>
      </c>
    </row>
    <row r="89" spans="1:4" x14ac:dyDescent="0.25">
      <c r="A89" t="s">
        <v>42</v>
      </c>
      <c r="B89" s="5" t="s">
        <v>1266</v>
      </c>
      <c r="C89" s="5" t="s">
        <v>1266</v>
      </c>
      <c r="D89" t="b">
        <f t="shared" si="2"/>
        <v>0</v>
      </c>
    </row>
    <row r="90" spans="1:4" x14ac:dyDescent="0.25">
      <c r="A90" t="s">
        <v>6</v>
      </c>
      <c r="B90" s="5" t="s">
        <v>1267</v>
      </c>
      <c r="C90" s="5" t="s">
        <v>1267</v>
      </c>
      <c r="D90" t="b">
        <f t="shared" si="2"/>
        <v>0</v>
      </c>
    </row>
    <row r="91" spans="1:4" x14ac:dyDescent="0.25">
      <c r="A91" t="s">
        <v>6</v>
      </c>
      <c r="B91" s="5" t="s">
        <v>1268</v>
      </c>
      <c r="C91" s="5" t="s">
        <v>1780</v>
      </c>
      <c r="D91" t="b">
        <f t="shared" si="2"/>
        <v>1</v>
      </c>
    </row>
    <row r="92" spans="1:4" x14ac:dyDescent="0.25">
      <c r="A92" t="s">
        <v>6</v>
      </c>
      <c r="B92" s="5" t="s">
        <v>1269</v>
      </c>
      <c r="C92" s="5" t="s">
        <v>1778</v>
      </c>
      <c r="D92" t="b">
        <f t="shared" si="2"/>
        <v>1</v>
      </c>
    </row>
    <row r="93" spans="1:4" x14ac:dyDescent="0.25">
      <c r="A93" t="s">
        <v>6</v>
      </c>
      <c r="B93" s="5" t="s">
        <v>1270</v>
      </c>
      <c r="C93" s="5" t="s">
        <v>1270</v>
      </c>
      <c r="D93" t="b">
        <f t="shared" si="2"/>
        <v>0</v>
      </c>
    </row>
    <row r="94" spans="1:4" x14ac:dyDescent="0.25">
      <c r="A94" t="s">
        <v>6</v>
      </c>
      <c r="B94" s="5" t="s">
        <v>1271</v>
      </c>
      <c r="C94" s="5" t="s">
        <v>1271</v>
      </c>
      <c r="D94" t="b">
        <f t="shared" si="2"/>
        <v>0</v>
      </c>
    </row>
    <row r="95" spans="1:4" x14ac:dyDescent="0.25">
      <c r="A95" t="s">
        <v>1227</v>
      </c>
      <c r="B95" s="5" t="s">
        <v>1272</v>
      </c>
      <c r="C95" s="5" t="s">
        <v>1272</v>
      </c>
      <c r="D95" t="b">
        <f t="shared" si="2"/>
        <v>0</v>
      </c>
    </row>
    <row r="96" spans="1:4" x14ac:dyDescent="0.25">
      <c r="A96" t="s">
        <v>1227</v>
      </c>
      <c r="B96" s="5" t="s">
        <v>1273</v>
      </c>
      <c r="C96" s="5" t="s">
        <v>1273</v>
      </c>
      <c r="D96" t="b">
        <f t="shared" si="2"/>
        <v>0</v>
      </c>
    </row>
    <row r="97" spans="1:4" x14ac:dyDescent="0.25">
      <c r="A97" t="s">
        <v>1227</v>
      </c>
      <c r="B97" s="5" t="s">
        <v>1274</v>
      </c>
      <c r="C97" s="5" t="s">
        <v>1274</v>
      </c>
      <c r="D97" t="b">
        <f t="shared" si="2"/>
        <v>0</v>
      </c>
    </row>
    <row r="98" spans="1:4" x14ac:dyDescent="0.25">
      <c r="A98" t="s">
        <v>1227</v>
      </c>
      <c r="B98" s="5" t="s">
        <v>1275</v>
      </c>
      <c r="C98" s="5" t="s">
        <v>1275</v>
      </c>
      <c r="D98" t="b">
        <f t="shared" si="2"/>
        <v>0</v>
      </c>
    </row>
    <row r="99" spans="1:4" x14ac:dyDescent="0.25">
      <c r="A99" t="s">
        <v>1227</v>
      </c>
      <c r="B99" s="5" t="s">
        <v>1276</v>
      </c>
      <c r="C99" s="5" t="s">
        <v>1276</v>
      </c>
      <c r="D99" t="b">
        <f t="shared" si="2"/>
        <v>0</v>
      </c>
    </row>
    <row r="100" spans="1:4" x14ac:dyDescent="0.25">
      <c r="A100" t="s">
        <v>1227</v>
      </c>
      <c r="B100" s="5" t="s">
        <v>1277</v>
      </c>
      <c r="C100" s="5" t="s">
        <v>1277</v>
      </c>
      <c r="D100" t="b">
        <f t="shared" si="2"/>
        <v>0</v>
      </c>
    </row>
    <row r="101" spans="1:4" x14ac:dyDescent="0.25">
      <c r="A101" t="s">
        <v>1227</v>
      </c>
      <c r="B101" s="5" t="s">
        <v>1278</v>
      </c>
      <c r="C101" s="5" t="s">
        <v>1278</v>
      </c>
      <c r="D101" t="b">
        <f t="shared" si="2"/>
        <v>0</v>
      </c>
    </row>
    <row r="102" spans="1:4" x14ac:dyDescent="0.25">
      <c r="A102" t="s">
        <v>1227</v>
      </c>
      <c r="B102" s="5" t="s">
        <v>1279</v>
      </c>
      <c r="C102" s="5" t="s">
        <v>1279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68BC2DC-10C1-40EE-B01F-79B514DD5C5F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67F77EF5-ED46-4039-9191-1AA2B46FE7CF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9D3E-46DC-42EA-90ED-427B7DF1FEBD}">
  <sheetPr codeName="Planilha26"/>
  <dimension ref="A1:G102"/>
  <sheetViews>
    <sheetView workbookViewId="0">
      <selection activeCell="B4" sqref="B4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1355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12</v>
      </c>
    </row>
    <row r="3" spans="1:7" x14ac:dyDescent="0.25">
      <c r="A3" s="24" t="s">
        <v>2031</v>
      </c>
      <c r="B3" s="5" t="s">
        <v>2074</v>
      </c>
      <c r="C3" s="5" t="s">
        <v>2074</v>
      </c>
      <c r="D3" t="b">
        <f>B3&lt;&gt;C3</f>
        <v>0</v>
      </c>
      <c r="F3" s="4" t="s">
        <v>37</v>
      </c>
      <c r="G3" s="3">
        <f>SUM(G6:G24)</f>
        <v>100</v>
      </c>
    </row>
    <row r="4" spans="1:7" x14ac:dyDescent="0.25">
      <c r="A4" t="s">
        <v>35</v>
      </c>
      <c r="B4" s="5" t="s">
        <v>1356</v>
      </c>
      <c r="C4" s="5" t="s">
        <v>1356</v>
      </c>
      <c r="D4" t="b">
        <f>B4&lt;&gt;C4</f>
        <v>0</v>
      </c>
    </row>
    <row r="5" spans="1:7" x14ac:dyDescent="0.25">
      <c r="A5" t="s">
        <v>35</v>
      </c>
      <c r="B5" s="5" t="s">
        <v>140</v>
      </c>
      <c r="C5" s="5" t="s">
        <v>140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542</v>
      </c>
      <c r="C6" s="5" t="s">
        <v>542</v>
      </c>
      <c r="D6" t="b">
        <f t="shared" si="0"/>
        <v>0</v>
      </c>
      <c r="F6" s="3" t="s">
        <v>2031</v>
      </c>
      <c r="G6" s="2">
        <f t="shared" ref="G6:G15" si="1">COUNTIF(A:A,F6)</f>
        <v>1</v>
      </c>
    </row>
    <row r="7" spans="1:7" x14ac:dyDescent="0.25">
      <c r="A7" t="s">
        <v>35</v>
      </c>
      <c r="B7" s="5" t="s">
        <v>1357</v>
      </c>
      <c r="C7" s="5" t="s">
        <v>1357</v>
      </c>
      <c r="D7" t="b">
        <f t="shared" si="0"/>
        <v>0</v>
      </c>
      <c r="F7" s="7" t="s">
        <v>35</v>
      </c>
      <c r="G7" s="2">
        <f t="shared" si="1"/>
        <v>34</v>
      </c>
    </row>
    <row r="8" spans="1:7" x14ac:dyDescent="0.25">
      <c r="A8" t="s">
        <v>35</v>
      </c>
      <c r="B8" s="5" t="s">
        <v>199</v>
      </c>
      <c r="C8" s="5" t="s">
        <v>199</v>
      </c>
      <c r="D8" t="b">
        <f t="shared" si="0"/>
        <v>0</v>
      </c>
      <c r="F8" s="7" t="s">
        <v>1358</v>
      </c>
      <c r="G8" s="2">
        <f t="shared" si="1"/>
        <v>11</v>
      </c>
    </row>
    <row r="9" spans="1:7" x14ac:dyDescent="0.25">
      <c r="A9" t="s">
        <v>35</v>
      </c>
      <c r="B9" s="5" t="s">
        <v>67</v>
      </c>
      <c r="C9" s="5" t="s">
        <v>67</v>
      </c>
      <c r="D9" t="b">
        <f t="shared" si="0"/>
        <v>0</v>
      </c>
      <c r="F9" s="7" t="s">
        <v>339</v>
      </c>
      <c r="G9" s="2">
        <f t="shared" si="1"/>
        <v>7</v>
      </c>
    </row>
    <row r="10" spans="1:7" x14ac:dyDescent="0.25">
      <c r="A10" t="s">
        <v>35</v>
      </c>
      <c r="B10" s="5" t="s">
        <v>40</v>
      </c>
      <c r="C10" s="5" t="s">
        <v>40</v>
      </c>
      <c r="D10" t="b">
        <f t="shared" si="0"/>
        <v>0</v>
      </c>
      <c r="F10" s="7" t="s">
        <v>337</v>
      </c>
      <c r="G10" s="2">
        <f t="shared" si="1"/>
        <v>4</v>
      </c>
    </row>
    <row r="11" spans="1:7" x14ac:dyDescent="0.25">
      <c r="A11" t="s">
        <v>35</v>
      </c>
      <c r="B11" s="5" t="s">
        <v>58</v>
      </c>
      <c r="C11" s="5" t="s">
        <v>58</v>
      </c>
      <c r="D11" t="b">
        <f t="shared" si="0"/>
        <v>0</v>
      </c>
      <c r="F11" s="7" t="s">
        <v>43</v>
      </c>
      <c r="G11" s="2">
        <f t="shared" si="1"/>
        <v>5</v>
      </c>
    </row>
    <row r="12" spans="1:7" x14ac:dyDescent="0.25">
      <c r="A12" t="s">
        <v>35</v>
      </c>
      <c r="B12" s="5" t="s">
        <v>152</v>
      </c>
      <c r="C12" s="5" t="s">
        <v>152</v>
      </c>
      <c r="D12" t="b">
        <f t="shared" si="0"/>
        <v>0</v>
      </c>
      <c r="F12" s="7" t="s">
        <v>50</v>
      </c>
      <c r="G12" s="2">
        <f t="shared" si="1"/>
        <v>10</v>
      </c>
    </row>
    <row r="13" spans="1:7" x14ac:dyDescent="0.25">
      <c r="A13" t="s">
        <v>35</v>
      </c>
      <c r="B13" s="5" t="s">
        <v>205</v>
      </c>
      <c r="C13" s="5" t="s">
        <v>205</v>
      </c>
      <c r="D13" t="b">
        <f t="shared" si="0"/>
        <v>0</v>
      </c>
      <c r="F13" s="7" t="s">
        <v>1359</v>
      </c>
      <c r="G13" s="2">
        <f t="shared" si="1"/>
        <v>14</v>
      </c>
    </row>
    <row r="14" spans="1:7" x14ac:dyDescent="0.25">
      <c r="A14" t="s">
        <v>35</v>
      </c>
      <c r="B14" s="5" t="s">
        <v>205</v>
      </c>
      <c r="C14" s="5" t="s">
        <v>205</v>
      </c>
      <c r="D14" t="b">
        <f t="shared" si="0"/>
        <v>0</v>
      </c>
      <c r="F14" s="7" t="s">
        <v>1360</v>
      </c>
      <c r="G14" s="2">
        <f t="shared" si="1"/>
        <v>5</v>
      </c>
    </row>
    <row r="15" spans="1:7" x14ac:dyDescent="0.25">
      <c r="A15" t="s">
        <v>35</v>
      </c>
      <c r="B15" s="5" t="s">
        <v>205</v>
      </c>
      <c r="C15" s="5" t="s">
        <v>205</v>
      </c>
      <c r="D15" t="b">
        <f t="shared" si="0"/>
        <v>0</v>
      </c>
      <c r="F15" s="7" t="s">
        <v>151</v>
      </c>
      <c r="G15" s="2">
        <f t="shared" si="1"/>
        <v>9</v>
      </c>
    </row>
    <row r="16" spans="1:7" x14ac:dyDescent="0.25">
      <c r="A16" t="s">
        <v>35</v>
      </c>
      <c r="B16" s="5" t="s">
        <v>205</v>
      </c>
      <c r="C16" s="5" t="s">
        <v>205</v>
      </c>
      <c r="D16" t="b">
        <f t="shared" si="0"/>
        <v>0</v>
      </c>
      <c r="F16" s="1"/>
      <c r="G16" s="2"/>
    </row>
    <row r="17" spans="1:4" x14ac:dyDescent="0.25">
      <c r="A17" t="s">
        <v>35</v>
      </c>
      <c r="B17" s="5" t="s">
        <v>205</v>
      </c>
      <c r="C17" s="5" t="s">
        <v>205</v>
      </c>
      <c r="D17" t="b">
        <f t="shared" si="0"/>
        <v>0</v>
      </c>
    </row>
    <row r="18" spans="1:4" x14ac:dyDescent="0.25">
      <c r="A18" t="s">
        <v>35</v>
      </c>
      <c r="B18" s="5" t="s">
        <v>205</v>
      </c>
      <c r="C18" s="5" t="s">
        <v>205</v>
      </c>
      <c r="D18" t="b">
        <f t="shared" si="0"/>
        <v>0</v>
      </c>
    </row>
    <row r="19" spans="1:4" x14ac:dyDescent="0.25">
      <c r="A19" t="s">
        <v>35</v>
      </c>
      <c r="B19" s="5" t="s">
        <v>205</v>
      </c>
      <c r="C19" s="5" t="s">
        <v>205</v>
      </c>
      <c r="D19" t="b">
        <f t="shared" si="0"/>
        <v>0</v>
      </c>
    </row>
    <row r="20" spans="1:4" x14ac:dyDescent="0.25">
      <c r="A20" t="s">
        <v>35</v>
      </c>
      <c r="B20" s="5" t="s">
        <v>205</v>
      </c>
      <c r="C20" s="5" t="s">
        <v>205</v>
      </c>
      <c r="D20" t="b">
        <f t="shared" si="0"/>
        <v>0</v>
      </c>
    </row>
    <row r="21" spans="1:4" x14ac:dyDescent="0.25">
      <c r="A21" t="s">
        <v>35</v>
      </c>
      <c r="B21" s="5" t="s">
        <v>205</v>
      </c>
      <c r="C21" s="5" t="s">
        <v>205</v>
      </c>
      <c r="D21" t="b">
        <f t="shared" si="0"/>
        <v>0</v>
      </c>
    </row>
    <row r="22" spans="1:4" x14ac:dyDescent="0.25">
      <c r="A22" t="s">
        <v>35</v>
      </c>
      <c r="B22" s="5" t="s">
        <v>205</v>
      </c>
      <c r="C22" s="5" t="s">
        <v>205</v>
      </c>
      <c r="D22" t="b">
        <f t="shared" si="0"/>
        <v>0</v>
      </c>
    </row>
    <row r="23" spans="1:4" x14ac:dyDescent="0.25">
      <c r="A23" t="s">
        <v>35</v>
      </c>
      <c r="B23" s="5" t="s">
        <v>205</v>
      </c>
      <c r="C23" s="5" t="s">
        <v>205</v>
      </c>
      <c r="D23" t="b">
        <f t="shared" si="0"/>
        <v>0</v>
      </c>
    </row>
    <row r="24" spans="1:4" x14ac:dyDescent="0.25">
      <c r="A24" t="s">
        <v>35</v>
      </c>
      <c r="B24" s="5" t="s">
        <v>205</v>
      </c>
      <c r="C24" s="5" t="s">
        <v>205</v>
      </c>
      <c r="D24" t="b">
        <f t="shared" si="0"/>
        <v>0</v>
      </c>
    </row>
    <row r="25" spans="1:4" x14ac:dyDescent="0.25">
      <c r="A25" t="s">
        <v>35</v>
      </c>
      <c r="B25" s="5" t="s">
        <v>205</v>
      </c>
      <c r="C25" s="5" t="s">
        <v>205</v>
      </c>
      <c r="D25" t="b">
        <f t="shared" si="0"/>
        <v>0</v>
      </c>
    </row>
    <row r="26" spans="1:4" x14ac:dyDescent="0.25">
      <c r="A26" t="s">
        <v>35</v>
      </c>
      <c r="B26" s="5" t="s">
        <v>205</v>
      </c>
      <c r="C26" s="5" t="s">
        <v>205</v>
      </c>
      <c r="D26" t="b">
        <f t="shared" si="0"/>
        <v>0</v>
      </c>
    </row>
    <row r="27" spans="1:4" x14ac:dyDescent="0.25">
      <c r="A27" t="s">
        <v>35</v>
      </c>
      <c r="B27" s="5" t="s">
        <v>153</v>
      </c>
      <c r="C27" s="5" t="s">
        <v>153</v>
      </c>
      <c r="D27" t="b">
        <f t="shared" si="0"/>
        <v>0</v>
      </c>
    </row>
    <row r="28" spans="1:4" x14ac:dyDescent="0.25">
      <c r="A28" t="s">
        <v>35</v>
      </c>
      <c r="B28" s="5" t="s">
        <v>153</v>
      </c>
      <c r="C28" s="5" t="s">
        <v>153</v>
      </c>
      <c r="D28" t="b">
        <f t="shared" si="0"/>
        <v>0</v>
      </c>
    </row>
    <row r="29" spans="1:4" x14ac:dyDescent="0.25">
      <c r="A29" t="s">
        <v>35</v>
      </c>
      <c r="B29" s="5" t="s">
        <v>153</v>
      </c>
      <c r="C29" s="5" t="s">
        <v>153</v>
      </c>
      <c r="D29" t="b">
        <f t="shared" si="0"/>
        <v>0</v>
      </c>
    </row>
    <row r="30" spans="1:4" x14ac:dyDescent="0.25">
      <c r="A30" t="s">
        <v>35</v>
      </c>
      <c r="B30" s="5" t="s">
        <v>153</v>
      </c>
      <c r="C30" s="5" t="s">
        <v>153</v>
      </c>
      <c r="D30" t="b">
        <f t="shared" si="0"/>
        <v>0</v>
      </c>
    </row>
    <row r="31" spans="1:4" x14ac:dyDescent="0.25">
      <c r="A31" t="s">
        <v>35</v>
      </c>
      <c r="B31" s="5" t="s">
        <v>153</v>
      </c>
      <c r="C31" s="5" t="s">
        <v>153</v>
      </c>
      <c r="D31" t="b">
        <f t="shared" si="0"/>
        <v>0</v>
      </c>
    </row>
    <row r="32" spans="1:4" x14ac:dyDescent="0.25">
      <c r="A32" t="s">
        <v>35</v>
      </c>
      <c r="B32" s="5" t="s">
        <v>153</v>
      </c>
      <c r="C32" s="5" t="s">
        <v>153</v>
      </c>
      <c r="D32" t="b">
        <f t="shared" si="0"/>
        <v>0</v>
      </c>
    </row>
    <row r="33" spans="1:6" x14ac:dyDescent="0.25">
      <c r="A33" t="s">
        <v>35</v>
      </c>
      <c r="B33" s="5" t="s">
        <v>153</v>
      </c>
      <c r="C33" s="5" t="s">
        <v>153</v>
      </c>
      <c r="D33" t="b">
        <f t="shared" si="0"/>
        <v>0</v>
      </c>
    </row>
    <row r="34" spans="1:6" x14ac:dyDescent="0.25">
      <c r="A34" t="s">
        <v>35</v>
      </c>
      <c r="B34" s="5" t="s">
        <v>153</v>
      </c>
      <c r="C34" s="5" t="s">
        <v>153</v>
      </c>
      <c r="D34" t="b">
        <f t="shared" si="0"/>
        <v>0</v>
      </c>
    </row>
    <row r="35" spans="1:6" x14ac:dyDescent="0.25">
      <c r="A35" t="s">
        <v>35</v>
      </c>
      <c r="B35" s="5" t="s">
        <v>153</v>
      </c>
      <c r="C35" s="5" t="s">
        <v>153</v>
      </c>
      <c r="D35" t="b">
        <f t="shared" si="0"/>
        <v>0</v>
      </c>
    </row>
    <row r="36" spans="1:6" x14ac:dyDescent="0.25">
      <c r="A36" t="s">
        <v>35</v>
      </c>
      <c r="B36" s="5" t="s">
        <v>153</v>
      </c>
      <c r="C36" s="5" t="s">
        <v>153</v>
      </c>
      <c r="D36" t="b">
        <f t="shared" si="0"/>
        <v>0</v>
      </c>
    </row>
    <row r="37" spans="1:6" x14ac:dyDescent="0.25">
      <c r="A37" t="s">
        <v>35</v>
      </c>
      <c r="B37" s="5" t="s">
        <v>153</v>
      </c>
      <c r="C37" s="5" t="s">
        <v>153</v>
      </c>
      <c r="D37" t="b">
        <f t="shared" si="0"/>
        <v>0</v>
      </c>
    </row>
    <row r="38" spans="1:6" x14ac:dyDescent="0.25">
      <c r="A38" t="s">
        <v>1358</v>
      </c>
      <c r="B38" s="5" t="s">
        <v>1361</v>
      </c>
      <c r="C38" s="5" t="s">
        <v>1361</v>
      </c>
      <c r="D38" t="b">
        <f t="shared" si="0"/>
        <v>0</v>
      </c>
    </row>
    <row r="39" spans="1:6" x14ac:dyDescent="0.25">
      <c r="A39" t="s">
        <v>1358</v>
      </c>
      <c r="B39" s="5" t="s">
        <v>1362</v>
      </c>
      <c r="C39" s="5" t="s">
        <v>1362</v>
      </c>
      <c r="D39" t="b">
        <f t="shared" si="0"/>
        <v>0</v>
      </c>
    </row>
    <row r="40" spans="1:6" x14ac:dyDescent="0.25">
      <c r="A40" t="s">
        <v>1358</v>
      </c>
      <c r="B40" s="5" t="s">
        <v>375</v>
      </c>
      <c r="C40" s="5" t="s">
        <v>375</v>
      </c>
      <c r="D40" t="b">
        <f t="shared" si="0"/>
        <v>0</v>
      </c>
    </row>
    <row r="41" spans="1:6" x14ac:dyDescent="0.25">
      <c r="A41" t="s">
        <v>1358</v>
      </c>
      <c r="B41" s="5" t="s">
        <v>1363</v>
      </c>
      <c r="C41" s="5" t="s">
        <v>1732</v>
      </c>
      <c r="D41" t="b">
        <f t="shared" si="0"/>
        <v>1</v>
      </c>
    </row>
    <row r="42" spans="1:6" x14ac:dyDescent="0.25">
      <c r="A42" t="s">
        <v>1358</v>
      </c>
      <c r="B42" s="5" t="s">
        <v>1734</v>
      </c>
      <c r="C42" s="5" t="s">
        <v>1734</v>
      </c>
      <c r="D42" t="b">
        <f t="shared" si="0"/>
        <v>0</v>
      </c>
      <c r="F42"/>
    </row>
    <row r="43" spans="1:6" x14ac:dyDescent="0.25">
      <c r="A43" t="s">
        <v>1358</v>
      </c>
      <c r="B43" s="5" t="s">
        <v>1364</v>
      </c>
      <c r="C43" s="5" t="s">
        <v>1364</v>
      </c>
      <c r="D43" t="b">
        <f t="shared" si="0"/>
        <v>0</v>
      </c>
    </row>
    <row r="44" spans="1:6" x14ac:dyDescent="0.25">
      <c r="A44" t="s">
        <v>1358</v>
      </c>
      <c r="B44" s="5" t="s">
        <v>1365</v>
      </c>
      <c r="C44" s="5" t="s">
        <v>1365</v>
      </c>
      <c r="D44" t="b">
        <f t="shared" si="0"/>
        <v>0</v>
      </c>
    </row>
    <row r="45" spans="1:6" x14ac:dyDescent="0.25">
      <c r="A45" t="s">
        <v>1358</v>
      </c>
      <c r="B45" s="5" t="s">
        <v>1366</v>
      </c>
      <c r="C45" s="5" t="s">
        <v>1366</v>
      </c>
      <c r="D45" t="b">
        <f t="shared" si="0"/>
        <v>0</v>
      </c>
    </row>
    <row r="46" spans="1:6" x14ac:dyDescent="0.25">
      <c r="A46" t="s">
        <v>1358</v>
      </c>
      <c r="B46" s="5" t="s">
        <v>1379</v>
      </c>
      <c r="C46" s="5" t="s">
        <v>1379</v>
      </c>
      <c r="D46" t="b">
        <f t="shared" si="0"/>
        <v>0</v>
      </c>
    </row>
    <row r="47" spans="1:6" x14ac:dyDescent="0.25">
      <c r="A47" t="s">
        <v>1358</v>
      </c>
      <c r="B47" s="5" t="s">
        <v>1367</v>
      </c>
      <c r="C47" s="5" t="s">
        <v>1367</v>
      </c>
      <c r="D47" t="b">
        <f t="shared" si="0"/>
        <v>0</v>
      </c>
    </row>
    <row r="48" spans="1:6" x14ac:dyDescent="0.25">
      <c r="A48" t="s">
        <v>1358</v>
      </c>
      <c r="B48" s="5" t="s">
        <v>1368</v>
      </c>
      <c r="C48" s="5" t="s">
        <v>1368</v>
      </c>
      <c r="D48" t="b">
        <f t="shared" si="0"/>
        <v>0</v>
      </c>
    </row>
    <row r="49" spans="1:4" x14ac:dyDescent="0.25">
      <c r="A49" t="s">
        <v>339</v>
      </c>
      <c r="B49" s="5" t="s">
        <v>1380</v>
      </c>
      <c r="C49" s="5" t="s">
        <v>1906</v>
      </c>
      <c r="D49" t="b">
        <f t="shared" si="0"/>
        <v>1</v>
      </c>
    </row>
    <row r="50" spans="1:4" x14ac:dyDescent="0.25">
      <c r="A50" t="s">
        <v>339</v>
      </c>
      <c r="B50" s="5" t="s">
        <v>1369</v>
      </c>
      <c r="C50" s="5" t="s">
        <v>1369</v>
      </c>
      <c r="D50" t="b">
        <f t="shared" si="0"/>
        <v>0</v>
      </c>
    </row>
    <row r="51" spans="1:4" x14ac:dyDescent="0.25">
      <c r="A51" t="s">
        <v>339</v>
      </c>
      <c r="B51" s="5" t="s">
        <v>1370</v>
      </c>
      <c r="C51" s="5" t="s">
        <v>1370</v>
      </c>
      <c r="D51" t="b">
        <f t="shared" si="0"/>
        <v>0</v>
      </c>
    </row>
    <row r="52" spans="1:4" x14ac:dyDescent="0.25">
      <c r="A52" t="s">
        <v>339</v>
      </c>
      <c r="B52" s="5" t="s">
        <v>1371</v>
      </c>
      <c r="C52" s="5" t="s">
        <v>1735</v>
      </c>
      <c r="D52" t="b">
        <f t="shared" si="0"/>
        <v>1</v>
      </c>
    </row>
    <row r="53" spans="1:4" x14ac:dyDescent="0.25">
      <c r="A53" t="s">
        <v>339</v>
      </c>
      <c r="B53" s="5" t="s">
        <v>1373</v>
      </c>
      <c r="C53" s="5" t="s">
        <v>1373</v>
      </c>
      <c r="D53" t="b">
        <f t="shared" si="0"/>
        <v>0</v>
      </c>
    </row>
    <row r="54" spans="1:4" x14ac:dyDescent="0.25">
      <c r="A54" t="s">
        <v>339</v>
      </c>
      <c r="B54" s="5" t="s">
        <v>1374</v>
      </c>
      <c r="C54" s="5" t="s">
        <v>1374</v>
      </c>
      <c r="D54" t="b">
        <f t="shared" si="0"/>
        <v>0</v>
      </c>
    </row>
    <row r="55" spans="1:4" x14ac:dyDescent="0.25">
      <c r="A55" t="s">
        <v>339</v>
      </c>
      <c r="B55" s="5" t="s">
        <v>1411</v>
      </c>
      <c r="C55" s="5" t="s">
        <v>1376</v>
      </c>
      <c r="D55" t="b">
        <f t="shared" si="0"/>
        <v>1</v>
      </c>
    </row>
    <row r="56" spans="1:4" x14ac:dyDescent="0.25">
      <c r="A56" t="s">
        <v>337</v>
      </c>
      <c r="B56" s="5" t="s">
        <v>1372</v>
      </c>
      <c r="C56" s="5" t="s">
        <v>1372</v>
      </c>
      <c r="D56" t="b">
        <f t="shared" si="0"/>
        <v>0</v>
      </c>
    </row>
    <row r="57" spans="1:4" x14ac:dyDescent="0.25">
      <c r="A57" t="s">
        <v>337</v>
      </c>
      <c r="B57" s="5" t="s">
        <v>1377</v>
      </c>
      <c r="C57" s="5" t="s">
        <v>1377</v>
      </c>
      <c r="D57" t="b">
        <f t="shared" si="0"/>
        <v>0</v>
      </c>
    </row>
    <row r="58" spans="1:4" x14ac:dyDescent="0.25">
      <c r="A58" t="s">
        <v>337</v>
      </c>
      <c r="B58" s="5" t="s">
        <v>1378</v>
      </c>
      <c r="C58" s="5" t="s">
        <v>1733</v>
      </c>
      <c r="D58" t="b">
        <f t="shared" si="0"/>
        <v>1</v>
      </c>
    </row>
    <row r="59" spans="1:4" x14ac:dyDescent="0.25">
      <c r="A59" t="s">
        <v>337</v>
      </c>
      <c r="B59" s="5" t="s">
        <v>399</v>
      </c>
      <c r="C59" s="5" t="s">
        <v>399</v>
      </c>
      <c r="D59" t="b">
        <f t="shared" si="0"/>
        <v>0</v>
      </c>
    </row>
    <row r="60" spans="1:4" x14ac:dyDescent="0.25">
      <c r="A60" t="s">
        <v>43</v>
      </c>
      <c r="B60" s="5" t="s">
        <v>1381</v>
      </c>
      <c r="C60" s="5" t="s">
        <v>1381</v>
      </c>
      <c r="D60" t="b">
        <f t="shared" si="0"/>
        <v>0</v>
      </c>
    </row>
    <row r="61" spans="1:4" x14ac:dyDescent="0.25">
      <c r="A61" t="s">
        <v>43</v>
      </c>
      <c r="B61" s="5" t="s">
        <v>922</v>
      </c>
      <c r="C61" s="5" t="s">
        <v>922</v>
      </c>
      <c r="D61" t="b">
        <f t="shared" si="0"/>
        <v>0</v>
      </c>
    </row>
    <row r="62" spans="1:4" x14ac:dyDescent="0.25">
      <c r="A62" t="s">
        <v>43</v>
      </c>
      <c r="B62" s="5" t="s">
        <v>1382</v>
      </c>
      <c r="C62" s="5" t="s">
        <v>1382</v>
      </c>
      <c r="D62" t="b">
        <f t="shared" si="0"/>
        <v>0</v>
      </c>
    </row>
    <row r="63" spans="1:4" x14ac:dyDescent="0.25">
      <c r="A63" t="s">
        <v>43</v>
      </c>
      <c r="B63" s="5" t="s">
        <v>1383</v>
      </c>
      <c r="C63" s="5" t="s">
        <v>1383</v>
      </c>
      <c r="D63" t="b">
        <f t="shared" si="0"/>
        <v>0</v>
      </c>
    </row>
    <row r="64" spans="1:4" x14ac:dyDescent="0.25">
      <c r="A64" t="s">
        <v>43</v>
      </c>
      <c r="B64" s="5" t="s">
        <v>1384</v>
      </c>
      <c r="C64" s="5" t="s">
        <v>1384</v>
      </c>
      <c r="D64" t="b">
        <f t="shared" si="0"/>
        <v>0</v>
      </c>
    </row>
    <row r="65" spans="1:6" x14ac:dyDescent="0.25">
      <c r="A65" t="s">
        <v>50</v>
      </c>
      <c r="B65" s="5" t="s">
        <v>1072</v>
      </c>
      <c r="C65" s="5" t="s">
        <v>1072</v>
      </c>
      <c r="D65" t="b">
        <f t="shared" si="0"/>
        <v>0</v>
      </c>
    </row>
    <row r="66" spans="1:6" x14ac:dyDescent="0.25">
      <c r="A66" t="s">
        <v>50</v>
      </c>
      <c r="B66" s="5" t="s">
        <v>1385</v>
      </c>
      <c r="C66" s="5" t="s">
        <v>1385</v>
      </c>
      <c r="D66" t="b">
        <f t="shared" si="0"/>
        <v>0</v>
      </c>
    </row>
    <row r="67" spans="1:6" x14ac:dyDescent="0.25">
      <c r="A67" t="s">
        <v>50</v>
      </c>
      <c r="B67" s="5" t="s">
        <v>1272</v>
      </c>
      <c r="C67" s="5" t="s">
        <v>1272</v>
      </c>
      <c r="D67" t="b">
        <f t="shared" si="0"/>
        <v>0</v>
      </c>
    </row>
    <row r="68" spans="1:6" x14ac:dyDescent="0.25">
      <c r="A68" t="s">
        <v>50</v>
      </c>
      <c r="B68" s="5" t="s">
        <v>1386</v>
      </c>
      <c r="C68" s="5" t="s">
        <v>1386</v>
      </c>
      <c r="D68" t="b">
        <f t="shared" si="0"/>
        <v>0</v>
      </c>
    </row>
    <row r="69" spans="1:6" x14ac:dyDescent="0.25">
      <c r="A69" t="s">
        <v>50</v>
      </c>
      <c r="B69" s="5" t="s">
        <v>966</v>
      </c>
      <c r="C69" s="5" t="s">
        <v>966</v>
      </c>
      <c r="D69" t="b">
        <f t="shared" ref="D69:D102" si="2">B69&lt;&gt;C69</f>
        <v>0</v>
      </c>
    </row>
    <row r="70" spans="1:6" x14ac:dyDescent="0.25">
      <c r="A70" t="s">
        <v>50</v>
      </c>
      <c r="B70" s="5" t="s">
        <v>1387</v>
      </c>
      <c r="C70" s="5" t="s">
        <v>1387</v>
      </c>
      <c r="D70" t="b">
        <f t="shared" si="2"/>
        <v>0</v>
      </c>
    </row>
    <row r="71" spans="1:6" x14ac:dyDescent="0.25">
      <c r="A71" t="s">
        <v>50</v>
      </c>
      <c r="B71" s="5" t="s">
        <v>1388</v>
      </c>
      <c r="C71" s="5" t="s">
        <v>1388</v>
      </c>
      <c r="D71" t="b">
        <f t="shared" si="2"/>
        <v>0</v>
      </c>
    </row>
    <row r="72" spans="1:6" x14ac:dyDescent="0.25">
      <c r="A72" t="s">
        <v>50</v>
      </c>
      <c r="B72" s="5" t="s">
        <v>1389</v>
      </c>
      <c r="C72" s="5" t="s">
        <v>1389</v>
      </c>
      <c r="D72" t="b">
        <f t="shared" si="2"/>
        <v>0</v>
      </c>
    </row>
    <row r="73" spans="1:6" x14ac:dyDescent="0.25">
      <c r="A73" t="s">
        <v>50</v>
      </c>
      <c r="B73" s="5" t="s">
        <v>1390</v>
      </c>
      <c r="C73" s="5" t="s">
        <v>1390</v>
      </c>
      <c r="D73" t="b">
        <f t="shared" si="2"/>
        <v>0</v>
      </c>
    </row>
    <row r="74" spans="1:6" x14ac:dyDescent="0.25">
      <c r="A74" t="s">
        <v>50</v>
      </c>
      <c r="B74" s="5" t="s">
        <v>965</v>
      </c>
      <c r="C74" s="5" t="s">
        <v>965</v>
      </c>
      <c r="D74" t="b">
        <f t="shared" si="2"/>
        <v>0</v>
      </c>
    </row>
    <row r="75" spans="1:6" x14ac:dyDescent="0.25">
      <c r="A75" t="s">
        <v>1359</v>
      </c>
      <c r="B75" s="5" t="s">
        <v>1391</v>
      </c>
      <c r="C75" s="5" t="s">
        <v>1392</v>
      </c>
      <c r="D75" t="b">
        <f t="shared" si="2"/>
        <v>1</v>
      </c>
      <c r="F75"/>
    </row>
    <row r="76" spans="1:6" x14ac:dyDescent="0.25">
      <c r="A76" t="s">
        <v>1359</v>
      </c>
      <c r="B76" s="5" t="s">
        <v>1394</v>
      </c>
      <c r="C76" s="5" t="s">
        <v>1394</v>
      </c>
      <c r="D76" t="b">
        <f t="shared" si="2"/>
        <v>0</v>
      </c>
    </row>
    <row r="77" spans="1:6" x14ac:dyDescent="0.25">
      <c r="A77" t="s">
        <v>1359</v>
      </c>
      <c r="B77" s="5" t="s">
        <v>1395</v>
      </c>
      <c r="C77" s="5" t="s">
        <v>1530</v>
      </c>
      <c r="D77" t="b">
        <f t="shared" si="2"/>
        <v>1</v>
      </c>
    </row>
    <row r="78" spans="1:6" x14ac:dyDescent="0.25">
      <c r="A78" t="s">
        <v>1359</v>
      </c>
      <c r="B78" s="5" t="s">
        <v>1270</v>
      </c>
      <c r="C78" s="5" t="s">
        <v>1396</v>
      </c>
      <c r="D78" t="b">
        <f t="shared" si="2"/>
        <v>1</v>
      </c>
      <c r="F78"/>
    </row>
    <row r="79" spans="1:6" x14ac:dyDescent="0.25">
      <c r="A79" t="s">
        <v>1359</v>
      </c>
      <c r="B79" s="5" t="s">
        <v>1393</v>
      </c>
      <c r="C79" s="5" t="s">
        <v>1397</v>
      </c>
      <c r="D79" t="b">
        <f t="shared" si="2"/>
        <v>1</v>
      </c>
      <c r="F79"/>
    </row>
    <row r="80" spans="1:6" x14ac:dyDescent="0.25">
      <c r="A80" t="s">
        <v>1359</v>
      </c>
      <c r="B80" s="5" t="s">
        <v>1398</v>
      </c>
      <c r="C80" s="5" t="s">
        <v>1398</v>
      </c>
      <c r="D80" t="b">
        <f t="shared" si="2"/>
        <v>0</v>
      </c>
      <c r="F80"/>
    </row>
    <row r="81" spans="1:6" x14ac:dyDescent="0.25">
      <c r="A81" t="s">
        <v>1359</v>
      </c>
      <c r="B81" s="5" t="s">
        <v>1399</v>
      </c>
      <c r="C81" s="5" t="s">
        <v>1399</v>
      </c>
      <c r="D81" t="b">
        <f t="shared" si="2"/>
        <v>0</v>
      </c>
      <c r="F81"/>
    </row>
    <row r="82" spans="1:6" x14ac:dyDescent="0.25">
      <c r="A82" t="s">
        <v>1359</v>
      </c>
      <c r="B82" s="5" t="s">
        <v>1400</v>
      </c>
      <c r="C82" s="5" t="s">
        <v>1400</v>
      </c>
      <c r="D82" t="b">
        <f t="shared" si="2"/>
        <v>0</v>
      </c>
      <c r="F82"/>
    </row>
    <row r="83" spans="1:6" x14ac:dyDescent="0.25">
      <c r="A83" t="s">
        <v>1359</v>
      </c>
      <c r="B83" s="5" t="s">
        <v>1401</v>
      </c>
      <c r="C83" s="5" t="s">
        <v>1401</v>
      </c>
      <c r="D83" t="b">
        <f t="shared" si="2"/>
        <v>0</v>
      </c>
      <c r="F83"/>
    </row>
    <row r="84" spans="1:6" x14ac:dyDescent="0.25">
      <c r="A84" t="s">
        <v>1359</v>
      </c>
      <c r="B84" s="5" t="s">
        <v>1402</v>
      </c>
      <c r="C84" s="5" t="s">
        <v>1402</v>
      </c>
      <c r="D84" t="b">
        <f t="shared" si="2"/>
        <v>0</v>
      </c>
      <c r="F84"/>
    </row>
    <row r="85" spans="1:6" x14ac:dyDescent="0.25">
      <c r="A85" t="s">
        <v>1359</v>
      </c>
      <c r="B85" s="5" t="s">
        <v>1375</v>
      </c>
      <c r="C85" s="5" t="s">
        <v>1407</v>
      </c>
      <c r="D85" t="b">
        <f t="shared" si="2"/>
        <v>1</v>
      </c>
    </row>
    <row r="86" spans="1:6" x14ac:dyDescent="0.25">
      <c r="A86" t="s">
        <v>1359</v>
      </c>
      <c r="B86" s="5" t="s">
        <v>1408</v>
      </c>
      <c r="C86" s="5" t="s">
        <v>1408</v>
      </c>
      <c r="D86" t="b">
        <f t="shared" si="2"/>
        <v>0</v>
      </c>
    </row>
    <row r="87" spans="1:6" x14ac:dyDescent="0.25">
      <c r="A87" t="s">
        <v>1359</v>
      </c>
      <c r="B87" s="5" t="s">
        <v>1403</v>
      </c>
      <c r="C87" s="5" t="s">
        <v>1403</v>
      </c>
      <c r="D87" t="b">
        <f t="shared" si="2"/>
        <v>0</v>
      </c>
    </row>
    <row r="88" spans="1:6" x14ac:dyDescent="0.25">
      <c r="A88" t="s">
        <v>1359</v>
      </c>
      <c r="B88" s="5" t="s">
        <v>1404</v>
      </c>
      <c r="C88" s="5" t="s">
        <v>1405</v>
      </c>
      <c r="D88" t="b">
        <f t="shared" si="2"/>
        <v>1</v>
      </c>
    </row>
    <row r="89" spans="1:6" x14ac:dyDescent="0.25">
      <c r="A89" t="s">
        <v>1360</v>
      </c>
      <c r="B89" s="5" t="s">
        <v>1736</v>
      </c>
      <c r="C89" s="5" t="s">
        <v>1736</v>
      </c>
      <c r="D89" t="b">
        <f t="shared" si="2"/>
        <v>0</v>
      </c>
    </row>
    <row r="90" spans="1:6" x14ac:dyDescent="0.25">
      <c r="A90" t="s">
        <v>1360</v>
      </c>
      <c r="B90" s="5" t="s">
        <v>1410</v>
      </c>
      <c r="C90" s="5" t="s">
        <v>1410</v>
      </c>
      <c r="D90" t="b">
        <f t="shared" si="2"/>
        <v>0</v>
      </c>
    </row>
    <row r="91" spans="1:6" x14ac:dyDescent="0.25">
      <c r="A91" t="s">
        <v>1360</v>
      </c>
      <c r="B91" s="5" t="s">
        <v>258</v>
      </c>
      <c r="C91" s="5" t="s">
        <v>258</v>
      </c>
      <c r="D91" t="b">
        <f t="shared" si="2"/>
        <v>0</v>
      </c>
    </row>
    <row r="92" spans="1:6" x14ac:dyDescent="0.25">
      <c r="A92" t="s">
        <v>1360</v>
      </c>
      <c r="B92" s="5" t="s">
        <v>125</v>
      </c>
      <c r="C92" s="5" t="s">
        <v>125</v>
      </c>
      <c r="D92" t="b">
        <f t="shared" si="2"/>
        <v>0</v>
      </c>
    </row>
    <row r="93" spans="1:6" x14ac:dyDescent="0.25">
      <c r="A93" t="s">
        <v>1360</v>
      </c>
      <c r="B93" s="5" t="s">
        <v>1409</v>
      </c>
      <c r="C93" s="5" t="s">
        <v>126</v>
      </c>
      <c r="D93" t="b">
        <f t="shared" si="2"/>
        <v>1</v>
      </c>
    </row>
    <row r="94" spans="1:6" x14ac:dyDescent="0.25">
      <c r="A94" t="s">
        <v>151</v>
      </c>
      <c r="B94" s="5" t="s">
        <v>1412</v>
      </c>
      <c r="C94" s="5" t="s">
        <v>1412</v>
      </c>
      <c r="D94" t="b">
        <f t="shared" si="2"/>
        <v>0</v>
      </c>
      <c r="F94"/>
    </row>
    <row r="95" spans="1:6" x14ac:dyDescent="0.25">
      <c r="A95" t="s">
        <v>151</v>
      </c>
      <c r="B95" s="5" t="s">
        <v>1413</v>
      </c>
      <c r="C95" s="5" t="s">
        <v>1413</v>
      </c>
      <c r="D95" t="b">
        <f t="shared" si="2"/>
        <v>0</v>
      </c>
      <c r="F95"/>
    </row>
    <row r="96" spans="1:6" x14ac:dyDescent="0.25">
      <c r="A96" t="s">
        <v>151</v>
      </c>
      <c r="B96" s="5" t="s">
        <v>1414</v>
      </c>
      <c r="C96" s="5" t="s">
        <v>1414</v>
      </c>
      <c r="D96" t="b">
        <f t="shared" si="2"/>
        <v>0</v>
      </c>
    </row>
    <row r="97" spans="1:4" x14ac:dyDescent="0.25">
      <c r="A97" t="s">
        <v>151</v>
      </c>
      <c r="B97" s="5" t="s">
        <v>214</v>
      </c>
      <c r="C97" s="5" t="s">
        <v>214</v>
      </c>
      <c r="D97" t="b">
        <f t="shared" si="2"/>
        <v>0</v>
      </c>
    </row>
    <row r="98" spans="1:4" x14ac:dyDescent="0.25">
      <c r="A98" t="s">
        <v>151</v>
      </c>
      <c r="B98" s="5" t="s">
        <v>1406</v>
      </c>
      <c r="C98" s="5" t="s">
        <v>1406</v>
      </c>
      <c r="D98" t="b">
        <f t="shared" si="2"/>
        <v>0</v>
      </c>
    </row>
    <row r="99" spans="1:4" x14ac:dyDescent="0.25">
      <c r="A99" t="s">
        <v>151</v>
      </c>
      <c r="B99" s="5" t="s">
        <v>1416</v>
      </c>
      <c r="C99" s="5" t="s">
        <v>1416</v>
      </c>
      <c r="D99" t="b">
        <f t="shared" si="2"/>
        <v>0</v>
      </c>
    </row>
    <row r="100" spans="1:4" x14ac:dyDescent="0.25">
      <c r="A100" t="s">
        <v>151</v>
      </c>
      <c r="B100" s="5" t="s">
        <v>1417</v>
      </c>
      <c r="C100" s="5" t="s">
        <v>1417</v>
      </c>
      <c r="D100" t="b">
        <f t="shared" si="2"/>
        <v>0</v>
      </c>
    </row>
    <row r="101" spans="1:4" x14ac:dyDescent="0.25">
      <c r="A101" t="s">
        <v>151</v>
      </c>
      <c r="B101" s="5" t="s">
        <v>1418</v>
      </c>
      <c r="C101" s="5" t="s">
        <v>1418</v>
      </c>
      <c r="D101" t="b">
        <f t="shared" si="2"/>
        <v>0</v>
      </c>
    </row>
    <row r="102" spans="1:4" x14ac:dyDescent="0.25">
      <c r="A102" t="s">
        <v>151</v>
      </c>
      <c r="B102" s="5" t="s">
        <v>1419</v>
      </c>
      <c r="C102" s="5" t="s">
        <v>1419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3FD6C4F-A5F2-4DDE-A9B0-815101AE1A27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45C6C2C5-B68C-4A44-9871-5F6B8C9DB954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8ED5-AC05-4B8F-8403-9806AB6A6B77}">
  <sheetPr codeName="Planilha13"/>
  <dimension ref="A1:G102"/>
  <sheetViews>
    <sheetView topLeftCell="A32" workbookViewId="0">
      <selection activeCell="B4" sqref="B4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540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3</v>
      </c>
    </row>
    <row r="3" spans="1:7" x14ac:dyDescent="0.25">
      <c r="A3" s="24" t="s">
        <v>2031</v>
      </c>
      <c r="B3" s="5" t="s">
        <v>2075</v>
      </c>
      <c r="C3" s="5" t="s">
        <v>2075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328</v>
      </c>
      <c r="C4" t="s">
        <v>328</v>
      </c>
      <c r="D4" t="b">
        <f>B4&lt;&gt;C4</f>
        <v>0</v>
      </c>
    </row>
    <row r="5" spans="1:7" x14ac:dyDescent="0.25">
      <c r="A5" t="s">
        <v>35</v>
      </c>
      <c r="B5" s="5" t="s">
        <v>541</v>
      </c>
      <c r="C5" t="s">
        <v>541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326</v>
      </c>
      <c r="C6" t="s">
        <v>326</v>
      </c>
      <c r="D6" t="b">
        <f t="shared" si="0"/>
        <v>0</v>
      </c>
      <c r="F6" s="7" t="s">
        <v>2031</v>
      </c>
      <c r="G6" s="2">
        <f t="shared" ref="G6:G14" si="1">COUNTIF(A:A,F6)</f>
        <v>1</v>
      </c>
    </row>
    <row r="7" spans="1:7" x14ac:dyDescent="0.25">
      <c r="A7" t="s">
        <v>35</v>
      </c>
      <c r="B7" s="5" t="s">
        <v>327</v>
      </c>
      <c r="C7" t="s">
        <v>327</v>
      </c>
      <c r="D7" t="b">
        <f t="shared" si="0"/>
        <v>0</v>
      </c>
      <c r="F7" s="3" t="s">
        <v>35</v>
      </c>
      <c r="G7" s="2">
        <f t="shared" si="1"/>
        <v>35</v>
      </c>
    </row>
    <row r="8" spans="1:7" x14ac:dyDescent="0.25">
      <c r="A8" t="s">
        <v>35</v>
      </c>
      <c r="B8" s="5" t="s">
        <v>330</v>
      </c>
      <c r="C8" t="s">
        <v>330</v>
      </c>
      <c r="D8" t="b">
        <f t="shared" si="0"/>
        <v>0</v>
      </c>
      <c r="F8" s="7" t="s">
        <v>41</v>
      </c>
      <c r="G8" s="2">
        <f t="shared" si="1"/>
        <v>12</v>
      </c>
    </row>
    <row r="9" spans="1:7" x14ac:dyDescent="0.25">
      <c r="A9" t="s">
        <v>35</v>
      </c>
      <c r="B9" s="5" t="s">
        <v>542</v>
      </c>
      <c r="C9" t="s">
        <v>542</v>
      </c>
      <c r="D9" t="b">
        <f t="shared" si="0"/>
        <v>0</v>
      </c>
      <c r="F9" s="7" t="s">
        <v>42</v>
      </c>
      <c r="G9" s="2">
        <f t="shared" si="1"/>
        <v>11</v>
      </c>
    </row>
    <row r="10" spans="1:7" x14ac:dyDescent="0.25">
      <c r="A10" t="s">
        <v>35</v>
      </c>
      <c r="B10" s="23" t="s">
        <v>351</v>
      </c>
      <c r="C10" t="s">
        <v>351</v>
      </c>
      <c r="D10" t="b">
        <f t="shared" si="0"/>
        <v>0</v>
      </c>
      <c r="E10" t="s">
        <v>543</v>
      </c>
      <c r="F10" s="7" t="s">
        <v>545</v>
      </c>
      <c r="G10" s="2">
        <f t="shared" si="1"/>
        <v>22</v>
      </c>
    </row>
    <row r="11" spans="1:7" x14ac:dyDescent="0.25">
      <c r="A11" t="s">
        <v>35</v>
      </c>
      <c r="B11" s="5" t="s">
        <v>544</v>
      </c>
      <c r="C11" t="s">
        <v>544</v>
      </c>
      <c r="D11" t="b">
        <f t="shared" si="0"/>
        <v>0</v>
      </c>
      <c r="F11" s="7" t="s">
        <v>43</v>
      </c>
      <c r="G11" s="2">
        <f t="shared" si="1"/>
        <v>5</v>
      </c>
    </row>
    <row r="12" spans="1:7" x14ac:dyDescent="0.25">
      <c r="A12" t="s">
        <v>35</v>
      </c>
      <c r="B12" s="5" t="s">
        <v>546</v>
      </c>
      <c r="C12" t="s">
        <v>547</v>
      </c>
      <c r="D12" t="b">
        <f t="shared" si="0"/>
        <v>1</v>
      </c>
      <c r="F12" s="7" t="s">
        <v>337</v>
      </c>
      <c r="G12" s="2">
        <f t="shared" si="1"/>
        <v>8</v>
      </c>
    </row>
    <row r="13" spans="1:7" x14ac:dyDescent="0.25">
      <c r="A13" t="s">
        <v>35</v>
      </c>
      <c r="B13" s="5" t="s">
        <v>548</v>
      </c>
      <c r="C13" t="s">
        <v>548</v>
      </c>
      <c r="D13" t="b">
        <f t="shared" si="0"/>
        <v>0</v>
      </c>
      <c r="F13" s="7" t="s">
        <v>51</v>
      </c>
      <c r="G13" s="2">
        <f t="shared" si="1"/>
        <v>6</v>
      </c>
    </row>
    <row r="14" spans="1:7" x14ac:dyDescent="0.25">
      <c r="A14" t="s">
        <v>35</v>
      </c>
      <c r="B14" s="5" t="s">
        <v>549</v>
      </c>
      <c r="C14" t="s">
        <v>549</v>
      </c>
      <c r="D14" t="b">
        <f t="shared" si="0"/>
        <v>0</v>
      </c>
      <c r="F14" s="7" t="s">
        <v>551</v>
      </c>
      <c r="G14" s="2">
        <f t="shared" si="1"/>
        <v>0</v>
      </c>
    </row>
    <row r="15" spans="1:7" x14ac:dyDescent="0.25">
      <c r="A15" t="s">
        <v>35</v>
      </c>
      <c r="B15" s="5" t="s">
        <v>550</v>
      </c>
      <c r="C15" t="s">
        <v>550</v>
      </c>
      <c r="D15" t="b">
        <f t="shared" si="0"/>
        <v>0</v>
      </c>
    </row>
    <row r="16" spans="1:7" x14ac:dyDescent="0.25">
      <c r="A16" t="s">
        <v>35</v>
      </c>
      <c r="B16" s="5" t="s">
        <v>552</v>
      </c>
      <c r="C16" t="s">
        <v>552</v>
      </c>
      <c r="D16" t="b">
        <f t="shared" si="0"/>
        <v>0</v>
      </c>
    </row>
    <row r="17" spans="1:7" x14ac:dyDescent="0.25">
      <c r="A17" t="s">
        <v>35</v>
      </c>
      <c r="B17" s="5" t="s">
        <v>553</v>
      </c>
      <c r="C17" t="s">
        <v>553</v>
      </c>
      <c r="D17" t="b">
        <f t="shared" si="0"/>
        <v>0</v>
      </c>
      <c r="F17" s="4"/>
      <c r="G17" s="2"/>
    </row>
    <row r="18" spans="1:7" x14ac:dyDescent="0.25">
      <c r="A18" t="s">
        <v>35</v>
      </c>
      <c r="B18" s="5" t="s">
        <v>554</v>
      </c>
      <c r="C18" t="s">
        <v>554</v>
      </c>
      <c r="D18" t="b">
        <f t="shared" si="0"/>
        <v>0</v>
      </c>
      <c r="F18" s="4"/>
      <c r="G18" s="2"/>
    </row>
    <row r="19" spans="1:7" x14ac:dyDescent="0.25">
      <c r="A19" t="s">
        <v>35</v>
      </c>
      <c r="B19" s="5" t="s">
        <v>69</v>
      </c>
      <c r="C19" t="s">
        <v>69</v>
      </c>
      <c r="D19" t="b">
        <f t="shared" si="0"/>
        <v>0</v>
      </c>
    </row>
    <row r="20" spans="1:7" x14ac:dyDescent="0.25">
      <c r="A20" t="s">
        <v>35</v>
      </c>
      <c r="B20" s="5" t="s">
        <v>67</v>
      </c>
      <c r="C20" t="s">
        <v>67</v>
      </c>
      <c r="D20" t="b">
        <f t="shared" si="0"/>
        <v>0</v>
      </c>
    </row>
    <row r="21" spans="1:7" x14ac:dyDescent="0.25">
      <c r="A21" t="s">
        <v>35</v>
      </c>
      <c r="B21" s="5" t="s">
        <v>40</v>
      </c>
      <c r="C21" t="s">
        <v>40</v>
      </c>
      <c r="D21" t="b">
        <f t="shared" si="0"/>
        <v>0</v>
      </c>
    </row>
    <row r="22" spans="1:7" x14ac:dyDescent="0.25">
      <c r="A22" t="s">
        <v>35</v>
      </c>
      <c r="B22" s="5" t="s">
        <v>555</v>
      </c>
      <c r="C22" t="s">
        <v>555</v>
      </c>
      <c r="D22" t="b">
        <f t="shared" si="0"/>
        <v>0</v>
      </c>
    </row>
    <row r="23" spans="1:7" x14ac:dyDescent="0.25">
      <c r="A23" t="s">
        <v>35</v>
      </c>
      <c r="B23" s="5" t="s">
        <v>350</v>
      </c>
      <c r="C23" t="s">
        <v>350</v>
      </c>
      <c r="D23" t="b">
        <f t="shared" si="0"/>
        <v>0</v>
      </c>
    </row>
    <row r="24" spans="1:7" x14ac:dyDescent="0.25">
      <c r="A24" t="s">
        <v>35</v>
      </c>
      <c r="B24" s="5" t="s">
        <v>480</v>
      </c>
      <c r="C24" t="s">
        <v>480</v>
      </c>
      <c r="D24" t="b">
        <f t="shared" si="0"/>
        <v>0</v>
      </c>
    </row>
    <row r="25" spans="1:7" x14ac:dyDescent="0.25">
      <c r="A25" t="s">
        <v>35</v>
      </c>
      <c r="B25" s="5" t="s">
        <v>199</v>
      </c>
      <c r="C25" t="s">
        <v>199</v>
      </c>
      <c r="D25" t="b">
        <f t="shared" si="0"/>
        <v>0</v>
      </c>
    </row>
    <row r="26" spans="1:7" x14ac:dyDescent="0.25">
      <c r="A26" t="s">
        <v>35</v>
      </c>
      <c r="B26" s="5" t="s">
        <v>200</v>
      </c>
      <c r="C26" t="s">
        <v>200</v>
      </c>
      <c r="D26" t="b">
        <f t="shared" si="0"/>
        <v>0</v>
      </c>
    </row>
    <row r="27" spans="1:7" x14ac:dyDescent="0.25">
      <c r="A27" t="s">
        <v>35</v>
      </c>
      <c r="B27" s="5" t="s">
        <v>198</v>
      </c>
      <c r="C27" t="s">
        <v>198</v>
      </c>
      <c r="D27" t="b">
        <f t="shared" si="0"/>
        <v>0</v>
      </c>
    </row>
    <row r="28" spans="1:7" x14ac:dyDescent="0.25">
      <c r="A28" t="s">
        <v>35</v>
      </c>
      <c r="B28" s="5" t="s">
        <v>276</v>
      </c>
      <c r="C28" t="s">
        <v>276</v>
      </c>
      <c r="D28" t="b">
        <f t="shared" si="0"/>
        <v>0</v>
      </c>
    </row>
    <row r="29" spans="1:7" x14ac:dyDescent="0.25">
      <c r="A29" t="s">
        <v>35</v>
      </c>
      <c r="B29" s="5" t="s">
        <v>556</v>
      </c>
      <c r="C29" t="s">
        <v>556</v>
      </c>
      <c r="D29" t="b">
        <f t="shared" si="0"/>
        <v>0</v>
      </c>
    </row>
    <row r="30" spans="1:7" x14ac:dyDescent="0.25">
      <c r="A30" t="s">
        <v>35</v>
      </c>
      <c r="B30" s="5" t="s">
        <v>557</v>
      </c>
      <c r="C30" t="s">
        <v>557</v>
      </c>
      <c r="D30" t="b">
        <f t="shared" si="0"/>
        <v>0</v>
      </c>
    </row>
    <row r="31" spans="1:7" x14ac:dyDescent="0.25">
      <c r="A31" t="s">
        <v>35</v>
      </c>
      <c r="B31" s="5" t="s">
        <v>58</v>
      </c>
      <c r="C31" t="s">
        <v>58</v>
      </c>
      <c r="D31" t="b">
        <f t="shared" si="0"/>
        <v>0</v>
      </c>
    </row>
    <row r="32" spans="1:7" x14ac:dyDescent="0.25">
      <c r="A32" t="s">
        <v>35</v>
      </c>
      <c r="B32" s="5" t="s">
        <v>153</v>
      </c>
      <c r="C32" t="s">
        <v>1927</v>
      </c>
      <c r="D32" t="b">
        <f t="shared" si="0"/>
        <v>1</v>
      </c>
    </row>
    <row r="33" spans="1:4" x14ac:dyDescent="0.25">
      <c r="A33" t="s">
        <v>35</v>
      </c>
      <c r="B33" s="5" t="s">
        <v>205</v>
      </c>
      <c r="C33" t="s">
        <v>205</v>
      </c>
      <c r="D33" t="b">
        <f t="shared" si="0"/>
        <v>0</v>
      </c>
    </row>
    <row r="34" spans="1:4" x14ac:dyDescent="0.25">
      <c r="A34" t="s">
        <v>35</v>
      </c>
      <c r="B34" s="5" t="s">
        <v>205</v>
      </c>
      <c r="C34" t="s">
        <v>205</v>
      </c>
      <c r="D34" t="b">
        <f t="shared" si="0"/>
        <v>0</v>
      </c>
    </row>
    <row r="35" spans="1:4" x14ac:dyDescent="0.25">
      <c r="A35" t="s">
        <v>35</v>
      </c>
      <c r="B35" s="5" t="s">
        <v>84</v>
      </c>
      <c r="C35" t="s">
        <v>84</v>
      </c>
      <c r="D35" t="b">
        <f t="shared" si="0"/>
        <v>0</v>
      </c>
    </row>
    <row r="36" spans="1:4" x14ac:dyDescent="0.25">
      <c r="A36" t="s">
        <v>35</v>
      </c>
      <c r="B36" s="5" t="s">
        <v>84</v>
      </c>
      <c r="C36" t="s">
        <v>84</v>
      </c>
      <c r="D36" t="b">
        <f t="shared" si="0"/>
        <v>0</v>
      </c>
    </row>
    <row r="37" spans="1:4" x14ac:dyDescent="0.25">
      <c r="A37" t="s">
        <v>35</v>
      </c>
      <c r="B37" s="5" t="s">
        <v>153</v>
      </c>
      <c r="C37" t="s">
        <v>153</v>
      </c>
      <c r="D37" t="b">
        <f t="shared" si="0"/>
        <v>0</v>
      </c>
    </row>
    <row r="38" spans="1:4" x14ac:dyDescent="0.25">
      <c r="A38" t="s">
        <v>35</v>
      </c>
      <c r="B38" s="5" t="s">
        <v>85</v>
      </c>
      <c r="C38" t="s">
        <v>85</v>
      </c>
      <c r="D38" t="b">
        <f t="shared" si="0"/>
        <v>0</v>
      </c>
    </row>
    <row r="39" spans="1:4" x14ac:dyDescent="0.25">
      <c r="A39" t="s">
        <v>41</v>
      </c>
      <c r="B39" s="5" t="s">
        <v>206</v>
      </c>
      <c r="C39" t="s">
        <v>206</v>
      </c>
      <c r="D39" t="b">
        <f t="shared" si="0"/>
        <v>0</v>
      </c>
    </row>
    <row r="40" spans="1:4" x14ac:dyDescent="0.25">
      <c r="A40" t="s">
        <v>41</v>
      </c>
      <c r="B40" s="5" t="s">
        <v>207</v>
      </c>
      <c r="C40" t="s">
        <v>207</v>
      </c>
      <c r="D40" t="b">
        <f t="shared" si="0"/>
        <v>0</v>
      </c>
    </row>
    <row r="41" spans="1:4" x14ac:dyDescent="0.25">
      <c r="A41" t="s">
        <v>41</v>
      </c>
      <c r="B41" s="5" t="s">
        <v>209</v>
      </c>
      <c r="C41" s="11" t="s">
        <v>209</v>
      </c>
      <c r="D41" t="b">
        <f t="shared" si="0"/>
        <v>0</v>
      </c>
    </row>
    <row r="42" spans="1:4" x14ac:dyDescent="0.25">
      <c r="A42" t="s">
        <v>41</v>
      </c>
      <c r="B42" s="5" t="s">
        <v>208</v>
      </c>
      <c r="C42" t="s">
        <v>208</v>
      </c>
      <c r="D42" t="b">
        <f t="shared" si="0"/>
        <v>0</v>
      </c>
    </row>
    <row r="43" spans="1:4" x14ac:dyDescent="0.25">
      <c r="A43" t="s">
        <v>41</v>
      </c>
      <c r="B43" s="5" t="s">
        <v>210</v>
      </c>
      <c r="C43" t="s">
        <v>210</v>
      </c>
      <c r="D43" t="b">
        <f t="shared" si="0"/>
        <v>0</v>
      </c>
    </row>
    <row r="44" spans="1:4" x14ac:dyDescent="0.25">
      <c r="A44" t="s">
        <v>41</v>
      </c>
      <c r="B44" s="5" t="s">
        <v>558</v>
      </c>
      <c r="C44" t="s">
        <v>558</v>
      </c>
      <c r="D44" t="b">
        <f t="shared" si="0"/>
        <v>0</v>
      </c>
    </row>
    <row r="45" spans="1:4" x14ac:dyDescent="0.25">
      <c r="A45" t="s">
        <v>41</v>
      </c>
      <c r="B45" s="5" t="s">
        <v>157</v>
      </c>
      <c r="C45" t="s">
        <v>157</v>
      </c>
      <c r="D45" t="b">
        <f t="shared" si="0"/>
        <v>0</v>
      </c>
    </row>
    <row r="46" spans="1:4" x14ac:dyDescent="0.25">
      <c r="A46" t="s">
        <v>41</v>
      </c>
      <c r="B46" s="5" t="s">
        <v>559</v>
      </c>
      <c r="C46" t="s">
        <v>559</v>
      </c>
      <c r="D46" t="b">
        <f t="shared" si="0"/>
        <v>0</v>
      </c>
    </row>
    <row r="47" spans="1:4" x14ac:dyDescent="0.25">
      <c r="A47" t="s">
        <v>41</v>
      </c>
      <c r="B47" s="5" t="s">
        <v>357</v>
      </c>
      <c r="C47" t="s">
        <v>357</v>
      </c>
      <c r="D47" t="b">
        <f t="shared" si="0"/>
        <v>0</v>
      </c>
    </row>
    <row r="48" spans="1:4" x14ac:dyDescent="0.25">
      <c r="A48" t="s">
        <v>41</v>
      </c>
      <c r="B48" s="5" t="s">
        <v>560</v>
      </c>
      <c r="C48" t="s">
        <v>560</v>
      </c>
      <c r="D48" t="b">
        <f t="shared" si="0"/>
        <v>0</v>
      </c>
    </row>
    <row r="49" spans="1:5" x14ac:dyDescent="0.25">
      <c r="A49" t="s">
        <v>41</v>
      </c>
      <c r="B49" s="5" t="s">
        <v>211</v>
      </c>
      <c r="C49" t="s">
        <v>211</v>
      </c>
      <c r="D49" t="b">
        <f t="shared" si="0"/>
        <v>0</v>
      </c>
    </row>
    <row r="50" spans="1:5" x14ac:dyDescent="0.25">
      <c r="A50" t="s">
        <v>41</v>
      </c>
      <c r="B50" s="5" t="s">
        <v>562</v>
      </c>
      <c r="C50" t="s">
        <v>562</v>
      </c>
      <c r="D50" t="b">
        <f t="shared" si="0"/>
        <v>0</v>
      </c>
    </row>
    <row r="51" spans="1:5" x14ac:dyDescent="0.25">
      <c r="A51" t="s">
        <v>42</v>
      </c>
      <c r="B51" s="5" t="s">
        <v>563</v>
      </c>
      <c r="C51" t="s">
        <v>563</v>
      </c>
      <c r="D51" t="b">
        <f t="shared" si="0"/>
        <v>0</v>
      </c>
    </row>
    <row r="52" spans="1:5" x14ac:dyDescent="0.25">
      <c r="A52" t="s">
        <v>42</v>
      </c>
      <c r="B52" s="5" t="s">
        <v>564</v>
      </c>
      <c r="C52" t="s">
        <v>564</v>
      </c>
      <c r="D52" t="b">
        <f t="shared" si="0"/>
        <v>0</v>
      </c>
    </row>
    <row r="53" spans="1:5" x14ac:dyDescent="0.25">
      <c r="A53" t="s">
        <v>42</v>
      </c>
      <c r="B53" s="5" t="s">
        <v>565</v>
      </c>
      <c r="C53" t="s">
        <v>565</v>
      </c>
      <c r="D53" t="b">
        <f t="shared" si="0"/>
        <v>0</v>
      </c>
    </row>
    <row r="54" spans="1:5" x14ac:dyDescent="0.25">
      <c r="A54" t="s">
        <v>42</v>
      </c>
      <c r="B54" s="23" t="s">
        <v>1925</v>
      </c>
      <c r="C54" t="s">
        <v>1925</v>
      </c>
      <c r="D54" t="b">
        <f t="shared" si="0"/>
        <v>0</v>
      </c>
      <c r="E54" s="5" t="s">
        <v>566</v>
      </c>
    </row>
    <row r="55" spans="1:5" x14ac:dyDescent="0.25">
      <c r="A55" t="s">
        <v>42</v>
      </c>
      <c r="B55" s="5" t="s">
        <v>567</v>
      </c>
      <c r="C55" t="s">
        <v>567</v>
      </c>
      <c r="D55" t="b">
        <f t="shared" si="0"/>
        <v>0</v>
      </c>
    </row>
    <row r="56" spans="1:5" x14ac:dyDescent="0.25">
      <c r="A56" t="s">
        <v>42</v>
      </c>
      <c r="B56" s="5" t="s">
        <v>296</v>
      </c>
      <c r="C56" t="s">
        <v>296</v>
      </c>
      <c r="D56" t="b">
        <f t="shared" si="0"/>
        <v>0</v>
      </c>
    </row>
    <row r="57" spans="1:5" x14ac:dyDescent="0.25">
      <c r="A57" t="s">
        <v>42</v>
      </c>
      <c r="B57" s="5" t="s">
        <v>1765</v>
      </c>
      <c r="C57" t="s">
        <v>1765</v>
      </c>
      <c r="D57" t="b">
        <f t="shared" si="0"/>
        <v>0</v>
      </c>
    </row>
    <row r="58" spans="1:5" x14ac:dyDescent="0.25">
      <c r="A58" t="s">
        <v>42</v>
      </c>
      <c r="B58" s="5" t="s">
        <v>569</v>
      </c>
      <c r="C58" t="s">
        <v>569</v>
      </c>
      <c r="D58" t="b">
        <f t="shared" si="0"/>
        <v>0</v>
      </c>
    </row>
    <row r="59" spans="1:5" x14ac:dyDescent="0.25">
      <c r="A59" t="s">
        <v>42</v>
      </c>
      <c r="B59" s="5" t="s">
        <v>570</v>
      </c>
      <c r="C59" t="s">
        <v>570</v>
      </c>
      <c r="D59" t="b">
        <f t="shared" si="0"/>
        <v>0</v>
      </c>
    </row>
    <row r="60" spans="1:5" x14ac:dyDescent="0.25">
      <c r="A60" t="s">
        <v>42</v>
      </c>
      <c r="B60" s="5" t="s">
        <v>1770</v>
      </c>
      <c r="C60" t="s">
        <v>1770</v>
      </c>
      <c r="D60" t="b">
        <f t="shared" si="0"/>
        <v>0</v>
      </c>
    </row>
    <row r="61" spans="1:5" x14ac:dyDescent="0.25">
      <c r="A61" t="s">
        <v>42</v>
      </c>
      <c r="B61" s="5" t="s">
        <v>571</v>
      </c>
      <c r="C61" t="s">
        <v>571</v>
      </c>
      <c r="D61" t="b">
        <f t="shared" si="0"/>
        <v>0</v>
      </c>
    </row>
    <row r="62" spans="1:5" x14ac:dyDescent="0.25">
      <c r="A62" t="s">
        <v>545</v>
      </c>
      <c r="B62" s="5" t="s">
        <v>1917</v>
      </c>
      <c r="C62" t="s">
        <v>1917</v>
      </c>
      <c r="D62" t="b">
        <f t="shared" si="0"/>
        <v>0</v>
      </c>
    </row>
    <row r="63" spans="1:5" x14ac:dyDescent="0.25">
      <c r="A63" t="s">
        <v>545</v>
      </c>
      <c r="B63" s="5" t="s">
        <v>1768</v>
      </c>
      <c r="C63" t="s">
        <v>1768</v>
      </c>
      <c r="D63" t="b">
        <f t="shared" si="0"/>
        <v>0</v>
      </c>
    </row>
    <row r="64" spans="1:5" x14ac:dyDescent="0.25">
      <c r="A64" t="s">
        <v>545</v>
      </c>
      <c r="B64" s="5" t="s">
        <v>573</v>
      </c>
      <c r="C64" t="s">
        <v>573</v>
      </c>
      <c r="D64" t="b">
        <f t="shared" si="0"/>
        <v>0</v>
      </c>
    </row>
    <row r="65" spans="1:4" x14ac:dyDescent="0.25">
      <c r="A65" t="s">
        <v>545</v>
      </c>
      <c r="B65" s="5" t="s">
        <v>1766</v>
      </c>
      <c r="C65" t="s">
        <v>1766</v>
      </c>
      <c r="D65" t="b">
        <f t="shared" si="0"/>
        <v>0</v>
      </c>
    </row>
    <row r="66" spans="1:4" x14ac:dyDescent="0.25">
      <c r="A66" t="s">
        <v>545</v>
      </c>
      <c r="B66" s="5" t="s">
        <v>574</v>
      </c>
      <c r="C66" t="s">
        <v>574</v>
      </c>
      <c r="D66" t="b">
        <f t="shared" si="0"/>
        <v>0</v>
      </c>
    </row>
    <row r="67" spans="1:4" x14ac:dyDescent="0.25">
      <c r="A67" t="s">
        <v>545</v>
      </c>
      <c r="B67" s="5" t="s">
        <v>575</v>
      </c>
      <c r="C67" t="s">
        <v>575</v>
      </c>
      <c r="D67" t="b">
        <f t="shared" si="0"/>
        <v>0</v>
      </c>
    </row>
    <row r="68" spans="1:4" x14ac:dyDescent="0.25">
      <c r="A68" t="s">
        <v>545</v>
      </c>
      <c r="B68" s="5" t="s">
        <v>387</v>
      </c>
      <c r="C68" t="s">
        <v>387</v>
      </c>
      <c r="D68" t="b">
        <f t="shared" si="0"/>
        <v>0</v>
      </c>
    </row>
    <row r="69" spans="1:4" x14ac:dyDescent="0.25">
      <c r="A69" t="s">
        <v>545</v>
      </c>
      <c r="B69" s="5" t="s">
        <v>576</v>
      </c>
      <c r="C69" t="s">
        <v>576</v>
      </c>
      <c r="D69" t="b">
        <f t="shared" ref="D69:D102" si="2">B69&lt;&gt;C69</f>
        <v>0</v>
      </c>
    </row>
    <row r="70" spans="1:4" x14ac:dyDescent="0.25">
      <c r="A70" t="s">
        <v>545</v>
      </c>
      <c r="B70" s="5" t="s">
        <v>577</v>
      </c>
      <c r="C70" t="s">
        <v>577</v>
      </c>
      <c r="D70" t="b">
        <f t="shared" si="2"/>
        <v>0</v>
      </c>
    </row>
    <row r="71" spans="1:4" x14ac:dyDescent="0.25">
      <c r="A71" t="s">
        <v>545</v>
      </c>
      <c r="B71" s="5" t="s">
        <v>1615</v>
      </c>
      <c r="C71" t="s">
        <v>1615</v>
      </c>
      <c r="D71" t="b">
        <f t="shared" si="2"/>
        <v>0</v>
      </c>
    </row>
    <row r="72" spans="1:4" x14ac:dyDescent="0.25">
      <c r="A72" t="s">
        <v>545</v>
      </c>
      <c r="B72" s="5" t="s">
        <v>1767</v>
      </c>
      <c r="C72" t="s">
        <v>1767</v>
      </c>
      <c r="D72" t="b">
        <f t="shared" si="2"/>
        <v>0</v>
      </c>
    </row>
    <row r="73" spans="1:4" x14ac:dyDescent="0.25">
      <c r="A73" t="s">
        <v>545</v>
      </c>
      <c r="B73" s="5" t="s">
        <v>579</v>
      </c>
      <c r="C73" t="s">
        <v>579</v>
      </c>
      <c r="D73" t="b">
        <f t="shared" si="2"/>
        <v>0</v>
      </c>
    </row>
    <row r="74" spans="1:4" x14ac:dyDescent="0.25">
      <c r="A74" t="s">
        <v>545</v>
      </c>
      <c r="B74" s="5" t="s">
        <v>112</v>
      </c>
      <c r="C74" t="s">
        <v>112</v>
      </c>
      <c r="D74" t="b">
        <f t="shared" si="2"/>
        <v>0</v>
      </c>
    </row>
    <row r="75" spans="1:4" x14ac:dyDescent="0.25">
      <c r="A75" t="s">
        <v>545</v>
      </c>
      <c r="B75" s="5" t="s">
        <v>580</v>
      </c>
      <c r="C75" t="s">
        <v>580</v>
      </c>
      <c r="D75" t="b">
        <f t="shared" si="2"/>
        <v>0</v>
      </c>
    </row>
    <row r="76" spans="1:4" x14ac:dyDescent="0.25">
      <c r="A76" t="s">
        <v>545</v>
      </c>
      <c r="B76" s="5" t="s">
        <v>581</v>
      </c>
      <c r="C76" t="s">
        <v>581</v>
      </c>
      <c r="D76" t="b">
        <f t="shared" si="2"/>
        <v>0</v>
      </c>
    </row>
    <row r="77" spans="1:4" x14ac:dyDescent="0.25">
      <c r="A77" t="s">
        <v>545</v>
      </c>
      <c r="B77" s="5" t="s">
        <v>582</v>
      </c>
      <c r="C77" t="s">
        <v>582</v>
      </c>
      <c r="D77" t="b">
        <f t="shared" si="2"/>
        <v>0</v>
      </c>
    </row>
    <row r="78" spans="1:4" x14ac:dyDescent="0.25">
      <c r="A78" t="s">
        <v>545</v>
      </c>
      <c r="B78" s="5" t="s">
        <v>583</v>
      </c>
      <c r="C78" t="s">
        <v>583</v>
      </c>
      <c r="D78" t="b">
        <f t="shared" si="2"/>
        <v>0</v>
      </c>
    </row>
    <row r="79" spans="1:4" x14ac:dyDescent="0.25">
      <c r="A79" t="s">
        <v>545</v>
      </c>
      <c r="B79" s="5" t="s">
        <v>1769</v>
      </c>
      <c r="C79" t="s">
        <v>1769</v>
      </c>
      <c r="D79" t="b">
        <f t="shared" si="2"/>
        <v>0</v>
      </c>
    </row>
    <row r="80" spans="1:4" x14ac:dyDescent="0.25">
      <c r="A80" t="s">
        <v>545</v>
      </c>
      <c r="B80" s="5" t="s">
        <v>584</v>
      </c>
      <c r="C80" t="s">
        <v>584</v>
      </c>
      <c r="D80" t="b">
        <f t="shared" si="2"/>
        <v>0</v>
      </c>
    </row>
    <row r="81" spans="1:5" x14ac:dyDescent="0.25">
      <c r="A81" t="s">
        <v>545</v>
      </c>
      <c r="B81" s="23" t="s">
        <v>1928</v>
      </c>
      <c r="C81" t="s">
        <v>1928</v>
      </c>
      <c r="D81" t="b">
        <f t="shared" si="2"/>
        <v>0</v>
      </c>
      <c r="E81" s="5" t="s">
        <v>586</v>
      </c>
    </row>
    <row r="82" spans="1:5" x14ac:dyDescent="0.25">
      <c r="A82" s="5" t="s">
        <v>545</v>
      </c>
      <c r="B82" s="5" t="s">
        <v>585</v>
      </c>
      <c r="C82" t="s">
        <v>587</v>
      </c>
      <c r="D82" t="b">
        <f t="shared" si="2"/>
        <v>1</v>
      </c>
    </row>
    <row r="83" spans="1:5" x14ac:dyDescent="0.25">
      <c r="A83" t="s">
        <v>545</v>
      </c>
      <c r="B83" s="5" t="s">
        <v>588</v>
      </c>
      <c r="C83" t="s">
        <v>588</v>
      </c>
      <c r="D83" t="b">
        <f t="shared" si="2"/>
        <v>0</v>
      </c>
    </row>
    <row r="84" spans="1:5" x14ac:dyDescent="0.25">
      <c r="A84" t="s">
        <v>43</v>
      </c>
      <c r="B84" s="5" t="s">
        <v>589</v>
      </c>
      <c r="C84" t="s">
        <v>589</v>
      </c>
      <c r="D84" t="b">
        <f t="shared" si="2"/>
        <v>0</v>
      </c>
    </row>
    <row r="85" spans="1:5" x14ac:dyDescent="0.25">
      <c r="A85" t="s">
        <v>43</v>
      </c>
      <c r="B85" s="5" t="s">
        <v>590</v>
      </c>
      <c r="C85" t="s">
        <v>590</v>
      </c>
      <c r="D85" t="b">
        <f t="shared" si="2"/>
        <v>0</v>
      </c>
    </row>
    <row r="86" spans="1:5" x14ac:dyDescent="0.25">
      <c r="A86" t="s">
        <v>43</v>
      </c>
      <c r="B86" s="5" t="s">
        <v>591</v>
      </c>
      <c r="C86" t="s">
        <v>591</v>
      </c>
      <c r="D86" t="b">
        <f t="shared" si="2"/>
        <v>0</v>
      </c>
    </row>
    <row r="87" spans="1:5" x14ac:dyDescent="0.25">
      <c r="A87" t="s">
        <v>43</v>
      </c>
      <c r="B87" s="5" t="s">
        <v>365</v>
      </c>
      <c r="C87" t="s">
        <v>365</v>
      </c>
      <c r="D87" t="b">
        <f t="shared" si="2"/>
        <v>0</v>
      </c>
    </row>
    <row r="88" spans="1:5" x14ac:dyDescent="0.25">
      <c r="A88" t="s">
        <v>43</v>
      </c>
      <c r="B88" s="5" t="s">
        <v>592</v>
      </c>
      <c r="C88" t="s">
        <v>592</v>
      </c>
      <c r="D88" t="b">
        <f t="shared" si="2"/>
        <v>0</v>
      </c>
    </row>
    <row r="89" spans="1:5" x14ac:dyDescent="0.25">
      <c r="A89" t="s">
        <v>51</v>
      </c>
      <c r="B89" s="5" t="s">
        <v>593</v>
      </c>
      <c r="C89" t="s">
        <v>593</v>
      </c>
      <c r="D89" t="b">
        <f t="shared" si="2"/>
        <v>0</v>
      </c>
    </row>
    <row r="90" spans="1:5" x14ac:dyDescent="0.25">
      <c r="A90" t="s">
        <v>51</v>
      </c>
      <c r="B90" s="5" t="s">
        <v>594</v>
      </c>
      <c r="C90" t="s">
        <v>594</v>
      </c>
      <c r="D90" t="b">
        <f t="shared" si="2"/>
        <v>0</v>
      </c>
    </row>
    <row r="91" spans="1:5" x14ac:dyDescent="0.25">
      <c r="A91" t="s">
        <v>51</v>
      </c>
      <c r="B91" s="5" t="s">
        <v>595</v>
      </c>
      <c r="C91" t="s">
        <v>595</v>
      </c>
      <c r="D91" t="b">
        <f t="shared" si="2"/>
        <v>0</v>
      </c>
    </row>
    <row r="92" spans="1:5" x14ac:dyDescent="0.25">
      <c r="A92" t="s">
        <v>51</v>
      </c>
      <c r="B92" s="5" t="s">
        <v>596</v>
      </c>
      <c r="C92" t="s">
        <v>596</v>
      </c>
      <c r="D92" t="b">
        <f t="shared" si="2"/>
        <v>0</v>
      </c>
    </row>
    <row r="93" spans="1:5" x14ac:dyDescent="0.25">
      <c r="A93" t="s">
        <v>51</v>
      </c>
      <c r="B93" s="5" t="s">
        <v>597</v>
      </c>
      <c r="C93" t="s">
        <v>597</v>
      </c>
      <c r="D93" t="b">
        <f t="shared" si="2"/>
        <v>0</v>
      </c>
    </row>
    <row r="94" spans="1:5" x14ac:dyDescent="0.25">
      <c r="A94" t="s">
        <v>51</v>
      </c>
      <c r="B94" s="5" t="s">
        <v>598</v>
      </c>
      <c r="C94" t="s">
        <v>598</v>
      </c>
      <c r="D94" t="b">
        <f t="shared" si="2"/>
        <v>0</v>
      </c>
    </row>
    <row r="95" spans="1:5" x14ac:dyDescent="0.25">
      <c r="A95" t="s">
        <v>337</v>
      </c>
      <c r="B95" s="5" t="s">
        <v>561</v>
      </c>
      <c r="C95" t="s">
        <v>561</v>
      </c>
      <c r="D95" t="b">
        <f t="shared" si="2"/>
        <v>0</v>
      </c>
    </row>
    <row r="96" spans="1:5" x14ac:dyDescent="0.25">
      <c r="A96" t="s">
        <v>337</v>
      </c>
      <c r="B96" s="5" t="s">
        <v>310</v>
      </c>
      <c r="C96" t="s">
        <v>310</v>
      </c>
      <c r="D96" t="b">
        <f t="shared" si="2"/>
        <v>0</v>
      </c>
    </row>
    <row r="97" spans="1:4" x14ac:dyDescent="0.25">
      <c r="A97" t="s">
        <v>337</v>
      </c>
      <c r="B97" s="5" t="s">
        <v>106</v>
      </c>
      <c r="C97" t="s">
        <v>106</v>
      </c>
      <c r="D97" t="b">
        <f t="shared" si="2"/>
        <v>0</v>
      </c>
    </row>
    <row r="98" spans="1:4" x14ac:dyDescent="0.25">
      <c r="A98" t="s">
        <v>337</v>
      </c>
      <c r="B98" s="5" t="s">
        <v>599</v>
      </c>
      <c r="C98" t="s">
        <v>599</v>
      </c>
      <c r="D98" t="b">
        <f t="shared" si="2"/>
        <v>0</v>
      </c>
    </row>
    <row r="99" spans="1:4" x14ac:dyDescent="0.25">
      <c r="A99" t="s">
        <v>337</v>
      </c>
      <c r="B99" s="5" t="s">
        <v>600</v>
      </c>
      <c r="C99" t="s">
        <v>600</v>
      </c>
      <c r="D99" t="b">
        <f t="shared" si="2"/>
        <v>0</v>
      </c>
    </row>
    <row r="100" spans="1:4" x14ac:dyDescent="0.25">
      <c r="A100" t="s">
        <v>337</v>
      </c>
      <c r="B100" s="5" t="s">
        <v>601</v>
      </c>
      <c r="C100" t="s">
        <v>601</v>
      </c>
      <c r="D100" t="b">
        <f t="shared" si="2"/>
        <v>0</v>
      </c>
    </row>
    <row r="101" spans="1:4" x14ac:dyDescent="0.25">
      <c r="A101" t="s">
        <v>337</v>
      </c>
      <c r="B101" s="5" t="s">
        <v>302</v>
      </c>
      <c r="C101" t="s">
        <v>302</v>
      </c>
      <c r="D101" t="b">
        <f t="shared" si="2"/>
        <v>0</v>
      </c>
    </row>
    <row r="102" spans="1:4" x14ac:dyDescent="0.25">
      <c r="A102" t="s">
        <v>337</v>
      </c>
      <c r="B102" s="5" t="s">
        <v>602</v>
      </c>
      <c r="C102" t="s">
        <v>602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4" operator="notContains" id="{5F2FB2BA-ABCF-49F0-8E50-CBFC59848CDA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3" operator="notContains" id="{0BDC2AD5-87BC-4264-9493-804E69859E8D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  <x14:conditionalFormatting xmlns:xm="http://schemas.microsoft.com/office/excel/2006/main">
          <x14:cfRule type="notContainsText" priority="2" operator="notContains" id="{52C83988-03AC-4C8C-BE11-1D6AE7C98F6B}">
            <xm:f>ISERROR(SEARCH(F54,E54))</xm:f>
            <xm:f>F54</xm:f>
            <x14:dxf>
              <fill>
                <patternFill>
                  <bgColor theme="5" tint="0.79998168889431442"/>
                </patternFill>
              </fill>
            </x14:dxf>
          </x14:cfRule>
          <xm:sqref>E54</xm:sqref>
        </x14:conditionalFormatting>
        <x14:conditionalFormatting xmlns:xm="http://schemas.microsoft.com/office/excel/2006/main">
          <x14:cfRule type="notContainsText" priority="1" operator="notContains" id="{D8E4F9CB-4EC7-4C6A-A93E-7740314AC93E}">
            <xm:f>ISERROR(SEARCH(F81,E81))</xm:f>
            <xm:f>F81</xm:f>
            <x14:dxf>
              <fill>
                <patternFill>
                  <bgColor theme="5" tint="0.79998168889431442"/>
                </patternFill>
              </fill>
            </x14:dxf>
          </x14:cfRule>
          <xm:sqref>E81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7A7-268E-4791-87BA-973927C302C7}">
  <dimension ref="A1:G103"/>
  <sheetViews>
    <sheetView workbookViewId="0">
      <selection activeCell="B4" sqref="B4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1836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19</v>
      </c>
    </row>
    <row r="3" spans="1:7" x14ac:dyDescent="0.25">
      <c r="A3" s="5" t="s">
        <v>2031</v>
      </c>
      <c r="B3" s="23" t="s">
        <v>2058</v>
      </c>
      <c r="C3" s="5" t="s">
        <v>2058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2035</v>
      </c>
      <c r="C4" t="s">
        <v>140</v>
      </c>
      <c r="D4" t="b">
        <f>B4&lt;&gt;C4</f>
        <v>1</v>
      </c>
    </row>
    <row r="5" spans="1:7" x14ac:dyDescent="0.25">
      <c r="A5" t="s">
        <v>35</v>
      </c>
      <c r="B5" s="5" t="s">
        <v>40</v>
      </c>
      <c r="C5" t="s">
        <v>40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67</v>
      </c>
      <c r="C6" t="s">
        <v>67</v>
      </c>
      <c r="D6" t="b">
        <f t="shared" si="0"/>
        <v>0</v>
      </c>
      <c r="F6" s="1" t="s">
        <v>35</v>
      </c>
      <c r="G6" s="2">
        <f t="shared" ref="G6:G12" si="1">COUNTIF(A:A,F6)</f>
        <v>38</v>
      </c>
    </row>
    <row r="7" spans="1:7" x14ac:dyDescent="0.25">
      <c r="A7" t="s">
        <v>35</v>
      </c>
      <c r="B7" s="5" t="s">
        <v>152</v>
      </c>
      <c r="C7" t="s">
        <v>152</v>
      </c>
      <c r="D7" t="b">
        <f t="shared" si="0"/>
        <v>0</v>
      </c>
      <c r="F7" s="3" t="s">
        <v>2031</v>
      </c>
      <c r="G7" s="2">
        <f t="shared" si="1"/>
        <v>1</v>
      </c>
    </row>
    <row r="8" spans="1:7" x14ac:dyDescent="0.25">
      <c r="A8" t="s">
        <v>35</v>
      </c>
      <c r="B8" s="5" t="s">
        <v>139</v>
      </c>
      <c r="C8" t="s">
        <v>139</v>
      </c>
      <c r="D8" t="b">
        <f t="shared" si="0"/>
        <v>0</v>
      </c>
      <c r="F8" s="1" t="s">
        <v>41</v>
      </c>
      <c r="G8" s="2">
        <f t="shared" si="1"/>
        <v>10</v>
      </c>
    </row>
    <row r="9" spans="1:7" x14ac:dyDescent="0.25">
      <c r="A9" t="s">
        <v>35</v>
      </c>
      <c r="B9" s="23" t="s">
        <v>1861</v>
      </c>
      <c r="C9" t="s">
        <v>1861</v>
      </c>
      <c r="D9" t="b">
        <f t="shared" si="0"/>
        <v>0</v>
      </c>
      <c r="E9" t="s">
        <v>45</v>
      </c>
      <c r="F9" s="1" t="s">
        <v>42</v>
      </c>
      <c r="G9" s="2">
        <f t="shared" si="1"/>
        <v>8</v>
      </c>
    </row>
    <row r="10" spans="1:7" x14ac:dyDescent="0.25">
      <c r="A10" t="s">
        <v>35</v>
      </c>
      <c r="B10" s="5" t="s">
        <v>1111</v>
      </c>
      <c r="C10" t="s">
        <v>1862</v>
      </c>
      <c r="D10" t="b">
        <f t="shared" si="0"/>
        <v>1</v>
      </c>
      <c r="F10" s="1" t="s">
        <v>68</v>
      </c>
      <c r="G10" s="2">
        <f t="shared" si="1"/>
        <v>8</v>
      </c>
    </row>
    <row r="11" spans="1:7" x14ac:dyDescent="0.25">
      <c r="A11" t="s">
        <v>35</v>
      </c>
      <c r="B11" s="5" t="s">
        <v>2036</v>
      </c>
      <c r="C11" t="s">
        <v>265</v>
      </c>
      <c r="D11" t="b">
        <f t="shared" si="0"/>
        <v>1</v>
      </c>
      <c r="F11" s="1" t="s">
        <v>147</v>
      </c>
      <c r="G11" s="2">
        <f t="shared" si="1"/>
        <v>18</v>
      </c>
    </row>
    <row r="12" spans="1:7" x14ac:dyDescent="0.25">
      <c r="A12" t="s">
        <v>35</v>
      </c>
      <c r="B12" s="5" t="s">
        <v>2037</v>
      </c>
      <c r="C12" t="s">
        <v>69</v>
      </c>
      <c r="D12" t="b">
        <f t="shared" si="0"/>
        <v>1</v>
      </c>
      <c r="F12" s="1" t="s">
        <v>151</v>
      </c>
      <c r="G12" s="2">
        <f t="shared" si="1"/>
        <v>17</v>
      </c>
    </row>
    <row r="13" spans="1:7" x14ac:dyDescent="0.25">
      <c r="A13" t="s">
        <v>35</v>
      </c>
      <c r="B13" s="5" t="s">
        <v>2038</v>
      </c>
      <c r="C13" t="s">
        <v>58</v>
      </c>
      <c r="D13" t="b">
        <f t="shared" si="0"/>
        <v>1</v>
      </c>
    </row>
    <row r="14" spans="1:7" x14ac:dyDescent="0.25">
      <c r="A14" t="s">
        <v>35</v>
      </c>
      <c r="B14" s="5" t="s">
        <v>153</v>
      </c>
      <c r="C14" t="s">
        <v>882</v>
      </c>
      <c r="D14" t="b">
        <f t="shared" si="0"/>
        <v>1</v>
      </c>
    </row>
    <row r="15" spans="1:7" x14ac:dyDescent="0.25">
      <c r="A15" t="s">
        <v>35</v>
      </c>
      <c r="B15" s="5" t="s">
        <v>1864</v>
      </c>
      <c r="C15" t="s">
        <v>1864</v>
      </c>
      <c r="D15" t="b">
        <f t="shared" si="0"/>
        <v>0</v>
      </c>
      <c r="F15" s="1"/>
      <c r="G15" s="2"/>
    </row>
    <row r="16" spans="1:7" x14ac:dyDescent="0.25">
      <c r="A16" t="s">
        <v>35</v>
      </c>
      <c r="B16" s="5" t="s">
        <v>85</v>
      </c>
      <c r="C16" t="s">
        <v>819</v>
      </c>
      <c r="D16" t="b">
        <f t="shared" si="0"/>
        <v>1</v>
      </c>
      <c r="F16" s="1"/>
      <c r="G16" s="2"/>
    </row>
    <row r="17" spans="1:7" x14ac:dyDescent="0.25">
      <c r="A17" t="s">
        <v>35</v>
      </c>
      <c r="B17" s="5" t="s">
        <v>478</v>
      </c>
      <c r="C17" t="s">
        <v>192</v>
      </c>
      <c r="D17" t="b">
        <f t="shared" si="0"/>
        <v>1</v>
      </c>
      <c r="F17" s="5"/>
      <c r="G17" s="2"/>
    </row>
    <row r="18" spans="1:7" x14ac:dyDescent="0.25">
      <c r="A18" t="s">
        <v>35</v>
      </c>
      <c r="B18" s="5" t="s">
        <v>84</v>
      </c>
      <c r="C18" t="s">
        <v>1865</v>
      </c>
      <c r="D18" t="b">
        <f t="shared" si="0"/>
        <v>1</v>
      </c>
      <c r="F18" s="5"/>
      <c r="G18" s="2"/>
    </row>
    <row r="19" spans="1:7" x14ac:dyDescent="0.25">
      <c r="A19" t="s">
        <v>35</v>
      </c>
      <c r="B19" s="5" t="s">
        <v>84</v>
      </c>
      <c r="C19" t="s">
        <v>84</v>
      </c>
      <c r="D19" t="b">
        <f t="shared" si="0"/>
        <v>0</v>
      </c>
    </row>
    <row r="20" spans="1:7" x14ac:dyDescent="0.25">
      <c r="A20" t="s">
        <v>35</v>
      </c>
      <c r="B20" s="5" t="s">
        <v>84</v>
      </c>
      <c r="C20" t="s">
        <v>84</v>
      </c>
      <c r="D20" t="b">
        <f t="shared" si="0"/>
        <v>0</v>
      </c>
    </row>
    <row r="21" spans="1:7" x14ac:dyDescent="0.25">
      <c r="A21" t="s">
        <v>35</v>
      </c>
      <c r="B21" s="5" t="s">
        <v>84</v>
      </c>
      <c r="C21" t="s">
        <v>84</v>
      </c>
      <c r="D21" t="b">
        <f t="shared" si="0"/>
        <v>0</v>
      </c>
    </row>
    <row r="22" spans="1:7" x14ac:dyDescent="0.25">
      <c r="A22" t="s">
        <v>35</v>
      </c>
      <c r="B22" s="5" t="s">
        <v>84</v>
      </c>
      <c r="C22" t="s">
        <v>84</v>
      </c>
      <c r="D22" t="b">
        <f t="shared" si="0"/>
        <v>0</v>
      </c>
    </row>
    <row r="23" spans="1:7" x14ac:dyDescent="0.25">
      <c r="A23" t="s">
        <v>35</v>
      </c>
      <c r="B23" s="5" t="s">
        <v>84</v>
      </c>
      <c r="C23" t="s">
        <v>84</v>
      </c>
      <c r="D23" t="b">
        <f t="shared" si="0"/>
        <v>0</v>
      </c>
    </row>
    <row r="24" spans="1:7" x14ac:dyDescent="0.25">
      <c r="A24" t="s">
        <v>35</v>
      </c>
      <c r="B24" s="5" t="s">
        <v>84</v>
      </c>
      <c r="C24" t="s">
        <v>84</v>
      </c>
      <c r="D24" t="b">
        <f t="shared" si="0"/>
        <v>0</v>
      </c>
    </row>
    <row r="25" spans="1:7" x14ac:dyDescent="0.25">
      <c r="A25" t="s">
        <v>35</v>
      </c>
      <c r="B25" s="5" t="s">
        <v>84</v>
      </c>
      <c r="C25" t="s">
        <v>84</v>
      </c>
      <c r="D25" t="b">
        <f t="shared" si="0"/>
        <v>0</v>
      </c>
    </row>
    <row r="26" spans="1:7" x14ac:dyDescent="0.25">
      <c r="A26" t="s">
        <v>35</v>
      </c>
      <c r="B26" s="5" t="s">
        <v>84</v>
      </c>
      <c r="C26" t="s">
        <v>84</v>
      </c>
      <c r="D26" t="b">
        <f t="shared" si="0"/>
        <v>0</v>
      </c>
    </row>
    <row r="27" spans="1:7" x14ac:dyDescent="0.25">
      <c r="A27" t="s">
        <v>35</v>
      </c>
      <c r="B27" s="5" t="s">
        <v>85</v>
      </c>
      <c r="C27" t="s">
        <v>85</v>
      </c>
      <c r="D27" t="b">
        <f t="shared" si="0"/>
        <v>0</v>
      </c>
    </row>
    <row r="28" spans="1:7" x14ac:dyDescent="0.25">
      <c r="A28" t="s">
        <v>35</v>
      </c>
      <c r="B28" s="5" t="s">
        <v>85</v>
      </c>
      <c r="C28" t="s">
        <v>85</v>
      </c>
      <c r="D28" t="b">
        <f t="shared" si="0"/>
        <v>0</v>
      </c>
    </row>
    <row r="29" spans="1:7" x14ac:dyDescent="0.25">
      <c r="A29" t="s">
        <v>35</v>
      </c>
      <c r="B29" s="5" t="s">
        <v>85</v>
      </c>
      <c r="C29" t="s">
        <v>85</v>
      </c>
      <c r="D29" t="b">
        <f t="shared" si="0"/>
        <v>0</v>
      </c>
    </row>
    <row r="30" spans="1:7" x14ac:dyDescent="0.25">
      <c r="A30" t="s">
        <v>35</v>
      </c>
      <c r="B30" s="5" t="s">
        <v>85</v>
      </c>
      <c r="C30" t="s">
        <v>85</v>
      </c>
      <c r="D30" t="b">
        <f t="shared" si="0"/>
        <v>0</v>
      </c>
    </row>
    <row r="31" spans="1:7" x14ac:dyDescent="0.25">
      <c r="A31" t="s">
        <v>35</v>
      </c>
      <c r="B31" s="5" t="s">
        <v>85</v>
      </c>
      <c r="C31" t="s">
        <v>85</v>
      </c>
      <c r="D31" t="b">
        <f t="shared" si="0"/>
        <v>0</v>
      </c>
    </row>
    <row r="32" spans="1:7" x14ac:dyDescent="0.25">
      <c r="A32" t="s">
        <v>35</v>
      </c>
      <c r="B32" s="5" t="s">
        <v>85</v>
      </c>
      <c r="C32" t="s">
        <v>85</v>
      </c>
      <c r="D32" t="b">
        <f t="shared" si="0"/>
        <v>0</v>
      </c>
    </row>
    <row r="33" spans="1:6" x14ac:dyDescent="0.25">
      <c r="A33" t="s">
        <v>35</v>
      </c>
      <c r="B33" s="5" t="s">
        <v>85</v>
      </c>
      <c r="C33" t="s">
        <v>85</v>
      </c>
      <c r="D33" t="b">
        <f t="shared" si="0"/>
        <v>0</v>
      </c>
    </row>
    <row r="34" spans="1:6" x14ac:dyDescent="0.25">
      <c r="A34" t="s">
        <v>35</v>
      </c>
      <c r="B34" s="5" t="s">
        <v>85</v>
      </c>
      <c r="C34" t="s">
        <v>85</v>
      </c>
      <c r="D34" t="b">
        <f t="shared" si="0"/>
        <v>0</v>
      </c>
    </row>
    <row r="35" spans="1:6" x14ac:dyDescent="0.25">
      <c r="A35" t="s">
        <v>35</v>
      </c>
      <c r="B35" s="5" t="s">
        <v>153</v>
      </c>
      <c r="C35" t="s">
        <v>153</v>
      </c>
      <c r="D35" t="b">
        <f t="shared" si="0"/>
        <v>0</v>
      </c>
    </row>
    <row r="36" spans="1:6" x14ac:dyDescent="0.25">
      <c r="A36" t="s">
        <v>35</v>
      </c>
      <c r="B36" s="5" t="s">
        <v>153</v>
      </c>
      <c r="C36" t="s">
        <v>153</v>
      </c>
      <c r="D36" t="b">
        <f t="shared" si="0"/>
        <v>0</v>
      </c>
    </row>
    <row r="37" spans="1:6" x14ac:dyDescent="0.25">
      <c r="A37" t="s">
        <v>35</v>
      </c>
      <c r="B37" s="5" t="s">
        <v>153</v>
      </c>
      <c r="C37" t="s">
        <v>153</v>
      </c>
      <c r="D37" t="b">
        <f t="shared" si="0"/>
        <v>0</v>
      </c>
    </row>
    <row r="38" spans="1:6" x14ac:dyDescent="0.25">
      <c r="A38" t="s">
        <v>35</v>
      </c>
      <c r="B38" s="5" t="s">
        <v>153</v>
      </c>
      <c r="C38" t="s">
        <v>153</v>
      </c>
      <c r="D38" t="b">
        <f t="shared" si="0"/>
        <v>0</v>
      </c>
    </row>
    <row r="39" spans="1:6" x14ac:dyDescent="0.25">
      <c r="A39" t="s">
        <v>35</v>
      </c>
      <c r="B39" s="5" t="s">
        <v>153</v>
      </c>
      <c r="C39" t="s">
        <v>153</v>
      </c>
      <c r="D39" t="b">
        <f t="shared" si="0"/>
        <v>0</v>
      </c>
    </row>
    <row r="40" spans="1:6" x14ac:dyDescent="0.25">
      <c r="A40" t="s">
        <v>35</v>
      </c>
      <c r="B40" s="5" t="s">
        <v>153</v>
      </c>
      <c r="C40" t="s">
        <v>153</v>
      </c>
      <c r="D40" t="b">
        <f t="shared" si="0"/>
        <v>0</v>
      </c>
    </row>
    <row r="41" spans="1:6" x14ac:dyDescent="0.25">
      <c r="A41" t="s">
        <v>35</v>
      </c>
      <c r="B41" s="5" t="s">
        <v>153</v>
      </c>
      <c r="C41" t="s">
        <v>153</v>
      </c>
      <c r="D41" t="b">
        <f t="shared" si="0"/>
        <v>0</v>
      </c>
    </row>
    <row r="42" spans="1:6" x14ac:dyDescent="0.25">
      <c r="A42" t="s">
        <v>41</v>
      </c>
      <c r="B42" s="5" t="s">
        <v>2045</v>
      </c>
      <c r="C42" t="s">
        <v>206</v>
      </c>
      <c r="D42" t="b">
        <f t="shared" si="0"/>
        <v>1</v>
      </c>
    </row>
    <row r="43" spans="1:6" x14ac:dyDescent="0.25">
      <c r="A43" t="s">
        <v>41</v>
      </c>
      <c r="B43" s="5" t="s">
        <v>157</v>
      </c>
      <c r="C43" t="s">
        <v>157</v>
      </c>
      <c r="D43" t="b">
        <f t="shared" si="0"/>
        <v>0</v>
      </c>
    </row>
    <row r="44" spans="1:6" x14ac:dyDescent="0.25">
      <c r="A44" t="s">
        <v>41</v>
      </c>
      <c r="B44" s="5" t="s">
        <v>210</v>
      </c>
      <c r="C44" t="s">
        <v>210</v>
      </c>
      <c r="D44" t="b">
        <f t="shared" si="0"/>
        <v>0</v>
      </c>
    </row>
    <row r="45" spans="1:6" x14ac:dyDescent="0.25">
      <c r="A45" t="s">
        <v>41</v>
      </c>
      <c r="B45" s="5" t="s">
        <v>559</v>
      </c>
      <c r="C45" t="s">
        <v>559</v>
      </c>
      <c r="D45" t="b">
        <f t="shared" si="0"/>
        <v>0</v>
      </c>
    </row>
    <row r="46" spans="1:6" x14ac:dyDescent="0.25">
      <c r="A46" t="s">
        <v>41</v>
      </c>
      <c r="B46" s="5" t="s">
        <v>158</v>
      </c>
      <c r="C46" t="s">
        <v>158</v>
      </c>
      <c r="D46" t="b">
        <f t="shared" si="0"/>
        <v>0</v>
      </c>
    </row>
    <row r="47" spans="1:6" x14ac:dyDescent="0.25">
      <c r="A47" t="s">
        <v>41</v>
      </c>
      <c r="B47" s="5" t="s">
        <v>160</v>
      </c>
      <c r="C47" t="s">
        <v>160</v>
      </c>
      <c r="D47" t="b">
        <f t="shared" si="0"/>
        <v>0</v>
      </c>
    </row>
    <row r="48" spans="1:6" x14ac:dyDescent="0.25">
      <c r="A48" t="s">
        <v>41</v>
      </c>
      <c r="B48" s="5" t="s">
        <v>2043</v>
      </c>
      <c r="C48" t="s">
        <v>211</v>
      </c>
      <c r="D48" t="b">
        <f t="shared" si="0"/>
        <v>1</v>
      </c>
      <c r="F48"/>
    </row>
    <row r="49" spans="1:6" x14ac:dyDescent="0.25">
      <c r="A49" t="s">
        <v>41</v>
      </c>
      <c r="B49" s="5" t="s">
        <v>2044</v>
      </c>
      <c r="C49" t="s">
        <v>212</v>
      </c>
      <c r="D49" t="b">
        <f t="shared" si="0"/>
        <v>1</v>
      </c>
    </row>
    <row r="50" spans="1:6" x14ac:dyDescent="0.25">
      <c r="A50" t="s">
        <v>41</v>
      </c>
      <c r="B50" s="5" t="s">
        <v>1863</v>
      </c>
      <c r="C50" t="s">
        <v>1863</v>
      </c>
      <c r="D50" t="b">
        <f t="shared" si="0"/>
        <v>0</v>
      </c>
    </row>
    <row r="51" spans="1:6" x14ac:dyDescent="0.25">
      <c r="A51" t="s">
        <v>41</v>
      </c>
      <c r="B51" s="5" t="s">
        <v>292</v>
      </c>
      <c r="C51" t="s">
        <v>292</v>
      </c>
      <c r="D51" t="b">
        <f t="shared" si="0"/>
        <v>0</v>
      </c>
    </row>
    <row r="52" spans="1:6" x14ac:dyDescent="0.25">
      <c r="A52" t="s">
        <v>42</v>
      </c>
      <c r="B52" s="5" t="s">
        <v>1857</v>
      </c>
      <c r="C52" t="s">
        <v>1857</v>
      </c>
      <c r="D52" t="b">
        <f t="shared" si="0"/>
        <v>0</v>
      </c>
    </row>
    <row r="53" spans="1:6" x14ac:dyDescent="0.25">
      <c r="A53" t="s">
        <v>42</v>
      </c>
      <c r="B53" s="5" t="s">
        <v>93</v>
      </c>
      <c r="C53" t="s">
        <v>93</v>
      </c>
      <c r="D53" t="b">
        <f t="shared" si="0"/>
        <v>0</v>
      </c>
    </row>
    <row r="54" spans="1:6" x14ac:dyDescent="0.25">
      <c r="A54" t="s">
        <v>42</v>
      </c>
      <c r="B54" s="5" t="s">
        <v>162</v>
      </c>
      <c r="C54" t="s">
        <v>162</v>
      </c>
      <c r="D54" t="b">
        <f t="shared" si="0"/>
        <v>0</v>
      </c>
      <c r="F54"/>
    </row>
    <row r="55" spans="1:6" x14ac:dyDescent="0.25">
      <c r="A55" t="s">
        <v>42</v>
      </c>
      <c r="B55" s="5" t="s">
        <v>163</v>
      </c>
      <c r="C55" t="s">
        <v>163</v>
      </c>
      <c r="D55" t="b">
        <f t="shared" si="0"/>
        <v>0</v>
      </c>
    </row>
    <row r="56" spans="1:6" x14ac:dyDescent="0.25">
      <c r="A56" t="s">
        <v>42</v>
      </c>
      <c r="B56" s="5" t="s">
        <v>164</v>
      </c>
      <c r="C56" t="s">
        <v>164</v>
      </c>
      <c r="D56" t="b">
        <f t="shared" si="0"/>
        <v>0</v>
      </c>
    </row>
    <row r="57" spans="1:6" x14ac:dyDescent="0.25">
      <c r="A57" t="s">
        <v>42</v>
      </c>
      <c r="B57" s="5" t="s">
        <v>165</v>
      </c>
      <c r="C57" t="s">
        <v>165</v>
      </c>
      <c r="D57" t="b">
        <f t="shared" si="0"/>
        <v>0</v>
      </c>
      <c r="E57" t="s">
        <v>1841</v>
      </c>
    </row>
    <row r="58" spans="1:6" x14ac:dyDescent="0.25">
      <c r="A58" t="s">
        <v>42</v>
      </c>
      <c r="B58" s="5" t="s">
        <v>166</v>
      </c>
      <c r="C58" t="s">
        <v>166</v>
      </c>
      <c r="D58" t="b">
        <f t="shared" si="0"/>
        <v>0</v>
      </c>
    </row>
    <row r="59" spans="1:6" x14ac:dyDescent="0.25">
      <c r="A59" t="s">
        <v>42</v>
      </c>
      <c r="B59" s="5" t="s">
        <v>1848</v>
      </c>
      <c r="C59" t="s">
        <v>1848</v>
      </c>
      <c r="D59" t="b">
        <f t="shared" si="0"/>
        <v>0</v>
      </c>
    </row>
    <row r="60" spans="1:6" x14ac:dyDescent="0.25">
      <c r="A60" t="s">
        <v>68</v>
      </c>
      <c r="B60" s="5" t="s">
        <v>174</v>
      </c>
      <c r="C60" t="s">
        <v>174</v>
      </c>
      <c r="D60" t="b">
        <f t="shared" si="0"/>
        <v>0</v>
      </c>
      <c r="F60"/>
    </row>
    <row r="61" spans="1:6" x14ac:dyDescent="0.25">
      <c r="A61" t="s">
        <v>68</v>
      </c>
      <c r="B61" s="5" t="s">
        <v>176</v>
      </c>
      <c r="C61" t="s">
        <v>176</v>
      </c>
      <c r="D61" t="b">
        <f t="shared" si="0"/>
        <v>0</v>
      </c>
      <c r="F61"/>
    </row>
    <row r="62" spans="1:6" x14ac:dyDescent="0.25">
      <c r="A62" t="s">
        <v>68</v>
      </c>
      <c r="B62" s="5" t="s">
        <v>177</v>
      </c>
      <c r="C62" t="s">
        <v>177</v>
      </c>
      <c r="D62" t="b">
        <f t="shared" si="0"/>
        <v>0</v>
      </c>
      <c r="F62"/>
    </row>
    <row r="63" spans="1:6" x14ac:dyDescent="0.25">
      <c r="A63" t="s">
        <v>68</v>
      </c>
      <c r="B63" s="5" t="s">
        <v>179</v>
      </c>
      <c r="C63" t="s">
        <v>179</v>
      </c>
      <c r="D63" t="b">
        <f t="shared" si="0"/>
        <v>0</v>
      </c>
      <c r="F63"/>
    </row>
    <row r="64" spans="1:6" x14ac:dyDescent="0.25">
      <c r="A64" t="s">
        <v>68</v>
      </c>
      <c r="B64" s="5" t="s">
        <v>128</v>
      </c>
      <c r="C64" t="s">
        <v>128</v>
      </c>
      <c r="D64" t="b">
        <f t="shared" si="0"/>
        <v>0</v>
      </c>
      <c r="F64"/>
    </row>
    <row r="65" spans="1:6" x14ac:dyDescent="0.25">
      <c r="A65" t="s">
        <v>68</v>
      </c>
      <c r="B65" s="5" t="s">
        <v>127</v>
      </c>
      <c r="C65" t="s">
        <v>713</v>
      </c>
      <c r="D65" t="b">
        <f t="shared" si="0"/>
        <v>1</v>
      </c>
    </row>
    <row r="66" spans="1:6" x14ac:dyDescent="0.25">
      <c r="A66" t="s">
        <v>68</v>
      </c>
      <c r="B66" s="5" t="s">
        <v>798</v>
      </c>
      <c r="C66" t="s">
        <v>983</v>
      </c>
      <c r="D66" t="b">
        <f t="shared" si="0"/>
        <v>1</v>
      </c>
      <c r="F66"/>
    </row>
    <row r="67" spans="1:6" x14ac:dyDescent="0.25">
      <c r="A67" t="s">
        <v>68</v>
      </c>
      <c r="B67" s="5" t="s">
        <v>1859</v>
      </c>
      <c r="C67" t="s">
        <v>1859</v>
      </c>
      <c r="D67" t="b">
        <f t="shared" si="0"/>
        <v>0</v>
      </c>
      <c r="F67"/>
    </row>
    <row r="68" spans="1:6" x14ac:dyDescent="0.25">
      <c r="A68" t="s">
        <v>147</v>
      </c>
      <c r="B68" s="5" t="s">
        <v>1846</v>
      </c>
      <c r="C68" t="s">
        <v>1846</v>
      </c>
      <c r="D68" t="b">
        <f t="shared" si="0"/>
        <v>0</v>
      </c>
      <c r="F68"/>
    </row>
    <row r="69" spans="1:6" x14ac:dyDescent="0.25">
      <c r="A69" t="s">
        <v>147</v>
      </c>
      <c r="B69" s="5" t="s">
        <v>1844</v>
      </c>
      <c r="C69" t="s">
        <v>1844</v>
      </c>
      <c r="D69" t="b">
        <f t="shared" ref="D69:D103" si="2">B69&lt;&gt;C69</f>
        <v>0</v>
      </c>
      <c r="F69"/>
    </row>
    <row r="70" spans="1:6" x14ac:dyDescent="0.25">
      <c r="A70" t="s">
        <v>147</v>
      </c>
      <c r="B70" s="5" t="s">
        <v>1847</v>
      </c>
      <c r="C70" t="s">
        <v>1847</v>
      </c>
      <c r="D70" t="b">
        <f t="shared" si="2"/>
        <v>0</v>
      </c>
      <c r="F70"/>
    </row>
    <row r="71" spans="1:6" x14ac:dyDescent="0.25">
      <c r="A71" t="s">
        <v>147</v>
      </c>
      <c r="B71" s="5" t="s">
        <v>1842</v>
      </c>
      <c r="C71" t="s">
        <v>1842</v>
      </c>
      <c r="D71" t="b">
        <f t="shared" si="2"/>
        <v>0</v>
      </c>
      <c r="F71"/>
    </row>
    <row r="72" spans="1:6" x14ac:dyDescent="0.25">
      <c r="A72" t="s">
        <v>147</v>
      </c>
      <c r="B72" s="5" t="s">
        <v>1860</v>
      </c>
      <c r="C72" t="s">
        <v>1860</v>
      </c>
      <c r="D72" t="b">
        <f t="shared" si="2"/>
        <v>0</v>
      </c>
      <c r="F72" s="5"/>
    </row>
    <row r="73" spans="1:6" x14ac:dyDescent="0.25">
      <c r="A73" t="s">
        <v>147</v>
      </c>
      <c r="B73" s="5" t="s">
        <v>1839</v>
      </c>
      <c r="C73" t="s">
        <v>1839</v>
      </c>
      <c r="D73" t="b">
        <f t="shared" si="2"/>
        <v>0</v>
      </c>
      <c r="F73" s="5"/>
    </row>
    <row r="74" spans="1:6" x14ac:dyDescent="0.25">
      <c r="A74" t="s">
        <v>147</v>
      </c>
      <c r="B74" s="5" t="s">
        <v>1855</v>
      </c>
      <c r="C74" t="s">
        <v>1855</v>
      </c>
      <c r="D74" t="b">
        <f t="shared" si="2"/>
        <v>0</v>
      </c>
      <c r="F74" s="5"/>
    </row>
    <row r="75" spans="1:6" x14ac:dyDescent="0.25">
      <c r="A75" t="s">
        <v>147</v>
      </c>
      <c r="B75" s="5" t="s">
        <v>167</v>
      </c>
      <c r="C75" t="s">
        <v>167</v>
      </c>
      <c r="D75" t="b">
        <f t="shared" si="2"/>
        <v>0</v>
      </c>
    </row>
    <row r="76" spans="1:6" x14ac:dyDescent="0.25">
      <c r="A76" t="s">
        <v>147</v>
      </c>
      <c r="B76" s="5" t="s">
        <v>172</v>
      </c>
      <c r="C76" t="s">
        <v>172</v>
      </c>
      <c r="D76" t="b">
        <f t="shared" si="2"/>
        <v>0</v>
      </c>
    </row>
    <row r="77" spans="1:6" x14ac:dyDescent="0.25">
      <c r="A77" t="s">
        <v>147</v>
      </c>
      <c r="B77" s="5" t="s">
        <v>169</v>
      </c>
      <c r="C77" t="s">
        <v>169</v>
      </c>
      <c r="D77" t="b">
        <f t="shared" si="2"/>
        <v>0</v>
      </c>
    </row>
    <row r="78" spans="1:6" x14ac:dyDescent="0.25">
      <c r="A78" t="s">
        <v>147</v>
      </c>
      <c r="B78" s="5" t="s">
        <v>1845</v>
      </c>
      <c r="C78" t="s">
        <v>1845</v>
      </c>
      <c r="D78" t="b">
        <f t="shared" si="2"/>
        <v>0</v>
      </c>
    </row>
    <row r="79" spans="1:6" x14ac:dyDescent="0.25">
      <c r="A79" t="s">
        <v>147</v>
      </c>
      <c r="B79" s="5" t="s">
        <v>1851</v>
      </c>
      <c r="C79" t="s">
        <v>1851</v>
      </c>
      <c r="D79" t="b">
        <f t="shared" si="2"/>
        <v>0</v>
      </c>
    </row>
    <row r="80" spans="1:6" x14ac:dyDescent="0.25">
      <c r="A80" t="s">
        <v>147</v>
      </c>
      <c r="B80" s="5" t="s">
        <v>1919</v>
      </c>
      <c r="C80" t="s">
        <v>1924</v>
      </c>
      <c r="D80" t="b">
        <f t="shared" si="2"/>
        <v>1</v>
      </c>
      <c r="F80"/>
    </row>
    <row r="81" spans="1:6" x14ac:dyDescent="0.25">
      <c r="A81" t="s">
        <v>147</v>
      </c>
      <c r="B81" s="5" t="s">
        <v>1858</v>
      </c>
      <c r="C81" t="s">
        <v>1858</v>
      </c>
      <c r="D81" t="b">
        <f t="shared" si="2"/>
        <v>0</v>
      </c>
      <c r="E81" t="s">
        <v>1840</v>
      </c>
      <c r="F81"/>
    </row>
    <row r="82" spans="1:6" x14ac:dyDescent="0.25">
      <c r="A82" t="s">
        <v>147</v>
      </c>
      <c r="B82" s="5" t="s">
        <v>170</v>
      </c>
      <c r="C82" s="5" t="s">
        <v>1849</v>
      </c>
      <c r="D82" t="b">
        <f t="shared" si="2"/>
        <v>1</v>
      </c>
      <c r="E82" s="5"/>
    </row>
    <row r="83" spans="1:6" x14ac:dyDescent="0.25">
      <c r="A83" t="s">
        <v>147</v>
      </c>
      <c r="B83" s="5" t="s">
        <v>1856</v>
      </c>
      <c r="C83" t="s">
        <v>1856</v>
      </c>
      <c r="D83" t="b">
        <f t="shared" si="2"/>
        <v>0</v>
      </c>
      <c r="E83" t="s">
        <v>1843</v>
      </c>
    </row>
    <row r="84" spans="1:6" x14ac:dyDescent="0.25">
      <c r="A84" t="s">
        <v>147</v>
      </c>
      <c r="B84" s="5" t="s">
        <v>1920</v>
      </c>
      <c r="C84" t="s">
        <v>1866</v>
      </c>
      <c r="D84" t="b">
        <f t="shared" si="2"/>
        <v>1</v>
      </c>
    </row>
    <row r="85" spans="1:6" x14ac:dyDescent="0.25">
      <c r="A85" t="s">
        <v>147</v>
      </c>
      <c r="B85" s="5" t="s">
        <v>171</v>
      </c>
      <c r="C85" t="s">
        <v>171</v>
      </c>
      <c r="D85" t="b">
        <f t="shared" si="2"/>
        <v>0</v>
      </c>
      <c r="E85" s="5"/>
    </row>
    <row r="86" spans="1:6" x14ac:dyDescent="0.25">
      <c r="A86" t="s">
        <v>151</v>
      </c>
      <c r="B86" s="5" t="s">
        <v>248</v>
      </c>
      <c r="C86" t="s">
        <v>248</v>
      </c>
      <c r="D86" t="b">
        <f t="shared" si="2"/>
        <v>0</v>
      </c>
    </row>
    <row r="87" spans="1:6" x14ac:dyDescent="0.25">
      <c r="A87" t="s">
        <v>151</v>
      </c>
      <c r="B87" s="5" t="s">
        <v>1549</v>
      </c>
      <c r="C87" t="s">
        <v>1549</v>
      </c>
      <c r="D87" t="b">
        <f t="shared" si="2"/>
        <v>0</v>
      </c>
      <c r="F87" s="5"/>
    </row>
    <row r="88" spans="1:6" x14ac:dyDescent="0.25">
      <c r="A88" t="s">
        <v>151</v>
      </c>
      <c r="B88" s="5" t="s">
        <v>1028</v>
      </c>
      <c r="C88" t="s">
        <v>1028</v>
      </c>
      <c r="D88" t="b">
        <f t="shared" si="2"/>
        <v>0</v>
      </c>
      <c r="F88" s="5"/>
    </row>
    <row r="89" spans="1:6" x14ac:dyDescent="0.25">
      <c r="A89" t="s">
        <v>151</v>
      </c>
      <c r="B89" s="5" t="s">
        <v>1852</v>
      </c>
      <c r="C89" t="s">
        <v>1852</v>
      </c>
      <c r="D89" t="b">
        <f t="shared" si="2"/>
        <v>0</v>
      </c>
      <c r="F89" s="5"/>
    </row>
    <row r="90" spans="1:6" x14ac:dyDescent="0.25">
      <c r="A90" t="s">
        <v>151</v>
      </c>
      <c r="B90" s="5" t="s">
        <v>168</v>
      </c>
      <c r="C90" t="s">
        <v>168</v>
      </c>
      <c r="D90" t="b">
        <f t="shared" si="2"/>
        <v>0</v>
      </c>
      <c r="F90" s="5"/>
    </row>
    <row r="91" spans="1:6" x14ac:dyDescent="0.25">
      <c r="A91" t="s">
        <v>151</v>
      </c>
      <c r="B91" s="5" t="s">
        <v>180</v>
      </c>
      <c r="C91" t="s">
        <v>180</v>
      </c>
      <c r="D91" t="b">
        <f t="shared" si="2"/>
        <v>0</v>
      </c>
      <c r="F91" s="5"/>
    </row>
    <row r="92" spans="1:6" x14ac:dyDescent="0.25">
      <c r="A92" t="s">
        <v>151</v>
      </c>
      <c r="B92" s="5" t="s">
        <v>173</v>
      </c>
      <c r="C92" t="s">
        <v>173</v>
      </c>
      <c r="D92" t="b">
        <f t="shared" si="2"/>
        <v>0</v>
      </c>
    </row>
    <row r="93" spans="1:6" x14ac:dyDescent="0.25">
      <c r="A93" t="s">
        <v>151</v>
      </c>
      <c r="B93" s="5" t="s">
        <v>182</v>
      </c>
      <c r="C93" t="s">
        <v>182</v>
      </c>
      <c r="D93" t="b">
        <f t="shared" si="2"/>
        <v>0</v>
      </c>
    </row>
    <row r="94" spans="1:6" x14ac:dyDescent="0.25">
      <c r="A94" t="s">
        <v>151</v>
      </c>
      <c r="B94" s="5" t="s">
        <v>1918</v>
      </c>
      <c r="C94" s="5" t="s">
        <v>1854</v>
      </c>
      <c r="D94" t="b">
        <f t="shared" si="2"/>
        <v>1</v>
      </c>
    </row>
    <row r="95" spans="1:6" x14ac:dyDescent="0.25">
      <c r="A95" t="s">
        <v>151</v>
      </c>
      <c r="B95" s="5" t="s">
        <v>183</v>
      </c>
      <c r="C95" t="s">
        <v>183</v>
      </c>
      <c r="D95" t="b">
        <f t="shared" si="2"/>
        <v>0</v>
      </c>
      <c r="F95"/>
    </row>
    <row r="96" spans="1:6" x14ac:dyDescent="0.25">
      <c r="A96" t="s">
        <v>151</v>
      </c>
      <c r="B96" s="5" t="s">
        <v>1850</v>
      </c>
      <c r="C96" t="s">
        <v>1850</v>
      </c>
      <c r="D96" t="b">
        <f t="shared" si="2"/>
        <v>0</v>
      </c>
      <c r="F96"/>
    </row>
    <row r="97" spans="1:6" x14ac:dyDescent="0.25">
      <c r="A97" t="s">
        <v>151</v>
      </c>
      <c r="B97" s="5" t="s">
        <v>181</v>
      </c>
      <c r="C97" t="s">
        <v>181</v>
      </c>
      <c r="D97" t="b">
        <f t="shared" si="2"/>
        <v>0</v>
      </c>
      <c r="F97"/>
    </row>
    <row r="98" spans="1:6" x14ac:dyDescent="0.25">
      <c r="A98" t="s">
        <v>151</v>
      </c>
      <c r="B98" s="5" t="s">
        <v>969</v>
      </c>
      <c r="C98" t="s">
        <v>969</v>
      </c>
      <c r="D98" t="b">
        <f t="shared" si="2"/>
        <v>0</v>
      </c>
    </row>
    <row r="99" spans="1:6" x14ac:dyDescent="0.25">
      <c r="A99" t="s">
        <v>151</v>
      </c>
      <c r="B99" s="5" t="s">
        <v>1838</v>
      </c>
      <c r="C99" t="s">
        <v>1838</v>
      </c>
      <c r="D99" t="b">
        <f t="shared" si="2"/>
        <v>0</v>
      </c>
    </row>
    <row r="100" spans="1:6" x14ac:dyDescent="0.25">
      <c r="A100" t="s">
        <v>151</v>
      </c>
      <c r="B100" s="5" t="s">
        <v>1415</v>
      </c>
      <c r="C100" s="5" t="s">
        <v>1415</v>
      </c>
      <c r="D100" t="b">
        <f t="shared" si="2"/>
        <v>0</v>
      </c>
    </row>
    <row r="101" spans="1:6" x14ac:dyDescent="0.25">
      <c r="A101" t="s">
        <v>151</v>
      </c>
      <c r="B101" s="5" t="s">
        <v>2039</v>
      </c>
      <c r="C101" s="5" t="s">
        <v>1930</v>
      </c>
      <c r="D101" t="b">
        <f t="shared" si="2"/>
        <v>1</v>
      </c>
    </row>
    <row r="102" spans="1:6" x14ac:dyDescent="0.25">
      <c r="A102" t="s">
        <v>151</v>
      </c>
      <c r="B102" s="5" t="s">
        <v>1853</v>
      </c>
      <c r="C102" s="5" t="s">
        <v>1853</v>
      </c>
      <c r="D102" t="b">
        <f t="shared" si="2"/>
        <v>0</v>
      </c>
    </row>
    <row r="103" spans="1:6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D0832E6-023F-4592-B6DF-6ECDEF47329B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1D5CD8FC-85B7-4EB9-A058-6CFFDA9BD61D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53AA-B15A-48C2-8C15-C59963A4D3D5}">
  <sheetPr codeName="Planilha25"/>
  <dimension ref="A1:G102"/>
  <sheetViews>
    <sheetView workbookViewId="0">
      <selection activeCell="B4" sqref="B4"/>
    </sheetView>
  </sheetViews>
  <sheetFormatPr defaultRowHeight="15" x14ac:dyDescent="0.25"/>
  <cols>
    <col min="1" max="1" width="12.5703125" style="5" bestFit="1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53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11</v>
      </c>
    </row>
    <row r="3" spans="1:7" x14ac:dyDescent="0.25">
      <c r="A3" s="24" t="s">
        <v>2031</v>
      </c>
      <c r="B3" s="5" t="s">
        <v>2076</v>
      </c>
      <c r="C3" s="5" t="s">
        <v>2076</v>
      </c>
      <c r="D3" t="b">
        <f>B3&lt;&gt;C3</f>
        <v>0</v>
      </c>
      <c r="F3" s="4" t="s">
        <v>37</v>
      </c>
      <c r="G3" s="3">
        <f>SUM(G6:G24)</f>
        <v>100</v>
      </c>
    </row>
    <row r="4" spans="1:7" x14ac:dyDescent="0.25">
      <c r="A4" t="s">
        <v>35</v>
      </c>
      <c r="B4" s="5" t="s">
        <v>1280</v>
      </c>
      <c r="C4" t="s">
        <v>1280</v>
      </c>
      <c r="D4" t="b">
        <f>B4&lt;&gt;C4</f>
        <v>0</v>
      </c>
    </row>
    <row r="5" spans="1:7" x14ac:dyDescent="0.25">
      <c r="A5" t="s">
        <v>35</v>
      </c>
      <c r="B5" s="5" t="s">
        <v>1281</v>
      </c>
      <c r="C5" t="s">
        <v>1281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615</v>
      </c>
      <c r="C6" t="s">
        <v>615</v>
      </c>
      <c r="D6" t="b">
        <f t="shared" si="0"/>
        <v>0</v>
      </c>
      <c r="F6" s="3" t="s">
        <v>2031</v>
      </c>
      <c r="G6" s="2">
        <f t="shared" ref="G6:G14" si="1">COUNTIF(A:A,F6)</f>
        <v>1</v>
      </c>
    </row>
    <row r="7" spans="1:7" x14ac:dyDescent="0.25">
      <c r="A7" t="s">
        <v>35</v>
      </c>
      <c r="B7" s="5" t="s">
        <v>1282</v>
      </c>
      <c r="C7" t="s">
        <v>1282</v>
      </c>
      <c r="D7" t="b">
        <f t="shared" si="0"/>
        <v>0</v>
      </c>
      <c r="F7" s="7" t="s">
        <v>35</v>
      </c>
      <c r="G7" s="2">
        <f t="shared" si="1"/>
        <v>35</v>
      </c>
    </row>
    <row r="8" spans="1:7" x14ac:dyDescent="0.25">
      <c r="A8" t="s">
        <v>35</v>
      </c>
      <c r="B8" s="5" t="s">
        <v>1283</v>
      </c>
      <c r="C8" t="s">
        <v>1283</v>
      </c>
      <c r="D8" t="b">
        <f t="shared" si="0"/>
        <v>0</v>
      </c>
      <c r="F8" s="7" t="s">
        <v>41</v>
      </c>
      <c r="G8" s="2">
        <f t="shared" si="1"/>
        <v>12</v>
      </c>
    </row>
    <row r="9" spans="1:7" x14ac:dyDescent="0.25">
      <c r="A9" t="s">
        <v>35</v>
      </c>
      <c r="B9" s="5" t="s">
        <v>1284</v>
      </c>
      <c r="C9" t="s">
        <v>1284</v>
      </c>
      <c r="D9" t="b">
        <f t="shared" si="0"/>
        <v>0</v>
      </c>
      <c r="F9" s="7" t="s">
        <v>1285</v>
      </c>
      <c r="G9" s="2">
        <f t="shared" si="1"/>
        <v>12</v>
      </c>
    </row>
    <row r="10" spans="1:7" x14ac:dyDescent="0.25">
      <c r="A10" t="s">
        <v>35</v>
      </c>
      <c r="B10" s="5" t="s">
        <v>1062</v>
      </c>
      <c r="C10" t="s">
        <v>1062</v>
      </c>
      <c r="D10" t="b">
        <f t="shared" si="0"/>
        <v>0</v>
      </c>
      <c r="F10" s="7" t="s">
        <v>1287</v>
      </c>
      <c r="G10" s="2">
        <f t="shared" si="1"/>
        <v>12</v>
      </c>
    </row>
    <row r="11" spans="1:7" x14ac:dyDescent="0.25">
      <c r="A11" t="s">
        <v>35</v>
      </c>
      <c r="B11" s="5" t="s">
        <v>1286</v>
      </c>
      <c r="C11" t="s">
        <v>1286</v>
      </c>
      <c r="D11" t="b">
        <f t="shared" si="0"/>
        <v>0</v>
      </c>
      <c r="F11" s="7" t="s">
        <v>1289</v>
      </c>
      <c r="G11" s="2">
        <f t="shared" si="1"/>
        <v>8</v>
      </c>
    </row>
    <row r="12" spans="1:7" x14ac:dyDescent="0.25">
      <c r="A12" t="s">
        <v>35</v>
      </c>
      <c r="B12" s="5" t="s">
        <v>1288</v>
      </c>
      <c r="C12" t="s">
        <v>1288</v>
      </c>
      <c r="D12" t="b">
        <f t="shared" si="0"/>
        <v>0</v>
      </c>
      <c r="F12" s="7" t="s">
        <v>1291</v>
      </c>
      <c r="G12" s="2">
        <f t="shared" si="1"/>
        <v>2</v>
      </c>
    </row>
    <row r="13" spans="1:7" x14ac:dyDescent="0.25">
      <c r="A13" t="s">
        <v>35</v>
      </c>
      <c r="B13" s="5" t="s">
        <v>1290</v>
      </c>
      <c r="C13" t="s">
        <v>1290</v>
      </c>
      <c r="D13" t="b">
        <f t="shared" si="0"/>
        <v>0</v>
      </c>
      <c r="F13" s="7" t="s">
        <v>151</v>
      </c>
      <c r="G13" s="2">
        <f t="shared" si="1"/>
        <v>18</v>
      </c>
    </row>
    <row r="14" spans="1:7" x14ac:dyDescent="0.25">
      <c r="A14" t="s">
        <v>35</v>
      </c>
      <c r="B14" s="5" t="s">
        <v>1292</v>
      </c>
      <c r="C14" t="s">
        <v>1292</v>
      </c>
      <c r="D14" t="b">
        <f t="shared" si="0"/>
        <v>0</v>
      </c>
      <c r="F14" s="7" t="s">
        <v>335</v>
      </c>
      <c r="G14" s="2">
        <f t="shared" si="1"/>
        <v>0</v>
      </c>
    </row>
    <row r="15" spans="1:7" x14ac:dyDescent="0.25">
      <c r="A15" t="s">
        <v>35</v>
      </c>
      <c r="B15" s="5" t="s">
        <v>1009</v>
      </c>
      <c r="C15" t="s">
        <v>1009</v>
      </c>
      <c r="D15" t="b">
        <f t="shared" si="0"/>
        <v>0</v>
      </c>
      <c r="F15" s="4"/>
      <c r="G15" s="2"/>
    </row>
    <row r="16" spans="1:7" x14ac:dyDescent="0.25">
      <c r="A16" t="s">
        <v>35</v>
      </c>
      <c r="B16" s="5" t="s">
        <v>1293</v>
      </c>
      <c r="C16" t="s">
        <v>1293</v>
      </c>
      <c r="D16" t="b">
        <f t="shared" si="0"/>
        <v>0</v>
      </c>
      <c r="F16" s="4"/>
      <c r="G16" s="2"/>
    </row>
    <row r="17" spans="1:4" x14ac:dyDescent="0.25">
      <c r="A17" t="s">
        <v>35</v>
      </c>
      <c r="B17" s="5" t="s">
        <v>1294</v>
      </c>
      <c r="C17" t="s">
        <v>1294</v>
      </c>
      <c r="D17" t="b">
        <f t="shared" si="0"/>
        <v>0</v>
      </c>
    </row>
    <row r="18" spans="1:4" x14ac:dyDescent="0.25">
      <c r="A18" t="s">
        <v>35</v>
      </c>
      <c r="B18" s="5" t="s">
        <v>279</v>
      </c>
      <c r="C18" t="s">
        <v>279</v>
      </c>
      <c r="D18" t="b">
        <f t="shared" si="0"/>
        <v>0</v>
      </c>
    </row>
    <row r="19" spans="1:4" x14ac:dyDescent="0.25">
      <c r="A19" t="s">
        <v>35</v>
      </c>
      <c r="B19" s="5" t="s">
        <v>281</v>
      </c>
      <c r="C19" t="s">
        <v>281</v>
      </c>
      <c r="D19" t="b">
        <f t="shared" si="0"/>
        <v>0</v>
      </c>
    </row>
    <row r="20" spans="1:4" x14ac:dyDescent="0.25">
      <c r="A20" t="s">
        <v>35</v>
      </c>
      <c r="B20" s="5" t="s">
        <v>1295</v>
      </c>
      <c r="C20" t="s">
        <v>1295</v>
      </c>
      <c r="D20" t="b">
        <f t="shared" si="0"/>
        <v>0</v>
      </c>
    </row>
    <row r="21" spans="1:4" x14ac:dyDescent="0.25">
      <c r="A21" t="s">
        <v>35</v>
      </c>
      <c r="B21" s="5" t="s">
        <v>280</v>
      </c>
      <c r="C21" t="s">
        <v>280</v>
      </c>
      <c r="D21" t="b">
        <f t="shared" si="0"/>
        <v>0</v>
      </c>
    </row>
    <row r="22" spans="1:4" x14ac:dyDescent="0.25">
      <c r="A22" t="s">
        <v>35</v>
      </c>
      <c r="B22" s="5" t="s">
        <v>1296</v>
      </c>
      <c r="C22" t="s">
        <v>1296</v>
      </c>
      <c r="D22" t="b">
        <f t="shared" si="0"/>
        <v>0</v>
      </c>
    </row>
    <row r="23" spans="1:4" x14ac:dyDescent="0.25">
      <c r="A23" t="s">
        <v>35</v>
      </c>
      <c r="B23" s="5" t="s">
        <v>1297</v>
      </c>
      <c r="C23" t="s">
        <v>1297</v>
      </c>
      <c r="D23" t="b">
        <f t="shared" si="0"/>
        <v>0</v>
      </c>
    </row>
    <row r="24" spans="1:4" x14ac:dyDescent="0.25">
      <c r="A24" t="s">
        <v>35</v>
      </c>
      <c r="B24" s="5" t="s">
        <v>58</v>
      </c>
      <c r="C24" t="s">
        <v>58</v>
      </c>
      <c r="D24" t="b">
        <f t="shared" si="0"/>
        <v>0</v>
      </c>
    </row>
    <row r="25" spans="1:4" x14ac:dyDescent="0.25">
      <c r="A25" t="s">
        <v>35</v>
      </c>
      <c r="B25" s="5" t="s">
        <v>1298</v>
      </c>
      <c r="C25" t="s">
        <v>1298</v>
      </c>
      <c r="D25" t="b">
        <f t="shared" si="0"/>
        <v>0</v>
      </c>
    </row>
    <row r="26" spans="1:4" x14ac:dyDescent="0.25">
      <c r="A26" t="s">
        <v>35</v>
      </c>
      <c r="B26" s="5" t="s">
        <v>150</v>
      </c>
      <c r="C26" t="s">
        <v>150</v>
      </c>
      <c r="D26" t="b">
        <f t="shared" si="0"/>
        <v>0</v>
      </c>
    </row>
    <row r="27" spans="1:4" x14ac:dyDescent="0.25">
      <c r="A27" t="s">
        <v>35</v>
      </c>
      <c r="B27" s="5" t="s">
        <v>40</v>
      </c>
      <c r="C27" t="s">
        <v>40</v>
      </c>
      <c r="D27" t="b">
        <f t="shared" si="0"/>
        <v>0</v>
      </c>
    </row>
    <row r="28" spans="1:4" x14ac:dyDescent="0.25">
      <c r="A28" t="s">
        <v>35</v>
      </c>
      <c r="B28" s="5" t="s">
        <v>67</v>
      </c>
      <c r="C28" t="s">
        <v>67</v>
      </c>
      <c r="D28" t="b">
        <f t="shared" si="0"/>
        <v>0</v>
      </c>
    </row>
    <row r="29" spans="1:4" x14ac:dyDescent="0.25">
      <c r="A29" t="s">
        <v>35</v>
      </c>
      <c r="B29" s="5" t="s">
        <v>84</v>
      </c>
      <c r="C29" t="s">
        <v>84</v>
      </c>
      <c r="D29" t="b">
        <f t="shared" si="0"/>
        <v>0</v>
      </c>
    </row>
    <row r="30" spans="1:4" x14ac:dyDescent="0.25">
      <c r="A30" t="s">
        <v>35</v>
      </c>
      <c r="B30" s="5" t="s">
        <v>84</v>
      </c>
      <c r="C30" t="s">
        <v>84</v>
      </c>
      <c r="D30" t="b">
        <f t="shared" si="0"/>
        <v>0</v>
      </c>
    </row>
    <row r="31" spans="1:4" x14ac:dyDescent="0.25">
      <c r="A31" t="s">
        <v>35</v>
      </c>
      <c r="B31" s="5" t="s">
        <v>86</v>
      </c>
      <c r="C31" t="s">
        <v>86</v>
      </c>
      <c r="D31" t="b">
        <f t="shared" si="0"/>
        <v>0</v>
      </c>
    </row>
    <row r="32" spans="1:4" x14ac:dyDescent="0.25">
      <c r="A32" t="s">
        <v>35</v>
      </c>
      <c r="B32" s="5" t="s">
        <v>86</v>
      </c>
      <c r="C32" t="s">
        <v>86</v>
      </c>
      <c r="D32" t="b">
        <f t="shared" si="0"/>
        <v>0</v>
      </c>
    </row>
    <row r="33" spans="1:4" x14ac:dyDescent="0.25">
      <c r="A33" t="s">
        <v>35</v>
      </c>
      <c r="B33" s="5" t="s">
        <v>205</v>
      </c>
      <c r="C33" t="s">
        <v>205</v>
      </c>
      <c r="D33" t="b">
        <f t="shared" si="0"/>
        <v>0</v>
      </c>
    </row>
    <row r="34" spans="1:4" x14ac:dyDescent="0.25">
      <c r="A34" t="s">
        <v>35</v>
      </c>
      <c r="B34" s="5" t="s">
        <v>205</v>
      </c>
      <c r="C34" t="s">
        <v>205</v>
      </c>
      <c r="D34" t="b">
        <f t="shared" si="0"/>
        <v>0</v>
      </c>
    </row>
    <row r="35" spans="1:4" x14ac:dyDescent="0.25">
      <c r="A35" t="s">
        <v>35</v>
      </c>
      <c r="B35" s="5" t="s">
        <v>85</v>
      </c>
      <c r="C35" t="s">
        <v>85</v>
      </c>
      <c r="D35" t="b">
        <f t="shared" si="0"/>
        <v>0</v>
      </c>
    </row>
    <row r="36" spans="1:4" x14ac:dyDescent="0.25">
      <c r="A36" t="s">
        <v>35</v>
      </c>
      <c r="B36" s="5" t="s">
        <v>85</v>
      </c>
      <c r="C36" t="s">
        <v>85</v>
      </c>
      <c r="D36" t="b">
        <f t="shared" si="0"/>
        <v>0</v>
      </c>
    </row>
    <row r="37" spans="1:4" x14ac:dyDescent="0.25">
      <c r="A37" t="s">
        <v>35</v>
      </c>
      <c r="B37" s="5" t="s">
        <v>153</v>
      </c>
      <c r="C37" t="s">
        <v>153</v>
      </c>
      <c r="D37" t="b">
        <f t="shared" si="0"/>
        <v>0</v>
      </c>
    </row>
    <row r="38" spans="1:4" x14ac:dyDescent="0.25">
      <c r="A38" t="s">
        <v>35</v>
      </c>
      <c r="B38" s="5" t="s">
        <v>153</v>
      </c>
      <c r="C38" t="s">
        <v>153</v>
      </c>
      <c r="D38" t="b">
        <f t="shared" si="0"/>
        <v>0</v>
      </c>
    </row>
    <row r="39" spans="1:4" x14ac:dyDescent="0.25">
      <c r="A39" t="s">
        <v>41</v>
      </c>
      <c r="B39" s="5" t="s">
        <v>206</v>
      </c>
      <c r="C39" t="s">
        <v>206</v>
      </c>
      <c r="D39" t="b">
        <f t="shared" si="0"/>
        <v>0</v>
      </c>
    </row>
    <row r="40" spans="1:4" x14ac:dyDescent="0.25">
      <c r="A40" t="s">
        <v>41</v>
      </c>
      <c r="B40" s="5" t="s">
        <v>207</v>
      </c>
      <c r="C40" t="s">
        <v>207</v>
      </c>
      <c r="D40" t="b">
        <f t="shared" si="0"/>
        <v>0</v>
      </c>
    </row>
    <row r="41" spans="1:4" x14ac:dyDescent="0.25">
      <c r="A41" t="s">
        <v>41</v>
      </c>
      <c r="B41" s="5" t="s">
        <v>209</v>
      </c>
      <c r="C41" t="s">
        <v>209</v>
      </c>
      <c r="D41" t="b">
        <f t="shared" si="0"/>
        <v>0</v>
      </c>
    </row>
    <row r="42" spans="1:4" x14ac:dyDescent="0.25">
      <c r="A42" t="s">
        <v>41</v>
      </c>
      <c r="B42" s="5" t="s">
        <v>208</v>
      </c>
      <c r="C42" t="s">
        <v>208</v>
      </c>
      <c r="D42" t="b">
        <f t="shared" si="0"/>
        <v>0</v>
      </c>
    </row>
    <row r="43" spans="1:4" x14ac:dyDescent="0.25">
      <c r="A43" t="s">
        <v>41</v>
      </c>
      <c r="B43" s="5" t="s">
        <v>558</v>
      </c>
      <c r="C43" t="s">
        <v>558</v>
      </c>
      <c r="D43" t="b">
        <f t="shared" si="0"/>
        <v>0</v>
      </c>
    </row>
    <row r="44" spans="1:4" x14ac:dyDescent="0.25">
      <c r="A44" t="s">
        <v>41</v>
      </c>
      <c r="B44" s="5" t="s">
        <v>352</v>
      </c>
      <c r="C44" t="s">
        <v>352</v>
      </c>
      <c r="D44" t="b">
        <f t="shared" si="0"/>
        <v>0</v>
      </c>
    </row>
    <row r="45" spans="1:4" x14ac:dyDescent="0.25">
      <c r="A45" t="s">
        <v>41</v>
      </c>
      <c r="B45" s="5" t="s">
        <v>210</v>
      </c>
      <c r="C45" t="s">
        <v>210</v>
      </c>
      <c r="D45" t="b">
        <f t="shared" si="0"/>
        <v>0</v>
      </c>
    </row>
    <row r="46" spans="1:4" x14ac:dyDescent="0.25">
      <c r="A46" t="s">
        <v>41</v>
      </c>
      <c r="B46" s="5" t="s">
        <v>353</v>
      </c>
      <c r="C46" t="s">
        <v>353</v>
      </c>
      <c r="D46" t="b">
        <f t="shared" si="0"/>
        <v>0</v>
      </c>
    </row>
    <row r="47" spans="1:4" x14ac:dyDescent="0.25">
      <c r="A47" t="s">
        <v>41</v>
      </c>
      <c r="B47" s="5" t="s">
        <v>559</v>
      </c>
      <c r="C47" t="s">
        <v>559</v>
      </c>
      <c r="D47" t="b">
        <f t="shared" si="0"/>
        <v>0</v>
      </c>
    </row>
    <row r="48" spans="1:4" x14ac:dyDescent="0.25">
      <c r="A48" t="s">
        <v>41</v>
      </c>
      <c r="B48" s="5" t="s">
        <v>155</v>
      </c>
      <c r="C48" t="s">
        <v>155</v>
      </c>
      <c r="D48" t="b">
        <f t="shared" si="0"/>
        <v>0</v>
      </c>
    </row>
    <row r="49" spans="1:4" x14ac:dyDescent="0.25">
      <c r="A49" t="s">
        <v>41</v>
      </c>
      <c r="B49" s="5" t="s">
        <v>157</v>
      </c>
      <c r="C49" t="s">
        <v>157</v>
      </c>
      <c r="D49" t="b">
        <f t="shared" si="0"/>
        <v>0</v>
      </c>
    </row>
    <row r="50" spans="1:4" x14ac:dyDescent="0.25">
      <c r="A50" t="s">
        <v>41</v>
      </c>
      <c r="B50" s="5" t="s">
        <v>156</v>
      </c>
      <c r="C50" t="s">
        <v>156</v>
      </c>
      <c r="D50" t="b">
        <f t="shared" si="0"/>
        <v>0</v>
      </c>
    </row>
    <row r="51" spans="1:4" x14ac:dyDescent="0.25">
      <c r="A51" t="s">
        <v>1285</v>
      </c>
      <c r="B51" s="5" t="s">
        <v>1299</v>
      </c>
      <c r="C51" t="s">
        <v>1300</v>
      </c>
      <c r="D51" t="b">
        <f t="shared" si="0"/>
        <v>1</v>
      </c>
    </row>
    <row r="52" spans="1:4" x14ac:dyDescent="0.25">
      <c r="A52" t="s">
        <v>1285</v>
      </c>
      <c r="B52" s="5" t="s">
        <v>1301</v>
      </c>
      <c r="C52" t="s">
        <v>1301</v>
      </c>
      <c r="D52" t="b">
        <f t="shared" si="0"/>
        <v>0</v>
      </c>
    </row>
    <row r="53" spans="1:4" x14ac:dyDescent="0.25">
      <c r="A53" t="s">
        <v>1285</v>
      </c>
      <c r="B53" s="5" t="s">
        <v>1302</v>
      </c>
      <c r="C53" t="s">
        <v>1302</v>
      </c>
      <c r="D53" t="b">
        <f t="shared" si="0"/>
        <v>0</v>
      </c>
    </row>
    <row r="54" spans="1:4" x14ac:dyDescent="0.25">
      <c r="A54" t="s">
        <v>1285</v>
      </c>
      <c r="B54" s="5" t="s">
        <v>1303</v>
      </c>
      <c r="C54" t="s">
        <v>1303</v>
      </c>
      <c r="D54" t="b">
        <f t="shared" si="0"/>
        <v>0</v>
      </c>
    </row>
    <row r="55" spans="1:4" x14ac:dyDescent="0.25">
      <c r="A55" t="s">
        <v>1285</v>
      </c>
      <c r="B55" s="5" t="s">
        <v>1304</v>
      </c>
      <c r="C55" t="s">
        <v>1304</v>
      </c>
      <c r="D55" t="b">
        <f t="shared" si="0"/>
        <v>0</v>
      </c>
    </row>
    <row r="56" spans="1:4" x14ac:dyDescent="0.25">
      <c r="A56" t="s">
        <v>1285</v>
      </c>
      <c r="B56" s="5" t="s">
        <v>1305</v>
      </c>
      <c r="C56" t="s">
        <v>1306</v>
      </c>
      <c r="D56" t="b">
        <f t="shared" si="0"/>
        <v>1</v>
      </c>
    </row>
    <row r="57" spans="1:4" x14ac:dyDescent="0.25">
      <c r="A57" t="s">
        <v>1285</v>
      </c>
      <c r="B57" s="5" t="s">
        <v>1307</v>
      </c>
      <c r="C57" t="s">
        <v>1307</v>
      </c>
      <c r="D57" t="b">
        <f t="shared" si="0"/>
        <v>0</v>
      </c>
    </row>
    <row r="58" spans="1:4" x14ac:dyDescent="0.25">
      <c r="A58" t="s">
        <v>1285</v>
      </c>
      <c r="B58" s="5" t="s">
        <v>1308</v>
      </c>
      <c r="C58" t="s">
        <v>1308</v>
      </c>
      <c r="D58" t="b">
        <f t="shared" si="0"/>
        <v>0</v>
      </c>
    </row>
    <row r="59" spans="1:4" x14ac:dyDescent="0.25">
      <c r="A59" t="s">
        <v>1285</v>
      </c>
      <c r="B59" s="5" t="s">
        <v>532</v>
      </c>
      <c r="C59" t="s">
        <v>532</v>
      </c>
      <c r="D59" t="b">
        <f t="shared" si="0"/>
        <v>0</v>
      </c>
    </row>
    <row r="60" spans="1:4" x14ac:dyDescent="0.25">
      <c r="A60" t="s">
        <v>1285</v>
      </c>
      <c r="B60" s="5" t="s">
        <v>1309</v>
      </c>
      <c r="C60" t="s">
        <v>1309</v>
      </c>
      <c r="D60" t="b">
        <f t="shared" si="0"/>
        <v>0</v>
      </c>
    </row>
    <row r="61" spans="1:4" x14ac:dyDescent="0.25">
      <c r="A61" t="s">
        <v>1285</v>
      </c>
      <c r="B61" s="5" t="s">
        <v>1310</v>
      </c>
      <c r="C61" t="s">
        <v>1310</v>
      </c>
      <c r="D61" t="b">
        <f t="shared" si="0"/>
        <v>0</v>
      </c>
    </row>
    <row r="62" spans="1:4" x14ac:dyDescent="0.25">
      <c r="A62" t="s">
        <v>1285</v>
      </c>
      <c r="B62" s="5" t="s">
        <v>1311</v>
      </c>
      <c r="C62" t="s">
        <v>1311</v>
      </c>
      <c r="D62" t="b">
        <f t="shared" si="0"/>
        <v>0</v>
      </c>
    </row>
    <row r="63" spans="1:4" x14ac:dyDescent="0.25">
      <c r="A63" t="s">
        <v>1287</v>
      </c>
      <c r="B63" s="5" t="s">
        <v>801</v>
      </c>
      <c r="C63" t="s">
        <v>1312</v>
      </c>
      <c r="D63" t="b">
        <f t="shared" si="0"/>
        <v>1</v>
      </c>
    </row>
    <row r="64" spans="1:4" x14ac:dyDescent="0.25">
      <c r="A64" t="s">
        <v>1287</v>
      </c>
      <c r="B64" s="5" t="s">
        <v>1313</v>
      </c>
      <c r="C64" t="s">
        <v>1314</v>
      </c>
      <c r="D64" t="b">
        <f t="shared" si="0"/>
        <v>1</v>
      </c>
    </row>
    <row r="65" spans="1:4" x14ac:dyDescent="0.25">
      <c r="A65" t="s">
        <v>1287</v>
      </c>
      <c r="B65" s="5" t="s">
        <v>129</v>
      </c>
      <c r="C65" t="s">
        <v>519</v>
      </c>
      <c r="D65" t="b">
        <f t="shared" si="0"/>
        <v>1</v>
      </c>
    </row>
    <row r="66" spans="1:4" x14ac:dyDescent="0.25">
      <c r="A66" t="s">
        <v>1287</v>
      </c>
      <c r="B66" s="5" t="s">
        <v>1315</v>
      </c>
      <c r="C66" t="s">
        <v>1315</v>
      </c>
      <c r="D66" t="b">
        <f t="shared" si="0"/>
        <v>0</v>
      </c>
    </row>
    <row r="67" spans="1:4" x14ac:dyDescent="0.25">
      <c r="A67" t="s">
        <v>1287</v>
      </c>
      <c r="B67" s="5" t="s">
        <v>1316</v>
      </c>
      <c r="C67" t="s">
        <v>1316</v>
      </c>
      <c r="D67" t="b">
        <f t="shared" si="0"/>
        <v>0</v>
      </c>
    </row>
    <row r="68" spans="1:4" x14ac:dyDescent="0.25">
      <c r="A68" t="s">
        <v>1287</v>
      </c>
      <c r="B68" s="5" t="s">
        <v>1317</v>
      </c>
      <c r="C68" t="s">
        <v>1317</v>
      </c>
      <c r="D68" t="b">
        <f t="shared" si="0"/>
        <v>0</v>
      </c>
    </row>
    <row r="69" spans="1:4" x14ac:dyDescent="0.25">
      <c r="A69" t="s">
        <v>1287</v>
      </c>
      <c r="B69" s="5" t="s">
        <v>1318</v>
      </c>
      <c r="C69" t="s">
        <v>1318</v>
      </c>
      <c r="D69" t="b">
        <f t="shared" ref="D69:D102" si="2">B69&lt;&gt;C69</f>
        <v>0</v>
      </c>
    </row>
    <row r="70" spans="1:4" x14ac:dyDescent="0.25">
      <c r="A70" t="s">
        <v>1287</v>
      </c>
      <c r="B70" s="5" t="s">
        <v>1319</v>
      </c>
      <c r="C70" t="s">
        <v>1319</v>
      </c>
      <c r="D70" t="b">
        <f t="shared" si="2"/>
        <v>0</v>
      </c>
    </row>
    <row r="71" spans="1:4" x14ac:dyDescent="0.25">
      <c r="A71" t="s">
        <v>1287</v>
      </c>
      <c r="B71" s="5" t="s">
        <v>1320</v>
      </c>
      <c r="C71" t="s">
        <v>1320</v>
      </c>
      <c r="D71" t="b">
        <f t="shared" si="2"/>
        <v>0</v>
      </c>
    </row>
    <row r="72" spans="1:4" x14ac:dyDescent="0.25">
      <c r="A72" t="s">
        <v>1287</v>
      </c>
      <c r="B72" s="5" t="s">
        <v>1321</v>
      </c>
      <c r="C72" t="s">
        <v>1321</v>
      </c>
      <c r="D72" t="b">
        <f t="shared" si="2"/>
        <v>0</v>
      </c>
    </row>
    <row r="73" spans="1:4" x14ac:dyDescent="0.25">
      <c r="A73" t="s">
        <v>1287</v>
      </c>
      <c r="B73" s="5" t="s">
        <v>1322</v>
      </c>
      <c r="C73" t="s">
        <v>1323</v>
      </c>
      <c r="D73" t="b">
        <f t="shared" si="2"/>
        <v>1</v>
      </c>
    </row>
    <row r="74" spans="1:4" x14ac:dyDescent="0.25">
      <c r="A74" t="s">
        <v>1287</v>
      </c>
      <c r="B74" s="5" t="s">
        <v>1324</v>
      </c>
      <c r="C74" t="s">
        <v>1959</v>
      </c>
      <c r="D74" t="b">
        <f t="shared" si="2"/>
        <v>1</v>
      </c>
    </row>
    <row r="75" spans="1:4" x14ac:dyDescent="0.25">
      <c r="A75" t="s">
        <v>1289</v>
      </c>
      <c r="B75" s="5" t="s">
        <v>1325</v>
      </c>
      <c r="C75" t="s">
        <v>1326</v>
      </c>
      <c r="D75" t="b">
        <f t="shared" si="2"/>
        <v>1</v>
      </c>
    </row>
    <row r="76" spans="1:4" x14ac:dyDescent="0.25">
      <c r="A76" t="s">
        <v>1289</v>
      </c>
      <c r="B76" s="5" t="s">
        <v>1327</v>
      </c>
      <c r="C76" t="s">
        <v>1327</v>
      </c>
      <c r="D76" t="b">
        <f t="shared" si="2"/>
        <v>0</v>
      </c>
    </row>
    <row r="77" spans="1:4" x14ac:dyDescent="0.25">
      <c r="A77" t="s">
        <v>1289</v>
      </c>
      <c r="B77" s="5" t="s">
        <v>1328</v>
      </c>
      <c r="C77" t="s">
        <v>1328</v>
      </c>
      <c r="D77" t="b">
        <f t="shared" si="2"/>
        <v>0</v>
      </c>
    </row>
    <row r="78" spans="1:4" x14ac:dyDescent="0.25">
      <c r="A78" t="s">
        <v>1289</v>
      </c>
      <c r="B78" s="5" t="s">
        <v>368</v>
      </c>
      <c r="C78" t="s">
        <v>1329</v>
      </c>
      <c r="D78" t="b">
        <f t="shared" si="2"/>
        <v>1</v>
      </c>
    </row>
    <row r="79" spans="1:4" x14ac:dyDescent="0.25">
      <c r="A79" t="s">
        <v>1289</v>
      </c>
      <c r="B79" s="5" t="s">
        <v>1330</v>
      </c>
      <c r="C79" t="s">
        <v>1330</v>
      </c>
      <c r="D79" t="b">
        <f t="shared" si="2"/>
        <v>0</v>
      </c>
    </row>
    <row r="80" spans="1:4" x14ac:dyDescent="0.25">
      <c r="A80" t="s">
        <v>1289</v>
      </c>
      <c r="B80" s="5" t="s">
        <v>1331</v>
      </c>
      <c r="C80" t="s">
        <v>1331</v>
      </c>
      <c r="D80" t="b">
        <f t="shared" si="2"/>
        <v>0</v>
      </c>
    </row>
    <row r="81" spans="1:4" x14ac:dyDescent="0.25">
      <c r="A81" t="s">
        <v>1289</v>
      </c>
      <c r="B81" s="5" t="s">
        <v>1332</v>
      </c>
      <c r="C81" t="s">
        <v>1332</v>
      </c>
      <c r="D81" t="b">
        <f t="shared" si="2"/>
        <v>0</v>
      </c>
    </row>
    <row r="82" spans="1:4" x14ac:dyDescent="0.25">
      <c r="A82" t="s">
        <v>1289</v>
      </c>
      <c r="B82" s="5" t="s">
        <v>1333</v>
      </c>
      <c r="C82" t="s">
        <v>1333</v>
      </c>
      <c r="D82" t="b">
        <f t="shared" si="2"/>
        <v>0</v>
      </c>
    </row>
    <row r="83" spans="1:4" x14ac:dyDescent="0.25">
      <c r="A83" t="s">
        <v>1291</v>
      </c>
      <c r="B83" s="5" t="s">
        <v>1334</v>
      </c>
      <c r="C83" t="s">
        <v>1334</v>
      </c>
      <c r="D83" t="b">
        <f t="shared" si="2"/>
        <v>0</v>
      </c>
    </row>
    <row r="84" spans="1:4" x14ac:dyDescent="0.25">
      <c r="A84" t="s">
        <v>1291</v>
      </c>
      <c r="B84" s="5" t="s">
        <v>1335</v>
      </c>
      <c r="C84" t="s">
        <v>1335</v>
      </c>
      <c r="D84" t="b">
        <f t="shared" si="2"/>
        <v>0</v>
      </c>
    </row>
    <row r="85" spans="1:4" x14ac:dyDescent="0.25">
      <c r="A85" t="s">
        <v>151</v>
      </c>
      <c r="B85" s="5" t="s">
        <v>1336</v>
      </c>
      <c r="C85" t="s">
        <v>1336</v>
      </c>
      <c r="D85" t="b">
        <f t="shared" si="2"/>
        <v>0</v>
      </c>
    </row>
    <row r="86" spans="1:4" x14ac:dyDescent="0.25">
      <c r="A86" t="s">
        <v>151</v>
      </c>
      <c r="B86" s="5" t="s">
        <v>1337</v>
      </c>
      <c r="C86" t="s">
        <v>1337</v>
      </c>
      <c r="D86" t="b">
        <f t="shared" si="2"/>
        <v>0</v>
      </c>
    </row>
    <row r="87" spans="1:4" x14ac:dyDescent="0.25">
      <c r="A87" t="s">
        <v>151</v>
      </c>
      <c r="B87" s="5" t="s">
        <v>1338</v>
      </c>
      <c r="C87" t="s">
        <v>1338</v>
      </c>
      <c r="D87" t="b">
        <f t="shared" si="2"/>
        <v>0</v>
      </c>
    </row>
    <row r="88" spans="1:4" x14ac:dyDescent="0.25">
      <c r="A88" t="s">
        <v>151</v>
      </c>
      <c r="B88" s="5" t="s">
        <v>1339</v>
      </c>
      <c r="C88" t="s">
        <v>1340</v>
      </c>
      <c r="D88" t="b">
        <f t="shared" si="2"/>
        <v>1</v>
      </c>
    </row>
    <row r="89" spans="1:4" x14ac:dyDescent="0.25">
      <c r="A89" t="s">
        <v>151</v>
      </c>
      <c r="B89" s="5" t="s">
        <v>1341</v>
      </c>
      <c r="C89" t="s">
        <v>1958</v>
      </c>
      <c r="D89" t="b">
        <f t="shared" si="2"/>
        <v>1</v>
      </c>
    </row>
    <row r="90" spans="1:4" x14ac:dyDescent="0.25">
      <c r="A90" t="s">
        <v>151</v>
      </c>
      <c r="B90" s="5" t="s">
        <v>1342</v>
      </c>
      <c r="C90" t="s">
        <v>1342</v>
      </c>
      <c r="D90" t="b">
        <f t="shared" si="2"/>
        <v>0</v>
      </c>
    </row>
    <row r="91" spans="1:4" x14ac:dyDescent="0.25">
      <c r="A91" t="s">
        <v>151</v>
      </c>
      <c r="B91" s="5" t="s">
        <v>1343</v>
      </c>
      <c r="C91" t="s">
        <v>1343</v>
      </c>
      <c r="D91" t="b">
        <f t="shared" si="2"/>
        <v>0</v>
      </c>
    </row>
    <row r="92" spans="1:4" x14ac:dyDescent="0.25">
      <c r="A92" t="s">
        <v>151</v>
      </c>
      <c r="B92" s="5" t="s">
        <v>1344</v>
      </c>
      <c r="C92" t="s">
        <v>1344</v>
      </c>
      <c r="D92" t="b">
        <f t="shared" si="2"/>
        <v>0</v>
      </c>
    </row>
    <row r="93" spans="1:4" x14ac:dyDescent="0.25">
      <c r="A93" t="s">
        <v>151</v>
      </c>
      <c r="B93" s="5" t="s">
        <v>1345</v>
      </c>
      <c r="C93" t="s">
        <v>1345</v>
      </c>
      <c r="D93" t="b">
        <f t="shared" si="2"/>
        <v>0</v>
      </c>
    </row>
    <row r="94" spans="1:4" x14ac:dyDescent="0.25">
      <c r="A94" t="s">
        <v>151</v>
      </c>
      <c r="B94" s="5" t="s">
        <v>1346</v>
      </c>
      <c r="C94" t="s">
        <v>1346</v>
      </c>
      <c r="D94" t="b">
        <f t="shared" si="2"/>
        <v>0</v>
      </c>
    </row>
    <row r="95" spans="1:4" x14ac:dyDescent="0.25">
      <c r="A95" t="s">
        <v>151</v>
      </c>
      <c r="B95" s="5" t="s">
        <v>1347</v>
      </c>
      <c r="C95" t="s">
        <v>1347</v>
      </c>
      <c r="D95" t="b">
        <f t="shared" si="2"/>
        <v>0</v>
      </c>
    </row>
    <row r="96" spans="1:4" x14ac:dyDescent="0.25">
      <c r="A96" t="s">
        <v>151</v>
      </c>
      <c r="B96" s="5" t="s">
        <v>1348</v>
      </c>
      <c r="C96" t="s">
        <v>1348</v>
      </c>
      <c r="D96" t="b">
        <f t="shared" si="2"/>
        <v>0</v>
      </c>
    </row>
    <row r="97" spans="1:4" x14ac:dyDescent="0.25">
      <c r="A97" t="s">
        <v>151</v>
      </c>
      <c r="B97" s="5" t="s">
        <v>1349</v>
      </c>
      <c r="C97" t="s">
        <v>1349</v>
      </c>
      <c r="D97" t="b">
        <f t="shared" si="2"/>
        <v>0</v>
      </c>
    </row>
    <row r="98" spans="1:4" x14ac:dyDescent="0.25">
      <c r="A98" t="s">
        <v>151</v>
      </c>
      <c r="B98" s="5" t="s">
        <v>1350</v>
      </c>
      <c r="C98" t="s">
        <v>1350</v>
      </c>
      <c r="D98" t="b">
        <f t="shared" si="2"/>
        <v>0</v>
      </c>
    </row>
    <row r="99" spans="1:4" x14ac:dyDescent="0.25">
      <c r="A99" t="s">
        <v>151</v>
      </c>
      <c r="B99" s="5" t="s">
        <v>1351</v>
      </c>
      <c r="C99" t="s">
        <v>1351</v>
      </c>
      <c r="D99" t="b">
        <f t="shared" si="2"/>
        <v>0</v>
      </c>
    </row>
    <row r="100" spans="1:4" x14ac:dyDescent="0.25">
      <c r="A100" t="s">
        <v>151</v>
      </c>
      <c r="B100" s="5" t="s">
        <v>1352</v>
      </c>
      <c r="C100" t="s">
        <v>1352</v>
      </c>
      <c r="D100" t="b">
        <f t="shared" si="2"/>
        <v>0</v>
      </c>
    </row>
    <row r="101" spans="1:4" x14ac:dyDescent="0.25">
      <c r="A101" t="s">
        <v>151</v>
      </c>
      <c r="B101" s="5" t="s">
        <v>1353</v>
      </c>
      <c r="C101" t="s">
        <v>1353</v>
      </c>
      <c r="D101" t="b">
        <f t="shared" si="2"/>
        <v>0</v>
      </c>
    </row>
    <row r="102" spans="1:4" x14ac:dyDescent="0.25">
      <c r="A102" s="5" t="s">
        <v>151</v>
      </c>
      <c r="B102" s="5" t="s">
        <v>1354</v>
      </c>
      <c r="C102" t="s">
        <v>1354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AD9959E-6096-482C-A2E3-D9E42763D958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8B25722E-AB24-4204-BEC2-A96570C37F50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sheetPr codeName="Planilha8"/>
  <dimension ref="A1:G104"/>
  <sheetViews>
    <sheetView topLeftCell="A51" workbookViewId="0">
      <selection activeCell="B4" sqref="B4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8" bestFit="1" customWidth="1"/>
  </cols>
  <sheetData>
    <row r="1" spans="1:7" ht="21" x14ac:dyDescent="0.25">
      <c r="A1" s="31" t="s">
        <v>259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6</v>
      </c>
    </row>
    <row r="3" spans="1:7" x14ac:dyDescent="0.25">
      <c r="A3" s="5" t="s">
        <v>2031</v>
      </c>
      <c r="B3" s="5" t="s">
        <v>2077</v>
      </c>
      <c r="C3" s="5" t="s">
        <v>2077</v>
      </c>
      <c r="D3" s="3" t="b">
        <f>B3&lt;&gt;C3</f>
        <v>0</v>
      </c>
      <c r="F3" s="4" t="s">
        <v>37</v>
      </c>
      <c r="G3" s="3">
        <f>SUM(G6:G27)</f>
        <v>100</v>
      </c>
    </row>
    <row r="4" spans="1:7" x14ac:dyDescent="0.25">
      <c r="A4" s="5" t="s">
        <v>2031</v>
      </c>
      <c r="B4" s="5" t="s">
        <v>2078</v>
      </c>
      <c r="C4" s="5" t="s">
        <v>2078</v>
      </c>
      <c r="D4" s="3" t="b">
        <f>B4&lt;&gt;C4</f>
        <v>0</v>
      </c>
    </row>
    <row r="5" spans="1:7" x14ac:dyDescent="0.25">
      <c r="A5" t="s">
        <v>35</v>
      </c>
      <c r="B5" s="5" t="s">
        <v>260</v>
      </c>
      <c r="C5" t="s">
        <v>260</v>
      </c>
      <c r="D5" s="3" t="b">
        <f>B5&lt;&gt;C5</f>
        <v>0</v>
      </c>
      <c r="F5" s="4" t="s">
        <v>39</v>
      </c>
      <c r="G5" s="1"/>
    </row>
    <row r="6" spans="1:7" x14ac:dyDescent="0.25">
      <c r="A6" t="s">
        <v>35</v>
      </c>
      <c r="B6" s="5" t="s">
        <v>261</v>
      </c>
      <c r="C6" t="s">
        <v>261</v>
      </c>
      <c r="D6" s="3" t="b">
        <f t="shared" ref="D6:D69" si="0">B6&lt;&gt;C6</f>
        <v>0</v>
      </c>
      <c r="F6" s="7" t="s">
        <v>2031</v>
      </c>
      <c r="G6" s="2">
        <f t="shared" ref="G6:G15" si="1">COUNTIF(A:A,F6)</f>
        <v>2</v>
      </c>
    </row>
    <row r="7" spans="1:7" x14ac:dyDescent="0.25">
      <c r="A7" t="s">
        <v>35</v>
      </c>
      <c r="B7" s="5" t="s">
        <v>262</v>
      </c>
      <c r="C7" t="s">
        <v>262</v>
      </c>
      <c r="D7" s="3" t="b">
        <f t="shared" si="0"/>
        <v>0</v>
      </c>
      <c r="F7" s="7" t="s">
        <v>35</v>
      </c>
      <c r="G7" s="2">
        <f t="shared" si="1"/>
        <v>34</v>
      </c>
    </row>
    <row r="8" spans="1:7" x14ac:dyDescent="0.25">
      <c r="A8" t="s">
        <v>35</v>
      </c>
      <c r="B8" s="5" t="s">
        <v>263</v>
      </c>
      <c r="C8" t="s">
        <v>263</v>
      </c>
      <c r="D8" s="3" t="b">
        <f t="shared" si="0"/>
        <v>0</v>
      </c>
      <c r="F8" s="7" t="s">
        <v>41</v>
      </c>
      <c r="G8" s="2">
        <f t="shared" si="1"/>
        <v>12</v>
      </c>
    </row>
    <row r="9" spans="1:7" x14ac:dyDescent="0.25">
      <c r="A9" t="s">
        <v>35</v>
      </c>
      <c r="B9" s="5" t="s">
        <v>264</v>
      </c>
      <c r="C9" t="s">
        <v>264</v>
      </c>
      <c r="D9" s="3" t="b">
        <f t="shared" si="0"/>
        <v>0</v>
      </c>
      <c r="F9" s="7" t="s">
        <v>42</v>
      </c>
      <c r="G9" s="2">
        <f t="shared" si="1"/>
        <v>6</v>
      </c>
    </row>
    <row r="10" spans="1:7" x14ac:dyDescent="0.25">
      <c r="A10" t="s">
        <v>35</v>
      </c>
      <c r="B10" s="5" t="s">
        <v>265</v>
      </c>
      <c r="C10" t="s">
        <v>265</v>
      </c>
      <c r="D10" s="3" t="b">
        <f t="shared" si="0"/>
        <v>0</v>
      </c>
      <c r="F10" s="7" t="s">
        <v>269</v>
      </c>
      <c r="G10" s="2">
        <f t="shared" si="1"/>
        <v>4</v>
      </c>
    </row>
    <row r="11" spans="1:7" x14ac:dyDescent="0.25">
      <c r="A11" t="s">
        <v>35</v>
      </c>
      <c r="B11" s="5" t="s">
        <v>266</v>
      </c>
      <c r="C11" t="s">
        <v>266</v>
      </c>
      <c r="D11" s="3" t="b">
        <f t="shared" si="0"/>
        <v>0</v>
      </c>
      <c r="F11" s="3" t="s">
        <v>277</v>
      </c>
      <c r="G11" s="2">
        <f t="shared" si="1"/>
        <v>6</v>
      </c>
    </row>
    <row r="12" spans="1:7" x14ac:dyDescent="0.25">
      <c r="A12" t="s">
        <v>35</v>
      </c>
      <c r="B12" s="5" t="s">
        <v>267</v>
      </c>
      <c r="C12" t="s">
        <v>268</v>
      </c>
      <c r="D12" s="3" t="b">
        <f t="shared" si="0"/>
        <v>1</v>
      </c>
      <c r="F12" s="7" t="s">
        <v>43</v>
      </c>
      <c r="G12" s="2">
        <f t="shared" si="1"/>
        <v>5</v>
      </c>
    </row>
    <row r="13" spans="1:7" x14ac:dyDescent="0.25">
      <c r="A13" t="s">
        <v>35</v>
      </c>
      <c r="B13" s="5" t="s">
        <v>270</v>
      </c>
      <c r="C13" t="s">
        <v>270</v>
      </c>
      <c r="D13" s="3" t="b">
        <f t="shared" si="0"/>
        <v>0</v>
      </c>
      <c r="F13" s="7" t="s">
        <v>274</v>
      </c>
      <c r="G13" s="2">
        <f t="shared" si="1"/>
        <v>5</v>
      </c>
    </row>
    <row r="14" spans="1:7" x14ac:dyDescent="0.25">
      <c r="A14" t="s">
        <v>35</v>
      </c>
      <c r="B14" s="5" t="s">
        <v>272</v>
      </c>
      <c r="C14" t="s">
        <v>272</v>
      </c>
      <c r="D14" s="3" t="b">
        <f t="shared" si="0"/>
        <v>0</v>
      </c>
      <c r="F14" s="7" t="s">
        <v>70</v>
      </c>
      <c r="G14" s="2">
        <f t="shared" si="1"/>
        <v>22</v>
      </c>
    </row>
    <row r="15" spans="1:7" x14ac:dyDescent="0.25">
      <c r="A15" t="s">
        <v>35</v>
      </c>
      <c r="B15" s="5" t="s">
        <v>273</v>
      </c>
      <c r="C15" t="s">
        <v>273</v>
      </c>
      <c r="D15" s="3" t="b">
        <f t="shared" si="0"/>
        <v>0</v>
      </c>
      <c r="F15" s="3" t="s">
        <v>1882</v>
      </c>
      <c r="G15" s="2">
        <f t="shared" si="1"/>
        <v>4</v>
      </c>
    </row>
    <row r="16" spans="1:7" x14ac:dyDescent="0.25">
      <c r="A16" t="s">
        <v>35</v>
      </c>
      <c r="B16" s="5" t="s">
        <v>275</v>
      </c>
      <c r="C16" t="s">
        <v>275</v>
      </c>
      <c r="D16" s="3" t="b">
        <f t="shared" si="0"/>
        <v>0</v>
      </c>
    </row>
    <row r="17" spans="1:7" x14ac:dyDescent="0.25">
      <c r="A17" t="s">
        <v>35</v>
      </c>
      <c r="B17" s="5" t="s">
        <v>276</v>
      </c>
      <c r="C17" t="s">
        <v>276</v>
      </c>
      <c r="D17" s="3" t="b">
        <f t="shared" si="0"/>
        <v>0</v>
      </c>
    </row>
    <row r="18" spans="1:7" x14ac:dyDescent="0.25">
      <c r="A18" t="s">
        <v>35</v>
      </c>
      <c r="B18" s="5" t="s">
        <v>145</v>
      </c>
      <c r="C18" t="s">
        <v>145</v>
      </c>
      <c r="D18" s="3" t="b">
        <f t="shared" si="0"/>
        <v>0</v>
      </c>
    </row>
    <row r="19" spans="1:7" x14ac:dyDescent="0.25">
      <c r="A19" t="s">
        <v>35</v>
      </c>
      <c r="B19" s="5" t="s">
        <v>40</v>
      </c>
      <c r="C19" t="s">
        <v>40</v>
      </c>
      <c r="D19" s="3" t="b">
        <f t="shared" si="0"/>
        <v>0</v>
      </c>
      <c r="F19" s="4"/>
      <c r="G19" s="2"/>
    </row>
    <row r="20" spans="1:7" x14ac:dyDescent="0.25">
      <c r="A20" t="s">
        <v>35</v>
      </c>
      <c r="B20" s="5" t="s">
        <v>67</v>
      </c>
      <c r="C20" t="s">
        <v>67</v>
      </c>
      <c r="D20" s="3" t="b">
        <f t="shared" si="0"/>
        <v>0</v>
      </c>
      <c r="G20" s="2"/>
    </row>
    <row r="21" spans="1:7" x14ac:dyDescent="0.25">
      <c r="A21" t="s">
        <v>35</v>
      </c>
      <c r="B21" s="5" t="s">
        <v>278</v>
      </c>
      <c r="C21" t="s">
        <v>278</v>
      </c>
      <c r="D21" s="3" t="b">
        <f t="shared" si="0"/>
        <v>0</v>
      </c>
      <c r="G21" s="2"/>
    </row>
    <row r="22" spans="1:7" x14ac:dyDescent="0.25">
      <c r="A22" t="s">
        <v>35</v>
      </c>
      <c r="B22" s="5" t="s">
        <v>143</v>
      </c>
      <c r="C22" t="s">
        <v>143</v>
      </c>
      <c r="D22" s="3" t="b">
        <f t="shared" si="0"/>
        <v>0</v>
      </c>
      <c r="G22" s="2"/>
    </row>
    <row r="23" spans="1:7" x14ac:dyDescent="0.25">
      <c r="A23" t="s">
        <v>35</v>
      </c>
      <c r="B23" s="5" t="s">
        <v>69</v>
      </c>
      <c r="C23" t="s">
        <v>69</v>
      </c>
      <c r="D23" s="3" t="b">
        <f t="shared" si="0"/>
        <v>0</v>
      </c>
      <c r="G23" s="2"/>
    </row>
    <row r="24" spans="1:7" x14ac:dyDescent="0.25">
      <c r="A24" t="s">
        <v>35</v>
      </c>
      <c r="B24" s="5" t="s">
        <v>279</v>
      </c>
      <c r="C24" t="s">
        <v>279</v>
      </c>
      <c r="D24" s="3" t="b">
        <f t="shared" si="0"/>
        <v>0</v>
      </c>
      <c r="G24" s="2"/>
    </row>
    <row r="25" spans="1:7" x14ac:dyDescent="0.25">
      <c r="A25" t="s">
        <v>35</v>
      </c>
      <c r="B25" s="5" t="s">
        <v>280</v>
      </c>
      <c r="C25" t="s">
        <v>280</v>
      </c>
      <c r="D25" s="3" t="b">
        <f t="shared" si="0"/>
        <v>0</v>
      </c>
      <c r="G25" s="2"/>
    </row>
    <row r="26" spans="1:7" x14ac:dyDescent="0.25">
      <c r="A26" t="s">
        <v>35</v>
      </c>
      <c r="B26" s="5" t="s">
        <v>281</v>
      </c>
      <c r="C26" t="s">
        <v>281</v>
      </c>
      <c r="D26" s="3" t="b">
        <f t="shared" si="0"/>
        <v>0</v>
      </c>
      <c r="G26" s="2"/>
    </row>
    <row r="27" spans="1:7" x14ac:dyDescent="0.25">
      <c r="A27" t="s">
        <v>35</v>
      </c>
      <c r="B27" s="5" t="s">
        <v>282</v>
      </c>
      <c r="C27" t="s">
        <v>282</v>
      </c>
      <c r="D27" s="3" t="b">
        <f t="shared" si="0"/>
        <v>0</v>
      </c>
      <c r="G27" s="2"/>
    </row>
    <row r="28" spans="1:7" x14ac:dyDescent="0.25">
      <c r="A28" t="s">
        <v>35</v>
      </c>
      <c r="B28" s="5" t="s">
        <v>58</v>
      </c>
      <c r="C28" t="s">
        <v>58</v>
      </c>
      <c r="D28" s="3" t="b">
        <f t="shared" si="0"/>
        <v>0</v>
      </c>
      <c r="G28" s="2"/>
    </row>
    <row r="29" spans="1:7" x14ac:dyDescent="0.25">
      <c r="A29" t="s">
        <v>35</v>
      </c>
      <c r="B29" s="5" t="s">
        <v>85</v>
      </c>
      <c r="C29" t="s">
        <v>1935</v>
      </c>
      <c r="D29" s="3" t="b">
        <f t="shared" si="0"/>
        <v>1</v>
      </c>
      <c r="G29" s="2"/>
    </row>
    <row r="30" spans="1:7" x14ac:dyDescent="0.25">
      <c r="A30" t="s">
        <v>35</v>
      </c>
      <c r="B30" s="5" t="s">
        <v>205</v>
      </c>
      <c r="C30" t="s">
        <v>205</v>
      </c>
      <c r="D30" s="3" t="b">
        <f t="shared" si="0"/>
        <v>0</v>
      </c>
      <c r="G30" s="2"/>
    </row>
    <row r="31" spans="1:7" x14ac:dyDescent="0.25">
      <c r="A31" t="s">
        <v>35</v>
      </c>
      <c r="B31" s="5" t="s">
        <v>205</v>
      </c>
      <c r="C31" t="s">
        <v>205</v>
      </c>
      <c r="D31" s="3" t="b">
        <f t="shared" si="0"/>
        <v>0</v>
      </c>
    </row>
    <row r="32" spans="1:7" x14ac:dyDescent="0.25">
      <c r="A32" t="s">
        <v>35</v>
      </c>
      <c r="B32" s="5" t="s">
        <v>86</v>
      </c>
      <c r="C32" t="s">
        <v>86</v>
      </c>
      <c r="D32" s="3" t="b">
        <f t="shared" si="0"/>
        <v>0</v>
      </c>
      <c r="G32" s="2"/>
    </row>
    <row r="33" spans="1:7" x14ac:dyDescent="0.25">
      <c r="A33" t="s">
        <v>35</v>
      </c>
      <c r="B33" s="5" t="s">
        <v>86</v>
      </c>
      <c r="C33" t="s">
        <v>86</v>
      </c>
      <c r="D33" s="3" t="b">
        <f t="shared" si="0"/>
        <v>0</v>
      </c>
      <c r="G33" s="2"/>
    </row>
    <row r="34" spans="1:7" x14ac:dyDescent="0.25">
      <c r="A34" t="s">
        <v>35</v>
      </c>
      <c r="B34" s="5" t="s">
        <v>86</v>
      </c>
      <c r="C34" t="s">
        <v>86</v>
      </c>
      <c r="D34" s="3" t="b">
        <f t="shared" si="0"/>
        <v>0</v>
      </c>
      <c r="G34" s="2"/>
    </row>
    <row r="35" spans="1:7" x14ac:dyDescent="0.25">
      <c r="A35" t="s">
        <v>35</v>
      </c>
      <c r="B35" s="5" t="s">
        <v>86</v>
      </c>
      <c r="C35" t="s">
        <v>86</v>
      </c>
      <c r="D35" s="3" t="b">
        <f t="shared" si="0"/>
        <v>0</v>
      </c>
      <c r="G35" s="2"/>
    </row>
    <row r="36" spans="1:7" x14ac:dyDescent="0.25">
      <c r="A36" t="s">
        <v>35</v>
      </c>
      <c r="B36" s="5" t="s">
        <v>85</v>
      </c>
      <c r="C36" t="s">
        <v>85</v>
      </c>
      <c r="D36" s="3" t="b">
        <f t="shared" si="0"/>
        <v>0</v>
      </c>
      <c r="G36" s="2"/>
    </row>
    <row r="37" spans="1:7" x14ac:dyDescent="0.25">
      <c r="A37" t="s">
        <v>35</v>
      </c>
      <c r="B37" s="5" t="s">
        <v>85</v>
      </c>
      <c r="C37" t="s">
        <v>85</v>
      </c>
      <c r="D37" s="3" t="b">
        <f t="shared" si="0"/>
        <v>0</v>
      </c>
      <c r="G37" s="2"/>
    </row>
    <row r="38" spans="1:7" x14ac:dyDescent="0.25">
      <c r="A38" t="s">
        <v>35</v>
      </c>
      <c r="B38" s="5" t="s">
        <v>85</v>
      </c>
      <c r="C38" t="s">
        <v>85</v>
      </c>
      <c r="D38" s="3" t="b">
        <f t="shared" si="0"/>
        <v>0</v>
      </c>
    </row>
    <row r="39" spans="1:7" x14ac:dyDescent="0.25">
      <c r="A39" t="s">
        <v>41</v>
      </c>
      <c r="B39" s="5" t="s">
        <v>206</v>
      </c>
      <c r="C39" t="s">
        <v>206</v>
      </c>
      <c r="D39" s="3" t="b">
        <f t="shared" si="0"/>
        <v>0</v>
      </c>
      <c r="G39" s="2"/>
    </row>
    <row r="40" spans="1:7" x14ac:dyDescent="0.25">
      <c r="A40" t="s">
        <v>41</v>
      </c>
      <c r="B40" s="5" t="s">
        <v>284</v>
      </c>
      <c r="C40" t="s">
        <v>284</v>
      </c>
      <c r="D40" s="3" t="b">
        <f t="shared" si="0"/>
        <v>0</v>
      </c>
      <c r="G40" s="2"/>
    </row>
    <row r="41" spans="1:7" x14ac:dyDescent="0.25">
      <c r="A41" t="s">
        <v>41</v>
      </c>
      <c r="B41" s="5" t="s">
        <v>285</v>
      </c>
      <c r="C41" t="s">
        <v>285</v>
      </c>
      <c r="D41" s="3" t="b">
        <f t="shared" si="0"/>
        <v>0</v>
      </c>
    </row>
    <row r="42" spans="1:7" x14ac:dyDescent="0.25">
      <c r="A42" t="s">
        <v>41</v>
      </c>
      <c r="B42" s="5" t="s">
        <v>286</v>
      </c>
      <c r="C42" t="s">
        <v>286</v>
      </c>
      <c r="D42" s="3" t="b">
        <f t="shared" si="0"/>
        <v>0</v>
      </c>
    </row>
    <row r="43" spans="1:7" x14ac:dyDescent="0.25">
      <c r="A43" t="s">
        <v>41</v>
      </c>
      <c r="B43" s="5" t="s">
        <v>287</v>
      </c>
      <c r="C43" t="s">
        <v>287</v>
      </c>
      <c r="D43" s="3" t="b">
        <f t="shared" si="0"/>
        <v>0</v>
      </c>
    </row>
    <row r="44" spans="1:7" x14ac:dyDescent="0.25">
      <c r="A44" t="s">
        <v>41</v>
      </c>
      <c r="B44" s="5" t="s">
        <v>1614</v>
      </c>
      <c r="C44" t="s">
        <v>1614</v>
      </c>
      <c r="D44" s="3" t="b">
        <f t="shared" si="0"/>
        <v>0</v>
      </c>
    </row>
    <row r="45" spans="1:7" x14ac:dyDescent="0.25">
      <c r="A45" t="s">
        <v>41</v>
      </c>
      <c r="B45" s="5" t="s">
        <v>290</v>
      </c>
      <c r="C45" t="s">
        <v>290</v>
      </c>
      <c r="D45" s="3" t="b">
        <f t="shared" si="0"/>
        <v>0</v>
      </c>
    </row>
    <row r="46" spans="1:7" x14ac:dyDescent="0.25">
      <c r="A46" t="s">
        <v>41</v>
      </c>
      <c r="B46" s="5" t="s">
        <v>291</v>
      </c>
      <c r="C46" t="s">
        <v>291</v>
      </c>
      <c r="D46" s="3" t="b">
        <f t="shared" si="0"/>
        <v>0</v>
      </c>
    </row>
    <row r="47" spans="1:7" x14ac:dyDescent="0.25">
      <c r="A47" t="s">
        <v>41</v>
      </c>
      <c r="B47" s="5" t="s">
        <v>292</v>
      </c>
      <c r="C47" t="s">
        <v>292</v>
      </c>
      <c r="D47" s="3" t="b">
        <f t="shared" si="0"/>
        <v>0</v>
      </c>
    </row>
    <row r="48" spans="1:7" x14ac:dyDescent="0.25">
      <c r="A48" t="s">
        <v>41</v>
      </c>
      <c r="B48" s="5" t="s">
        <v>293</v>
      </c>
      <c r="C48" t="s">
        <v>293</v>
      </c>
      <c r="D48" s="3" t="b">
        <f t="shared" si="0"/>
        <v>0</v>
      </c>
    </row>
    <row r="49" spans="1:6" x14ac:dyDescent="0.25">
      <c r="A49" t="s">
        <v>41</v>
      </c>
      <c r="B49" s="5" t="s">
        <v>310</v>
      </c>
      <c r="C49" t="s">
        <v>310</v>
      </c>
      <c r="D49" s="3" t="b">
        <f t="shared" si="0"/>
        <v>0</v>
      </c>
    </row>
    <row r="50" spans="1:6" x14ac:dyDescent="0.25">
      <c r="A50" t="s">
        <v>41</v>
      </c>
      <c r="B50" s="5" t="s">
        <v>294</v>
      </c>
      <c r="C50" t="s">
        <v>294</v>
      </c>
      <c r="D50" s="3" t="b">
        <f t="shared" si="0"/>
        <v>0</v>
      </c>
    </row>
    <row r="51" spans="1:6" x14ac:dyDescent="0.25">
      <c r="A51" t="s">
        <v>42</v>
      </c>
      <c r="B51" s="5" t="s">
        <v>1786</v>
      </c>
      <c r="C51" s="5" t="s">
        <v>1786</v>
      </c>
      <c r="D51" s="3" t="b">
        <f t="shared" si="0"/>
        <v>0</v>
      </c>
      <c r="F51" s="5"/>
    </row>
    <row r="52" spans="1:6" x14ac:dyDescent="0.25">
      <c r="A52" t="s">
        <v>42</v>
      </c>
      <c r="B52" s="5" t="s">
        <v>96</v>
      </c>
      <c r="C52" t="s">
        <v>96</v>
      </c>
      <c r="D52" s="3" t="b">
        <f t="shared" si="0"/>
        <v>0</v>
      </c>
    </row>
    <row r="53" spans="1:6" x14ac:dyDescent="0.25">
      <c r="A53" t="s">
        <v>42</v>
      </c>
      <c r="B53" s="5" t="s">
        <v>296</v>
      </c>
      <c r="C53" t="s">
        <v>296</v>
      </c>
      <c r="D53" s="3" t="b">
        <f t="shared" si="0"/>
        <v>0</v>
      </c>
    </row>
    <row r="54" spans="1:6" x14ac:dyDescent="0.25">
      <c r="A54" t="s">
        <v>42</v>
      </c>
      <c r="B54" s="5" t="s">
        <v>297</v>
      </c>
      <c r="C54" t="s">
        <v>297</v>
      </c>
      <c r="D54" s="3" t="b">
        <f t="shared" si="0"/>
        <v>0</v>
      </c>
    </row>
    <row r="55" spans="1:6" x14ac:dyDescent="0.25">
      <c r="A55" t="s">
        <v>42</v>
      </c>
      <c r="B55" s="5" t="s">
        <v>298</v>
      </c>
      <c r="C55" t="s">
        <v>298</v>
      </c>
      <c r="D55" s="3" t="b">
        <f t="shared" si="0"/>
        <v>0</v>
      </c>
    </row>
    <row r="56" spans="1:6" x14ac:dyDescent="0.25">
      <c r="A56" t="s">
        <v>42</v>
      </c>
      <c r="B56" s="5" t="s">
        <v>1609</v>
      </c>
      <c r="C56" t="s">
        <v>1609</v>
      </c>
      <c r="D56" s="3" t="b">
        <f t="shared" si="0"/>
        <v>0</v>
      </c>
    </row>
    <row r="57" spans="1:6" x14ac:dyDescent="0.25">
      <c r="A57" t="s">
        <v>269</v>
      </c>
      <c r="B57" s="5" t="s">
        <v>136</v>
      </c>
      <c r="C57" t="s">
        <v>136</v>
      </c>
      <c r="D57" s="3" t="b">
        <f t="shared" si="0"/>
        <v>0</v>
      </c>
    </row>
    <row r="58" spans="1:6" x14ac:dyDescent="0.25">
      <c r="A58" t="s">
        <v>269</v>
      </c>
      <c r="B58" s="5" t="s">
        <v>300</v>
      </c>
      <c r="C58" t="s">
        <v>300</v>
      </c>
      <c r="D58" s="3" t="b">
        <f t="shared" si="0"/>
        <v>0</v>
      </c>
    </row>
    <row r="59" spans="1:6" x14ac:dyDescent="0.25">
      <c r="A59" t="s">
        <v>269</v>
      </c>
      <c r="B59" s="5" t="s">
        <v>301</v>
      </c>
      <c r="C59" t="s">
        <v>301</v>
      </c>
      <c r="D59" s="3" t="b">
        <f t="shared" si="0"/>
        <v>0</v>
      </c>
    </row>
    <row r="60" spans="1:6" x14ac:dyDescent="0.25">
      <c r="A60" t="s">
        <v>269</v>
      </c>
      <c r="B60" s="5" t="s">
        <v>138</v>
      </c>
      <c r="C60" t="s">
        <v>138</v>
      </c>
      <c r="D60" s="3" t="b">
        <f t="shared" si="0"/>
        <v>0</v>
      </c>
    </row>
    <row r="61" spans="1:6" x14ac:dyDescent="0.25">
      <c r="A61" t="s">
        <v>274</v>
      </c>
      <c r="B61" s="5" t="s">
        <v>1789</v>
      </c>
      <c r="C61" s="5" t="s">
        <v>1789</v>
      </c>
      <c r="D61" s="3" t="b">
        <f t="shared" si="0"/>
        <v>0</v>
      </c>
    </row>
    <row r="62" spans="1:6" x14ac:dyDescent="0.25">
      <c r="A62" t="s">
        <v>274</v>
      </c>
      <c r="B62" s="5" t="s">
        <v>303</v>
      </c>
      <c r="C62" t="s">
        <v>303</v>
      </c>
      <c r="D62" s="3" t="b">
        <f t="shared" si="0"/>
        <v>0</v>
      </c>
    </row>
    <row r="63" spans="1:6" x14ac:dyDescent="0.25">
      <c r="A63" t="s">
        <v>274</v>
      </c>
      <c r="B63" s="5" t="s">
        <v>1787</v>
      </c>
      <c r="C63" s="5" t="s">
        <v>1787</v>
      </c>
      <c r="D63" s="3" t="b">
        <f t="shared" si="0"/>
        <v>0</v>
      </c>
    </row>
    <row r="64" spans="1:6" x14ac:dyDescent="0.25">
      <c r="A64" t="s">
        <v>274</v>
      </c>
      <c r="B64" s="5" t="s">
        <v>121</v>
      </c>
      <c r="C64" s="5" t="s">
        <v>1788</v>
      </c>
      <c r="D64" s="3" t="b">
        <f t="shared" si="0"/>
        <v>1</v>
      </c>
    </row>
    <row r="65" spans="1:7" x14ac:dyDescent="0.25">
      <c r="A65" t="s">
        <v>274</v>
      </c>
      <c r="B65" s="5" t="s">
        <v>304</v>
      </c>
      <c r="C65" t="s">
        <v>304</v>
      </c>
      <c r="D65" s="3" t="b">
        <f t="shared" si="0"/>
        <v>0</v>
      </c>
    </row>
    <row r="66" spans="1:7" x14ac:dyDescent="0.25">
      <c r="A66" t="s">
        <v>70</v>
      </c>
      <c r="B66" s="5" t="s">
        <v>312</v>
      </c>
      <c r="C66" t="s">
        <v>312</v>
      </c>
      <c r="D66" s="3" t="b">
        <f t="shared" si="0"/>
        <v>0</v>
      </c>
    </row>
    <row r="67" spans="1:7" x14ac:dyDescent="0.25">
      <c r="A67" t="s">
        <v>70</v>
      </c>
      <c r="B67" s="5" t="s">
        <v>317</v>
      </c>
      <c r="C67" t="s">
        <v>317</v>
      </c>
      <c r="D67" s="3" t="b">
        <f t="shared" si="0"/>
        <v>0</v>
      </c>
      <c r="G67" s="2"/>
    </row>
    <row r="68" spans="1:7" x14ac:dyDescent="0.25">
      <c r="A68" t="s">
        <v>70</v>
      </c>
      <c r="B68" s="5" t="s">
        <v>299</v>
      </c>
      <c r="C68" t="s">
        <v>1615</v>
      </c>
      <c r="D68" s="3" t="b">
        <f t="shared" si="0"/>
        <v>1</v>
      </c>
    </row>
    <row r="69" spans="1:7" x14ac:dyDescent="0.25">
      <c r="A69" t="s">
        <v>70</v>
      </c>
      <c r="B69" s="5" t="s">
        <v>305</v>
      </c>
      <c r="C69" t="s">
        <v>305</v>
      </c>
      <c r="D69" s="3" t="b">
        <f t="shared" si="0"/>
        <v>0</v>
      </c>
    </row>
    <row r="70" spans="1:7" x14ac:dyDescent="0.25">
      <c r="A70" t="s">
        <v>70</v>
      </c>
      <c r="B70" s="5" t="s">
        <v>1785</v>
      </c>
      <c r="C70" s="5" t="s">
        <v>1785</v>
      </c>
      <c r="D70" s="3" t="b">
        <f t="shared" ref="D70:D104" si="2">B70&lt;&gt;C70</f>
        <v>0</v>
      </c>
    </row>
    <row r="71" spans="1:7" x14ac:dyDescent="0.25">
      <c r="A71" t="s">
        <v>70</v>
      </c>
      <c r="B71" s="5" t="s">
        <v>1560</v>
      </c>
      <c r="C71" s="5" t="s">
        <v>1560</v>
      </c>
      <c r="D71" s="3" t="b">
        <f t="shared" si="2"/>
        <v>0</v>
      </c>
      <c r="G71" s="2"/>
    </row>
    <row r="72" spans="1:7" x14ac:dyDescent="0.25">
      <c r="A72" t="s">
        <v>70</v>
      </c>
      <c r="B72" s="5" t="s">
        <v>288</v>
      </c>
      <c r="C72" s="5" t="s">
        <v>1768</v>
      </c>
      <c r="D72" s="3" t="b">
        <f t="shared" si="2"/>
        <v>1</v>
      </c>
      <c r="F72"/>
    </row>
    <row r="73" spans="1:7" x14ac:dyDescent="0.25">
      <c r="A73" t="s">
        <v>70</v>
      </c>
      <c r="B73" s="5" t="s">
        <v>108</v>
      </c>
      <c r="C73" t="s">
        <v>108</v>
      </c>
      <c r="D73" s="3" t="b">
        <f t="shared" si="2"/>
        <v>0</v>
      </c>
    </row>
    <row r="74" spans="1:7" x14ac:dyDescent="0.25">
      <c r="A74" t="s">
        <v>70</v>
      </c>
      <c r="B74" s="5" t="s">
        <v>109</v>
      </c>
      <c r="C74" t="s">
        <v>109</v>
      </c>
      <c r="D74" s="3" t="b">
        <f t="shared" si="2"/>
        <v>0</v>
      </c>
      <c r="F74"/>
    </row>
    <row r="75" spans="1:7" x14ac:dyDescent="0.25">
      <c r="A75" t="s">
        <v>70</v>
      </c>
      <c r="B75" s="5" t="s">
        <v>308</v>
      </c>
      <c r="C75" t="s">
        <v>308</v>
      </c>
      <c r="D75" s="3" t="b">
        <f t="shared" si="2"/>
        <v>0</v>
      </c>
      <c r="F75"/>
    </row>
    <row r="76" spans="1:7" x14ac:dyDescent="0.25">
      <c r="A76" t="s">
        <v>70</v>
      </c>
      <c r="B76" s="5" t="s">
        <v>311</v>
      </c>
      <c r="C76" t="s">
        <v>311</v>
      </c>
      <c r="D76" s="3" t="b">
        <f t="shared" si="2"/>
        <v>0</v>
      </c>
    </row>
    <row r="77" spans="1:7" x14ac:dyDescent="0.25">
      <c r="A77" t="s">
        <v>70</v>
      </c>
      <c r="B77" s="5" t="s">
        <v>111</v>
      </c>
      <c r="C77" t="s">
        <v>111</v>
      </c>
      <c r="D77" s="3" t="b">
        <f t="shared" si="2"/>
        <v>0</v>
      </c>
      <c r="F77"/>
    </row>
    <row r="78" spans="1:7" x14ac:dyDescent="0.25">
      <c r="A78" t="s">
        <v>70</v>
      </c>
      <c r="B78" s="5" t="s">
        <v>307</v>
      </c>
      <c r="C78" t="s">
        <v>307</v>
      </c>
      <c r="D78" s="3" t="b">
        <f t="shared" si="2"/>
        <v>0</v>
      </c>
      <c r="F78"/>
    </row>
    <row r="79" spans="1:7" x14ac:dyDescent="0.25">
      <c r="A79" t="s">
        <v>70</v>
      </c>
      <c r="B79" s="5" t="s">
        <v>313</v>
      </c>
      <c r="C79" t="s">
        <v>313</v>
      </c>
      <c r="D79" s="3" t="b">
        <f t="shared" si="2"/>
        <v>0</v>
      </c>
    </row>
    <row r="80" spans="1:7" x14ac:dyDescent="0.25">
      <c r="A80" t="s">
        <v>70</v>
      </c>
      <c r="B80" s="5" t="s">
        <v>112</v>
      </c>
      <c r="C80" t="s">
        <v>112</v>
      </c>
      <c r="D80" s="3" t="b">
        <f t="shared" si="2"/>
        <v>0</v>
      </c>
    </row>
    <row r="81" spans="1:6" x14ac:dyDescent="0.25">
      <c r="A81" t="s">
        <v>70</v>
      </c>
      <c r="B81" s="5" t="s">
        <v>105</v>
      </c>
      <c r="C81" t="s">
        <v>105</v>
      </c>
      <c r="D81" s="3" t="b">
        <f t="shared" si="2"/>
        <v>0</v>
      </c>
    </row>
    <row r="82" spans="1:6" x14ac:dyDescent="0.25">
      <c r="A82" t="s">
        <v>70</v>
      </c>
      <c r="B82" s="5" t="s">
        <v>314</v>
      </c>
      <c r="C82" t="s">
        <v>314</v>
      </c>
      <c r="D82" s="3" t="b">
        <f t="shared" si="2"/>
        <v>0</v>
      </c>
      <c r="F82"/>
    </row>
    <row r="83" spans="1:6" x14ac:dyDescent="0.25">
      <c r="A83" t="s">
        <v>70</v>
      </c>
      <c r="B83" s="5" t="s">
        <v>309</v>
      </c>
      <c r="C83" t="s">
        <v>309</v>
      </c>
      <c r="D83" s="3" t="b">
        <f t="shared" si="2"/>
        <v>0</v>
      </c>
      <c r="F83"/>
    </row>
    <row r="84" spans="1:6" x14ac:dyDescent="0.25">
      <c r="A84" t="s">
        <v>70</v>
      </c>
      <c r="B84" s="5" t="s">
        <v>315</v>
      </c>
      <c r="C84" t="s">
        <v>315</v>
      </c>
      <c r="D84" s="3" t="b">
        <f t="shared" si="2"/>
        <v>0</v>
      </c>
    </row>
    <row r="85" spans="1:6" x14ac:dyDescent="0.25">
      <c r="A85" t="s">
        <v>70</v>
      </c>
      <c r="B85" s="5" t="s">
        <v>1884</v>
      </c>
      <c r="C85" t="s">
        <v>1597</v>
      </c>
      <c r="D85" s="3" t="b">
        <f t="shared" si="2"/>
        <v>1</v>
      </c>
    </row>
    <row r="86" spans="1:6" x14ac:dyDescent="0.25">
      <c r="A86" t="s">
        <v>70</v>
      </c>
      <c r="B86" s="5" t="s">
        <v>306</v>
      </c>
      <c r="C86" t="s">
        <v>306</v>
      </c>
      <c r="D86" s="3" t="b">
        <f t="shared" si="2"/>
        <v>0</v>
      </c>
      <c r="F86"/>
    </row>
    <row r="87" spans="1:6" x14ac:dyDescent="0.25">
      <c r="A87" t="s">
        <v>70</v>
      </c>
      <c r="B87" s="5" t="s">
        <v>103</v>
      </c>
      <c r="C87" t="s">
        <v>103</v>
      </c>
      <c r="D87" s="3" t="b">
        <f t="shared" si="2"/>
        <v>0</v>
      </c>
    </row>
    <row r="88" spans="1:6" x14ac:dyDescent="0.25">
      <c r="A88" t="s">
        <v>1882</v>
      </c>
      <c r="B88" s="5" t="s">
        <v>101</v>
      </c>
      <c r="C88" s="5" t="s">
        <v>101</v>
      </c>
      <c r="D88" s="3" t="b">
        <f t="shared" si="2"/>
        <v>0</v>
      </c>
    </row>
    <row r="89" spans="1:6" x14ac:dyDescent="0.25">
      <c r="A89" t="s">
        <v>1882</v>
      </c>
      <c r="B89" s="5" t="s">
        <v>1885</v>
      </c>
      <c r="C89" t="s">
        <v>1885</v>
      </c>
      <c r="D89" s="3" t="b">
        <f t="shared" si="2"/>
        <v>0</v>
      </c>
    </row>
    <row r="90" spans="1:6" x14ac:dyDescent="0.25">
      <c r="A90" t="s">
        <v>1882</v>
      </c>
      <c r="B90" s="23" t="s">
        <v>2094</v>
      </c>
      <c r="C90" s="5" t="s">
        <v>2094</v>
      </c>
      <c r="D90" s="3" t="b">
        <f t="shared" si="2"/>
        <v>0</v>
      </c>
      <c r="E90" t="s">
        <v>1883</v>
      </c>
    </row>
    <row r="91" spans="1:6" x14ac:dyDescent="0.25">
      <c r="A91" t="s">
        <v>1882</v>
      </c>
      <c r="B91" s="5" t="s">
        <v>318</v>
      </c>
      <c r="C91" t="s">
        <v>318</v>
      </c>
      <c r="D91" s="3" t="b">
        <f t="shared" si="2"/>
        <v>0</v>
      </c>
    </row>
    <row r="92" spans="1:6" x14ac:dyDescent="0.25">
      <c r="A92" t="s">
        <v>277</v>
      </c>
      <c r="B92" s="5" t="s">
        <v>1697</v>
      </c>
      <c r="C92" s="5" t="s">
        <v>1697</v>
      </c>
      <c r="D92" s="3" t="b">
        <f t="shared" si="2"/>
        <v>0</v>
      </c>
      <c r="F92"/>
    </row>
    <row r="93" spans="1:6" x14ac:dyDescent="0.25">
      <c r="A93" t="s">
        <v>277</v>
      </c>
      <c r="B93" s="5" t="s">
        <v>1913</v>
      </c>
      <c r="C93" t="s">
        <v>1913</v>
      </c>
      <c r="D93" s="3" t="b">
        <f t="shared" si="2"/>
        <v>0</v>
      </c>
    </row>
    <row r="94" spans="1:6" x14ac:dyDescent="0.25">
      <c r="A94" t="s">
        <v>277</v>
      </c>
      <c r="B94" s="5" t="s">
        <v>106</v>
      </c>
      <c r="C94" t="s">
        <v>106</v>
      </c>
      <c r="D94" s="3" t="b">
        <f t="shared" si="2"/>
        <v>0</v>
      </c>
    </row>
    <row r="95" spans="1:6" x14ac:dyDescent="0.25">
      <c r="A95" t="s">
        <v>277</v>
      </c>
      <c r="B95" s="5" t="s">
        <v>1907</v>
      </c>
      <c r="C95" t="s">
        <v>1907</v>
      </c>
      <c r="D95" s="3" t="b">
        <f t="shared" si="2"/>
        <v>0</v>
      </c>
    </row>
    <row r="96" spans="1:6" x14ac:dyDescent="0.25">
      <c r="A96" t="s">
        <v>277</v>
      </c>
      <c r="B96" s="5" t="s">
        <v>319</v>
      </c>
      <c r="C96" t="s">
        <v>319</v>
      </c>
      <c r="D96" s="3" t="b">
        <f t="shared" si="2"/>
        <v>0</v>
      </c>
    </row>
    <row r="97" spans="1:4" x14ac:dyDescent="0.25">
      <c r="A97" t="s">
        <v>277</v>
      </c>
      <c r="B97" s="5" t="s">
        <v>320</v>
      </c>
      <c r="C97" t="s">
        <v>320</v>
      </c>
      <c r="D97" s="3" t="b">
        <f t="shared" si="2"/>
        <v>0</v>
      </c>
    </row>
    <row r="98" spans="1:4" x14ac:dyDescent="0.25">
      <c r="A98" t="s">
        <v>43</v>
      </c>
      <c r="B98" s="5" t="s">
        <v>321</v>
      </c>
      <c r="C98" t="s">
        <v>321</v>
      </c>
      <c r="D98" s="3" t="b">
        <f t="shared" si="2"/>
        <v>0</v>
      </c>
    </row>
    <row r="99" spans="1:4" x14ac:dyDescent="0.25">
      <c r="A99" t="s">
        <v>43</v>
      </c>
      <c r="B99" s="5" t="s">
        <v>322</v>
      </c>
      <c r="C99" t="s">
        <v>322</v>
      </c>
      <c r="D99" s="3" t="b">
        <f t="shared" si="2"/>
        <v>0</v>
      </c>
    </row>
    <row r="100" spans="1:4" x14ac:dyDescent="0.25">
      <c r="A100" t="s">
        <v>43</v>
      </c>
      <c r="B100" s="5" t="s">
        <v>323</v>
      </c>
      <c r="C100" t="s">
        <v>323</v>
      </c>
      <c r="D100" s="3" t="b">
        <f t="shared" si="2"/>
        <v>0</v>
      </c>
    </row>
    <row r="101" spans="1:4" x14ac:dyDescent="0.25">
      <c r="A101" t="s">
        <v>43</v>
      </c>
      <c r="B101" s="5" t="s">
        <v>1834</v>
      </c>
      <c r="C101" t="s">
        <v>1834</v>
      </c>
      <c r="D101" s="3" t="b">
        <f t="shared" si="2"/>
        <v>0</v>
      </c>
    </row>
    <row r="102" spans="1:4" x14ac:dyDescent="0.25">
      <c r="A102" t="s">
        <v>43</v>
      </c>
      <c r="B102" s="5" t="s">
        <v>324</v>
      </c>
      <c r="C102" t="s">
        <v>324</v>
      </c>
      <c r="D102" s="3" t="b">
        <f t="shared" si="2"/>
        <v>0</v>
      </c>
    </row>
    <row r="103" spans="1:4" x14ac:dyDescent="0.25">
      <c r="D103" s="3" t="b">
        <f t="shared" si="2"/>
        <v>0</v>
      </c>
    </row>
    <row r="104" spans="1:4" x14ac:dyDescent="0.25">
      <c r="D104" s="3" t="b">
        <f t="shared" si="2"/>
        <v>0</v>
      </c>
    </row>
  </sheetData>
  <sortState xmlns:xlrd2="http://schemas.microsoft.com/office/spreadsheetml/2017/richdata2" ref="B103:C122">
    <sortCondition ref="C103:C122"/>
  </sortState>
  <mergeCells count="1">
    <mergeCell ref="A1:G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F158DFD4-23F0-43AE-A332-0D39B2622CE5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F47C4A15-5EC2-4F79-B498-F6A8DF756E52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B683-7D3D-4093-B29D-814FD7AC6F59}">
  <sheetPr codeName="Planilha29"/>
  <dimension ref="A1:G103"/>
  <sheetViews>
    <sheetView topLeftCell="A73" workbookViewId="0">
      <selection activeCell="B98" sqref="B9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54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30</v>
      </c>
    </row>
    <row r="3" spans="1:7" x14ac:dyDescent="0.25">
      <c r="A3" s="24" t="s">
        <v>2031</v>
      </c>
      <c r="B3" s="5" t="s">
        <v>2079</v>
      </c>
      <c r="C3" s="5" t="s">
        <v>2079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40</v>
      </c>
      <c r="C4" t="s">
        <v>40</v>
      </c>
      <c r="D4" t="b">
        <f>B4&lt;&gt;C4</f>
        <v>0</v>
      </c>
    </row>
    <row r="5" spans="1:7" x14ac:dyDescent="0.25">
      <c r="A5" t="s">
        <v>35</v>
      </c>
      <c r="B5" s="5" t="s">
        <v>67</v>
      </c>
      <c r="C5" t="s">
        <v>67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184</v>
      </c>
      <c r="C6" t="s">
        <v>184</v>
      </c>
      <c r="D6" t="b">
        <f t="shared" si="0"/>
        <v>0</v>
      </c>
      <c r="F6" s="7" t="s">
        <v>2031</v>
      </c>
      <c r="G6" s="2">
        <f t="shared" ref="G6:G16" si="1">COUNTIF(A:A,F6)</f>
        <v>1</v>
      </c>
    </row>
    <row r="7" spans="1:7" x14ac:dyDescent="0.25">
      <c r="A7" t="s">
        <v>35</v>
      </c>
      <c r="B7" s="5" t="s">
        <v>140</v>
      </c>
      <c r="C7" t="s">
        <v>140</v>
      </c>
      <c r="D7" t="b">
        <f t="shared" si="0"/>
        <v>0</v>
      </c>
      <c r="F7" s="3" t="s">
        <v>35</v>
      </c>
      <c r="G7" s="2">
        <f t="shared" si="1"/>
        <v>35</v>
      </c>
    </row>
    <row r="8" spans="1:7" x14ac:dyDescent="0.25">
      <c r="A8" t="s">
        <v>35</v>
      </c>
      <c r="B8" s="5" t="s">
        <v>205</v>
      </c>
      <c r="C8" t="s">
        <v>185</v>
      </c>
      <c r="D8" t="b">
        <f t="shared" si="0"/>
        <v>1</v>
      </c>
      <c r="F8" s="7" t="s">
        <v>41</v>
      </c>
      <c r="G8" s="2">
        <f t="shared" si="1"/>
        <v>8</v>
      </c>
    </row>
    <row r="9" spans="1:7" x14ac:dyDescent="0.25">
      <c r="A9" t="s">
        <v>35</v>
      </c>
      <c r="B9" s="5" t="s">
        <v>205</v>
      </c>
      <c r="C9" t="s">
        <v>186</v>
      </c>
      <c r="D9" t="b">
        <f t="shared" si="0"/>
        <v>1</v>
      </c>
      <c r="F9" s="7" t="s">
        <v>42</v>
      </c>
      <c r="G9" s="2">
        <f t="shared" si="1"/>
        <v>8</v>
      </c>
    </row>
    <row r="10" spans="1:7" x14ac:dyDescent="0.25">
      <c r="A10" t="s">
        <v>35</v>
      </c>
      <c r="B10" s="5" t="s">
        <v>153</v>
      </c>
      <c r="C10" t="s">
        <v>187</v>
      </c>
      <c r="D10" t="b">
        <f t="shared" si="0"/>
        <v>1</v>
      </c>
      <c r="F10" s="7" t="s">
        <v>189</v>
      </c>
      <c r="G10" s="2">
        <f t="shared" si="1"/>
        <v>6</v>
      </c>
    </row>
    <row r="11" spans="1:7" x14ac:dyDescent="0.25">
      <c r="A11" t="s">
        <v>35</v>
      </c>
      <c r="B11" s="5" t="s">
        <v>153</v>
      </c>
      <c r="C11" t="s">
        <v>188</v>
      </c>
      <c r="D11" t="b">
        <f t="shared" si="0"/>
        <v>1</v>
      </c>
      <c r="F11" s="7" t="s">
        <v>191</v>
      </c>
      <c r="G11" s="2">
        <f t="shared" si="1"/>
        <v>14</v>
      </c>
    </row>
    <row r="12" spans="1:7" x14ac:dyDescent="0.25">
      <c r="A12" t="s">
        <v>35</v>
      </c>
      <c r="B12" s="5" t="s">
        <v>153</v>
      </c>
      <c r="C12" t="s">
        <v>190</v>
      </c>
      <c r="D12" t="b">
        <f t="shared" si="0"/>
        <v>1</v>
      </c>
      <c r="F12" s="7" t="s">
        <v>193</v>
      </c>
      <c r="G12" s="2">
        <f t="shared" si="1"/>
        <v>5</v>
      </c>
    </row>
    <row r="13" spans="1:7" x14ac:dyDescent="0.25">
      <c r="A13" t="s">
        <v>35</v>
      </c>
      <c r="B13" s="5" t="s">
        <v>192</v>
      </c>
      <c r="C13" t="s">
        <v>192</v>
      </c>
      <c r="D13" t="b">
        <f t="shared" si="0"/>
        <v>0</v>
      </c>
      <c r="F13" s="7" t="s">
        <v>195</v>
      </c>
      <c r="G13" s="2">
        <f t="shared" si="1"/>
        <v>9</v>
      </c>
    </row>
    <row r="14" spans="1:7" x14ac:dyDescent="0.25">
      <c r="A14" t="s">
        <v>35</v>
      </c>
      <c r="B14" s="5" t="s">
        <v>84</v>
      </c>
      <c r="C14" t="s">
        <v>194</v>
      </c>
      <c r="D14" t="b">
        <f t="shared" si="0"/>
        <v>1</v>
      </c>
      <c r="F14" s="7" t="s">
        <v>43</v>
      </c>
      <c r="G14" s="2">
        <f t="shared" si="1"/>
        <v>5</v>
      </c>
    </row>
    <row r="15" spans="1:7" x14ac:dyDescent="0.25">
      <c r="A15" t="s">
        <v>35</v>
      </c>
      <c r="B15" s="5" t="s">
        <v>196</v>
      </c>
      <c r="C15" t="s">
        <v>196</v>
      </c>
      <c r="D15" t="b">
        <f t="shared" si="0"/>
        <v>0</v>
      </c>
      <c r="F15" s="5" t="s">
        <v>1531</v>
      </c>
      <c r="G15" s="2">
        <f t="shared" si="1"/>
        <v>5</v>
      </c>
    </row>
    <row r="16" spans="1:7" x14ac:dyDescent="0.25">
      <c r="A16" t="s">
        <v>35</v>
      </c>
      <c r="B16" s="5" t="s">
        <v>198</v>
      </c>
      <c r="C16" t="s">
        <v>198</v>
      </c>
      <c r="D16" t="b">
        <f t="shared" si="0"/>
        <v>0</v>
      </c>
      <c r="F16" s="5" t="s">
        <v>753</v>
      </c>
      <c r="G16" s="2">
        <f t="shared" si="1"/>
        <v>4</v>
      </c>
    </row>
    <row r="17" spans="1:4" x14ac:dyDescent="0.25">
      <c r="A17" t="s">
        <v>35</v>
      </c>
      <c r="B17" s="5" t="s">
        <v>199</v>
      </c>
      <c r="C17" t="s">
        <v>199</v>
      </c>
      <c r="D17" t="b">
        <f t="shared" si="0"/>
        <v>0</v>
      </c>
    </row>
    <row r="18" spans="1:4" x14ac:dyDescent="0.25">
      <c r="A18" t="s">
        <v>35</v>
      </c>
      <c r="B18" s="5" t="s">
        <v>84</v>
      </c>
      <c r="C18" t="s">
        <v>200</v>
      </c>
      <c r="D18" t="b">
        <f t="shared" si="0"/>
        <v>1</v>
      </c>
    </row>
    <row r="19" spans="1:4" x14ac:dyDescent="0.25">
      <c r="A19" t="s">
        <v>35</v>
      </c>
      <c r="B19" s="5" t="s">
        <v>201</v>
      </c>
      <c r="C19" t="s">
        <v>201</v>
      </c>
      <c r="D19" t="b">
        <f t="shared" si="0"/>
        <v>0</v>
      </c>
    </row>
    <row r="20" spans="1:4" x14ac:dyDescent="0.25">
      <c r="A20" t="s">
        <v>35</v>
      </c>
      <c r="B20" s="5" t="s">
        <v>202</v>
      </c>
      <c r="C20" t="s">
        <v>202</v>
      </c>
      <c r="D20" t="b">
        <f t="shared" si="0"/>
        <v>0</v>
      </c>
    </row>
    <row r="21" spans="1:4" x14ac:dyDescent="0.25">
      <c r="A21" t="s">
        <v>35</v>
      </c>
      <c r="B21" s="5" t="s">
        <v>203</v>
      </c>
      <c r="C21" t="s">
        <v>203</v>
      </c>
      <c r="D21" t="b">
        <f t="shared" si="0"/>
        <v>0</v>
      </c>
    </row>
    <row r="22" spans="1:4" x14ac:dyDescent="0.25">
      <c r="A22" t="s">
        <v>35</v>
      </c>
      <c r="B22" s="5" t="s">
        <v>204</v>
      </c>
      <c r="C22" t="s">
        <v>204</v>
      </c>
      <c r="D22" t="b">
        <f t="shared" si="0"/>
        <v>0</v>
      </c>
    </row>
    <row r="23" spans="1:4" x14ac:dyDescent="0.25">
      <c r="A23" t="s">
        <v>35</v>
      </c>
      <c r="B23" s="5" t="s">
        <v>84</v>
      </c>
      <c r="C23" t="s">
        <v>1758</v>
      </c>
      <c r="D23" t="b">
        <f t="shared" si="0"/>
        <v>1</v>
      </c>
    </row>
    <row r="24" spans="1:4" x14ac:dyDescent="0.25">
      <c r="A24" t="s">
        <v>35</v>
      </c>
      <c r="B24" s="5" t="s">
        <v>205</v>
      </c>
      <c r="C24" t="s">
        <v>205</v>
      </c>
      <c r="D24" t="b">
        <f t="shared" si="0"/>
        <v>0</v>
      </c>
    </row>
    <row r="25" spans="1:4" x14ac:dyDescent="0.25">
      <c r="A25" t="s">
        <v>35</v>
      </c>
      <c r="B25" s="5" t="s">
        <v>205</v>
      </c>
      <c r="C25" t="s">
        <v>205</v>
      </c>
      <c r="D25" t="b">
        <f t="shared" si="0"/>
        <v>0</v>
      </c>
    </row>
    <row r="26" spans="1:4" x14ac:dyDescent="0.25">
      <c r="A26" t="s">
        <v>35</v>
      </c>
      <c r="B26" s="5" t="s">
        <v>205</v>
      </c>
      <c r="C26" t="s">
        <v>205</v>
      </c>
      <c r="D26" t="b">
        <f t="shared" si="0"/>
        <v>0</v>
      </c>
    </row>
    <row r="27" spans="1:4" x14ac:dyDescent="0.25">
      <c r="A27" t="s">
        <v>35</v>
      </c>
      <c r="B27" s="5" t="s">
        <v>205</v>
      </c>
      <c r="C27" t="s">
        <v>205</v>
      </c>
      <c r="D27" t="b">
        <f t="shared" si="0"/>
        <v>0</v>
      </c>
    </row>
    <row r="28" spans="1:4" x14ac:dyDescent="0.25">
      <c r="A28" t="s">
        <v>35</v>
      </c>
      <c r="B28" s="5" t="s">
        <v>84</v>
      </c>
      <c r="C28" t="s">
        <v>84</v>
      </c>
      <c r="D28" t="b">
        <f t="shared" si="0"/>
        <v>0</v>
      </c>
    </row>
    <row r="29" spans="1:4" x14ac:dyDescent="0.25">
      <c r="A29" t="s">
        <v>35</v>
      </c>
      <c r="B29" s="5" t="s">
        <v>84</v>
      </c>
      <c r="C29" t="s">
        <v>84</v>
      </c>
      <c r="D29" t="b">
        <f t="shared" si="0"/>
        <v>0</v>
      </c>
    </row>
    <row r="30" spans="1:4" x14ac:dyDescent="0.25">
      <c r="A30" t="s">
        <v>35</v>
      </c>
      <c r="B30" s="5" t="s">
        <v>84</v>
      </c>
      <c r="C30" t="s">
        <v>84</v>
      </c>
      <c r="D30" t="b">
        <f t="shared" si="0"/>
        <v>0</v>
      </c>
    </row>
    <row r="31" spans="1:4" x14ac:dyDescent="0.25">
      <c r="A31" t="s">
        <v>35</v>
      </c>
      <c r="B31" s="5" t="s">
        <v>84</v>
      </c>
      <c r="C31" t="s">
        <v>84</v>
      </c>
      <c r="D31" t="b">
        <f t="shared" si="0"/>
        <v>0</v>
      </c>
    </row>
    <row r="32" spans="1:4" x14ac:dyDescent="0.25">
      <c r="A32" t="s">
        <v>35</v>
      </c>
      <c r="B32" s="5" t="s">
        <v>84</v>
      </c>
      <c r="C32" t="s">
        <v>84</v>
      </c>
      <c r="D32" t="b">
        <f t="shared" si="0"/>
        <v>0</v>
      </c>
    </row>
    <row r="33" spans="1:6" x14ac:dyDescent="0.25">
      <c r="A33" t="s">
        <v>35</v>
      </c>
      <c r="B33" s="5" t="s">
        <v>84</v>
      </c>
      <c r="C33" t="s">
        <v>84</v>
      </c>
      <c r="D33" t="b">
        <f t="shared" si="0"/>
        <v>0</v>
      </c>
    </row>
    <row r="34" spans="1:6" x14ac:dyDescent="0.25">
      <c r="A34" t="s">
        <v>35</v>
      </c>
      <c r="B34" s="5" t="s">
        <v>153</v>
      </c>
      <c r="C34" t="s">
        <v>153</v>
      </c>
      <c r="D34" t="b">
        <f t="shared" si="0"/>
        <v>0</v>
      </c>
    </row>
    <row r="35" spans="1:6" x14ac:dyDescent="0.25">
      <c r="A35" t="s">
        <v>35</v>
      </c>
      <c r="B35" s="5" t="s">
        <v>153</v>
      </c>
      <c r="C35" t="s">
        <v>153</v>
      </c>
      <c r="D35" t="b">
        <f t="shared" si="0"/>
        <v>0</v>
      </c>
    </row>
    <row r="36" spans="1:6" x14ac:dyDescent="0.25">
      <c r="A36" t="s">
        <v>35</v>
      </c>
      <c r="B36" s="5" t="s">
        <v>153</v>
      </c>
      <c r="C36" t="s">
        <v>153</v>
      </c>
      <c r="D36" t="b">
        <f t="shared" si="0"/>
        <v>0</v>
      </c>
    </row>
    <row r="37" spans="1:6" x14ac:dyDescent="0.25">
      <c r="A37" t="s">
        <v>35</v>
      </c>
      <c r="B37" s="5" t="s">
        <v>153</v>
      </c>
      <c r="C37" t="s">
        <v>153</v>
      </c>
      <c r="D37" t="b">
        <f t="shared" si="0"/>
        <v>0</v>
      </c>
    </row>
    <row r="38" spans="1:6" x14ac:dyDescent="0.25">
      <c r="A38" t="s">
        <v>35</v>
      </c>
      <c r="B38" s="5" t="s">
        <v>153</v>
      </c>
      <c r="C38" t="s">
        <v>153</v>
      </c>
      <c r="D38" t="b">
        <f t="shared" si="0"/>
        <v>0</v>
      </c>
    </row>
    <row r="39" spans="1:6" x14ac:dyDescent="0.25">
      <c r="A39" t="s">
        <v>41</v>
      </c>
      <c r="B39" s="5" t="s">
        <v>1539</v>
      </c>
      <c r="C39" t="s">
        <v>206</v>
      </c>
      <c r="D39" t="b">
        <f t="shared" si="0"/>
        <v>1</v>
      </c>
    </row>
    <row r="40" spans="1:6" x14ac:dyDescent="0.25">
      <c r="A40" t="s">
        <v>41</v>
      </c>
      <c r="B40" s="5" t="s">
        <v>207</v>
      </c>
      <c r="C40" t="s">
        <v>207</v>
      </c>
      <c r="D40" t="b">
        <f t="shared" si="0"/>
        <v>0</v>
      </c>
    </row>
    <row r="41" spans="1:6" x14ac:dyDescent="0.25">
      <c r="A41" t="s">
        <v>41</v>
      </c>
      <c r="B41" s="5" t="s">
        <v>208</v>
      </c>
      <c r="C41" t="s">
        <v>208</v>
      </c>
      <c r="D41" t="b">
        <f t="shared" si="0"/>
        <v>0</v>
      </c>
    </row>
    <row r="42" spans="1:6" x14ac:dyDescent="0.25">
      <c r="A42" t="s">
        <v>41</v>
      </c>
      <c r="B42" s="5" t="s">
        <v>209</v>
      </c>
      <c r="C42" t="s">
        <v>209</v>
      </c>
      <c r="D42" t="b">
        <f t="shared" si="0"/>
        <v>0</v>
      </c>
    </row>
    <row r="43" spans="1:6" x14ac:dyDescent="0.25">
      <c r="A43" t="s">
        <v>41</v>
      </c>
      <c r="B43" s="5" t="s">
        <v>210</v>
      </c>
      <c r="C43" t="s">
        <v>210</v>
      </c>
      <c r="D43" t="b">
        <f t="shared" si="0"/>
        <v>0</v>
      </c>
    </row>
    <row r="44" spans="1:6" x14ac:dyDescent="0.25">
      <c r="A44" t="s">
        <v>41</v>
      </c>
      <c r="B44" s="5" t="s">
        <v>211</v>
      </c>
      <c r="C44" t="s">
        <v>211</v>
      </c>
      <c r="D44" t="b">
        <f t="shared" si="0"/>
        <v>0</v>
      </c>
    </row>
    <row r="45" spans="1:6" x14ac:dyDescent="0.25">
      <c r="A45" t="s">
        <v>41</v>
      </c>
      <c r="B45" s="5" t="s">
        <v>158</v>
      </c>
      <c r="C45" t="s">
        <v>158</v>
      </c>
      <c r="D45" t="b">
        <f t="shared" si="0"/>
        <v>0</v>
      </c>
      <c r="F45"/>
    </row>
    <row r="46" spans="1:6" x14ac:dyDescent="0.25">
      <c r="A46" t="s">
        <v>41</v>
      </c>
      <c r="B46" s="5" t="s">
        <v>213</v>
      </c>
      <c r="C46" t="s">
        <v>1743</v>
      </c>
      <c r="D46" t="b">
        <f t="shared" si="0"/>
        <v>1</v>
      </c>
    </row>
    <row r="47" spans="1:6" x14ac:dyDescent="0.25">
      <c r="A47" t="s">
        <v>42</v>
      </c>
      <c r="B47" s="5" t="s">
        <v>215</v>
      </c>
      <c r="C47" t="s">
        <v>215</v>
      </c>
      <c r="D47" t="b">
        <f t="shared" si="0"/>
        <v>0</v>
      </c>
    </row>
    <row r="48" spans="1:6" x14ac:dyDescent="0.25">
      <c r="A48" t="s">
        <v>42</v>
      </c>
      <c r="B48" s="5" t="s">
        <v>216</v>
      </c>
      <c r="C48" t="s">
        <v>216</v>
      </c>
      <c r="D48" t="b">
        <f t="shared" si="0"/>
        <v>0</v>
      </c>
    </row>
    <row r="49" spans="1:6" x14ac:dyDescent="0.25">
      <c r="A49" t="s">
        <v>42</v>
      </c>
      <c r="B49" s="5" t="s">
        <v>217</v>
      </c>
      <c r="C49" t="s">
        <v>2029</v>
      </c>
      <c r="D49" t="b">
        <f t="shared" si="0"/>
        <v>1</v>
      </c>
      <c r="F49"/>
    </row>
    <row r="50" spans="1:6" x14ac:dyDescent="0.25">
      <c r="A50" t="s">
        <v>42</v>
      </c>
      <c r="B50" s="5" t="s">
        <v>219</v>
      </c>
      <c r="C50" t="s">
        <v>219</v>
      </c>
      <c r="D50" t="b">
        <f t="shared" si="0"/>
        <v>0</v>
      </c>
    </row>
    <row r="51" spans="1:6" x14ac:dyDescent="0.25">
      <c r="A51" t="s">
        <v>42</v>
      </c>
      <c r="B51" s="5" t="s">
        <v>1540</v>
      </c>
      <c r="C51" t="s">
        <v>220</v>
      </c>
      <c r="D51" t="b">
        <f t="shared" si="0"/>
        <v>1</v>
      </c>
    </row>
    <row r="52" spans="1:6" x14ac:dyDescent="0.25">
      <c r="A52" t="s">
        <v>42</v>
      </c>
      <c r="B52" s="5" t="s">
        <v>222</v>
      </c>
      <c r="C52" t="s">
        <v>222</v>
      </c>
      <c r="D52" t="b">
        <f t="shared" si="0"/>
        <v>0</v>
      </c>
    </row>
    <row r="53" spans="1:6" x14ac:dyDescent="0.25">
      <c r="A53" t="s">
        <v>42</v>
      </c>
      <c r="B53" s="5" t="s">
        <v>223</v>
      </c>
      <c r="C53" t="s">
        <v>223</v>
      </c>
      <c r="D53" t="b">
        <f t="shared" si="0"/>
        <v>0</v>
      </c>
    </row>
    <row r="54" spans="1:6" x14ac:dyDescent="0.25">
      <c r="A54" t="s">
        <v>42</v>
      </c>
      <c r="B54" s="5" t="s">
        <v>224</v>
      </c>
      <c r="C54" t="s">
        <v>224</v>
      </c>
      <c r="D54" t="b">
        <f t="shared" si="0"/>
        <v>0</v>
      </c>
    </row>
    <row r="55" spans="1:6" x14ac:dyDescent="0.25">
      <c r="A55" t="s">
        <v>189</v>
      </c>
      <c r="B55" s="5" t="s">
        <v>225</v>
      </c>
      <c r="C55" t="s">
        <v>225</v>
      </c>
      <c r="D55" t="b">
        <f t="shared" si="0"/>
        <v>0</v>
      </c>
      <c r="F55"/>
    </row>
    <row r="56" spans="1:6" x14ac:dyDescent="0.25">
      <c r="A56" t="s">
        <v>189</v>
      </c>
      <c r="B56" s="5" t="s">
        <v>226</v>
      </c>
      <c r="C56" t="s">
        <v>226</v>
      </c>
      <c r="D56" t="b">
        <f t="shared" si="0"/>
        <v>0</v>
      </c>
      <c r="F56"/>
    </row>
    <row r="57" spans="1:6" x14ac:dyDescent="0.25">
      <c r="A57" t="s">
        <v>189</v>
      </c>
      <c r="B57" s="5" t="s">
        <v>995</v>
      </c>
      <c r="C57" t="s">
        <v>227</v>
      </c>
      <c r="D57" t="b">
        <f t="shared" si="0"/>
        <v>1</v>
      </c>
      <c r="F57"/>
    </row>
    <row r="58" spans="1:6" x14ac:dyDescent="0.25">
      <c r="A58" t="s">
        <v>189</v>
      </c>
      <c r="B58" s="5" t="s">
        <v>1541</v>
      </c>
      <c r="C58" t="s">
        <v>228</v>
      </c>
      <c r="D58" t="b">
        <f t="shared" si="0"/>
        <v>1</v>
      </c>
      <c r="F58"/>
    </row>
    <row r="59" spans="1:6" x14ac:dyDescent="0.25">
      <c r="A59" t="s">
        <v>189</v>
      </c>
      <c r="B59" s="5" t="s">
        <v>1542</v>
      </c>
      <c r="C59" t="s">
        <v>229</v>
      </c>
      <c r="D59" t="b">
        <f t="shared" si="0"/>
        <v>1</v>
      </c>
      <c r="F59"/>
    </row>
    <row r="60" spans="1:6" x14ac:dyDescent="0.25">
      <c r="A60" t="s">
        <v>189</v>
      </c>
      <c r="B60" s="5" t="s">
        <v>230</v>
      </c>
      <c r="C60" t="s">
        <v>230</v>
      </c>
      <c r="D60" t="b">
        <f t="shared" si="0"/>
        <v>0</v>
      </c>
    </row>
    <row r="61" spans="1:6" x14ac:dyDescent="0.25">
      <c r="A61" t="s">
        <v>191</v>
      </c>
      <c r="B61" s="5" t="s">
        <v>231</v>
      </c>
      <c r="C61" t="s">
        <v>231</v>
      </c>
      <c r="D61" t="b">
        <f t="shared" si="0"/>
        <v>0</v>
      </c>
      <c r="F61"/>
    </row>
    <row r="62" spans="1:6" x14ac:dyDescent="0.25">
      <c r="A62" t="s">
        <v>191</v>
      </c>
      <c r="B62" s="5" t="s">
        <v>232</v>
      </c>
      <c r="C62" t="s">
        <v>232</v>
      </c>
      <c r="D62" t="b">
        <f t="shared" si="0"/>
        <v>0</v>
      </c>
      <c r="F62"/>
    </row>
    <row r="63" spans="1:6" x14ac:dyDescent="0.25">
      <c r="A63" t="s">
        <v>191</v>
      </c>
      <c r="B63" s="5" t="s">
        <v>234</v>
      </c>
      <c r="C63" t="s">
        <v>234</v>
      </c>
      <c r="D63" t="b">
        <f t="shared" si="0"/>
        <v>0</v>
      </c>
      <c r="F63"/>
    </row>
    <row r="64" spans="1:6" x14ac:dyDescent="0.25">
      <c r="A64" t="s">
        <v>191</v>
      </c>
      <c r="B64" s="5" t="s">
        <v>235</v>
      </c>
      <c r="C64" t="s">
        <v>235</v>
      </c>
      <c r="D64" t="b">
        <f t="shared" si="0"/>
        <v>0</v>
      </c>
      <c r="F64"/>
    </row>
    <row r="65" spans="1:6" x14ac:dyDescent="0.25">
      <c r="A65" t="s">
        <v>191</v>
      </c>
      <c r="B65" s="5" t="s">
        <v>901</v>
      </c>
      <c r="C65" t="s">
        <v>236</v>
      </c>
      <c r="D65" t="b">
        <f t="shared" si="0"/>
        <v>1</v>
      </c>
    </row>
    <row r="66" spans="1:6" x14ac:dyDescent="0.25">
      <c r="A66" t="s">
        <v>191</v>
      </c>
      <c r="B66" s="5" t="s">
        <v>237</v>
      </c>
      <c r="C66" t="s">
        <v>237</v>
      </c>
      <c r="D66" t="b">
        <f t="shared" si="0"/>
        <v>0</v>
      </c>
      <c r="F66"/>
    </row>
    <row r="67" spans="1:6" x14ac:dyDescent="0.25">
      <c r="A67" t="s">
        <v>191</v>
      </c>
      <c r="B67" s="5" t="s">
        <v>1543</v>
      </c>
      <c r="C67" t="s">
        <v>240</v>
      </c>
      <c r="D67" t="b">
        <f t="shared" si="0"/>
        <v>1</v>
      </c>
    </row>
    <row r="68" spans="1:6" x14ac:dyDescent="0.25">
      <c r="A68" t="s">
        <v>191</v>
      </c>
      <c r="B68" s="5" t="s">
        <v>241</v>
      </c>
      <c r="C68" t="s">
        <v>241</v>
      </c>
      <c r="D68" t="b">
        <f t="shared" si="0"/>
        <v>0</v>
      </c>
    </row>
    <row r="69" spans="1:6" x14ac:dyDescent="0.25">
      <c r="A69" t="s">
        <v>191</v>
      </c>
      <c r="B69" s="5" t="s">
        <v>1746</v>
      </c>
      <c r="C69" t="s">
        <v>1746</v>
      </c>
      <c r="D69" t="b">
        <f t="shared" ref="D69:D103" si="2">B69&lt;&gt;C69</f>
        <v>0</v>
      </c>
    </row>
    <row r="70" spans="1:6" x14ac:dyDescent="0.25">
      <c r="A70" t="s">
        <v>191</v>
      </c>
      <c r="B70" s="5" t="s">
        <v>242</v>
      </c>
      <c r="C70" t="s">
        <v>242</v>
      </c>
      <c r="D70" t="b">
        <f t="shared" si="2"/>
        <v>0</v>
      </c>
    </row>
    <row r="71" spans="1:6" x14ac:dyDescent="0.25">
      <c r="A71" t="s">
        <v>191</v>
      </c>
      <c r="B71" s="5" t="s">
        <v>245</v>
      </c>
      <c r="C71" t="s">
        <v>245</v>
      </c>
      <c r="D71" t="b">
        <f t="shared" si="2"/>
        <v>0</v>
      </c>
    </row>
    <row r="72" spans="1:6" x14ac:dyDescent="0.25">
      <c r="A72" t="s">
        <v>191</v>
      </c>
      <c r="B72" s="5" t="s">
        <v>244</v>
      </c>
      <c r="C72" t="s">
        <v>244</v>
      </c>
      <c r="D72" t="b">
        <f t="shared" si="2"/>
        <v>0</v>
      </c>
    </row>
    <row r="73" spans="1:6" x14ac:dyDescent="0.25">
      <c r="A73" t="s">
        <v>191</v>
      </c>
      <c r="B73" s="5" t="s">
        <v>1545</v>
      </c>
      <c r="C73" t="s">
        <v>243</v>
      </c>
      <c r="D73" t="b">
        <f t="shared" si="2"/>
        <v>1</v>
      </c>
    </row>
    <row r="74" spans="1:6" x14ac:dyDescent="0.25">
      <c r="A74" t="s">
        <v>191</v>
      </c>
      <c r="B74" s="5" t="s">
        <v>1621</v>
      </c>
      <c r="C74" t="s">
        <v>1621</v>
      </c>
      <c r="D74" t="b">
        <f t="shared" si="2"/>
        <v>0</v>
      </c>
    </row>
    <row r="75" spans="1:6" x14ac:dyDescent="0.25">
      <c r="A75" t="s">
        <v>1531</v>
      </c>
      <c r="B75" s="5" t="s">
        <v>1535</v>
      </c>
      <c r="C75" t="s">
        <v>1535</v>
      </c>
      <c r="D75" t="b">
        <f t="shared" si="2"/>
        <v>0</v>
      </c>
    </row>
    <row r="76" spans="1:6" x14ac:dyDescent="0.25">
      <c r="A76" t="s">
        <v>1531</v>
      </c>
      <c r="B76" s="5" t="s">
        <v>1534</v>
      </c>
      <c r="C76" t="s">
        <v>1534</v>
      </c>
      <c r="D76" t="b">
        <f t="shared" si="2"/>
        <v>0</v>
      </c>
    </row>
    <row r="77" spans="1:6" x14ac:dyDescent="0.25">
      <c r="A77" t="s">
        <v>1531</v>
      </c>
      <c r="B77" s="5" t="s">
        <v>1533</v>
      </c>
      <c r="C77" t="s">
        <v>2027</v>
      </c>
      <c r="D77" t="b">
        <f t="shared" si="2"/>
        <v>1</v>
      </c>
      <c r="F77"/>
    </row>
    <row r="78" spans="1:6" x14ac:dyDescent="0.25">
      <c r="A78" t="s">
        <v>1531</v>
      </c>
      <c r="B78" s="5" t="s">
        <v>1532</v>
      </c>
      <c r="C78" t="s">
        <v>1532</v>
      </c>
      <c r="D78" t="b">
        <f t="shared" si="2"/>
        <v>0</v>
      </c>
      <c r="F78"/>
    </row>
    <row r="79" spans="1:6" x14ac:dyDescent="0.25">
      <c r="A79" t="s">
        <v>1531</v>
      </c>
      <c r="B79" s="5" t="s">
        <v>1538</v>
      </c>
      <c r="C79" t="s">
        <v>1744</v>
      </c>
      <c r="D79" t="b">
        <f t="shared" si="2"/>
        <v>1</v>
      </c>
    </row>
    <row r="80" spans="1:6" x14ac:dyDescent="0.25">
      <c r="A80" t="s">
        <v>193</v>
      </c>
      <c r="B80" s="5" t="s">
        <v>1536</v>
      </c>
      <c r="C80" t="s">
        <v>246</v>
      </c>
      <c r="D80" t="b">
        <f t="shared" si="2"/>
        <v>1</v>
      </c>
    </row>
    <row r="81" spans="1:6" x14ac:dyDescent="0.25">
      <c r="A81" t="s">
        <v>193</v>
      </c>
      <c r="B81" s="5" t="s">
        <v>1528</v>
      </c>
      <c r="C81" t="s">
        <v>1528</v>
      </c>
      <c r="D81" t="b">
        <f t="shared" si="2"/>
        <v>0</v>
      </c>
    </row>
    <row r="82" spans="1:6" x14ac:dyDescent="0.25">
      <c r="A82" t="s">
        <v>193</v>
      </c>
      <c r="B82" s="5" t="s">
        <v>247</v>
      </c>
      <c r="C82" t="s">
        <v>1745</v>
      </c>
      <c r="D82" t="b">
        <f t="shared" si="2"/>
        <v>1</v>
      </c>
    </row>
    <row r="83" spans="1:6" x14ac:dyDescent="0.25">
      <c r="A83" t="s">
        <v>193</v>
      </c>
      <c r="B83" s="5" t="s">
        <v>248</v>
      </c>
      <c r="C83" t="s">
        <v>248</v>
      </c>
      <c r="D83" t="b">
        <f t="shared" si="2"/>
        <v>0</v>
      </c>
    </row>
    <row r="84" spans="1:6" x14ac:dyDescent="0.25">
      <c r="A84" t="s">
        <v>193</v>
      </c>
      <c r="B84" s="5" t="s">
        <v>1544</v>
      </c>
      <c r="C84" t="s">
        <v>249</v>
      </c>
      <c r="D84" t="b">
        <f t="shared" si="2"/>
        <v>1</v>
      </c>
    </row>
    <row r="85" spans="1:6" x14ac:dyDescent="0.25">
      <c r="A85" t="s">
        <v>43</v>
      </c>
      <c r="B85" s="5" t="s">
        <v>250</v>
      </c>
      <c r="C85" t="s">
        <v>250</v>
      </c>
      <c r="D85" t="b">
        <f t="shared" si="2"/>
        <v>0</v>
      </c>
    </row>
    <row r="86" spans="1:6" x14ac:dyDescent="0.25">
      <c r="A86" t="s">
        <v>43</v>
      </c>
      <c r="B86" s="5" t="s">
        <v>251</v>
      </c>
      <c r="C86" t="s">
        <v>251</v>
      </c>
      <c r="D86" t="b">
        <f t="shared" si="2"/>
        <v>0</v>
      </c>
    </row>
    <row r="87" spans="1:6" x14ac:dyDescent="0.25">
      <c r="A87" t="s">
        <v>43</v>
      </c>
      <c r="B87" s="5" t="s">
        <v>128</v>
      </c>
      <c r="C87" t="s">
        <v>128</v>
      </c>
      <c r="D87" t="b">
        <f t="shared" si="2"/>
        <v>0</v>
      </c>
    </row>
    <row r="88" spans="1:6" x14ac:dyDescent="0.25">
      <c r="A88" t="s">
        <v>43</v>
      </c>
      <c r="B88" s="5" t="s">
        <v>252</v>
      </c>
      <c r="C88" t="s">
        <v>252</v>
      </c>
      <c r="D88" t="b">
        <f t="shared" si="2"/>
        <v>0</v>
      </c>
    </row>
    <row r="89" spans="1:6" x14ac:dyDescent="0.25">
      <c r="A89" t="s">
        <v>43</v>
      </c>
      <c r="B89" s="5" t="s">
        <v>253</v>
      </c>
      <c r="C89" t="s">
        <v>253</v>
      </c>
      <c r="D89" t="b">
        <f t="shared" si="2"/>
        <v>0</v>
      </c>
    </row>
    <row r="90" spans="1:6" x14ac:dyDescent="0.25">
      <c r="A90" t="s">
        <v>195</v>
      </c>
      <c r="B90" s="5" t="s">
        <v>221</v>
      </c>
      <c r="C90" t="s">
        <v>126</v>
      </c>
      <c r="D90" t="b">
        <f t="shared" si="2"/>
        <v>1</v>
      </c>
    </row>
    <row r="91" spans="1:6" x14ac:dyDescent="0.25">
      <c r="A91" t="s">
        <v>195</v>
      </c>
      <c r="B91" s="5" t="s">
        <v>125</v>
      </c>
      <c r="C91" t="s">
        <v>125</v>
      </c>
      <c r="D91" t="b">
        <f t="shared" si="2"/>
        <v>0</v>
      </c>
    </row>
    <row r="92" spans="1:6" x14ac:dyDescent="0.25">
      <c r="A92" t="s">
        <v>195</v>
      </c>
      <c r="B92" s="5" t="s">
        <v>255</v>
      </c>
      <c r="C92" t="s">
        <v>255</v>
      </c>
      <c r="D92" t="b">
        <f t="shared" si="2"/>
        <v>0</v>
      </c>
    </row>
    <row r="93" spans="1:6" x14ac:dyDescent="0.25">
      <c r="A93" t="s">
        <v>195</v>
      </c>
      <c r="B93" s="5" t="s">
        <v>233</v>
      </c>
      <c r="C93" t="s">
        <v>256</v>
      </c>
      <c r="D93" t="b">
        <f t="shared" si="2"/>
        <v>1</v>
      </c>
      <c r="F93"/>
    </row>
    <row r="94" spans="1:6" x14ac:dyDescent="0.25">
      <c r="A94" t="s">
        <v>195</v>
      </c>
      <c r="B94" s="5" t="s">
        <v>218</v>
      </c>
      <c r="C94" t="s">
        <v>1070</v>
      </c>
      <c r="D94" t="b">
        <f t="shared" si="2"/>
        <v>1</v>
      </c>
      <c r="F94"/>
    </row>
    <row r="95" spans="1:6" x14ac:dyDescent="0.25">
      <c r="A95" t="s">
        <v>195</v>
      </c>
      <c r="B95" s="5" t="s">
        <v>254</v>
      </c>
      <c r="C95" t="s">
        <v>254</v>
      </c>
      <c r="D95" t="b">
        <f t="shared" si="2"/>
        <v>0</v>
      </c>
      <c r="F95"/>
    </row>
    <row r="96" spans="1:6" x14ac:dyDescent="0.25">
      <c r="A96" t="s">
        <v>195</v>
      </c>
      <c r="B96" s="23" t="s">
        <v>1438</v>
      </c>
      <c r="C96" t="s">
        <v>1438</v>
      </c>
      <c r="D96" t="b">
        <f t="shared" si="2"/>
        <v>0</v>
      </c>
      <c r="E96" t="s">
        <v>2098</v>
      </c>
    </row>
    <row r="97" spans="1:4" x14ac:dyDescent="0.25">
      <c r="A97" t="s">
        <v>195</v>
      </c>
      <c r="B97" s="5" t="s">
        <v>1444</v>
      </c>
      <c r="C97" t="s">
        <v>1444</v>
      </c>
      <c r="D97" t="b">
        <f t="shared" si="2"/>
        <v>0</v>
      </c>
    </row>
    <row r="98" spans="1:4" x14ac:dyDescent="0.25">
      <c r="A98" t="s">
        <v>195</v>
      </c>
      <c r="B98" s="5" t="s">
        <v>1437</v>
      </c>
      <c r="C98" t="s">
        <v>1437</v>
      </c>
      <c r="D98" t="b">
        <f t="shared" si="2"/>
        <v>0</v>
      </c>
    </row>
    <row r="99" spans="1:4" x14ac:dyDescent="0.25">
      <c r="A99" t="s">
        <v>753</v>
      </c>
      <c r="B99" s="5" t="s">
        <v>238</v>
      </c>
      <c r="C99" t="s">
        <v>1747</v>
      </c>
      <c r="D99" t="b">
        <f t="shared" si="2"/>
        <v>1</v>
      </c>
    </row>
    <row r="100" spans="1:4" x14ac:dyDescent="0.25">
      <c r="A100" t="s">
        <v>753</v>
      </c>
      <c r="B100" s="5" t="s">
        <v>1537</v>
      </c>
      <c r="C100" t="s">
        <v>1749</v>
      </c>
      <c r="D100" t="b">
        <f t="shared" si="2"/>
        <v>1</v>
      </c>
    </row>
    <row r="101" spans="1:4" x14ac:dyDescent="0.25">
      <c r="A101" t="s">
        <v>753</v>
      </c>
      <c r="B101" s="5" t="s">
        <v>257</v>
      </c>
      <c r="C101" t="s">
        <v>1748</v>
      </c>
      <c r="D101" t="b">
        <f t="shared" si="2"/>
        <v>1</v>
      </c>
    </row>
    <row r="102" spans="1:4" x14ac:dyDescent="0.25">
      <c r="A102" t="s">
        <v>753</v>
      </c>
      <c r="B102" s="5" t="s">
        <v>239</v>
      </c>
      <c r="C102" t="s">
        <v>1742</v>
      </c>
      <c r="D102" t="b">
        <f t="shared" si="2"/>
        <v>1</v>
      </c>
    </row>
    <row r="103" spans="1:4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5CDEFB07-3410-4F38-81C5-7F2BBFFA307C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C33BD2EC-A712-41F6-B995-DE42094785C8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7114-425F-4777-B23D-A4E2EF95C144}">
  <sheetPr codeName="Planilha30"/>
  <dimension ref="A1:G102"/>
  <sheetViews>
    <sheetView topLeftCell="A42" workbookViewId="0">
      <selection activeCell="B74" sqref="B74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55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21</v>
      </c>
    </row>
    <row r="3" spans="1:7" x14ac:dyDescent="0.25">
      <c r="A3" s="5" t="s">
        <v>2031</v>
      </c>
      <c r="B3" s="5" t="s">
        <v>2080</v>
      </c>
      <c r="C3" s="5" t="s">
        <v>2080</v>
      </c>
      <c r="D3" t="b">
        <f>B3&lt;&gt;C3</f>
        <v>0</v>
      </c>
      <c r="F3" s="4" t="s">
        <v>37</v>
      </c>
      <c r="G3" s="3">
        <f>SUM(G6:G24)</f>
        <v>100</v>
      </c>
    </row>
    <row r="4" spans="1:7" x14ac:dyDescent="0.25">
      <c r="A4" t="s">
        <v>35</v>
      </c>
      <c r="B4" s="5" t="s">
        <v>84</v>
      </c>
      <c r="C4" t="s">
        <v>58</v>
      </c>
      <c r="D4" t="b">
        <f>B4&lt;&gt;C4</f>
        <v>1</v>
      </c>
    </row>
    <row r="5" spans="1:7" x14ac:dyDescent="0.25">
      <c r="A5" t="s">
        <v>35</v>
      </c>
      <c r="B5" s="5" t="s">
        <v>40</v>
      </c>
      <c r="C5" t="s">
        <v>40</v>
      </c>
      <c r="D5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474</v>
      </c>
      <c r="C6" t="s">
        <v>474</v>
      </c>
      <c r="D6" t="b">
        <f t="shared" si="0"/>
        <v>0</v>
      </c>
      <c r="F6" s="3" t="s">
        <v>2031</v>
      </c>
      <c r="G6" s="2">
        <f t="shared" ref="G6:G12" si="1">COUNTIF(A:A,F6)</f>
        <v>1</v>
      </c>
    </row>
    <row r="7" spans="1:7" x14ac:dyDescent="0.25">
      <c r="A7" t="s">
        <v>35</v>
      </c>
      <c r="B7" s="5" t="s">
        <v>475</v>
      </c>
      <c r="C7" t="s">
        <v>475</v>
      </c>
      <c r="D7" t="b">
        <f t="shared" si="0"/>
        <v>0</v>
      </c>
      <c r="F7" s="7" t="s">
        <v>35</v>
      </c>
      <c r="G7" s="2">
        <f t="shared" si="1"/>
        <v>33</v>
      </c>
    </row>
    <row r="8" spans="1:7" x14ac:dyDescent="0.25">
      <c r="A8" t="s">
        <v>35</v>
      </c>
      <c r="B8" s="5" t="s">
        <v>621</v>
      </c>
      <c r="C8" t="s">
        <v>621</v>
      </c>
      <c r="D8" t="b">
        <f t="shared" si="0"/>
        <v>0</v>
      </c>
      <c r="F8" s="7" t="s">
        <v>41</v>
      </c>
      <c r="G8" s="2">
        <f t="shared" si="1"/>
        <v>10</v>
      </c>
    </row>
    <row r="9" spans="1:7" x14ac:dyDescent="0.25">
      <c r="A9" t="s">
        <v>35</v>
      </c>
      <c r="B9" s="5" t="s">
        <v>619</v>
      </c>
      <c r="C9" t="s">
        <v>619</v>
      </c>
      <c r="D9" t="b">
        <f t="shared" si="0"/>
        <v>0</v>
      </c>
      <c r="F9" s="7" t="s">
        <v>42</v>
      </c>
      <c r="G9" s="2">
        <f t="shared" si="1"/>
        <v>8</v>
      </c>
    </row>
    <row r="10" spans="1:7" x14ac:dyDescent="0.25">
      <c r="A10" t="s">
        <v>35</v>
      </c>
      <c r="B10" s="5" t="s">
        <v>86</v>
      </c>
      <c r="C10" t="s">
        <v>86</v>
      </c>
      <c r="D10" t="b">
        <f t="shared" si="0"/>
        <v>0</v>
      </c>
      <c r="F10" s="7" t="s">
        <v>1484</v>
      </c>
      <c r="G10" s="2">
        <f t="shared" si="1"/>
        <v>32</v>
      </c>
    </row>
    <row r="11" spans="1:7" x14ac:dyDescent="0.25">
      <c r="A11" t="s">
        <v>35</v>
      </c>
      <c r="B11" s="5" t="s">
        <v>86</v>
      </c>
      <c r="C11" t="s">
        <v>86</v>
      </c>
      <c r="D11" t="b">
        <f t="shared" si="0"/>
        <v>0</v>
      </c>
      <c r="F11" s="7" t="s">
        <v>337</v>
      </c>
      <c r="G11" s="2">
        <f t="shared" si="1"/>
        <v>8</v>
      </c>
    </row>
    <row r="12" spans="1:7" x14ac:dyDescent="0.25">
      <c r="A12" t="s">
        <v>35</v>
      </c>
      <c r="B12" s="5" t="s">
        <v>86</v>
      </c>
      <c r="C12" t="s">
        <v>86</v>
      </c>
      <c r="D12" t="b">
        <f t="shared" si="0"/>
        <v>0</v>
      </c>
      <c r="F12" s="7" t="s">
        <v>43</v>
      </c>
      <c r="G12" s="2">
        <f t="shared" si="1"/>
        <v>8</v>
      </c>
    </row>
    <row r="13" spans="1:7" x14ac:dyDescent="0.25">
      <c r="A13" t="s">
        <v>35</v>
      </c>
      <c r="B13" s="5" t="s">
        <v>86</v>
      </c>
      <c r="C13" t="s">
        <v>86</v>
      </c>
      <c r="D13" t="b">
        <f t="shared" si="0"/>
        <v>0</v>
      </c>
    </row>
    <row r="14" spans="1:7" x14ac:dyDescent="0.25">
      <c r="A14" t="s">
        <v>35</v>
      </c>
      <c r="B14" s="5" t="s">
        <v>86</v>
      </c>
      <c r="C14" t="s">
        <v>86</v>
      </c>
      <c r="D14" t="b">
        <f t="shared" si="0"/>
        <v>0</v>
      </c>
      <c r="F14" s="7"/>
      <c r="G14" s="2"/>
    </row>
    <row r="15" spans="1:7" x14ac:dyDescent="0.25">
      <c r="A15" t="s">
        <v>35</v>
      </c>
      <c r="B15" s="5" t="s">
        <v>86</v>
      </c>
      <c r="C15" t="s">
        <v>86</v>
      </c>
      <c r="D15" t="b">
        <f t="shared" si="0"/>
        <v>0</v>
      </c>
      <c r="F15" s="4"/>
      <c r="G15" s="2"/>
    </row>
    <row r="16" spans="1:7" x14ac:dyDescent="0.25">
      <c r="A16" t="s">
        <v>35</v>
      </c>
      <c r="B16" s="5" t="s">
        <v>86</v>
      </c>
      <c r="C16" t="s">
        <v>86</v>
      </c>
      <c r="D16" t="b">
        <f t="shared" si="0"/>
        <v>0</v>
      </c>
      <c r="F16" s="4"/>
      <c r="G16" s="2"/>
    </row>
    <row r="17" spans="1:4" x14ac:dyDescent="0.25">
      <c r="A17" t="s">
        <v>35</v>
      </c>
      <c r="B17" s="5" t="s">
        <v>86</v>
      </c>
      <c r="C17" t="s">
        <v>86</v>
      </c>
      <c r="D17" t="b">
        <f t="shared" si="0"/>
        <v>0</v>
      </c>
    </row>
    <row r="18" spans="1:4" x14ac:dyDescent="0.25">
      <c r="A18" t="s">
        <v>35</v>
      </c>
      <c r="B18" s="5" t="s">
        <v>86</v>
      </c>
      <c r="C18" t="s">
        <v>86</v>
      </c>
      <c r="D18" t="b">
        <f t="shared" si="0"/>
        <v>0</v>
      </c>
    </row>
    <row r="19" spans="1:4" x14ac:dyDescent="0.25">
      <c r="A19" t="s">
        <v>35</v>
      </c>
      <c r="B19" s="5" t="s">
        <v>86</v>
      </c>
      <c r="C19" t="s">
        <v>86</v>
      </c>
      <c r="D19" t="b">
        <f t="shared" si="0"/>
        <v>0</v>
      </c>
    </row>
    <row r="20" spans="1:4" x14ac:dyDescent="0.25">
      <c r="A20" t="s">
        <v>35</v>
      </c>
      <c r="B20" s="5" t="s">
        <v>86</v>
      </c>
      <c r="C20" t="s">
        <v>86</v>
      </c>
      <c r="D20" t="b">
        <f t="shared" si="0"/>
        <v>0</v>
      </c>
    </row>
    <row r="21" spans="1:4" x14ac:dyDescent="0.25">
      <c r="A21" t="s">
        <v>35</v>
      </c>
      <c r="B21" s="5" t="s">
        <v>86</v>
      </c>
      <c r="C21" t="s">
        <v>86</v>
      </c>
      <c r="D21" t="b">
        <f t="shared" si="0"/>
        <v>0</v>
      </c>
    </row>
    <row r="22" spans="1:4" x14ac:dyDescent="0.25">
      <c r="A22" t="s">
        <v>35</v>
      </c>
      <c r="B22" s="5" t="s">
        <v>84</v>
      </c>
      <c r="C22" t="s">
        <v>84</v>
      </c>
      <c r="D22" t="b">
        <f t="shared" si="0"/>
        <v>0</v>
      </c>
    </row>
    <row r="23" spans="1:4" x14ac:dyDescent="0.25">
      <c r="A23" t="s">
        <v>35</v>
      </c>
      <c r="B23" s="5" t="s">
        <v>84</v>
      </c>
      <c r="C23" t="s">
        <v>84</v>
      </c>
      <c r="D23" t="b">
        <f t="shared" si="0"/>
        <v>0</v>
      </c>
    </row>
    <row r="24" spans="1:4" x14ac:dyDescent="0.25">
      <c r="A24" t="s">
        <v>35</v>
      </c>
      <c r="B24" s="5" t="s">
        <v>84</v>
      </c>
      <c r="C24" t="s">
        <v>84</v>
      </c>
      <c r="D24" t="b">
        <f t="shared" si="0"/>
        <v>0</v>
      </c>
    </row>
    <row r="25" spans="1:4" x14ac:dyDescent="0.25">
      <c r="A25" t="s">
        <v>35</v>
      </c>
      <c r="B25" s="5" t="s">
        <v>84</v>
      </c>
      <c r="C25" t="s">
        <v>84</v>
      </c>
      <c r="D25" t="b">
        <f t="shared" si="0"/>
        <v>0</v>
      </c>
    </row>
    <row r="26" spans="1:4" x14ac:dyDescent="0.25">
      <c r="A26" t="s">
        <v>35</v>
      </c>
      <c r="B26" s="5" t="s">
        <v>84</v>
      </c>
      <c r="C26" t="s">
        <v>84</v>
      </c>
      <c r="D26" t="b">
        <f t="shared" si="0"/>
        <v>0</v>
      </c>
    </row>
    <row r="27" spans="1:4" x14ac:dyDescent="0.25">
      <c r="A27" t="s">
        <v>35</v>
      </c>
      <c r="B27" s="5" t="s">
        <v>84</v>
      </c>
      <c r="C27" t="s">
        <v>84</v>
      </c>
      <c r="D27" t="b">
        <f t="shared" si="0"/>
        <v>0</v>
      </c>
    </row>
    <row r="28" spans="1:4" x14ac:dyDescent="0.25">
      <c r="A28" t="s">
        <v>35</v>
      </c>
      <c r="B28" s="5" t="s">
        <v>84</v>
      </c>
      <c r="C28" t="s">
        <v>84</v>
      </c>
      <c r="D28" t="b">
        <f t="shared" si="0"/>
        <v>0</v>
      </c>
    </row>
    <row r="29" spans="1:4" x14ac:dyDescent="0.25">
      <c r="A29" t="s">
        <v>35</v>
      </c>
      <c r="B29" s="5" t="s">
        <v>84</v>
      </c>
      <c r="C29" t="s">
        <v>84</v>
      </c>
      <c r="D29" t="b">
        <f t="shared" si="0"/>
        <v>0</v>
      </c>
    </row>
    <row r="30" spans="1:4" x14ac:dyDescent="0.25">
      <c r="A30" t="s">
        <v>35</v>
      </c>
      <c r="B30" s="5" t="s">
        <v>84</v>
      </c>
      <c r="C30" t="s">
        <v>84</v>
      </c>
      <c r="D30" t="b">
        <f t="shared" si="0"/>
        <v>0</v>
      </c>
    </row>
    <row r="31" spans="1:4" x14ac:dyDescent="0.25">
      <c r="A31" t="s">
        <v>35</v>
      </c>
      <c r="B31" s="5" t="s">
        <v>84</v>
      </c>
      <c r="C31" t="s">
        <v>84</v>
      </c>
      <c r="D31" t="b">
        <f t="shared" si="0"/>
        <v>0</v>
      </c>
    </row>
    <row r="32" spans="1:4" x14ac:dyDescent="0.25">
      <c r="A32" t="s">
        <v>35</v>
      </c>
      <c r="B32" s="5" t="s">
        <v>84</v>
      </c>
      <c r="C32" t="s">
        <v>84</v>
      </c>
      <c r="D32" t="b">
        <f t="shared" si="0"/>
        <v>0</v>
      </c>
    </row>
    <row r="33" spans="1:4" x14ac:dyDescent="0.25">
      <c r="A33" t="s">
        <v>35</v>
      </c>
      <c r="B33" s="5" t="s">
        <v>84</v>
      </c>
      <c r="C33" t="s">
        <v>84</v>
      </c>
      <c r="D33" t="b">
        <f t="shared" si="0"/>
        <v>0</v>
      </c>
    </row>
    <row r="34" spans="1:4" x14ac:dyDescent="0.25">
      <c r="A34" t="s">
        <v>35</v>
      </c>
      <c r="B34" s="5" t="s">
        <v>84</v>
      </c>
      <c r="C34" t="s">
        <v>84</v>
      </c>
      <c r="D34" t="b">
        <f t="shared" si="0"/>
        <v>0</v>
      </c>
    </row>
    <row r="35" spans="1:4" x14ac:dyDescent="0.25">
      <c r="A35" t="s">
        <v>35</v>
      </c>
      <c r="B35" s="5" t="s">
        <v>84</v>
      </c>
      <c r="C35" t="s">
        <v>84</v>
      </c>
      <c r="D35" t="b">
        <f t="shared" si="0"/>
        <v>0</v>
      </c>
    </row>
    <row r="36" spans="1:4" x14ac:dyDescent="0.25">
      <c r="A36" t="s">
        <v>35</v>
      </c>
      <c r="B36" s="5" t="s">
        <v>84</v>
      </c>
      <c r="C36" t="s">
        <v>84</v>
      </c>
      <c r="D36" t="b">
        <f t="shared" si="0"/>
        <v>0</v>
      </c>
    </row>
    <row r="37" spans="1:4" x14ac:dyDescent="0.25">
      <c r="A37" t="s">
        <v>41</v>
      </c>
      <c r="B37" s="5" t="s">
        <v>1893</v>
      </c>
      <c r="C37" t="s">
        <v>206</v>
      </c>
      <c r="D37" t="b">
        <f t="shared" si="0"/>
        <v>1</v>
      </c>
    </row>
    <row r="38" spans="1:4" x14ac:dyDescent="0.25">
      <c r="A38" t="s">
        <v>41</v>
      </c>
      <c r="B38" s="5" t="s">
        <v>207</v>
      </c>
      <c r="C38" t="s">
        <v>207</v>
      </c>
      <c r="D38" t="b">
        <f t="shared" si="0"/>
        <v>0</v>
      </c>
    </row>
    <row r="39" spans="1:4" x14ac:dyDescent="0.25">
      <c r="A39" t="s">
        <v>41</v>
      </c>
      <c r="B39" s="5" t="s">
        <v>88</v>
      </c>
      <c r="C39" t="s">
        <v>88</v>
      </c>
      <c r="D39" t="b">
        <f t="shared" si="0"/>
        <v>0</v>
      </c>
    </row>
    <row r="40" spans="1:4" x14ac:dyDescent="0.25">
      <c r="A40" t="s">
        <v>41</v>
      </c>
      <c r="B40" s="5" t="s">
        <v>353</v>
      </c>
      <c r="C40" t="s">
        <v>353</v>
      </c>
      <c r="D40" t="b">
        <f t="shared" si="0"/>
        <v>0</v>
      </c>
    </row>
    <row r="41" spans="1:4" x14ac:dyDescent="0.25">
      <c r="A41" t="s">
        <v>41</v>
      </c>
      <c r="B41" s="5" t="s">
        <v>1902</v>
      </c>
      <c r="C41" t="s">
        <v>1902</v>
      </c>
      <c r="D41" t="b">
        <f t="shared" si="0"/>
        <v>0</v>
      </c>
    </row>
    <row r="42" spans="1:4" x14ac:dyDescent="0.25">
      <c r="A42" t="s">
        <v>41</v>
      </c>
      <c r="B42" s="5" t="s">
        <v>212</v>
      </c>
      <c r="C42" t="s">
        <v>212</v>
      </c>
      <c r="D42" t="b">
        <f t="shared" si="0"/>
        <v>0</v>
      </c>
    </row>
    <row r="43" spans="1:4" x14ac:dyDescent="0.25">
      <c r="A43" t="s">
        <v>41</v>
      </c>
      <c r="B43" s="5" t="s">
        <v>158</v>
      </c>
      <c r="C43" t="s">
        <v>158</v>
      </c>
      <c r="D43" t="b">
        <f t="shared" si="0"/>
        <v>0</v>
      </c>
    </row>
    <row r="44" spans="1:4" x14ac:dyDescent="0.25">
      <c r="A44" t="s">
        <v>41</v>
      </c>
      <c r="B44" s="5" t="s">
        <v>86</v>
      </c>
      <c r="C44" t="s">
        <v>161</v>
      </c>
      <c r="D44" t="b">
        <f t="shared" si="0"/>
        <v>1</v>
      </c>
    </row>
    <row r="45" spans="1:4" x14ac:dyDescent="0.25">
      <c r="A45" t="s">
        <v>41</v>
      </c>
      <c r="B45" s="5" t="s">
        <v>159</v>
      </c>
      <c r="C45" t="s">
        <v>159</v>
      </c>
      <c r="D45" t="b">
        <f t="shared" si="0"/>
        <v>0</v>
      </c>
    </row>
    <row r="46" spans="1:4" x14ac:dyDescent="0.25">
      <c r="A46" t="s">
        <v>41</v>
      </c>
      <c r="B46" s="5" t="s">
        <v>1529</v>
      </c>
      <c r="C46" t="s">
        <v>1485</v>
      </c>
      <c r="D46" t="b">
        <f t="shared" si="0"/>
        <v>1</v>
      </c>
    </row>
    <row r="47" spans="1:4" x14ac:dyDescent="0.25">
      <c r="A47" t="s">
        <v>42</v>
      </c>
      <c r="B47" s="5" t="s">
        <v>571</v>
      </c>
      <c r="C47" t="s">
        <v>571</v>
      </c>
      <c r="D47" t="b">
        <f t="shared" si="0"/>
        <v>0</v>
      </c>
    </row>
    <row r="48" spans="1:4" x14ac:dyDescent="0.25">
      <c r="A48" t="s">
        <v>42</v>
      </c>
      <c r="B48" s="5" t="s">
        <v>2214</v>
      </c>
      <c r="C48" t="s">
        <v>1486</v>
      </c>
      <c r="D48" t="b">
        <f t="shared" si="0"/>
        <v>1</v>
      </c>
    </row>
    <row r="49" spans="1:5" x14ac:dyDescent="0.25">
      <c r="A49" t="s">
        <v>42</v>
      </c>
      <c r="B49" s="5" t="s">
        <v>1487</v>
      </c>
      <c r="C49" t="s">
        <v>1487</v>
      </c>
      <c r="D49" t="b">
        <f t="shared" si="0"/>
        <v>0</v>
      </c>
    </row>
    <row r="50" spans="1:5" x14ac:dyDescent="0.25">
      <c r="A50" t="s">
        <v>42</v>
      </c>
      <c r="B50" s="5" t="s">
        <v>1488</v>
      </c>
      <c r="C50" t="s">
        <v>1488</v>
      </c>
      <c r="D50" t="b">
        <f t="shared" si="0"/>
        <v>0</v>
      </c>
    </row>
    <row r="51" spans="1:5" x14ac:dyDescent="0.25">
      <c r="A51" t="s">
        <v>42</v>
      </c>
      <c r="B51" s="5" t="s">
        <v>1489</v>
      </c>
      <c r="C51" t="s">
        <v>1489</v>
      </c>
      <c r="D51" t="b">
        <f t="shared" si="0"/>
        <v>0</v>
      </c>
    </row>
    <row r="52" spans="1:5" x14ac:dyDescent="0.25">
      <c r="A52" t="s">
        <v>42</v>
      </c>
      <c r="B52" s="5" t="s">
        <v>924</v>
      </c>
      <c r="C52" t="s">
        <v>924</v>
      </c>
      <c r="D52" t="b">
        <f t="shared" si="0"/>
        <v>0</v>
      </c>
    </row>
    <row r="53" spans="1:5" x14ac:dyDescent="0.25">
      <c r="A53" t="s">
        <v>42</v>
      </c>
      <c r="B53" s="5" t="s">
        <v>1901</v>
      </c>
      <c r="C53" t="s">
        <v>1490</v>
      </c>
      <c r="D53" t="b">
        <f t="shared" si="0"/>
        <v>1</v>
      </c>
    </row>
    <row r="54" spans="1:5" x14ac:dyDescent="0.25">
      <c r="A54" t="s">
        <v>42</v>
      </c>
      <c r="B54" s="5" t="s">
        <v>1897</v>
      </c>
      <c r="C54" t="s">
        <v>678</v>
      </c>
      <c r="D54" t="b">
        <f t="shared" si="0"/>
        <v>1</v>
      </c>
    </row>
    <row r="55" spans="1:5" x14ac:dyDescent="0.25">
      <c r="A55" t="s">
        <v>1484</v>
      </c>
      <c r="B55" s="5" t="s">
        <v>1491</v>
      </c>
      <c r="C55" t="s">
        <v>1491</v>
      </c>
      <c r="D55" t="b">
        <f t="shared" si="0"/>
        <v>0</v>
      </c>
    </row>
    <row r="56" spans="1:5" x14ac:dyDescent="0.25">
      <c r="A56" t="s">
        <v>1484</v>
      </c>
      <c r="B56" s="5" t="s">
        <v>1492</v>
      </c>
      <c r="C56" t="s">
        <v>1492</v>
      </c>
      <c r="D56" t="b">
        <f t="shared" si="0"/>
        <v>0</v>
      </c>
    </row>
    <row r="57" spans="1:5" x14ac:dyDescent="0.25">
      <c r="A57" t="s">
        <v>1484</v>
      </c>
      <c r="B57" s="5" t="s">
        <v>110</v>
      </c>
      <c r="C57" t="s">
        <v>110</v>
      </c>
      <c r="D57" t="b">
        <f t="shared" si="0"/>
        <v>0</v>
      </c>
    </row>
    <row r="58" spans="1:5" x14ac:dyDescent="0.25">
      <c r="A58" t="s">
        <v>1484</v>
      </c>
      <c r="B58" s="5" t="s">
        <v>1493</v>
      </c>
      <c r="C58" t="s">
        <v>1493</v>
      </c>
      <c r="D58" t="b">
        <f t="shared" si="0"/>
        <v>0</v>
      </c>
    </row>
    <row r="59" spans="1:5" x14ac:dyDescent="0.25">
      <c r="A59" t="s">
        <v>1484</v>
      </c>
      <c r="B59" s="5" t="s">
        <v>1494</v>
      </c>
      <c r="C59" t="s">
        <v>1494</v>
      </c>
      <c r="D59" t="b">
        <f t="shared" si="0"/>
        <v>0</v>
      </c>
    </row>
    <row r="60" spans="1:5" x14ac:dyDescent="0.25">
      <c r="A60" t="s">
        <v>1484</v>
      </c>
      <c r="B60" s="5" t="s">
        <v>1495</v>
      </c>
      <c r="C60" t="s">
        <v>1495</v>
      </c>
      <c r="D60" t="b">
        <f t="shared" si="0"/>
        <v>0</v>
      </c>
    </row>
    <row r="61" spans="1:5" x14ac:dyDescent="0.25">
      <c r="A61" t="s">
        <v>1484</v>
      </c>
      <c r="B61" s="5" t="s">
        <v>2216</v>
      </c>
      <c r="C61" t="s">
        <v>1496</v>
      </c>
      <c r="D61" t="b">
        <f t="shared" si="0"/>
        <v>1</v>
      </c>
    </row>
    <row r="62" spans="1:5" x14ac:dyDescent="0.25">
      <c r="A62" t="s">
        <v>1484</v>
      </c>
      <c r="B62" s="5" t="s">
        <v>94</v>
      </c>
      <c r="C62" t="s">
        <v>94</v>
      </c>
      <c r="D62" t="b">
        <f t="shared" si="0"/>
        <v>0</v>
      </c>
    </row>
    <row r="63" spans="1:5" x14ac:dyDescent="0.25">
      <c r="A63" t="s">
        <v>1484</v>
      </c>
      <c r="B63" s="5" t="s">
        <v>1497</v>
      </c>
      <c r="C63" t="s">
        <v>1497</v>
      </c>
      <c r="D63" t="b">
        <f t="shared" si="0"/>
        <v>0</v>
      </c>
    </row>
    <row r="64" spans="1:5" x14ac:dyDescent="0.25">
      <c r="A64" t="s">
        <v>1484</v>
      </c>
      <c r="B64" s="23" t="s">
        <v>1498</v>
      </c>
      <c r="C64" t="s">
        <v>1498</v>
      </c>
      <c r="D64" t="b">
        <f t="shared" si="0"/>
        <v>0</v>
      </c>
      <c r="E64" s="5" t="s">
        <v>1900</v>
      </c>
    </row>
    <row r="65" spans="1:5" x14ac:dyDescent="0.25">
      <c r="A65" t="s">
        <v>1484</v>
      </c>
      <c r="B65" s="5" t="s">
        <v>1499</v>
      </c>
      <c r="C65" t="s">
        <v>1499</v>
      </c>
      <c r="D65" t="b">
        <f t="shared" si="0"/>
        <v>0</v>
      </c>
    </row>
    <row r="66" spans="1:5" x14ac:dyDescent="0.25">
      <c r="A66" t="s">
        <v>1484</v>
      </c>
      <c r="B66" s="23" t="s">
        <v>1500</v>
      </c>
      <c r="C66" t="s">
        <v>1500</v>
      </c>
      <c r="D66" t="b">
        <f t="shared" si="0"/>
        <v>0</v>
      </c>
      <c r="E66" t="s">
        <v>1889</v>
      </c>
    </row>
    <row r="67" spans="1:5" x14ac:dyDescent="0.25">
      <c r="A67" t="s">
        <v>1484</v>
      </c>
      <c r="B67" s="5" t="s">
        <v>1501</v>
      </c>
      <c r="C67" t="s">
        <v>1501</v>
      </c>
      <c r="D67" t="b">
        <f t="shared" si="0"/>
        <v>0</v>
      </c>
    </row>
    <row r="68" spans="1:5" x14ac:dyDescent="0.25">
      <c r="A68" t="s">
        <v>1484</v>
      </c>
      <c r="B68" s="5" t="s">
        <v>1502</v>
      </c>
      <c r="C68" t="s">
        <v>1502</v>
      </c>
      <c r="D68" t="b">
        <f t="shared" si="0"/>
        <v>0</v>
      </c>
    </row>
    <row r="69" spans="1:5" x14ac:dyDescent="0.25">
      <c r="A69" t="s">
        <v>1484</v>
      </c>
      <c r="B69" s="5" t="s">
        <v>1503</v>
      </c>
      <c r="C69" t="s">
        <v>1503</v>
      </c>
      <c r="D69" t="b">
        <f t="shared" ref="D69:D102" si="2">B69&lt;&gt;C69</f>
        <v>0</v>
      </c>
    </row>
    <row r="70" spans="1:5" x14ac:dyDescent="0.25">
      <c r="A70" t="s">
        <v>1484</v>
      </c>
      <c r="B70" s="5" t="s">
        <v>1892</v>
      </c>
      <c r="C70" t="s">
        <v>1504</v>
      </c>
      <c r="D70" t="b">
        <f t="shared" si="2"/>
        <v>1</v>
      </c>
    </row>
    <row r="71" spans="1:5" x14ac:dyDescent="0.25">
      <c r="A71" t="s">
        <v>1484</v>
      </c>
      <c r="B71" s="5" t="s">
        <v>1505</v>
      </c>
      <c r="C71" t="s">
        <v>1505</v>
      </c>
      <c r="D71" t="b">
        <f t="shared" si="2"/>
        <v>0</v>
      </c>
    </row>
    <row r="72" spans="1:5" x14ac:dyDescent="0.25">
      <c r="A72" t="s">
        <v>1484</v>
      </c>
      <c r="B72" s="5" t="s">
        <v>1506</v>
      </c>
      <c r="C72" t="s">
        <v>1506</v>
      </c>
      <c r="D72" t="b">
        <f t="shared" si="2"/>
        <v>0</v>
      </c>
    </row>
    <row r="73" spans="1:5" x14ac:dyDescent="0.25">
      <c r="A73" t="s">
        <v>1484</v>
      </c>
      <c r="B73" s="5" t="s">
        <v>221</v>
      </c>
      <c r="C73" t="s">
        <v>1507</v>
      </c>
      <c r="D73" t="b">
        <f t="shared" si="2"/>
        <v>1</v>
      </c>
    </row>
    <row r="74" spans="1:5" x14ac:dyDescent="0.25">
      <c r="A74" t="s">
        <v>1484</v>
      </c>
      <c r="B74" s="5" t="s">
        <v>1508</v>
      </c>
      <c r="C74" t="s">
        <v>1508</v>
      </c>
      <c r="D74" t="b">
        <f t="shared" si="2"/>
        <v>0</v>
      </c>
    </row>
    <row r="75" spans="1:5" x14ac:dyDescent="0.25">
      <c r="A75" t="s">
        <v>1484</v>
      </c>
      <c r="B75" s="5" t="s">
        <v>1509</v>
      </c>
      <c r="C75" t="s">
        <v>1509</v>
      </c>
      <c r="D75" t="b">
        <f t="shared" si="2"/>
        <v>0</v>
      </c>
    </row>
    <row r="76" spans="1:5" x14ac:dyDescent="0.25">
      <c r="A76" t="s">
        <v>1484</v>
      </c>
      <c r="B76" s="5" t="s">
        <v>1898</v>
      </c>
      <c r="C76" t="s">
        <v>1510</v>
      </c>
      <c r="D76" t="b">
        <f t="shared" si="2"/>
        <v>1</v>
      </c>
    </row>
    <row r="77" spans="1:5" x14ac:dyDescent="0.25">
      <c r="A77" t="s">
        <v>1484</v>
      </c>
      <c r="B77" s="5" t="s">
        <v>1511</v>
      </c>
      <c r="C77" t="s">
        <v>1511</v>
      </c>
      <c r="D77" t="b">
        <f t="shared" si="2"/>
        <v>0</v>
      </c>
    </row>
    <row r="78" spans="1:5" x14ac:dyDescent="0.25">
      <c r="A78" t="s">
        <v>1484</v>
      </c>
      <c r="B78" s="5" t="s">
        <v>2212</v>
      </c>
      <c r="C78" t="s">
        <v>1512</v>
      </c>
      <c r="D78" t="b">
        <f t="shared" si="2"/>
        <v>1</v>
      </c>
    </row>
    <row r="79" spans="1:5" x14ac:dyDescent="0.25">
      <c r="A79" t="s">
        <v>1484</v>
      </c>
      <c r="B79" s="5" t="s">
        <v>1513</v>
      </c>
      <c r="C79" t="s">
        <v>1513</v>
      </c>
      <c r="D79" t="b">
        <f t="shared" si="2"/>
        <v>0</v>
      </c>
    </row>
    <row r="80" spans="1:5" x14ac:dyDescent="0.25">
      <c r="A80" t="s">
        <v>1484</v>
      </c>
      <c r="B80" s="5" t="s">
        <v>2211</v>
      </c>
      <c r="C80" t="s">
        <v>1514</v>
      </c>
      <c r="D80" t="b">
        <f t="shared" si="2"/>
        <v>1</v>
      </c>
    </row>
    <row r="81" spans="1:4" x14ac:dyDescent="0.25">
      <c r="A81" t="s">
        <v>1484</v>
      </c>
      <c r="B81" t="s">
        <v>1515</v>
      </c>
      <c r="C81" t="s">
        <v>1515</v>
      </c>
      <c r="D81" t="b">
        <f t="shared" si="2"/>
        <v>0</v>
      </c>
    </row>
    <row r="82" spans="1:4" x14ac:dyDescent="0.25">
      <c r="A82" t="s">
        <v>1484</v>
      </c>
      <c r="B82" s="5" t="s">
        <v>1516</v>
      </c>
      <c r="C82" t="s">
        <v>1516</v>
      </c>
      <c r="D82" t="b">
        <f t="shared" si="2"/>
        <v>0</v>
      </c>
    </row>
    <row r="83" spans="1:4" x14ac:dyDescent="0.25">
      <c r="A83" t="s">
        <v>1484</v>
      </c>
      <c r="B83" s="5" t="s">
        <v>1517</v>
      </c>
      <c r="C83" t="s">
        <v>1517</v>
      </c>
      <c r="D83" t="b">
        <f t="shared" si="2"/>
        <v>0</v>
      </c>
    </row>
    <row r="84" spans="1:4" x14ac:dyDescent="0.25">
      <c r="A84" t="s">
        <v>1484</v>
      </c>
      <c r="B84" s="5" t="s">
        <v>1891</v>
      </c>
      <c r="C84" t="s">
        <v>1518</v>
      </c>
      <c r="D84" t="b">
        <f t="shared" si="2"/>
        <v>1</v>
      </c>
    </row>
    <row r="85" spans="1:4" x14ac:dyDescent="0.25">
      <c r="A85" t="s">
        <v>1484</v>
      </c>
      <c r="B85" s="5" t="s">
        <v>2213</v>
      </c>
      <c r="C85" t="s">
        <v>1519</v>
      </c>
      <c r="D85" t="b">
        <f t="shared" si="2"/>
        <v>1</v>
      </c>
    </row>
    <row r="86" spans="1:4" x14ac:dyDescent="0.25">
      <c r="A86" t="s">
        <v>1484</v>
      </c>
      <c r="B86" s="5" t="s">
        <v>1890</v>
      </c>
      <c r="C86" t="s">
        <v>1520</v>
      </c>
      <c r="D86" t="b">
        <f t="shared" si="2"/>
        <v>1</v>
      </c>
    </row>
    <row r="87" spans="1:4" x14ac:dyDescent="0.25">
      <c r="A87" t="s">
        <v>337</v>
      </c>
      <c r="B87" s="5" t="s">
        <v>1521</v>
      </c>
      <c r="C87" t="s">
        <v>1521</v>
      </c>
      <c r="D87" t="b">
        <f t="shared" si="2"/>
        <v>0</v>
      </c>
    </row>
    <row r="88" spans="1:4" x14ac:dyDescent="0.25">
      <c r="A88" t="s">
        <v>337</v>
      </c>
      <c r="B88" s="5" t="s">
        <v>1888</v>
      </c>
      <c r="C88" t="s">
        <v>1522</v>
      </c>
      <c r="D88" t="b">
        <f t="shared" si="2"/>
        <v>1</v>
      </c>
    </row>
    <row r="89" spans="1:4" x14ac:dyDescent="0.25">
      <c r="A89" t="s">
        <v>337</v>
      </c>
      <c r="B89" s="5" t="s">
        <v>1523</v>
      </c>
      <c r="C89" t="s">
        <v>1523</v>
      </c>
      <c r="D89" t="b">
        <f t="shared" si="2"/>
        <v>0</v>
      </c>
    </row>
    <row r="90" spans="1:4" x14ac:dyDescent="0.25">
      <c r="A90" t="s">
        <v>337</v>
      </c>
      <c r="B90" s="5" t="s">
        <v>1631</v>
      </c>
      <c r="C90" t="s">
        <v>524</v>
      </c>
      <c r="D90" t="b">
        <f t="shared" si="2"/>
        <v>1</v>
      </c>
    </row>
    <row r="91" spans="1:4" x14ac:dyDescent="0.25">
      <c r="A91" t="s">
        <v>337</v>
      </c>
      <c r="B91" s="5" t="s">
        <v>1894</v>
      </c>
      <c r="C91" t="s">
        <v>1894</v>
      </c>
      <c r="D91" t="b">
        <f t="shared" si="2"/>
        <v>0</v>
      </c>
    </row>
    <row r="92" spans="1:4" x14ac:dyDescent="0.25">
      <c r="A92" t="s">
        <v>337</v>
      </c>
      <c r="B92" s="5" t="s">
        <v>522</v>
      </c>
      <c r="C92" t="s">
        <v>522</v>
      </c>
      <c r="D92" t="b">
        <f t="shared" si="2"/>
        <v>0</v>
      </c>
    </row>
    <row r="93" spans="1:4" x14ac:dyDescent="0.25">
      <c r="A93" t="s">
        <v>337</v>
      </c>
      <c r="B93" s="5" t="s">
        <v>533</v>
      </c>
      <c r="C93" t="s">
        <v>533</v>
      </c>
      <c r="D93" t="b">
        <f t="shared" si="2"/>
        <v>0</v>
      </c>
    </row>
    <row r="94" spans="1:4" x14ac:dyDescent="0.25">
      <c r="A94" t="s">
        <v>337</v>
      </c>
      <c r="B94" s="5" t="s">
        <v>2215</v>
      </c>
      <c r="C94" t="s">
        <v>1524</v>
      </c>
      <c r="D94" t="b">
        <f t="shared" si="2"/>
        <v>1</v>
      </c>
    </row>
    <row r="95" spans="1:4" x14ac:dyDescent="0.25">
      <c r="A95" t="s">
        <v>43</v>
      </c>
      <c r="B95" s="5" t="s">
        <v>1899</v>
      </c>
      <c r="C95" t="s">
        <v>1904</v>
      </c>
      <c r="D95" t="b">
        <f t="shared" si="2"/>
        <v>1</v>
      </c>
    </row>
    <row r="96" spans="1:4" x14ac:dyDescent="0.25">
      <c r="A96" t="s">
        <v>43</v>
      </c>
      <c r="B96" s="5" t="s">
        <v>1896</v>
      </c>
      <c r="C96" t="s">
        <v>1896</v>
      </c>
      <c r="D96" t="b">
        <f t="shared" si="2"/>
        <v>0</v>
      </c>
    </row>
    <row r="97" spans="1:4" x14ac:dyDescent="0.25">
      <c r="A97" t="s">
        <v>43</v>
      </c>
      <c r="B97" s="5" t="s">
        <v>1886</v>
      </c>
      <c r="C97" t="s">
        <v>1886</v>
      </c>
      <c r="D97" t="b">
        <f t="shared" si="2"/>
        <v>0</v>
      </c>
    </row>
    <row r="98" spans="1:4" x14ac:dyDescent="0.25">
      <c r="A98" t="s">
        <v>43</v>
      </c>
      <c r="B98" s="5" t="s">
        <v>1525</v>
      </c>
      <c r="C98" t="s">
        <v>1525</v>
      </c>
      <c r="D98" t="b">
        <f t="shared" si="2"/>
        <v>0</v>
      </c>
    </row>
    <row r="99" spans="1:4" x14ac:dyDescent="0.25">
      <c r="A99" t="s">
        <v>43</v>
      </c>
      <c r="B99" s="5" t="s">
        <v>786</v>
      </c>
      <c r="C99" t="s">
        <v>786</v>
      </c>
      <c r="D99" t="b">
        <f t="shared" si="2"/>
        <v>0</v>
      </c>
    </row>
    <row r="100" spans="1:4" x14ac:dyDescent="0.25">
      <c r="A100" t="s">
        <v>43</v>
      </c>
      <c r="B100" s="5" t="s">
        <v>128</v>
      </c>
      <c r="C100" t="s">
        <v>128</v>
      </c>
      <c r="D100" t="b">
        <f t="shared" si="2"/>
        <v>0</v>
      </c>
    </row>
    <row r="101" spans="1:4" x14ac:dyDescent="0.25">
      <c r="A101" t="s">
        <v>43</v>
      </c>
      <c r="B101" s="5" t="s">
        <v>1887</v>
      </c>
      <c r="C101" t="s">
        <v>1887</v>
      </c>
      <c r="D101" t="b">
        <f t="shared" si="2"/>
        <v>0</v>
      </c>
    </row>
    <row r="102" spans="1:4" x14ac:dyDescent="0.25">
      <c r="A102" s="5" t="s">
        <v>43</v>
      </c>
      <c r="B102" s="5" t="s">
        <v>1903</v>
      </c>
      <c r="C102" t="s">
        <v>129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6" operator="notContains" id="{A2DD99C5-64E9-4250-A56C-CECD4CBE9616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B3:B80 B82:B102</xm:sqref>
        </x14:conditionalFormatting>
        <x14:conditionalFormatting xmlns:xm="http://schemas.microsoft.com/office/excel/2006/main">
          <x14:cfRule type="notContainsText" priority="1" operator="notContains" id="{29EF77CD-181F-434B-8424-42AA641AF2B3}">
            <xm:f>ISERROR(SEARCH(A81,B81))</xm:f>
            <xm:f>A81</xm:f>
            <x14:dxf>
              <fill>
                <patternFill>
                  <bgColor theme="5" tint="0.79998168889431442"/>
                </patternFill>
              </fill>
            </x14:dxf>
          </x14:cfRule>
          <xm:sqref>B81</xm:sqref>
        </x14:conditionalFormatting>
        <x14:conditionalFormatting xmlns:xm="http://schemas.microsoft.com/office/excel/2006/main">
          <x14:cfRule type="notContainsText" priority="5" operator="notContains" id="{85E729E8-D785-4272-8FC5-21DFACBCF27E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CD51-7718-44A5-9A26-1B365003972F}">
  <dimension ref="A1:J104"/>
  <sheetViews>
    <sheetView workbookViewId="0">
      <selection activeCell="C96" sqref="C96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9.140625" bestFit="1" customWidth="1"/>
    <col min="9" max="9" width="22.28515625" style="3" bestFit="1" customWidth="1"/>
    <col min="10" max="10" width="9.140625" style="3"/>
  </cols>
  <sheetData>
    <row r="1" spans="1:10" ht="21" x14ac:dyDescent="0.25">
      <c r="A1" s="31" t="s">
        <v>56</v>
      </c>
      <c r="B1" s="31"/>
      <c r="C1" s="31"/>
      <c r="D1" s="31"/>
      <c r="E1" s="31"/>
      <c r="F1" s="31"/>
      <c r="G1" s="31"/>
      <c r="I1" s="32"/>
      <c r="J1" s="32"/>
    </row>
    <row r="2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13</v>
      </c>
      <c r="I2" s="4"/>
      <c r="J2" s="4"/>
    </row>
    <row r="3" spans="1:10" x14ac:dyDescent="0.25">
      <c r="A3" s="24" t="s">
        <v>2031</v>
      </c>
      <c r="B3" s="5" t="s">
        <v>2081</v>
      </c>
      <c r="C3" s="5" t="s">
        <v>2081</v>
      </c>
      <c r="D3" s="3" t="b">
        <f>B3&lt;&gt;C3</f>
        <v>0</v>
      </c>
      <c r="F3" s="4" t="s">
        <v>37</v>
      </c>
      <c r="G3" s="25">
        <f>SUM(G5:G29)</f>
        <v>100</v>
      </c>
      <c r="I3" s="4"/>
      <c r="J3" s="4"/>
    </row>
    <row r="4" spans="1:10" x14ac:dyDescent="0.25">
      <c r="A4" t="s">
        <v>35</v>
      </c>
      <c r="B4" s="5" t="s">
        <v>57</v>
      </c>
      <c r="C4" t="s">
        <v>57</v>
      </c>
      <c r="D4" s="3" t="b">
        <f>B4&lt;&gt;C4</f>
        <v>0</v>
      </c>
    </row>
    <row r="5" spans="1:10" x14ac:dyDescent="0.25">
      <c r="A5" t="s">
        <v>35</v>
      </c>
      <c r="B5" s="5" t="s">
        <v>58</v>
      </c>
      <c r="C5" t="s">
        <v>58</v>
      </c>
      <c r="D5" s="3" t="b">
        <f t="shared" ref="D5:D68" si="0">B5&lt;&gt;C5</f>
        <v>0</v>
      </c>
      <c r="F5" s="6" t="s">
        <v>39</v>
      </c>
      <c r="G5" s="1"/>
    </row>
    <row r="6" spans="1:10" x14ac:dyDescent="0.25">
      <c r="A6" t="s">
        <v>35</v>
      </c>
      <c r="B6" s="5" t="s">
        <v>59</v>
      </c>
      <c r="C6" t="s">
        <v>59</v>
      </c>
      <c r="D6" s="3" t="b">
        <f t="shared" si="0"/>
        <v>0</v>
      </c>
      <c r="F6" s="7" t="s">
        <v>2031</v>
      </c>
      <c r="G6" s="2">
        <f t="shared" ref="G6:G14" si="1">COUNTIF(A:A,F6)</f>
        <v>1</v>
      </c>
    </row>
    <row r="7" spans="1:10" x14ac:dyDescent="0.25">
      <c r="A7" t="s">
        <v>35</v>
      </c>
      <c r="B7" s="5" t="s">
        <v>60</v>
      </c>
      <c r="C7" t="s">
        <v>60</v>
      </c>
      <c r="D7" s="3" t="b">
        <f t="shared" si="0"/>
        <v>0</v>
      </c>
      <c r="F7" s="3" t="s">
        <v>35</v>
      </c>
      <c r="G7" s="2">
        <f t="shared" si="1"/>
        <v>36</v>
      </c>
    </row>
    <row r="8" spans="1:10" x14ac:dyDescent="0.25">
      <c r="A8" t="s">
        <v>35</v>
      </c>
      <c r="B8" s="5" t="s">
        <v>61</v>
      </c>
      <c r="C8" t="s">
        <v>61</v>
      </c>
      <c r="D8" s="3" t="b">
        <f t="shared" si="0"/>
        <v>0</v>
      </c>
      <c r="F8" s="7" t="s">
        <v>41</v>
      </c>
      <c r="G8" s="2">
        <f t="shared" si="1"/>
        <v>9</v>
      </c>
    </row>
    <row r="9" spans="1:10" x14ac:dyDescent="0.25">
      <c r="A9" t="s">
        <v>35</v>
      </c>
      <c r="B9" s="5" t="s">
        <v>62</v>
      </c>
      <c r="C9" t="s">
        <v>62</v>
      </c>
      <c r="D9" s="3" t="b">
        <f t="shared" si="0"/>
        <v>0</v>
      </c>
      <c r="F9" s="7" t="s">
        <v>42</v>
      </c>
      <c r="G9" s="2">
        <f t="shared" si="1"/>
        <v>9</v>
      </c>
    </row>
    <row r="10" spans="1:10" x14ac:dyDescent="0.25">
      <c r="A10" t="s">
        <v>35</v>
      </c>
      <c r="B10" s="5"/>
      <c r="C10" t="s">
        <v>63</v>
      </c>
      <c r="D10" s="3" t="b">
        <f t="shared" si="0"/>
        <v>1</v>
      </c>
      <c r="F10" s="3" t="s">
        <v>65</v>
      </c>
      <c r="G10" s="2">
        <f t="shared" si="1"/>
        <v>10</v>
      </c>
    </row>
    <row r="11" spans="1:10" x14ac:dyDescent="0.25">
      <c r="A11" t="s">
        <v>35</v>
      </c>
      <c r="B11" s="23" t="s">
        <v>64</v>
      </c>
      <c r="C11" t="s">
        <v>64</v>
      </c>
      <c r="D11" s="3" t="b">
        <f t="shared" si="0"/>
        <v>0</v>
      </c>
      <c r="F11" s="7" t="s">
        <v>271</v>
      </c>
      <c r="G11" s="2">
        <f t="shared" si="1"/>
        <v>5</v>
      </c>
    </row>
    <row r="12" spans="1:10" x14ac:dyDescent="0.25">
      <c r="A12" t="s">
        <v>35</v>
      </c>
      <c r="B12" s="5" t="s">
        <v>40</v>
      </c>
      <c r="C12" t="s">
        <v>40</v>
      </c>
      <c r="D12" s="3" t="b">
        <f t="shared" si="0"/>
        <v>0</v>
      </c>
      <c r="F12" s="7" t="s">
        <v>68</v>
      </c>
      <c r="G12" s="2">
        <f t="shared" si="1"/>
        <v>13</v>
      </c>
    </row>
    <row r="13" spans="1:10" x14ac:dyDescent="0.25">
      <c r="A13" t="s">
        <v>35</v>
      </c>
      <c r="B13" s="5" t="s">
        <v>67</v>
      </c>
      <c r="C13" t="s">
        <v>67</v>
      </c>
      <c r="D13" s="3" t="b">
        <f t="shared" si="0"/>
        <v>0</v>
      </c>
      <c r="F13" s="7" t="s">
        <v>1709</v>
      </c>
      <c r="G13" s="2">
        <f t="shared" si="1"/>
        <v>4</v>
      </c>
    </row>
    <row r="14" spans="1:10" x14ac:dyDescent="0.25">
      <c r="A14" t="s">
        <v>35</v>
      </c>
      <c r="B14" s="5" t="s">
        <v>69</v>
      </c>
      <c r="C14" t="s">
        <v>69</v>
      </c>
      <c r="D14" s="3" t="b">
        <f t="shared" si="0"/>
        <v>0</v>
      </c>
      <c r="F14" s="7" t="s">
        <v>482</v>
      </c>
      <c r="G14" s="2">
        <f t="shared" si="1"/>
        <v>13</v>
      </c>
    </row>
    <row r="15" spans="1:10" x14ac:dyDescent="0.25">
      <c r="A15" t="s">
        <v>35</v>
      </c>
      <c r="B15" s="5"/>
      <c r="C15" t="s">
        <v>71</v>
      </c>
      <c r="D15" s="3" t="b">
        <f t="shared" si="0"/>
        <v>1</v>
      </c>
    </row>
    <row r="16" spans="1:10" x14ac:dyDescent="0.25">
      <c r="A16" t="s">
        <v>35</v>
      </c>
      <c r="B16" s="5" t="s">
        <v>72</v>
      </c>
      <c r="C16" t="s">
        <v>72</v>
      </c>
      <c r="D16" s="3" t="b">
        <f t="shared" si="0"/>
        <v>0</v>
      </c>
    </row>
    <row r="17" spans="1:7" x14ac:dyDescent="0.25">
      <c r="A17" t="s">
        <v>35</v>
      </c>
      <c r="B17" s="23" t="s">
        <v>73</v>
      </c>
      <c r="C17" t="s">
        <v>73</v>
      </c>
      <c r="D17" s="3" t="b">
        <f t="shared" si="0"/>
        <v>0</v>
      </c>
      <c r="G17" s="2"/>
    </row>
    <row r="18" spans="1:7" x14ac:dyDescent="0.25">
      <c r="A18" t="s">
        <v>35</v>
      </c>
      <c r="B18" s="5" t="s">
        <v>74</v>
      </c>
      <c r="C18" t="s">
        <v>74</v>
      </c>
      <c r="D18" s="3" t="b">
        <f t="shared" si="0"/>
        <v>0</v>
      </c>
      <c r="G18" s="2"/>
    </row>
    <row r="19" spans="1:7" x14ac:dyDescent="0.25">
      <c r="A19" t="s">
        <v>35</v>
      </c>
      <c r="B19" s="5"/>
      <c r="C19" t="s">
        <v>75</v>
      </c>
      <c r="D19" s="3" t="b">
        <f t="shared" si="0"/>
        <v>1</v>
      </c>
      <c r="G19" s="2"/>
    </row>
    <row r="20" spans="1:7" x14ac:dyDescent="0.25">
      <c r="A20" t="s">
        <v>35</v>
      </c>
      <c r="B20" s="5"/>
      <c r="C20" t="s">
        <v>76</v>
      </c>
      <c r="D20" s="3" t="b">
        <f t="shared" si="0"/>
        <v>1</v>
      </c>
      <c r="G20" s="2"/>
    </row>
    <row r="21" spans="1:7" x14ac:dyDescent="0.25">
      <c r="A21" t="s">
        <v>35</v>
      </c>
      <c r="B21" s="23" t="s">
        <v>77</v>
      </c>
      <c r="C21" t="s">
        <v>77</v>
      </c>
      <c r="D21" s="3" t="b">
        <f t="shared" si="0"/>
        <v>0</v>
      </c>
      <c r="G21" s="2"/>
    </row>
    <row r="22" spans="1:7" x14ac:dyDescent="0.25">
      <c r="A22" t="s">
        <v>35</v>
      </c>
      <c r="B22" s="5" t="s">
        <v>78</v>
      </c>
      <c r="C22" t="s">
        <v>78</v>
      </c>
      <c r="D22" s="3" t="b">
        <f t="shared" si="0"/>
        <v>0</v>
      </c>
      <c r="G22" s="2"/>
    </row>
    <row r="23" spans="1:7" x14ac:dyDescent="0.25">
      <c r="A23" t="s">
        <v>35</v>
      </c>
      <c r="B23" s="5" t="s">
        <v>79</v>
      </c>
      <c r="C23" t="s">
        <v>79</v>
      </c>
      <c r="D23" s="3" t="b">
        <f t="shared" si="0"/>
        <v>0</v>
      </c>
      <c r="G23" s="2"/>
    </row>
    <row r="24" spans="1:7" x14ac:dyDescent="0.25">
      <c r="A24" t="s">
        <v>35</v>
      </c>
      <c r="B24" s="5" t="s">
        <v>80</v>
      </c>
      <c r="C24" t="s">
        <v>80</v>
      </c>
      <c r="D24" s="3" t="b">
        <f t="shared" si="0"/>
        <v>0</v>
      </c>
      <c r="G24" s="2"/>
    </row>
    <row r="25" spans="1:7" x14ac:dyDescent="0.25">
      <c r="A25" t="s">
        <v>35</v>
      </c>
      <c r="B25" s="5" t="s">
        <v>81</v>
      </c>
      <c r="C25" t="s">
        <v>81</v>
      </c>
      <c r="D25" s="3" t="b">
        <f t="shared" si="0"/>
        <v>0</v>
      </c>
      <c r="G25" s="2"/>
    </row>
    <row r="26" spans="1:7" x14ac:dyDescent="0.25">
      <c r="A26" t="s">
        <v>35</v>
      </c>
      <c r="B26" s="5" t="s">
        <v>82</v>
      </c>
      <c r="C26" t="s">
        <v>82</v>
      </c>
      <c r="D26" s="3" t="b">
        <f t="shared" si="0"/>
        <v>0</v>
      </c>
      <c r="G26" s="2"/>
    </row>
    <row r="27" spans="1:7" x14ac:dyDescent="0.25">
      <c r="A27" t="s">
        <v>35</v>
      </c>
      <c r="B27" s="5"/>
      <c r="C27" t="s">
        <v>83</v>
      </c>
      <c r="D27" s="3" t="b">
        <f t="shared" si="0"/>
        <v>1</v>
      </c>
      <c r="G27" s="2"/>
    </row>
    <row r="28" spans="1:7" x14ac:dyDescent="0.25">
      <c r="A28" t="s">
        <v>35</v>
      </c>
      <c r="B28" s="5" t="s">
        <v>1835</v>
      </c>
      <c r="C28" t="s">
        <v>1835</v>
      </c>
      <c r="D28" s="3" t="b">
        <f t="shared" si="0"/>
        <v>0</v>
      </c>
      <c r="G28" s="2"/>
    </row>
    <row r="29" spans="1:7" x14ac:dyDescent="0.25">
      <c r="A29" t="s">
        <v>35</v>
      </c>
      <c r="B29" s="5" t="s">
        <v>84</v>
      </c>
      <c r="C29" t="s">
        <v>84</v>
      </c>
      <c r="D29" s="3" t="b">
        <f t="shared" si="0"/>
        <v>0</v>
      </c>
      <c r="G29" s="2"/>
    </row>
    <row r="30" spans="1:7" x14ac:dyDescent="0.25">
      <c r="A30" t="s">
        <v>35</v>
      </c>
      <c r="B30" s="5" t="s">
        <v>84</v>
      </c>
      <c r="C30" t="s">
        <v>84</v>
      </c>
      <c r="D30" s="3" t="b">
        <f t="shared" si="0"/>
        <v>0</v>
      </c>
    </row>
    <row r="31" spans="1:7" x14ac:dyDescent="0.25">
      <c r="A31" t="s">
        <v>35</v>
      </c>
      <c r="B31" s="5" t="s">
        <v>84</v>
      </c>
      <c r="C31" t="s">
        <v>84</v>
      </c>
      <c r="D31" s="3" t="b">
        <f t="shared" si="0"/>
        <v>0</v>
      </c>
      <c r="G31" s="2"/>
    </row>
    <row r="32" spans="1:7" x14ac:dyDescent="0.25">
      <c r="A32" t="s">
        <v>35</v>
      </c>
      <c r="B32" s="5" t="s">
        <v>85</v>
      </c>
      <c r="C32" t="s">
        <v>85</v>
      </c>
      <c r="D32" s="3" t="b">
        <f t="shared" si="0"/>
        <v>0</v>
      </c>
      <c r="G32" s="2"/>
    </row>
    <row r="33" spans="1:10" x14ac:dyDescent="0.25">
      <c r="A33" t="s">
        <v>35</v>
      </c>
      <c r="B33" s="5" t="s">
        <v>85</v>
      </c>
      <c r="C33" s="5" t="s">
        <v>85</v>
      </c>
      <c r="D33" s="3" t="b">
        <f t="shared" si="0"/>
        <v>0</v>
      </c>
      <c r="F33"/>
      <c r="G33" s="5"/>
      <c r="I33"/>
    </row>
    <row r="34" spans="1:10" x14ac:dyDescent="0.25">
      <c r="A34" t="s">
        <v>35</v>
      </c>
      <c r="B34" s="5" t="s">
        <v>85</v>
      </c>
      <c r="C34" t="s">
        <v>85</v>
      </c>
      <c r="D34" s="3" t="b">
        <f t="shared" si="0"/>
        <v>0</v>
      </c>
      <c r="G34" s="2"/>
    </row>
    <row r="35" spans="1:10" x14ac:dyDescent="0.25">
      <c r="A35" t="s">
        <v>35</v>
      </c>
      <c r="B35" s="5" t="s">
        <v>85</v>
      </c>
      <c r="C35" t="s">
        <v>85</v>
      </c>
      <c r="D35" s="3" t="b">
        <f t="shared" si="0"/>
        <v>0</v>
      </c>
      <c r="G35" s="2"/>
    </row>
    <row r="36" spans="1:10" x14ac:dyDescent="0.25">
      <c r="A36" t="s">
        <v>35</v>
      </c>
      <c r="B36" s="5" t="s">
        <v>86</v>
      </c>
      <c r="C36" t="s">
        <v>86</v>
      </c>
      <c r="D36" s="3" t="b">
        <f t="shared" si="0"/>
        <v>0</v>
      </c>
      <c r="G36" s="2"/>
    </row>
    <row r="37" spans="1:10" x14ac:dyDescent="0.25">
      <c r="A37" t="s">
        <v>35</v>
      </c>
      <c r="B37" s="5" t="s">
        <v>86</v>
      </c>
      <c r="C37" t="s">
        <v>86</v>
      </c>
      <c r="D37" s="3" t="b">
        <f t="shared" si="0"/>
        <v>0</v>
      </c>
      <c r="G37" s="2"/>
    </row>
    <row r="38" spans="1:10" x14ac:dyDescent="0.25">
      <c r="A38" t="s">
        <v>35</v>
      </c>
      <c r="B38" s="5" t="s">
        <v>86</v>
      </c>
      <c r="C38" t="s">
        <v>86</v>
      </c>
      <c r="D38" s="3" t="b">
        <f t="shared" si="0"/>
        <v>0</v>
      </c>
    </row>
    <row r="39" spans="1:10" x14ac:dyDescent="0.25">
      <c r="A39" t="s">
        <v>35</v>
      </c>
      <c r="B39" s="5" t="s">
        <v>86</v>
      </c>
      <c r="C39" t="s">
        <v>86</v>
      </c>
      <c r="D39" s="3" t="b">
        <f t="shared" si="0"/>
        <v>0</v>
      </c>
      <c r="G39" s="2"/>
    </row>
    <row r="40" spans="1:10" x14ac:dyDescent="0.25">
      <c r="A40" t="s">
        <v>41</v>
      </c>
      <c r="B40" s="5" t="s">
        <v>87</v>
      </c>
      <c r="C40" t="s">
        <v>87</v>
      </c>
      <c r="D40" s="3" t="b">
        <f t="shared" si="0"/>
        <v>0</v>
      </c>
      <c r="F40"/>
      <c r="G40" s="2"/>
    </row>
    <row r="41" spans="1:10" x14ac:dyDescent="0.25">
      <c r="A41" t="s">
        <v>41</v>
      </c>
      <c r="B41" s="5" t="s">
        <v>88</v>
      </c>
      <c r="C41" t="s">
        <v>88</v>
      </c>
      <c r="D41" s="3" t="b">
        <f t="shared" si="0"/>
        <v>0</v>
      </c>
    </row>
    <row r="42" spans="1:10" x14ac:dyDescent="0.25">
      <c r="A42" t="s">
        <v>41</v>
      </c>
      <c r="B42" s="5" t="s">
        <v>89</v>
      </c>
      <c r="C42" t="s">
        <v>89</v>
      </c>
      <c r="D42" s="3" t="b">
        <f t="shared" si="0"/>
        <v>0</v>
      </c>
    </row>
    <row r="43" spans="1:10" x14ac:dyDescent="0.25">
      <c r="A43" t="s">
        <v>41</v>
      </c>
      <c r="B43" s="5" t="s">
        <v>679</v>
      </c>
      <c r="C43" t="s">
        <v>679</v>
      </c>
      <c r="D43" s="3" t="b">
        <f t="shared" si="0"/>
        <v>0</v>
      </c>
    </row>
    <row r="44" spans="1:10" x14ac:dyDescent="0.25">
      <c r="A44" t="s">
        <v>41</v>
      </c>
      <c r="B44" s="5"/>
      <c r="C44" t="s">
        <v>1880</v>
      </c>
      <c r="D44" s="3" t="b">
        <f t="shared" si="0"/>
        <v>1</v>
      </c>
    </row>
    <row r="45" spans="1:10" x14ac:dyDescent="0.25">
      <c r="A45" t="s">
        <v>41</v>
      </c>
      <c r="B45" s="5" t="s">
        <v>90</v>
      </c>
      <c r="C45" t="s">
        <v>90</v>
      </c>
      <c r="D45" s="3" t="b">
        <f t="shared" si="0"/>
        <v>0</v>
      </c>
    </row>
    <row r="46" spans="1:10" x14ac:dyDescent="0.25">
      <c r="A46" t="s">
        <v>41</v>
      </c>
      <c r="B46" s="5" t="s">
        <v>494</v>
      </c>
      <c r="C46" t="s">
        <v>494</v>
      </c>
      <c r="D46" s="3" t="b">
        <f t="shared" si="0"/>
        <v>0</v>
      </c>
    </row>
    <row r="47" spans="1:10" x14ac:dyDescent="0.25">
      <c r="A47" t="s">
        <v>41</v>
      </c>
      <c r="B47" s="5" t="s">
        <v>496</v>
      </c>
      <c r="C47" t="s">
        <v>496</v>
      </c>
      <c r="D47" s="3" t="b">
        <f t="shared" si="0"/>
        <v>0</v>
      </c>
    </row>
    <row r="48" spans="1:10" x14ac:dyDescent="0.25">
      <c r="A48" t="s">
        <v>41</v>
      </c>
      <c r="B48" s="5" t="s">
        <v>291</v>
      </c>
      <c r="C48" t="s">
        <v>291</v>
      </c>
      <c r="D48" s="3" t="b">
        <f t="shared" si="0"/>
        <v>0</v>
      </c>
      <c r="F48"/>
      <c r="I48"/>
      <c r="J48"/>
    </row>
    <row r="49" spans="1:10" x14ac:dyDescent="0.25">
      <c r="A49" t="s">
        <v>42</v>
      </c>
      <c r="B49" s="5" t="s">
        <v>1708</v>
      </c>
      <c r="C49" t="s">
        <v>1708</v>
      </c>
      <c r="D49" s="3" t="b">
        <f t="shared" si="0"/>
        <v>0</v>
      </c>
      <c r="F49"/>
    </row>
    <row r="50" spans="1:10" x14ac:dyDescent="0.25">
      <c r="A50" t="s">
        <v>42</v>
      </c>
      <c r="B50" s="5" t="s">
        <v>93</v>
      </c>
      <c r="C50" s="5" t="s">
        <v>93</v>
      </c>
      <c r="D50" s="3" t="b">
        <f t="shared" si="0"/>
        <v>0</v>
      </c>
      <c r="F50" s="5"/>
    </row>
    <row r="51" spans="1:10" x14ac:dyDescent="0.25">
      <c r="A51" t="s">
        <v>42</v>
      </c>
      <c r="B51" s="5" t="s">
        <v>94</v>
      </c>
      <c r="C51" t="s">
        <v>94</v>
      </c>
      <c r="D51" s="3" t="b">
        <f t="shared" si="0"/>
        <v>0</v>
      </c>
    </row>
    <row r="52" spans="1:10" x14ac:dyDescent="0.25">
      <c r="A52" t="s">
        <v>42</v>
      </c>
      <c r="B52" s="5" t="s">
        <v>95</v>
      </c>
      <c r="C52" t="s">
        <v>95</v>
      </c>
      <c r="D52" s="3" t="b">
        <f t="shared" si="0"/>
        <v>0</v>
      </c>
    </row>
    <row r="53" spans="1:10" x14ac:dyDescent="0.25">
      <c r="A53" t="s">
        <v>42</v>
      </c>
      <c r="B53" s="5" t="s">
        <v>96</v>
      </c>
      <c r="C53" t="s">
        <v>99</v>
      </c>
      <c r="D53" s="3" t="b">
        <f t="shared" si="0"/>
        <v>1</v>
      </c>
    </row>
    <row r="54" spans="1:10" x14ac:dyDescent="0.25">
      <c r="A54" t="s">
        <v>42</v>
      </c>
      <c r="B54" s="5" t="s">
        <v>98</v>
      </c>
      <c r="C54" t="s">
        <v>98</v>
      </c>
      <c r="D54" s="3" t="b">
        <f t="shared" si="0"/>
        <v>0</v>
      </c>
    </row>
    <row r="55" spans="1:10" x14ac:dyDescent="0.25">
      <c r="A55" t="s">
        <v>42</v>
      </c>
      <c r="B55" s="5" t="s">
        <v>100</v>
      </c>
      <c r="C55" t="s">
        <v>100</v>
      </c>
      <c r="D55" s="3" t="b">
        <f t="shared" si="0"/>
        <v>0</v>
      </c>
    </row>
    <row r="56" spans="1:10" x14ac:dyDescent="0.25">
      <c r="A56" t="s">
        <v>42</v>
      </c>
      <c r="B56" s="5" t="s">
        <v>101</v>
      </c>
      <c r="C56" t="s">
        <v>101</v>
      </c>
      <c r="D56" s="3" t="b">
        <f t="shared" si="0"/>
        <v>0</v>
      </c>
      <c r="F56"/>
    </row>
    <row r="57" spans="1:10" x14ac:dyDescent="0.25">
      <c r="A57" t="s">
        <v>42</v>
      </c>
      <c r="B57" s="5" t="s">
        <v>1687</v>
      </c>
      <c r="C57" s="5" t="s">
        <v>1687</v>
      </c>
      <c r="D57" s="3" t="b">
        <f t="shared" si="0"/>
        <v>0</v>
      </c>
    </row>
    <row r="58" spans="1:10" x14ac:dyDescent="0.25">
      <c r="A58" t="s">
        <v>482</v>
      </c>
      <c r="B58" s="5" t="s">
        <v>104</v>
      </c>
      <c r="C58" t="s">
        <v>104</v>
      </c>
      <c r="D58" s="3" t="b">
        <f t="shared" si="0"/>
        <v>0</v>
      </c>
      <c r="F58" s="5"/>
      <c r="I58"/>
      <c r="J58"/>
    </row>
    <row r="59" spans="1:10" x14ac:dyDescent="0.25">
      <c r="A59" t="s">
        <v>482</v>
      </c>
      <c r="B59" s="5" t="s">
        <v>113</v>
      </c>
      <c r="C59" t="s">
        <v>113</v>
      </c>
      <c r="D59" s="3" t="b">
        <f t="shared" si="0"/>
        <v>0</v>
      </c>
      <c r="F59" s="5"/>
      <c r="I59"/>
    </row>
    <row r="60" spans="1:10" x14ac:dyDescent="0.25">
      <c r="A60" t="s">
        <v>482</v>
      </c>
      <c r="B60" s="5" t="s">
        <v>114</v>
      </c>
      <c r="C60" t="s">
        <v>114</v>
      </c>
      <c r="D60" s="3" t="b">
        <f t="shared" si="0"/>
        <v>0</v>
      </c>
      <c r="F60" s="5"/>
      <c r="I60"/>
    </row>
    <row r="61" spans="1:10" x14ac:dyDescent="0.25">
      <c r="A61" t="s">
        <v>482</v>
      </c>
      <c r="B61" s="5"/>
      <c r="C61" t="s">
        <v>1675</v>
      </c>
      <c r="D61" s="3" t="b">
        <f t="shared" si="0"/>
        <v>1</v>
      </c>
      <c r="F61" s="5"/>
      <c r="I61"/>
    </row>
    <row r="62" spans="1:10" x14ac:dyDescent="0.25">
      <c r="A62" t="s">
        <v>482</v>
      </c>
      <c r="B62" s="5" t="s">
        <v>109</v>
      </c>
      <c r="C62" s="5" t="s">
        <v>109</v>
      </c>
      <c r="D62" s="3" t="b">
        <f t="shared" si="0"/>
        <v>0</v>
      </c>
      <c r="F62" s="5"/>
      <c r="I62"/>
    </row>
    <row r="63" spans="1:10" x14ac:dyDescent="0.25">
      <c r="A63" t="s">
        <v>482</v>
      </c>
      <c r="B63" s="5" t="s">
        <v>115</v>
      </c>
      <c r="C63" t="s">
        <v>115</v>
      </c>
      <c r="D63" s="3" t="b">
        <f t="shared" si="0"/>
        <v>0</v>
      </c>
      <c r="F63" s="5"/>
      <c r="I63"/>
    </row>
    <row r="64" spans="1:10" x14ac:dyDescent="0.25">
      <c r="A64" t="s">
        <v>482</v>
      </c>
      <c r="B64" s="5" t="s">
        <v>107</v>
      </c>
      <c r="C64" t="s">
        <v>107</v>
      </c>
      <c r="D64" s="3" t="b">
        <f t="shared" si="0"/>
        <v>0</v>
      </c>
      <c r="F64" s="5"/>
      <c r="I64"/>
    </row>
    <row r="65" spans="1:10" x14ac:dyDescent="0.25">
      <c r="A65" t="s">
        <v>482</v>
      </c>
      <c r="B65" s="5" t="s">
        <v>1604</v>
      </c>
      <c r="C65" t="s">
        <v>1604</v>
      </c>
      <c r="D65" s="3" t="b">
        <f t="shared" si="0"/>
        <v>0</v>
      </c>
      <c r="F65" s="5"/>
    </row>
    <row r="66" spans="1:10" x14ac:dyDescent="0.25">
      <c r="A66" t="s">
        <v>482</v>
      </c>
      <c r="B66" s="5" t="s">
        <v>102</v>
      </c>
      <c r="C66" s="5" t="s">
        <v>102</v>
      </c>
      <c r="D66" s="3" t="b">
        <f t="shared" si="0"/>
        <v>0</v>
      </c>
      <c r="F66" s="5"/>
      <c r="I66"/>
    </row>
    <row r="67" spans="1:10" x14ac:dyDescent="0.25">
      <c r="A67" t="s">
        <v>482</v>
      </c>
      <c r="B67" s="5" t="s">
        <v>1678</v>
      </c>
      <c r="C67" t="s">
        <v>1678</v>
      </c>
      <c r="D67" s="3" t="b">
        <f t="shared" si="0"/>
        <v>0</v>
      </c>
      <c r="F67" s="5"/>
      <c r="I67"/>
    </row>
    <row r="68" spans="1:10" x14ac:dyDescent="0.25">
      <c r="A68" t="s">
        <v>482</v>
      </c>
      <c r="B68" s="5" t="s">
        <v>111</v>
      </c>
      <c r="C68" s="5" t="s">
        <v>111</v>
      </c>
      <c r="D68" s="3" t="b">
        <f t="shared" si="0"/>
        <v>0</v>
      </c>
      <c r="F68" s="5"/>
      <c r="I68"/>
    </row>
    <row r="69" spans="1:10" x14ac:dyDescent="0.25">
      <c r="A69" t="s">
        <v>482</v>
      </c>
      <c r="B69" s="5" t="s">
        <v>1629</v>
      </c>
      <c r="C69" t="s">
        <v>1629</v>
      </c>
      <c r="D69" s="3" t="b">
        <f t="shared" ref="D69:D103" si="2">B69&lt;&gt;C69</f>
        <v>0</v>
      </c>
      <c r="F69" s="5"/>
      <c r="I69"/>
      <c r="J69"/>
    </row>
    <row r="70" spans="1:10" x14ac:dyDescent="0.25">
      <c r="A70" t="s">
        <v>482</v>
      </c>
      <c r="B70" s="5" t="s">
        <v>1685</v>
      </c>
      <c r="C70" s="5" t="s">
        <v>1685</v>
      </c>
      <c r="D70" s="3" t="b">
        <f t="shared" si="2"/>
        <v>0</v>
      </c>
      <c r="F70" s="5"/>
      <c r="G70" s="5"/>
    </row>
    <row r="71" spans="1:10" x14ac:dyDescent="0.25">
      <c r="A71" t="s">
        <v>1709</v>
      </c>
      <c r="B71" s="5" t="s">
        <v>1673</v>
      </c>
      <c r="C71" t="s">
        <v>1673</v>
      </c>
      <c r="D71" s="3" t="b">
        <f t="shared" si="2"/>
        <v>0</v>
      </c>
      <c r="F71" s="5"/>
      <c r="G71" s="5"/>
    </row>
    <row r="72" spans="1:10" x14ac:dyDescent="0.25">
      <c r="A72" t="s">
        <v>1709</v>
      </c>
      <c r="B72" s="5" t="s">
        <v>120</v>
      </c>
      <c r="C72" t="s">
        <v>120</v>
      </c>
      <c r="D72" s="3" t="b">
        <f t="shared" si="2"/>
        <v>0</v>
      </c>
      <c r="F72"/>
    </row>
    <row r="73" spans="1:10" x14ac:dyDescent="0.25">
      <c r="A73" t="s">
        <v>1709</v>
      </c>
      <c r="B73" s="5" t="s">
        <v>1677</v>
      </c>
      <c r="C73" t="s">
        <v>1677</v>
      </c>
      <c r="D73" s="3" t="b">
        <f t="shared" si="2"/>
        <v>0</v>
      </c>
      <c r="F73"/>
      <c r="I73"/>
    </row>
    <row r="74" spans="1:10" x14ac:dyDescent="0.25">
      <c r="A74" t="s">
        <v>1709</v>
      </c>
      <c r="B74" s="5" t="s">
        <v>1676</v>
      </c>
      <c r="C74" s="5" t="s">
        <v>1676</v>
      </c>
      <c r="D74" s="3" t="b">
        <f t="shared" si="2"/>
        <v>0</v>
      </c>
      <c r="F74"/>
    </row>
    <row r="75" spans="1:10" x14ac:dyDescent="0.25">
      <c r="A75" t="s">
        <v>65</v>
      </c>
      <c r="B75" s="5" t="s">
        <v>91</v>
      </c>
      <c r="C75" t="s">
        <v>91</v>
      </c>
      <c r="D75" s="3" t="b">
        <f t="shared" si="2"/>
        <v>0</v>
      </c>
      <c r="F75"/>
    </row>
    <row r="76" spans="1:10" x14ac:dyDescent="0.25">
      <c r="A76" t="s">
        <v>65</v>
      </c>
      <c r="B76" s="5" t="s">
        <v>92</v>
      </c>
      <c r="C76" t="s">
        <v>92</v>
      </c>
      <c r="D76" s="3" t="b">
        <f t="shared" si="2"/>
        <v>0</v>
      </c>
      <c r="F76"/>
    </row>
    <row r="77" spans="1:10" x14ac:dyDescent="0.25">
      <c r="A77" t="s">
        <v>65</v>
      </c>
      <c r="B77" s="5" t="s">
        <v>122</v>
      </c>
      <c r="C77" t="s">
        <v>122</v>
      </c>
      <c r="D77" s="3" t="b">
        <f t="shared" si="2"/>
        <v>0</v>
      </c>
      <c r="F77"/>
      <c r="J77"/>
    </row>
    <row r="78" spans="1:10" x14ac:dyDescent="0.25">
      <c r="A78" t="s">
        <v>65</v>
      </c>
      <c r="B78" s="5" t="s">
        <v>2033</v>
      </c>
      <c r="C78" t="s">
        <v>1921</v>
      </c>
      <c r="D78" s="3" t="b">
        <f t="shared" si="2"/>
        <v>1</v>
      </c>
      <c r="F78"/>
    </row>
    <row r="79" spans="1:10" x14ac:dyDescent="0.25">
      <c r="A79" t="s">
        <v>65</v>
      </c>
      <c r="B79" s="5"/>
      <c r="C79" t="s">
        <v>123</v>
      </c>
      <c r="D79" s="3" t="b">
        <f t="shared" si="2"/>
        <v>1</v>
      </c>
      <c r="F79"/>
    </row>
    <row r="80" spans="1:10" x14ac:dyDescent="0.25">
      <c r="A80" t="s">
        <v>65</v>
      </c>
      <c r="B80" s="5" t="s">
        <v>118</v>
      </c>
      <c r="C80" t="s">
        <v>118</v>
      </c>
      <c r="D80" s="3" t="b">
        <f t="shared" si="2"/>
        <v>0</v>
      </c>
      <c r="F80" s="5"/>
    </row>
    <row r="81" spans="1:10" x14ac:dyDescent="0.25">
      <c r="A81" t="s">
        <v>65</v>
      </c>
      <c r="B81" s="5" t="s">
        <v>1526</v>
      </c>
      <c r="C81" t="s">
        <v>1526</v>
      </c>
      <c r="D81" s="3" t="b">
        <f t="shared" si="2"/>
        <v>0</v>
      </c>
      <c r="F81" s="5"/>
    </row>
    <row r="82" spans="1:10" x14ac:dyDescent="0.25">
      <c r="A82" t="s">
        <v>65</v>
      </c>
      <c r="B82" s="5" t="s">
        <v>1706</v>
      </c>
      <c r="C82" t="s">
        <v>1706</v>
      </c>
      <c r="D82" s="3" t="b">
        <f t="shared" si="2"/>
        <v>0</v>
      </c>
      <c r="F82"/>
      <c r="G82" s="5"/>
    </row>
    <row r="83" spans="1:10" x14ac:dyDescent="0.25">
      <c r="A83" t="s">
        <v>65</v>
      </c>
      <c r="B83" s="5" t="s">
        <v>459</v>
      </c>
      <c r="C83" t="s">
        <v>459</v>
      </c>
      <c r="D83" s="3" t="b">
        <f t="shared" si="2"/>
        <v>0</v>
      </c>
      <c r="F83" s="5"/>
    </row>
    <row r="84" spans="1:10" x14ac:dyDescent="0.25">
      <c r="A84" t="s">
        <v>65</v>
      </c>
      <c r="B84" s="5" t="s">
        <v>1704</v>
      </c>
      <c r="C84" t="s">
        <v>1704</v>
      </c>
      <c r="D84" s="3" t="b">
        <f t="shared" si="2"/>
        <v>0</v>
      </c>
      <c r="F84" s="5"/>
      <c r="G84" s="5"/>
      <c r="I84"/>
    </row>
    <row r="85" spans="1:10" x14ac:dyDescent="0.25">
      <c r="A85" t="s">
        <v>68</v>
      </c>
      <c r="B85" s="5" t="s">
        <v>1707</v>
      </c>
      <c r="C85" s="5" t="s">
        <v>1707</v>
      </c>
      <c r="D85" s="3" t="b">
        <f t="shared" si="2"/>
        <v>0</v>
      </c>
      <c r="F85"/>
      <c r="J85"/>
    </row>
    <row r="86" spans="1:10" x14ac:dyDescent="0.25">
      <c r="A86" t="s">
        <v>68</v>
      </c>
      <c r="B86" s="5" t="s">
        <v>1879</v>
      </c>
      <c r="C86" t="s">
        <v>1705</v>
      </c>
      <c r="D86" s="3" t="b">
        <f t="shared" si="2"/>
        <v>1</v>
      </c>
    </row>
    <row r="87" spans="1:10" x14ac:dyDescent="0.25">
      <c r="A87" t="s">
        <v>68</v>
      </c>
      <c r="B87" s="5"/>
      <c r="C87" t="s">
        <v>1922</v>
      </c>
      <c r="D87" s="3" t="b">
        <f t="shared" si="2"/>
        <v>1</v>
      </c>
      <c r="F87"/>
    </row>
    <row r="88" spans="1:10" x14ac:dyDescent="0.25">
      <c r="A88" t="s">
        <v>68</v>
      </c>
      <c r="B88" s="5" t="s">
        <v>128</v>
      </c>
      <c r="C88" t="s">
        <v>128</v>
      </c>
      <c r="D88" s="3" t="b">
        <f t="shared" si="2"/>
        <v>0</v>
      </c>
      <c r="G88" s="2"/>
    </row>
    <row r="89" spans="1:10" x14ac:dyDescent="0.25">
      <c r="A89" t="s">
        <v>68</v>
      </c>
      <c r="B89" s="5" t="s">
        <v>129</v>
      </c>
      <c r="C89" t="s">
        <v>129</v>
      </c>
      <c r="D89" s="3" t="b">
        <f t="shared" si="2"/>
        <v>0</v>
      </c>
    </row>
    <row r="90" spans="1:10" x14ac:dyDescent="0.25">
      <c r="A90" t="s">
        <v>68</v>
      </c>
      <c r="B90" s="5" t="s">
        <v>1627</v>
      </c>
      <c r="C90" t="s">
        <v>1627</v>
      </c>
      <c r="D90" s="3" t="b">
        <f t="shared" si="2"/>
        <v>0</v>
      </c>
      <c r="G90" s="2"/>
    </row>
    <row r="91" spans="1:10" x14ac:dyDescent="0.25">
      <c r="A91" t="s">
        <v>68</v>
      </c>
      <c r="B91" s="5" t="s">
        <v>2034</v>
      </c>
      <c r="C91" t="s">
        <v>2034</v>
      </c>
      <c r="D91" s="3" t="b">
        <f t="shared" si="2"/>
        <v>0</v>
      </c>
    </row>
    <row r="92" spans="1:10" x14ac:dyDescent="0.25">
      <c r="A92" t="s">
        <v>68</v>
      </c>
      <c r="B92" s="5" t="s">
        <v>130</v>
      </c>
      <c r="C92" t="s">
        <v>130</v>
      </c>
      <c r="D92" s="3" t="b">
        <f t="shared" si="2"/>
        <v>0</v>
      </c>
    </row>
    <row r="93" spans="1:10" x14ac:dyDescent="0.25">
      <c r="A93" t="s">
        <v>68</v>
      </c>
      <c r="B93" s="5" t="s">
        <v>790</v>
      </c>
      <c r="C93" t="s">
        <v>790</v>
      </c>
      <c r="D93" s="3" t="b">
        <f t="shared" si="2"/>
        <v>0</v>
      </c>
    </row>
    <row r="94" spans="1:10" x14ac:dyDescent="0.25">
      <c r="A94" t="s">
        <v>68</v>
      </c>
      <c r="B94" s="5" t="s">
        <v>132</v>
      </c>
      <c r="C94" t="s">
        <v>132</v>
      </c>
      <c r="D94" s="3" t="b">
        <f t="shared" si="2"/>
        <v>0</v>
      </c>
    </row>
    <row r="95" spans="1:10" x14ac:dyDescent="0.25">
      <c r="A95" t="s">
        <v>68</v>
      </c>
      <c r="B95" s="5" t="s">
        <v>133</v>
      </c>
      <c r="C95" t="s">
        <v>133</v>
      </c>
      <c r="D95" s="3" t="b">
        <f t="shared" si="2"/>
        <v>0</v>
      </c>
    </row>
    <row r="96" spans="1:10" x14ac:dyDescent="0.25">
      <c r="A96" t="s">
        <v>68</v>
      </c>
      <c r="B96" s="5" t="s">
        <v>134</v>
      </c>
      <c r="C96" t="s">
        <v>134</v>
      </c>
      <c r="D96" s="3" t="b">
        <f t="shared" si="2"/>
        <v>0</v>
      </c>
    </row>
    <row r="97" spans="1:6" x14ac:dyDescent="0.25">
      <c r="A97" t="s">
        <v>68</v>
      </c>
      <c r="B97" s="5" t="s">
        <v>135</v>
      </c>
      <c r="C97" t="s">
        <v>135</v>
      </c>
      <c r="D97" s="3" t="b">
        <f t="shared" si="2"/>
        <v>0</v>
      </c>
    </row>
    <row r="98" spans="1:6" x14ac:dyDescent="0.25">
      <c r="A98" t="s">
        <v>271</v>
      </c>
      <c r="B98" s="5" t="s">
        <v>119</v>
      </c>
      <c r="C98" t="s">
        <v>119</v>
      </c>
      <c r="D98" s="3" t="b">
        <f t="shared" si="2"/>
        <v>0</v>
      </c>
    </row>
    <row r="99" spans="1:6" x14ac:dyDescent="0.25">
      <c r="A99" t="s">
        <v>271</v>
      </c>
      <c r="B99" s="5" t="s">
        <v>1617</v>
      </c>
      <c r="C99" s="5" t="s">
        <v>1617</v>
      </c>
      <c r="D99" s="3" t="b">
        <f t="shared" si="2"/>
        <v>0</v>
      </c>
    </row>
    <row r="100" spans="1:6" x14ac:dyDescent="0.25">
      <c r="A100" t="s">
        <v>271</v>
      </c>
      <c r="B100" s="5" t="s">
        <v>1674</v>
      </c>
      <c r="C100" s="5" t="s">
        <v>1674</v>
      </c>
      <c r="D100" s="3" t="b">
        <f t="shared" si="2"/>
        <v>0</v>
      </c>
      <c r="F100" s="5"/>
    </row>
    <row r="101" spans="1:6" x14ac:dyDescent="0.25">
      <c r="A101" t="s">
        <v>271</v>
      </c>
      <c r="B101" s="5" t="s">
        <v>117</v>
      </c>
      <c r="C101" t="s">
        <v>117</v>
      </c>
      <c r="D101" s="3" t="b">
        <f t="shared" si="2"/>
        <v>0</v>
      </c>
      <c r="F101" s="5"/>
    </row>
    <row r="102" spans="1:6" x14ac:dyDescent="0.25">
      <c r="A102" s="5" t="s">
        <v>271</v>
      </c>
      <c r="B102" s="5"/>
      <c r="C102" t="s">
        <v>539</v>
      </c>
      <c r="D102" s="3" t="b">
        <f t="shared" si="2"/>
        <v>1</v>
      </c>
      <c r="F102" s="5"/>
    </row>
    <row r="103" spans="1:6" x14ac:dyDescent="0.25">
      <c r="D103" s="3" t="b">
        <f t="shared" si="2"/>
        <v>0</v>
      </c>
      <c r="F103" s="5"/>
    </row>
    <row r="104" spans="1:6" x14ac:dyDescent="0.25">
      <c r="F104" s="5"/>
    </row>
  </sheetData>
  <mergeCells count="2">
    <mergeCell ref="A1:G1"/>
    <mergeCell ref="I1:J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196273C-C799-4EDB-9348-B9641257E2E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407EC750-53B9-4B1B-8492-13D91BA13CC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312F-77B4-4E32-B259-BC7FC6CF6F07}">
  <dimension ref="A1:G103"/>
  <sheetViews>
    <sheetView workbookViewId="0">
      <selection activeCell="G66" sqref="G66"/>
    </sheetView>
  </sheetViews>
  <sheetFormatPr defaultRowHeight="15" x14ac:dyDescent="0.25"/>
  <cols>
    <col min="1" max="1" width="13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31" t="s">
        <v>1606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31</v>
      </c>
    </row>
    <row r="3" spans="1:7" x14ac:dyDescent="0.25">
      <c r="A3" s="24" t="s">
        <v>2031</v>
      </c>
      <c r="B3" s="5" t="s">
        <v>2082</v>
      </c>
      <c r="C3" s="5" t="s">
        <v>2082</v>
      </c>
      <c r="D3" s="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59</v>
      </c>
      <c r="C4" t="s">
        <v>59</v>
      </c>
      <c r="D4" s="3" t="b">
        <f>B4&lt;&gt;C4</f>
        <v>0</v>
      </c>
    </row>
    <row r="5" spans="1:7" x14ac:dyDescent="0.25">
      <c r="A5" t="s">
        <v>35</v>
      </c>
      <c r="B5" s="5" t="s">
        <v>58</v>
      </c>
      <c r="C5" t="s">
        <v>58</v>
      </c>
      <c r="D5" s="3" t="b">
        <f t="shared" ref="D5:D68" si="0">B5&lt;&gt;C5</f>
        <v>0</v>
      </c>
      <c r="F5" s="6" t="s">
        <v>39</v>
      </c>
      <c r="G5" s="1"/>
    </row>
    <row r="6" spans="1:7" x14ac:dyDescent="0.25">
      <c r="A6" t="s">
        <v>35</v>
      </c>
      <c r="B6" s="5" t="s">
        <v>1648</v>
      </c>
      <c r="C6" t="s">
        <v>1587</v>
      </c>
      <c r="D6" s="3" t="b">
        <f t="shared" si="0"/>
        <v>1</v>
      </c>
      <c r="F6" s="7" t="s">
        <v>2031</v>
      </c>
      <c r="G6" s="2">
        <f t="shared" ref="G6:G17" si="1">COUNTIF(A:A,F6)</f>
        <v>1</v>
      </c>
    </row>
    <row r="7" spans="1:7" x14ac:dyDescent="0.25">
      <c r="A7" t="s">
        <v>35</v>
      </c>
      <c r="B7" s="5" t="s">
        <v>1588</v>
      </c>
      <c r="C7" t="s">
        <v>1588</v>
      </c>
      <c r="D7" s="3" t="b">
        <f t="shared" si="0"/>
        <v>0</v>
      </c>
      <c r="F7" s="3" t="s">
        <v>35</v>
      </c>
      <c r="G7" s="2">
        <f t="shared" si="1"/>
        <v>35</v>
      </c>
    </row>
    <row r="8" spans="1:7" x14ac:dyDescent="0.25">
      <c r="A8" t="s">
        <v>35</v>
      </c>
      <c r="B8" s="5" t="s">
        <v>478</v>
      </c>
      <c r="C8" t="s">
        <v>260</v>
      </c>
      <c r="D8" s="3" t="b">
        <f t="shared" si="0"/>
        <v>1</v>
      </c>
      <c r="F8" s="7" t="s">
        <v>41</v>
      </c>
      <c r="G8" s="2">
        <f t="shared" si="1"/>
        <v>6</v>
      </c>
    </row>
    <row r="9" spans="1:7" x14ac:dyDescent="0.25">
      <c r="A9" t="s">
        <v>35</v>
      </c>
      <c r="B9" s="5" t="s">
        <v>1646</v>
      </c>
      <c r="C9" t="s">
        <v>1646</v>
      </c>
      <c r="D9" s="3" t="b">
        <f t="shared" si="0"/>
        <v>0</v>
      </c>
      <c r="F9" s="7" t="s">
        <v>339</v>
      </c>
      <c r="G9" s="2">
        <f t="shared" si="1"/>
        <v>2</v>
      </c>
    </row>
    <row r="10" spans="1:7" x14ac:dyDescent="0.25">
      <c r="A10" t="s">
        <v>35</v>
      </c>
      <c r="B10" s="5" t="s">
        <v>1649</v>
      </c>
      <c r="C10" t="s">
        <v>261</v>
      </c>
      <c r="D10" s="3" t="b">
        <f t="shared" si="0"/>
        <v>1</v>
      </c>
      <c r="F10" s="7" t="s">
        <v>1567</v>
      </c>
      <c r="G10" s="2">
        <f t="shared" si="1"/>
        <v>5</v>
      </c>
    </row>
    <row r="11" spans="1:7" x14ac:dyDescent="0.25">
      <c r="A11" t="s">
        <v>35</v>
      </c>
      <c r="B11" s="5" t="s">
        <v>609</v>
      </c>
      <c r="C11" t="s">
        <v>140</v>
      </c>
      <c r="D11" s="3" t="b">
        <f t="shared" si="0"/>
        <v>1</v>
      </c>
      <c r="F11" s="7" t="s">
        <v>1565</v>
      </c>
      <c r="G11" s="2">
        <f t="shared" si="1"/>
        <v>4</v>
      </c>
    </row>
    <row r="12" spans="1:7" x14ac:dyDescent="0.25">
      <c r="A12" t="s">
        <v>35</v>
      </c>
      <c r="B12" s="5" t="s">
        <v>40</v>
      </c>
      <c r="C12" t="s">
        <v>40</v>
      </c>
      <c r="D12" s="3" t="b">
        <f t="shared" si="0"/>
        <v>0</v>
      </c>
      <c r="F12" s="7" t="s">
        <v>1554</v>
      </c>
      <c r="G12" s="2">
        <f t="shared" si="1"/>
        <v>9</v>
      </c>
    </row>
    <row r="13" spans="1:7" x14ac:dyDescent="0.25">
      <c r="A13" t="s">
        <v>35</v>
      </c>
      <c r="B13" s="5" t="s">
        <v>67</v>
      </c>
      <c r="C13" t="s">
        <v>67</v>
      </c>
      <c r="D13" s="3" t="b">
        <f t="shared" si="0"/>
        <v>0</v>
      </c>
      <c r="F13" s="7" t="s">
        <v>1566</v>
      </c>
      <c r="G13" s="2">
        <f t="shared" si="1"/>
        <v>13</v>
      </c>
    </row>
    <row r="14" spans="1:7" x14ac:dyDescent="0.25">
      <c r="A14" t="s">
        <v>35</v>
      </c>
      <c r="B14" s="5" t="s">
        <v>1589</v>
      </c>
      <c r="C14" t="s">
        <v>1589</v>
      </c>
      <c r="D14" s="3" t="b">
        <f t="shared" si="0"/>
        <v>0</v>
      </c>
      <c r="E14" t="s">
        <v>1115</v>
      </c>
      <c r="F14" s="7" t="s">
        <v>43</v>
      </c>
      <c r="G14" s="2">
        <f t="shared" si="1"/>
        <v>8</v>
      </c>
    </row>
    <row r="15" spans="1:7" x14ac:dyDescent="0.25">
      <c r="A15" t="s">
        <v>35</v>
      </c>
      <c r="B15" s="5" t="s">
        <v>481</v>
      </c>
      <c r="C15" t="s">
        <v>1590</v>
      </c>
      <c r="D15" s="3" t="b">
        <f t="shared" si="0"/>
        <v>1</v>
      </c>
      <c r="F15" s="3" t="s">
        <v>65</v>
      </c>
      <c r="G15" s="2">
        <f t="shared" si="1"/>
        <v>7</v>
      </c>
    </row>
    <row r="16" spans="1:7" x14ac:dyDescent="0.25">
      <c r="A16" t="s">
        <v>35</v>
      </c>
      <c r="B16" s="5" t="s">
        <v>1591</v>
      </c>
      <c r="C16" t="s">
        <v>1591</v>
      </c>
      <c r="D16" s="3" t="b">
        <f t="shared" si="0"/>
        <v>0</v>
      </c>
      <c r="F16" s="7" t="s">
        <v>66</v>
      </c>
      <c r="G16" s="2">
        <f t="shared" si="1"/>
        <v>5</v>
      </c>
    </row>
    <row r="17" spans="1:7" x14ac:dyDescent="0.25">
      <c r="A17" t="s">
        <v>35</v>
      </c>
      <c r="B17" s="5" t="s">
        <v>86</v>
      </c>
      <c r="C17" t="s">
        <v>1593</v>
      </c>
      <c r="D17" s="3" t="b">
        <f t="shared" si="0"/>
        <v>1</v>
      </c>
      <c r="F17" s="3" t="s">
        <v>1579</v>
      </c>
      <c r="G17" s="2">
        <f t="shared" si="1"/>
        <v>5</v>
      </c>
    </row>
    <row r="18" spans="1:7" x14ac:dyDescent="0.25">
      <c r="A18" t="s">
        <v>35</v>
      </c>
      <c r="B18" s="5" t="s">
        <v>205</v>
      </c>
      <c r="C18" t="s">
        <v>1592</v>
      </c>
      <c r="D18" s="3" t="b">
        <f t="shared" si="0"/>
        <v>1</v>
      </c>
    </row>
    <row r="19" spans="1:7" x14ac:dyDescent="0.25">
      <c r="A19" t="s">
        <v>35</v>
      </c>
      <c r="B19" s="5" t="s">
        <v>153</v>
      </c>
      <c r="C19" t="s">
        <v>266</v>
      </c>
      <c r="D19" s="3" t="b">
        <f t="shared" si="0"/>
        <v>1</v>
      </c>
    </row>
    <row r="20" spans="1:7" x14ac:dyDescent="0.25">
      <c r="A20" t="s">
        <v>35</v>
      </c>
      <c r="B20" s="5" t="s">
        <v>1598</v>
      </c>
      <c r="C20" t="s">
        <v>1598</v>
      </c>
      <c r="D20" s="3" t="b">
        <f t="shared" si="0"/>
        <v>0</v>
      </c>
      <c r="G20" s="2"/>
    </row>
    <row r="21" spans="1:7" x14ac:dyDescent="0.25">
      <c r="A21" t="s">
        <v>35</v>
      </c>
      <c r="B21" s="5" t="s">
        <v>1599</v>
      </c>
      <c r="C21" t="s">
        <v>1599</v>
      </c>
      <c r="D21" s="3" t="b">
        <f t="shared" si="0"/>
        <v>0</v>
      </c>
      <c r="G21" s="2"/>
    </row>
    <row r="22" spans="1:7" x14ac:dyDescent="0.25">
      <c r="A22" t="s">
        <v>35</v>
      </c>
      <c r="B22" s="5" t="s">
        <v>199</v>
      </c>
      <c r="C22" t="s">
        <v>199</v>
      </c>
      <c r="D22" s="3" t="b">
        <f t="shared" si="0"/>
        <v>0</v>
      </c>
      <c r="G22" s="2"/>
    </row>
    <row r="23" spans="1:7" x14ac:dyDescent="0.25">
      <c r="A23" t="s">
        <v>35</v>
      </c>
      <c r="B23" s="5" t="s">
        <v>153</v>
      </c>
      <c r="C23" t="s">
        <v>1938</v>
      </c>
      <c r="D23" s="3" t="b">
        <f t="shared" si="0"/>
        <v>1</v>
      </c>
      <c r="G23" s="2"/>
    </row>
    <row r="24" spans="1:7" x14ac:dyDescent="0.25">
      <c r="A24" t="s">
        <v>35</v>
      </c>
      <c r="B24" s="5" t="s">
        <v>205</v>
      </c>
      <c r="C24" t="s">
        <v>275</v>
      </c>
      <c r="D24" s="3" t="b">
        <f t="shared" si="0"/>
        <v>1</v>
      </c>
      <c r="G24" s="2"/>
    </row>
    <row r="25" spans="1:7" x14ac:dyDescent="0.25">
      <c r="A25" t="s">
        <v>35</v>
      </c>
      <c r="B25" s="5" t="s">
        <v>86</v>
      </c>
      <c r="C25" t="s">
        <v>86</v>
      </c>
      <c r="D25" s="3" t="b">
        <f t="shared" si="0"/>
        <v>0</v>
      </c>
      <c r="G25" s="2"/>
    </row>
    <row r="26" spans="1:7" x14ac:dyDescent="0.25">
      <c r="A26" t="s">
        <v>35</v>
      </c>
      <c r="B26" s="5" t="s">
        <v>86</v>
      </c>
      <c r="C26" t="s">
        <v>86</v>
      </c>
      <c r="D26" s="3" t="b">
        <f t="shared" si="0"/>
        <v>0</v>
      </c>
      <c r="G26" s="2"/>
    </row>
    <row r="27" spans="1:7" x14ac:dyDescent="0.25">
      <c r="A27" t="s">
        <v>35</v>
      </c>
      <c r="B27" s="5" t="s">
        <v>86</v>
      </c>
      <c r="C27" t="s">
        <v>86</v>
      </c>
      <c r="D27" s="3" t="b">
        <f t="shared" si="0"/>
        <v>0</v>
      </c>
      <c r="G27" s="2"/>
    </row>
    <row r="28" spans="1:7" x14ac:dyDescent="0.25">
      <c r="A28" t="s">
        <v>35</v>
      </c>
      <c r="B28" s="5" t="s">
        <v>86</v>
      </c>
      <c r="C28" t="s">
        <v>86</v>
      </c>
      <c r="D28" s="3" t="b">
        <f t="shared" si="0"/>
        <v>0</v>
      </c>
      <c r="G28" s="2"/>
    </row>
    <row r="29" spans="1:7" x14ac:dyDescent="0.25">
      <c r="A29" t="s">
        <v>35</v>
      </c>
      <c r="B29" s="5" t="s">
        <v>86</v>
      </c>
      <c r="C29" t="s">
        <v>86</v>
      </c>
      <c r="D29" s="3" t="b">
        <f t="shared" si="0"/>
        <v>0</v>
      </c>
      <c r="G29" s="2"/>
    </row>
    <row r="30" spans="1:7" x14ac:dyDescent="0.25">
      <c r="A30" t="s">
        <v>35</v>
      </c>
      <c r="B30" s="5" t="s">
        <v>86</v>
      </c>
      <c r="C30" t="s">
        <v>86</v>
      </c>
      <c r="D30" s="3" t="b">
        <f t="shared" si="0"/>
        <v>0</v>
      </c>
    </row>
    <row r="31" spans="1:7" x14ac:dyDescent="0.25">
      <c r="A31" t="s">
        <v>35</v>
      </c>
      <c r="B31" s="5" t="s">
        <v>153</v>
      </c>
      <c r="C31" t="s">
        <v>153</v>
      </c>
      <c r="D31" s="3" t="b">
        <f t="shared" si="0"/>
        <v>0</v>
      </c>
      <c r="G31" s="2"/>
    </row>
    <row r="32" spans="1:7" x14ac:dyDescent="0.25">
      <c r="A32" t="s">
        <v>35</v>
      </c>
      <c r="B32" s="5" t="s">
        <v>153</v>
      </c>
      <c r="C32" t="s">
        <v>153</v>
      </c>
      <c r="D32" s="3" t="b">
        <f t="shared" si="0"/>
        <v>0</v>
      </c>
      <c r="G32" s="2"/>
    </row>
    <row r="33" spans="1:7" x14ac:dyDescent="0.25">
      <c r="A33" t="s">
        <v>35</v>
      </c>
      <c r="B33" s="5" t="s">
        <v>153</v>
      </c>
      <c r="C33" t="s">
        <v>153</v>
      </c>
      <c r="D33" s="3" t="b">
        <f t="shared" si="0"/>
        <v>0</v>
      </c>
      <c r="G33" s="2"/>
    </row>
    <row r="34" spans="1:7" x14ac:dyDescent="0.25">
      <c r="A34" t="s">
        <v>35</v>
      </c>
      <c r="B34" s="5" t="s">
        <v>153</v>
      </c>
      <c r="C34" t="s">
        <v>153</v>
      </c>
      <c r="D34" s="3" t="b">
        <f t="shared" si="0"/>
        <v>0</v>
      </c>
      <c r="G34" s="2"/>
    </row>
    <row r="35" spans="1:7" x14ac:dyDescent="0.25">
      <c r="A35" t="s">
        <v>35</v>
      </c>
      <c r="B35" s="5" t="s">
        <v>205</v>
      </c>
      <c r="C35" t="s">
        <v>205</v>
      </c>
      <c r="D35" s="3" t="b">
        <f t="shared" si="0"/>
        <v>0</v>
      </c>
      <c r="G35" s="2"/>
    </row>
    <row r="36" spans="1:7" x14ac:dyDescent="0.25">
      <c r="A36" t="s">
        <v>35</v>
      </c>
      <c r="B36" s="5" t="s">
        <v>205</v>
      </c>
      <c r="C36" t="s">
        <v>205</v>
      </c>
      <c r="D36" s="3" t="b">
        <f t="shared" si="0"/>
        <v>0</v>
      </c>
      <c r="G36" s="2"/>
    </row>
    <row r="37" spans="1:7" x14ac:dyDescent="0.25">
      <c r="A37" t="s">
        <v>35</v>
      </c>
      <c r="B37" s="5" t="s">
        <v>205</v>
      </c>
      <c r="C37" t="s">
        <v>205</v>
      </c>
      <c r="D37" s="3" t="b">
        <f t="shared" si="0"/>
        <v>0</v>
      </c>
    </row>
    <row r="38" spans="1:7" x14ac:dyDescent="0.25">
      <c r="A38" t="s">
        <v>35</v>
      </c>
      <c r="B38" s="5" t="s">
        <v>205</v>
      </c>
      <c r="C38" t="s">
        <v>205</v>
      </c>
      <c r="D38" s="3" t="b">
        <f t="shared" si="0"/>
        <v>0</v>
      </c>
      <c r="G38" s="2"/>
    </row>
    <row r="39" spans="1:7" x14ac:dyDescent="0.25">
      <c r="A39" t="s">
        <v>41</v>
      </c>
      <c r="B39" s="5" t="s">
        <v>88</v>
      </c>
      <c r="C39" t="s">
        <v>88</v>
      </c>
      <c r="D39" s="3" t="b">
        <f t="shared" si="0"/>
        <v>0</v>
      </c>
      <c r="G39" s="2"/>
    </row>
    <row r="40" spans="1:7" x14ac:dyDescent="0.25">
      <c r="A40" t="s">
        <v>41</v>
      </c>
      <c r="B40" s="5" t="s">
        <v>1636</v>
      </c>
      <c r="C40" t="s">
        <v>87</v>
      </c>
      <c r="D40" s="3" t="b">
        <f t="shared" si="0"/>
        <v>1</v>
      </c>
    </row>
    <row r="41" spans="1:7" x14ac:dyDescent="0.25">
      <c r="A41" t="s">
        <v>41</v>
      </c>
      <c r="B41" s="5" t="s">
        <v>1634</v>
      </c>
      <c r="C41" t="s">
        <v>679</v>
      </c>
      <c r="D41" s="3" t="b">
        <f t="shared" si="0"/>
        <v>1</v>
      </c>
    </row>
    <row r="42" spans="1:7" x14ac:dyDescent="0.25">
      <c r="A42" t="s">
        <v>41</v>
      </c>
      <c r="B42" s="5" t="s">
        <v>1586</v>
      </c>
      <c r="C42" t="s">
        <v>1586</v>
      </c>
      <c r="D42" s="3" t="b">
        <f t="shared" si="0"/>
        <v>0</v>
      </c>
    </row>
    <row r="43" spans="1:7" x14ac:dyDescent="0.25">
      <c r="A43" t="s">
        <v>41</v>
      </c>
      <c r="B43" s="5" t="s">
        <v>969</v>
      </c>
      <c r="C43" t="s">
        <v>969</v>
      </c>
      <c r="D43" s="3" t="b">
        <f t="shared" si="0"/>
        <v>0</v>
      </c>
    </row>
    <row r="44" spans="1:7" x14ac:dyDescent="0.25">
      <c r="A44" t="s">
        <v>41</v>
      </c>
      <c r="B44" s="5" t="s">
        <v>361</v>
      </c>
      <c r="C44" t="s">
        <v>361</v>
      </c>
      <c r="D44" s="3" t="b">
        <f t="shared" si="0"/>
        <v>0</v>
      </c>
    </row>
    <row r="45" spans="1:7" x14ac:dyDescent="0.25">
      <c r="A45" t="s">
        <v>339</v>
      </c>
      <c r="B45" s="5" t="s">
        <v>86</v>
      </c>
      <c r="C45" t="s">
        <v>1624</v>
      </c>
      <c r="D45" s="3" t="b">
        <f t="shared" si="0"/>
        <v>1</v>
      </c>
    </row>
    <row r="46" spans="1:7" x14ac:dyDescent="0.25">
      <c r="A46" t="s">
        <v>339</v>
      </c>
      <c r="B46" s="5" t="s">
        <v>100</v>
      </c>
      <c r="C46" t="s">
        <v>100</v>
      </c>
      <c r="D46" s="3" t="b">
        <f t="shared" si="0"/>
        <v>0</v>
      </c>
    </row>
    <row r="47" spans="1:7" x14ac:dyDescent="0.25">
      <c r="A47" t="s">
        <v>1579</v>
      </c>
      <c r="B47" s="5" t="s">
        <v>1637</v>
      </c>
      <c r="C47" t="s">
        <v>1583</v>
      </c>
      <c r="D47" s="3" t="b">
        <f t="shared" si="0"/>
        <v>1</v>
      </c>
    </row>
    <row r="48" spans="1:7" x14ac:dyDescent="0.25">
      <c r="A48" t="s">
        <v>1579</v>
      </c>
      <c r="B48" s="5" t="s">
        <v>1595</v>
      </c>
      <c r="C48" t="s">
        <v>1584</v>
      </c>
      <c r="D48" s="3" t="b">
        <f t="shared" si="0"/>
        <v>1</v>
      </c>
    </row>
    <row r="49" spans="1:6" x14ac:dyDescent="0.25">
      <c r="A49" t="s">
        <v>1579</v>
      </c>
      <c r="B49" s="5" t="s">
        <v>1635</v>
      </c>
      <c r="C49" s="5" t="s">
        <v>1581</v>
      </c>
      <c r="D49" s="3" t="b">
        <f t="shared" si="0"/>
        <v>1</v>
      </c>
    </row>
    <row r="50" spans="1:6" x14ac:dyDescent="0.25">
      <c r="A50" t="s">
        <v>1579</v>
      </c>
      <c r="B50" s="5" t="s">
        <v>1580</v>
      </c>
      <c r="C50" t="s">
        <v>1580</v>
      </c>
      <c r="D50" s="3" t="b">
        <f t="shared" si="0"/>
        <v>0</v>
      </c>
    </row>
    <row r="51" spans="1:6" x14ac:dyDescent="0.25">
      <c r="A51" t="s">
        <v>1579</v>
      </c>
      <c r="B51" s="5" t="s">
        <v>1603</v>
      </c>
      <c r="C51" t="s">
        <v>1603</v>
      </c>
      <c r="D51" s="3" t="b">
        <f t="shared" si="0"/>
        <v>0</v>
      </c>
    </row>
    <row r="52" spans="1:6" x14ac:dyDescent="0.25">
      <c r="A52" t="s">
        <v>1567</v>
      </c>
      <c r="B52" s="5" t="s">
        <v>1650</v>
      </c>
      <c r="C52" t="s">
        <v>561</v>
      </c>
      <c r="D52" s="3" t="b">
        <f t="shared" si="0"/>
        <v>1</v>
      </c>
    </row>
    <row r="53" spans="1:6" x14ac:dyDescent="0.25">
      <c r="A53" t="s">
        <v>1567</v>
      </c>
      <c r="B53" s="5" t="s">
        <v>578</v>
      </c>
      <c r="C53" t="s">
        <v>578</v>
      </c>
      <c r="D53" s="3" t="b">
        <f t="shared" si="0"/>
        <v>0</v>
      </c>
    </row>
    <row r="54" spans="1:6" x14ac:dyDescent="0.25">
      <c r="A54" t="s">
        <v>1567</v>
      </c>
      <c r="B54" s="5" t="s">
        <v>1596</v>
      </c>
      <c r="C54" t="s">
        <v>1596</v>
      </c>
      <c r="D54" s="3" t="b">
        <f t="shared" si="0"/>
        <v>0</v>
      </c>
    </row>
    <row r="55" spans="1:6" x14ac:dyDescent="0.25">
      <c r="A55" t="s">
        <v>1567</v>
      </c>
      <c r="B55" s="5" t="s">
        <v>1564</v>
      </c>
      <c r="C55" t="s">
        <v>1564</v>
      </c>
      <c r="D55" s="3" t="b">
        <f t="shared" si="0"/>
        <v>0</v>
      </c>
    </row>
    <row r="56" spans="1:6" x14ac:dyDescent="0.25">
      <c r="A56" t="s">
        <v>1567</v>
      </c>
      <c r="B56" s="5" t="s">
        <v>424</v>
      </c>
      <c r="C56" t="s">
        <v>424</v>
      </c>
      <c r="D56" s="3" t="b">
        <f t="shared" si="0"/>
        <v>0</v>
      </c>
    </row>
    <row r="57" spans="1:6" x14ac:dyDescent="0.25">
      <c r="A57" t="s">
        <v>1565</v>
      </c>
      <c r="B57" s="5" t="s">
        <v>1574</v>
      </c>
      <c r="C57" t="s">
        <v>1574</v>
      </c>
      <c r="D57" s="3" t="b">
        <f t="shared" si="0"/>
        <v>0</v>
      </c>
    </row>
    <row r="58" spans="1:6" x14ac:dyDescent="0.25">
      <c r="A58" t="s">
        <v>1565</v>
      </c>
      <c r="B58" s="5" t="s">
        <v>316</v>
      </c>
      <c r="C58" t="s">
        <v>316</v>
      </c>
      <c r="D58" s="3" t="b">
        <f t="shared" si="0"/>
        <v>0</v>
      </c>
    </row>
    <row r="59" spans="1:6" x14ac:dyDescent="0.25">
      <c r="A59" t="s">
        <v>1565</v>
      </c>
      <c r="B59" s="5" t="s">
        <v>366</v>
      </c>
      <c r="C59" t="s">
        <v>1943</v>
      </c>
      <c r="D59" s="3" t="b">
        <f t="shared" si="0"/>
        <v>1</v>
      </c>
      <c r="F59"/>
    </row>
    <row r="60" spans="1:6" x14ac:dyDescent="0.25">
      <c r="A60" t="s">
        <v>1565</v>
      </c>
      <c r="B60" s="5" t="s">
        <v>1641</v>
      </c>
      <c r="C60" t="s">
        <v>1563</v>
      </c>
      <c r="D60" s="3" t="b">
        <f t="shared" si="0"/>
        <v>1</v>
      </c>
    </row>
    <row r="61" spans="1:6" x14ac:dyDescent="0.25">
      <c r="A61" t="s">
        <v>1566</v>
      </c>
      <c r="B61" s="5" t="s">
        <v>572</v>
      </c>
      <c r="C61" t="s">
        <v>572</v>
      </c>
      <c r="D61" s="3" t="b">
        <f t="shared" si="0"/>
        <v>0</v>
      </c>
    </row>
    <row r="62" spans="1:6" x14ac:dyDescent="0.25">
      <c r="A62" t="s">
        <v>1566</v>
      </c>
      <c r="B62" s="5" t="s">
        <v>1585</v>
      </c>
      <c r="C62" t="s">
        <v>1585</v>
      </c>
      <c r="D62" s="3" t="b">
        <f t="shared" si="0"/>
        <v>0</v>
      </c>
    </row>
    <row r="63" spans="1:6" x14ac:dyDescent="0.25">
      <c r="A63" t="s">
        <v>1566</v>
      </c>
      <c r="B63" s="5" t="s">
        <v>95</v>
      </c>
      <c r="C63" t="s">
        <v>95</v>
      </c>
      <c r="D63" s="3" t="b">
        <f t="shared" si="0"/>
        <v>0</v>
      </c>
    </row>
    <row r="64" spans="1:6" x14ac:dyDescent="0.25">
      <c r="A64" t="s">
        <v>1566</v>
      </c>
      <c r="B64" s="5" t="s">
        <v>1600</v>
      </c>
      <c r="C64" t="s">
        <v>1600</v>
      </c>
      <c r="D64" s="3" t="b">
        <f t="shared" si="0"/>
        <v>0</v>
      </c>
    </row>
    <row r="65" spans="1:6" x14ac:dyDescent="0.25">
      <c r="A65" t="s">
        <v>1566</v>
      </c>
      <c r="B65" s="5" t="s">
        <v>92</v>
      </c>
      <c r="C65" t="s">
        <v>92</v>
      </c>
      <c r="D65" s="3" t="b">
        <f t="shared" si="0"/>
        <v>0</v>
      </c>
    </row>
    <row r="66" spans="1:6" x14ac:dyDescent="0.25">
      <c r="A66" t="s">
        <v>1566</v>
      </c>
      <c r="B66" s="5" t="s">
        <v>308</v>
      </c>
      <c r="C66" t="s">
        <v>308</v>
      </c>
      <c r="D66" s="3" t="b">
        <f t="shared" si="0"/>
        <v>0</v>
      </c>
    </row>
    <row r="67" spans="1:6" x14ac:dyDescent="0.25">
      <c r="A67" t="s">
        <v>1566</v>
      </c>
      <c r="B67" s="5" t="s">
        <v>1570</v>
      </c>
      <c r="C67" t="s">
        <v>1570</v>
      </c>
      <c r="D67" s="3" t="b">
        <f t="shared" si="0"/>
        <v>0</v>
      </c>
    </row>
    <row r="68" spans="1:6" x14ac:dyDescent="0.25">
      <c r="A68" t="s">
        <v>1566</v>
      </c>
      <c r="B68" s="5" t="s">
        <v>1569</v>
      </c>
      <c r="C68" t="s">
        <v>1569</v>
      </c>
      <c r="D68" s="3" t="b">
        <f t="shared" si="0"/>
        <v>0</v>
      </c>
    </row>
    <row r="69" spans="1:6" x14ac:dyDescent="0.25">
      <c r="A69" t="s">
        <v>1566</v>
      </c>
      <c r="B69" s="5" t="s">
        <v>311</v>
      </c>
      <c r="C69" t="s">
        <v>311</v>
      </c>
      <c r="D69" s="3" t="b">
        <f t="shared" ref="D69:D103" si="2">B69&lt;&gt;C69</f>
        <v>0</v>
      </c>
      <c r="F69"/>
    </row>
    <row r="70" spans="1:6" x14ac:dyDescent="0.25">
      <c r="A70" t="s">
        <v>1566</v>
      </c>
      <c r="B70" s="5" t="s">
        <v>832</v>
      </c>
      <c r="C70" t="s">
        <v>832</v>
      </c>
      <c r="D70" s="3" t="b">
        <f t="shared" si="2"/>
        <v>0</v>
      </c>
    </row>
    <row r="71" spans="1:6" x14ac:dyDescent="0.25">
      <c r="A71" t="s">
        <v>1566</v>
      </c>
      <c r="B71" s="5" t="s">
        <v>1560</v>
      </c>
      <c r="C71" t="s">
        <v>1560</v>
      </c>
      <c r="D71" s="3" t="b">
        <f t="shared" si="2"/>
        <v>0</v>
      </c>
      <c r="F71"/>
    </row>
    <row r="72" spans="1:6" x14ac:dyDescent="0.25">
      <c r="A72" t="s">
        <v>1566</v>
      </c>
      <c r="B72" s="5" t="s">
        <v>1561</v>
      </c>
      <c r="C72" t="s">
        <v>1561</v>
      </c>
      <c r="D72" s="3" t="b">
        <f t="shared" si="2"/>
        <v>0</v>
      </c>
      <c r="F72"/>
    </row>
    <row r="73" spans="1:6" x14ac:dyDescent="0.25">
      <c r="A73" t="s">
        <v>1566</v>
      </c>
      <c r="B73" s="5" t="s">
        <v>1594</v>
      </c>
      <c r="C73" t="s">
        <v>1594</v>
      </c>
      <c r="D73" s="3" t="b">
        <f t="shared" si="2"/>
        <v>0</v>
      </c>
      <c r="F73"/>
    </row>
    <row r="74" spans="1:6" x14ac:dyDescent="0.25">
      <c r="A74" t="s">
        <v>1554</v>
      </c>
      <c r="B74" s="5" t="s">
        <v>1582</v>
      </c>
      <c r="C74" t="s">
        <v>1582</v>
      </c>
      <c r="D74" s="3" t="b">
        <f t="shared" si="2"/>
        <v>0</v>
      </c>
      <c r="F74"/>
    </row>
    <row r="75" spans="1:6" x14ac:dyDescent="0.25">
      <c r="A75" t="s">
        <v>1554</v>
      </c>
      <c r="B75" s="5" t="s">
        <v>1640</v>
      </c>
      <c r="C75" t="s">
        <v>1568</v>
      </c>
      <c r="D75" s="3" t="b">
        <f t="shared" si="2"/>
        <v>1</v>
      </c>
      <c r="F75"/>
    </row>
    <row r="76" spans="1:6" x14ac:dyDescent="0.25">
      <c r="A76" t="s">
        <v>1554</v>
      </c>
      <c r="B76" s="5" t="s">
        <v>1562</v>
      </c>
      <c r="C76" t="s">
        <v>1562</v>
      </c>
      <c r="D76" s="3" t="b">
        <f t="shared" si="2"/>
        <v>0</v>
      </c>
    </row>
    <row r="77" spans="1:6" x14ac:dyDescent="0.25">
      <c r="A77" t="s">
        <v>1554</v>
      </c>
      <c r="B77" s="5" t="s">
        <v>1578</v>
      </c>
      <c r="C77" t="s">
        <v>1578</v>
      </c>
      <c r="D77" s="3" t="b">
        <f t="shared" si="2"/>
        <v>0</v>
      </c>
    </row>
    <row r="78" spans="1:6" x14ac:dyDescent="0.25">
      <c r="A78" t="s">
        <v>1554</v>
      </c>
      <c r="B78" s="5" t="s">
        <v>1556</v>
      </c>
      <c r="C78" t="s">
        <v>1556</v>
      </c>
      <c r="D78" s="3" t="b">
        <f t="shared" si="2"/>
        <v>0</v>
      </c>
    </row>
    <row r="79" spans="1:6" x14ac:dyDescent="0.25">
      <c r="A79" t="s">
        <v>1554</v>
      </c>
      <c r="B79" s="5" t="s">
        <v>1639</v>
      </c>
      <c r="C79" t="s">
        <v>1557</v>
      </c>
      <c r="D79" s="3" t="b">
        <f t="shared" si="2"/>
        <v>1</v>
      </c>
      <c r="F79"/>
    </row>
    <row r="80" spans="1:6" x14ac:dyDescent="0.25">
      <c r="A80" t="s">
        <v>1554</v>
      </c>
      <c r="B80" s="5" t="s">
        <v>1602</v>
      </c>
      <c r="C80" t="s">
        <v>1731</v>
      </c>
      <c r="D80" s="3" t="b">
        <f t="shared" si="2"/>
        <v>1</v>
      </c>
    </row>
    <row r="81" spans="1:7" x14ac:dyDescent="0.25">
      <c r="A81" t="s">
        <v>1554</v>
      </c>
      <c r="B81" s="5" t="s">
        <v>1158</v>
      </c>
      <c r="C81" t="s">
        <v>1937</v>
      </c>
      <c r="D81" s="3" t="b">
        <f t="shared" si="2"/>
        <v>1</v>
      </c>
    </row>
    <row r="82" spans="1:7" x14ac:dyDescent="0.25">
      <c r="A82" t="s">
        <v>1554</v>
      </c>
      <c r="B82" s="5" t="s">
        <v>1571</v>
      </c>
      <c r="C82" t="s">
        <v>1571</v>
      </c>
      <c r="D82" s="3" t="b">
        <f t="shared" si="2"/>
        <v>0</v>
      </c>
    </row>
    <row r="83" spans="1:7" x14ac:dyDescent="0.25">
      <c r="A83" t="s">
        <v>66</v>
      </c>
      <c r="B83" s="5" t="s">
        <v>1601</v>
      </c>
      <c r="C83" t="s">
        <v>399</v>
      </c>
      <c r="D83" s="3" t="b">
        <f t="shared" si="2"/>
        <v>1</v>
      </c>
      <c r="G83" s="2"/>
    </row>
    <row r="84" spans="1:7" x14ac:dyDescent="0.25">
      <c r="A84" t="s">
        <v>66</v>
      </c>
      <c r="B84" s="5" t="s">
        <v>1642</v>
      </c>
      <c r="C84" t="s">
        <v>1572</v>
      </c>
      <c r="D84" s="3" t="b">
        <f t="shared" si="2"/>
        <v>1</v>
      </c>
    </row>
    <row r="85" spans="1:7" x14ac:dyDescent="0.25">
      <c r="A85" t="s">
        <v>66</v>
      </c>
      <c r="B85" s="5" t="s">
        <v>1576</v>
      </c>
      <c r="C85" t="s">
        <v>1576</v>
      </c>
      <c r="D85" s="3" t="b">
        <f t="shared" si="2"/>
        <v>0</v>
      </c>
      <c r="G85" s="2"/>
    </row>
    <row r="86" spans="1:7" x14ac:dyDescent="0.25">
      <c r="A86" t="s">
        <v>66</v>
      </c>
      <c r="B86" s="5" t="s">
        <v>1575</v>
      </c>
      <c r="C86" t="s">
        <v>1575</v>
      </c>
      <c r="D86" s="3" t="b">
        <f t="shared" si="2"/>
        <v>0</v>
      </c>
    </row>
    <row r="87" spans="1:7" x14ac:dyDescent="0.25">
      <c r="A87" t="s">
        <v>66</v>
      </c>
      <c r="B87" s="5" t="s">
        <v>1643</v>
      </c>
      <c r="C87" t="s">
        <v>126</v>
      </c>
      <c r="D87" s="3" t="b">
        <f t="shared" si="2"/>
        <v>1</v>
      </c>
    </row>
    <row r="88" spans="1:7" x14ac:dyDescent="0.25">
      <c r="A88" t="s">
        <v>65</v>
      </c>
      <c r="B88" s="5" t="s">
        <v>1644</v>
      </c>
      <c r="C88" t="s">
        <v>2096</v>
      </c>
      <c r="D88" s="3" t="b">
        <f t="shared" si="2"/>
        <v>1</v>
      </c>
    </row>
    <row r="89" spans="1:7" x14ac:dyDescent="0.25">
      <c r="A89" t="s">
        <v>65</v>
      </c>
      <c r="B89" s="5" t="s">
        <v>1638</v>
      </c>
      <c r="C89" t="s">
        <v>1638</v>
      </c>
      <c r="D89" s="3" t="b">
        <f t="shared" si="2"/>
        <v>0</v>
      </c>
    </row>
    <row r="90" spans="1:7" x14ac:dyDescent="0.25">
      <c r="A90" t="s">
        <v>65</v>
      </c>
      <c r="B90" s="5" t="s">
        <v>1645</v>
      </c>
      <c r="C90" t="s">
        <v>374</v>
      </c>
      <c r="D90" s="3" t="b">
        <f t="shared" si="2"/>
        <v>1</v>
      </c>
    </row>
    <row r="91" spans="1:7" x14ac:dyDescent="0.25">
      <c r="A91" t="s">
        <v>65</v>
      </c>
      <c r="B91" s="5" t="s">
        <v>290</v>
      </c>
      <c r="C91" t="s">
        <v>290</v>
      </c>
      <c r="D91" s="3" t="b">
        <f t="shared" si="2"/>
        <v>0</v>
      </c>
    </row>
    <row r="92" spans="1:7" x14ac:dyDescent="0.25">
      <c r="A92" t="s">
        <v>65</v>
      </c>
      <c r="B92" s="5" t="s">
        <v>1633</v>
      </c>
      <c r="C92" t="s">
        <v>1633</v>
      </c>
      <c r="D92" s="3" t="b">
        <f t="shared" si="2"/>
        <v>0</v>
      </c>
    </row>
    <row r="93" spans="1:7" x14ac:dyDescent="0.25">
      <c r="A93" t="s">
        <v>65</v>
      </c>
      <c r="B93" s="5" t="s">
        <v>1614</v>
      </c>
      <c r="C93" t="s">
        <v>1614</v>
      </c>
      <c r="D93" s="3" t="b">
        <f t="shared" si="2"/>
        <v>0</v>
      </c>
    </row>
    <row r="94" spans="1:7" x14ac:dyDescent="0.25">
      <c r="A94" t="s">
        <v>65</v>
      </c>
      <c r="B94" s="23" t="s">
        <v>1883</v>
      </c>
      <c r="C94" t="s">
        <v>1883</v>
      </c>
      <c r="D94" s="3" t="b">
        <f t="shared" si="2"/>
        <v>0</v>
      </c>
      <c r="E94" t="s">
        <v>1626</v>
      </c>
    </row>
    <row r="95" spans="1:7" x14ac:dyDescent="0.25">
      <c r="A95" t="s">
        <v>43</v>
      </c>
      <c r="B95" s="5" t="s">
        <v>1632</v>
      </c>
      <c r="C95" t="s">
        <v>1559</v>
      </c>
      <c r="D95" s="3" t="b">
        <f t="shared" si="2"/>
        <v>1</v>
      </c>
    </row>
    <row r="96" spans="1:7" x14ac:dyDescent="0.25">
      <c r="A96" t="s">
        <v>43</v>
      </c>
      <c r="B96" s="5" t="s">
        <v>1631</v>
      </c>
      <c r="C96" t="s">
        <v>1558</v>
      </c>
      <c r="D96" s="3" t="b">
        <f t="shared" si="2"/>
        <v>1</v>
      </c>
    </row>
    <row r="97" spans="1:4" x14ac:dyDescent="0.25">
      <c r="A97" t="s">
        <v>43</v>
      </c>
      <c r="B97" s="5" t="s">
        <v>129</v>
      </c>
      <c r="C97" t="s">
        <v>129</v>
      </c>
      <c r="D97" s="3" t="b">
        <f t="shared" si="2"/>
        <v>0</v>
      </c>
    </row>
    <row r="98" spans="1:4" x14ac:dyDescent="0.25">
      <c r="A98" t="s">
        <v>43</v>
      </c>
      <c r="B98" s="5" t="s">
        <v>1630</v>
      </c>
      <c r="C98" t="s">
        <v>365</v>
      </c>
      <c r="D98" s="3" t="b">
        <f t="shared" si="2"/>
        <v>1</v>
      </c>
    </row>
    <row r="99" spans="1:4" x14ac:dyDescent="0.25">
      <c r="A99" t="s">
        <v>43</v>
      </c>
      <c r="B99" s="5" t="s">
        <v>1573</v>
      </c>
      <c r="C99" t="s">
        <v>1573</v>
      </c>
      <c r="D99" s="3" t="b">
        <f t="shared" si="2"/>
        <v>0</v>
      </c>
    </row>
    <row r="100" spans="1:4" x14ac:dyDescent="0.25">
      <c r="A100" t="s">
        <v>43</v>
      </c>
      <c r="B100" s="5" t="s">
        <v>1577</v>
      </c>
      <c r="C100" t="s">
        <v>1577</v>
      </c>
      <c r="D100" s="3" t="b">
        <f t="shared" si="2"/>
        <v>0</v>
      </c>
    </row>
    <row r="101" spans="1:4" x14ac:dyDescent="0.25">
      <c r="A101" t="s">
        <v>43</v>
      </c>
      <c r="B101" s="5" t="s">
        <v>178</v>
      </c>
      <c r="C101" t="s">
        <v>178</v>
      </c>
      <c r="D101" s="3" t="b">
        <f t="shared" si="2"/>
        <v>0</v>
      </c>
    </row>
    <row r="102" spans="1:4" x14ac:dyDescent="0.25">
      <c r="A102" t="s">
        <v>43</v>
      </c>
      <c r="B102" s="5" t="s">
        <v>363</v>
      </c>
      <c r="C102" t="s">
        <v>363</v>
      </c>
      <c r="D102" s="3" t="b">
        <f t="shared" si="2"/>
        <v>0</v>
      </c>
    </row>
    <row r="103" spans="1:4" x14ac:dyDescent="0.25">
      <c r="D103" s="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DD6FF1F-BEA3-4F52-94C7-7FBCE844A49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887A515B-93DF-4F75-B538-76C0CCC7A152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CF31-27E0-4B75-BAFB-F3D79578772B}">
  <dimension ref="A1:G102"/>
  <sheetViews>
    <sheetView topLeftCell="A57" workbookViewId="0">
      <selection activeCell="E54" sqref="E54:E57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31" t="s">
        <v>1832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COUNTIF(D4:D106,"Verdadeiro")</f>
        <v>41</v>
      </c>
    </row>
    <row r="3" spans="1:7" s="5" customFormat="1" x14ac:dyDescent="0.25">
      <c r="A3" s="5" t="s">
        <v>2031</v>
      </c>
      <c r="C3" s="5" t="s">
        <v>2083</v>
      </c>
      <c r="D3" t="b">
        <f>B3&lt;&gt;C3</f>
        <v>1</v>
      </c>
      <c r="F3" s="4" t="s">
        <v>37</v>
      </c>
      <c r="G3" s="3">
        <f>SUM(G6:G28)</f>
        <v>100</v>
      </c>
    </row>
    <row r="4" spans="1:7" x14ac:dyDescent="0.25">
      <c r="A4" t="s">
        <v>35</v>
      </c>
      <c r="B4" s="5" t="s">
        <v>86</v>
      </c>
      <c r="C4" t="s">
        <v>261</v>
      </c>
      <c r="D4" t="b">
        <f t="shared" ref="D4:D67" si="0">B4&lt;&gt;C4</f>
        <v>1</v>
      </c>
    </row>
    <row r="5" spans="1:7" x14ac:dyDescent="0.25">
      <c r="A5" t="s">
        <v>35</v>
      </c>
      <c r="B5" s="23" t="s">
        <v>1823</v>
      </c>
      <c r="C5" t="s">
        <v>1823</v>
      </c>
      <c r="D5" t="b">
        <f t="shared" si="0"/>
        <v>0</v>
      </c>
      <c r="F5" s="6" t="s">
        <v>39</v>
      </c>
      <c r="G5" s="1"/>
    </row>
    <row r="6" spans="1:7" x14ac:dyDescent="0.25">
      <c r="A6" t="s">
        <v>35</v>
      </c>
      <c r="B6" s="23" t="s">
        <v>40</v>
      </c>
      <c r="C6" t="s">
        <v>40</v>
      </c>
      <c r="D6" t="b">
        <f t="shared" si="0"/>
        <v>0</v>
      </c>
      <c r="F6" s="3" t="s">
        <v>2031</v>
      </c>
      <c r="G6" s="2">
        <f t="shared" ref="G6:G14" si="1">COUNTIF(A:A,F6)</f>
        <v>1</v>
      </c>
    </row>
    <row r="7" spans="1:7" x14ac:dyDescent="0.25">
      <c r="A7" t="s">
        <v>35</v>
      </c>
      <c r="B7" s="5"/>
      <c r="C7" t="s">
        <v>67</v>
      </c>
      <c r="D7" t="b">
        <f t="shared" si="0"/>
        <v>1</v>
      </c>
      <c r="F7" s="7" t="s">
        <v>35</v>
      </c>
      <c r="G7" s="2">
        <f t="shared" si="1"/>
        <v>35</v>
      </c>
    </row>
    <row r="8" spans="1:7" x14ac:dyDescent="0.25">
      <c r="A8" t="s">
        <v>35</v>
      </c>
      <c r="B8" s="5"/>
      <c r="C8" t="s">
        <v>266</v>
      </c>
      <c r="D8" t="b">
        <f t="shared" si="0"/>
        <v>1</v>
      </c>
      <c r="F8" s="7" t="s">
        <v>41</v>
      </c>
      <c r="G8" s="2">
        <f t="shared" si="1"/>
        <v>10</v>
      </c>
    </row>
    <row r="9" spans="1:7" x14ac:dyDescent="0.25">
      <c r="A9" t="s">
        <v>35</v>
      </c>
      <c r="B9" s="5"/>
      <c r="C9" t="s">
        <v>1828</v>
      </c>
      <c r="D9" t="b">
        <f t="shared" si="0"/>
        <v>1</v>
      </c>
      <c r="F9" s="7" t="s">
        <v>42</v>
      </c>
      <c r="G9" s="2">
        <f t="shared" si="1"/>
        <v>5</v>
      </c>
    </row>
    <row r="10" spans="1:7" x14ac:dyDescent="0.25">
      <c r="A10" t="s">
        <v>35</v>
      </c>
      <c r="B10" s="5" t="s">
        <v>619</v>
      </c>
      <c r="C10" t="s">
        <v>619</v>
      </c>
      <c r="D10" t="b">
        <f t="shared" si="0"/>
        <v>0</v>
      </c>
      <c r="F10" s="3" t="s">
        <v>1946</v>
      </c>
      <c r="G10" s="2">
        <f t="shared" si="1"/>
        <v>13</v>
      </c>
    </row>
    <row r="11" spans="1:7" x14ac:dyDescent="0.25">
      <c r="A11" t="s">
        <v>35</v>
      </c>
      <c r="B11" s="5" t="s">
        <v>150</v>
      </c>
      <c r="C11" t="s">
        <v>150</v>
      </c>
      <c r="D11" t="b">
        <f t="shared" si="0"/>
        <v>0</v>
      </c>
      <c r="F11" s="7" t="s">
        <v>1790</v>
      </c>
      <c r="G11" s="2">
        <f t="shared" si="1"/>
        <v>10</v>
      </c>
    </row>
    <row r="12" spans="1:7" x14ac:dyDescent="0.25">
      <c r="A12" t="s">
        <v>35</v>
      </c>
      <c r="B12" s="5" t="s">
        <v>270</v>
      </c>
      <c r="C12" t="s">
        <v>270</v>
      </c>
      <c r="D12" t="b">
        <f t="shared" si="0"/>
        <v>0</v>
      </c>
      <c r="F12" s="7" t="s">
        <v>193</v>
      </c>
      <c r="G12" s="2">
        <f t="shared" si="1"/>
        <v>10</v>
      </c>
    </row>
    <row r="13" spans="1:7" x14ac:dyDescent="0.25">
      <c r="A13" t="s">
        <v>35</v>
      </c>
      <c r="B13" s="5" t="s">
        <v>1115</v>
      </c>
      <c r="C13" t="s">
        <v>1115</v>
      </c>
      <c r="D13" t="b">
        <f t="shared" si="0"/>
        <v>0</v>
      </c>
      <c r="F13" s="7" t="s">
        <v>195</v>
      </c>
      <c r="G13" s="2">
        <f t="shared" si="1"/>
        <v>6</v>
      </c>
    </row>
    <row r="14" spans="1:7" x14ac:dyDescent="0.25">
      <c r="A14" t="s">
        <v>35</v>
      </c>
      <c r="B14" s="5" t="s">
        <v>86</v>
      </c>
      <c r="C14" t="s">
        <v>86</v>
      </c>
      <c r="D14" t="b">
        <f t="shared" si="0"/>
        <v>0</v>
      </c>
      <c r="F14" s="7" t="s">
        <v>1791</v>
      </c>
      <c r="G14" s="2">
        <f t="shared" si="1"/>
        <v>10</v>
      </c>
    </row>
    <row r="15" spans="1:7" x14ac:dyDescent="0.25">
      <c r="A15" t="s">
        <v>35</v>
      </c>
      <c r="B15" s="5" t="s">
        <v>86</v>
      </c>
      <c r="C15" t="s">
        <v>86</v>
      </c>
      <c r="D15" t="b">
        <f t="shared" si="0"/>
        <v>0</v>
      </c>
      <c r="G15" s="2"/>
    </row>
    <row r="16" spans="1:7" x14ac:dyDescent="0.25">
      <c r="A16" t="s">
        <v>35</v>
      </c>
      <c r="B16" s="5" t="s">
        <v>86</v>
      </c>
      <c r="C16" t="s">
        <v>86</v>
      </c>
      <c r="D16" t="b">
        <f t="shared" si="0"/>
        <v>0</v>
      </c>
      <c r="F16"/>
      <c r="G16" s="2"/>
    </row>
    <row r="17" spans="1:7" x14ac:dyDescent="0.25">
      <c r="A17" t="s">
        <v>35</v>
      </c>
      <c r="B17" s="5" t="s">
        <v>86</v>
      </c>
      <c r="C17" t="s">
        <v>86</v>
      </c>
      <c r="D17" t="b">
        <f t="shared" si="0"/>
        <v>0</v>
      </c>
      <c r="F17"/>
      <c r="G17" s="2"/>
    </row>
    <row r="18" spans="1:7" x14ac:dyDescent="0.25">
      <c r="A18" t="s">
        <v>35</v>
      </c>
      <c r="B18" s="5" t="s">
        <v>86</v>
      </c>
      <c r="C18" t="s">
        <v>86</v>
      </c>
      <c r="D18" t="b">
        <f t="shared" si="0"/>
        <v>0</v>
      </c>
      <c r="F18"/>
    </row>
    <row r="19" spans="1:7" x14ac:dyDescent="0.25">
      <c r="A19" t="s">
        <v>35</v>
      </c>
      <c r="B19" s="5" t="s">
        <v>86</v>
      </c>
      <c r="C19" t="s">
        <v>86</v>
      </c>
      <c r="D19" t="b">
        <f t="shared" si="0"/>
        <v>0</v>
      </c>
      <c r="F19"/>
    </row>
    <row r="20" spans="1:7" x14ac:dyDescent="0.25">
      <c r="A20" t="s">
        <v>35</v>
      </c>
      <c r="B20" s="5" t="s">
        <v>86</v>
      </c>
      <c r="C20" t="s">
        <v>86</v>
      </c>
      <c r="D20" t="b">
        <f t="shared" si="0"/>
        <v>0</v>
      </c>
      <c r="F20"/>
    </row>
    <row r="21" spans="1:7" x14ac:dyDescent="0.25">
      <c r="A21" t="s">
        <v>35</v>
      </c>
      <c r="B21" s="5" t="s">
        <v>86</v>
      </c>
      <c r="C21" t="s">
        <v>86</v>
      </c>
      <c r="D21" t="b">
        <f t="shared" si="0"/>
        <v>0</v>
      </c>
      <c r="F21"/>
    </row>
    <row r="22" spans="1:7" x14ac:dyDescent="0.25">
      <c r="A22" t="s">
        <v>35</v>
      </c>
      <c r="B22" s="5" t="s">
        <v>86</v>
      </c>
      <c r="C22" t="s">
        <v>86</v>
      </c>
      <c r="D22" t="b">
        <f t="shared" si="0"/>
        <v>0</v>
      </c>
      <c r="F22"/>
    </row>
    <row r="23" spans="1:7" x14ac:dyDescent="0.25">
      <c r="A23" t="s">
        <v>35</v>
      </c>
      <c r="B23" s="5" t="s">
        <v>86</v>
      </c>
      <c r="C23" t="s">
        <v>86</v>
      </c>
      <c r="D23" t="b">
        <f t="shared" si="0"/>
        <v>0</v>
      </c>
      <c r="F23"/>
    </row>
    <row r="24" spans="1:7" x14ac:dyDescent="0.25">
      <c r="A24" t="s">
        <v>35</v>
      </c>
      <c r="B24" s="5" t="s">
        <v>85</v>
      </c>
      <c r="C24" t="s">
        <v>85</v>
      </c>
      <c r="D24" t="b">
        <f t="shared" si="0"/>
        <v>0</v>
      </c>
      <c r="F24"/>
    </row>
    <row r="25" spans="1:7" x14ac:dyDescent="0.25">
      <c r="A25" t="s">
        <v>35</v>
      </c>
      <c r="B25" s="5" t="s">
        <v>85</v>
      </c>
      <c r="C25" t="s">
        <v>85</v>
      </c>
      <c r="D25" t="b">
        <f t="shared" si="0"/>
        <v>0</v>
      </c>
      <c r="F25"/>
    </row>
    <row r="26" spans="1:7" x14ac:dyDescent="0.25">
      <c r="A26" t="s">
        <v>35</v>
      </c>
      <c r="B26" s="5" t="s">
        <v>85</v>
      </c>
      <c r="C26" t="s">
        <v>85</v>
      </c>
      <c r="D26" t="b">
        <f t="shared" si="0"/>
        <v>0</v>
      </c>
      <c r="F26"/>
    </row>
    <row r="27" spans="1:7" x14ac:dyDescent="0.25">
      <c r="A27" t="s">
        <v>35</v>
      </c>
      <c r="B27" s="5" t="s">
        <v>85</v>
      </c>
      <c r="C27" t="s">
        <v>85</v>
      </c>
      <c r="D27" t="b">
        <f t="shared" si="0"/>
        <v>0</v>
      </c>
      <c r="F27"/>
    </row>
    <row r="28" spans="1:7" x14ac:dyDescent="0.25">
      <c r="A28" t="s">
        <v>35</v>
      </c>
      <c r="B28" s="5" t="s">
        <v>85</v>
      </c>
      <c r="C28" t="s">
        <v>85</v>
      </c>
      <c r="D28" t="b">
        <f t="shared" si="0"/>
        <v>0</v>
      </c>
      <c r="F28"/>
    </row>
    <row r="29" spans="1:7" x14ac:dyDescent="0.25">
      <c r="A29" t="s">
        <v>35</v>
      </c>
      <c r="B29" s="5" t="s">
        <v>85</v>
      </c>
      <c r="C29" t="s">
        <v>85</v>
      </c>
      <c r="D29" t="b">
        <f t="shared" si="0"/>
        <v>0</v>
      </c>
      <c r="F29"/>
    </row>
    <row r="30" spans="1:7" x14ac:dyDescent="0.25">
      <c r="A30" t="s">
        <v>35</v>
      </c>
      <c r="B30" s="5" t="s">
        <v>85</v>
      </c>
      <c r="C30" t="s">
        <v>85</v>
      </c>
      <c r="D30" t="b">
        <f t="shared" si="0"/>
        <v>0</v>
      </c>
      <c r="F30"/>
    </row>
    <row r="31" spans="1:7" x14ac:dyDescent="0.25">
      <c r="A31" t="s">
        <v>35</v>
      </c>
      <c r="B31" s="5" t="s">
        <v>85</v>
      </c>
      <c r="C31" t="s">
        <v>85</v>
      </c>
      <c r="D31" t="b">
        <f t="shared" si="0"/>
        <v>0</v>
      </c>
      <c r="F31"/>
    </row>
    <row r="32" spans="1:7" x14ac:dyDescent="0.25">
      <c r="A32" t="s">
        <v>35</v>
      </c>
      <c r="B32" s="5" t="s">
        <v>205</v>
      </c>
      <c r="C32" t="s">
        <v>205</v>
      </c>
      <c r="D32" t="b">
        <f t="shared" si="0"/>
        <v>0</v>
      </c>
      <c r="F32"/>
    </row>
    <row r="33" spans="1:6" x14ac:dyDescent="0.25">
      <c r="A33" t="s">
        <v>35</v>
      </c>
      <c r="B33" s="5" t="s">
        <v>205</v>
      </c>
      <c r="C33" t="s">
        <v>205</v>
      </c>
      <c r="D33" t="b">
        <f t="shared" si="0"/>
        <v>0</v>
      </c>
      <c r="F33"/>
    </row>
    <row r="34" spans="1:6" x14ac:dyDescent="0.25">
      <c r="A34" t="s">
        <v>35</v>
      </c>
      <c r="B34" s="5" t="s">
        <v>205</v>
      </c>
      <c r="C34" t="s">
        <v>205</v>
      </c>
      <c r="D34" t="b">
        <f t="shared" si="0"/>
        <v>0</v>
      </c>
      <c r="F34"/>
    </row>
    <row r="35" spans="1:6" x14ac:dyDescent="0.25">
      <c r="A35" t="s">
        <v>35</v>
      </c>
      <c r="B35" s="5" t="s">
        <v>205</v>
      </c>
      <c r="C35" t="s">
        <v>205</v>
      </c>
      <c r="D35" t="b">
        <f t="shared" si="0"/>
        <v>0</v>
      </c>
      <c r="F35"/>
    </row>
    <row r="36" spans="1:6" x14ac:dyDescent="0.25">
      <c r="A36" t="s">
        <v>35</v>
      </c>
      <c r="B36" s="5" t="s">
        <v>205</v>
      </c>
      <c r="C36" t="s">
        <v>205</v>
      </c>
      <c r="D36" t="b">
        <f t="shared" si="0"/>
        <v>0</v>
      </c>
      <c r="F36"/>
    </row>
    <row r="37" spans="1:6" x14ac:dyDescent="0.25">
      <c r="A37" t="s">
        <v>35</v>
      </c>
      <c r="B37" s="5" t="s">
        <v>205</v>
      </c>
      <c r="C37" t="s">
        <v>205</v>
      </c>
      <c r="D37" t="b">
        <f t="shared" si="0"/>
        <v>0</v>
      </c>
      <c r="F37"/>
    </row>
    <row r="38" spans="1:6" x14ac:dyDescent="0.25">
      <c r="A38" t="s">
        <v>35</v>
      </c>
      <c r="B38" s="5" t="s">
        <v>205</v>
      </c>
      <c r="C38" t="s">
        <v>205</v>
      </c>
      <c r="D38" t="b">
        <f t="shared" si="0"/>
        <v>0</v>
      </c>
      <c r="F38"/>
    </row>
    <row r="39" spans="1:6" x14ac:dyDescent="0.25">
      <c r="A39" t="s">
        <v>41</v>
      </c>
      <c r="B39" s="5"/>
      <c r="C39" t="s">
        <v>1821</v>
      </c>
      <c r="D39" t="b">
        <f t="shared" si="0"/>
        <v>1</v>
      </c>
      <c r="F39"/>
    </row>
    <row r="40" spans="1:6" x14ac:dyDescent="0.25">
      <c r="A40" t="s">
        <v>41</v>
      </c>
      <c r="B40" s="5"/>
      <c r="C40" t="s">
        <v>1702</v>
      </c>
      <c r="D40" t="b">
        <f t="shared" si="0"/>
        <v>1</v>
      </c>
      <c r="F40"/>
    </row>
    <row r="41" spans="1:6" x14ac:dyDescent="0.25">
      <c r="A41" t="s">
        <v>41</v>
      </c>
      <c r="B41" s="5"/>
      <c r="C41" t="s">
        <v>1701</v>
      </c>
      <c r="D41" t="b">
        <f t="shared" si="0"/>
        <v>1</v>
      </c>
      <c r="F41"/>
    </row>
    <row r="42" spans="1:6" x14ac:dyDescent="0.25">
      <c r="A42" t="s">
        <v>41</v>
      </c>
      <c r="B42" s="5"/>
      <c r="C42" t="s">
        <v>1794</v>
      </c>
      <c r="D42" t="b">
        <f t="shared" si="0"/>
        <v>1</v>
      </c>
    </row>
    <row r="43" spans="1:6" x14ac:dyDescent="0.25">
      <c r="A43" t="s">
        <v>41</v>
      </c>
      <c r="B43" s="5"/>
      <c r="C43" t="s">
        <v>495</v>
      </c>
      <c r="D43" t="b">
        <f t="shared" si="0"/>
        <v>1</v>
      </c>
    </row>
    <row r="44" spans="1:6" x14ac:dyDescent="0.25">
      <c r="A44" t="s">
        <v>41</v>
      </c>
      <c r="B44" s="5"/>
      <c r="C44" t="s">
        <v>1795</v>
      </c>
      <c r="D44" t="b">
        <f t="shared" si="0"/>
        <v>1</v>
      </c>
    </row>
    <row r="45" spans="1:6" x14ac:dyDescent="0.25">
      <c r="A45" t="s">
        <v>41</v>
      </c>
      <c r="B45" s="5" t="s">
        <v>419</v>
      </c>
      <c r="C45" t="s">
        <v>419</v>
      </c>
      <c r="D45" t="b">
        <f t="shared" si="0"/>
        <v>0</v>
      </c>
    </row>
    <row r="46" spans="1:6" x14ac:dyDescent="0.25">
      <c r="A46" t="s">
        <v>41</v>
      </c>
      <c r="B46" s="5" t="s">
        <v>1803</v>
      </c>
      <c r="C46" t="s">
        <v>1803</v>
      </c>
      <c r="D46" t="b">
        <f t="shared" si="0"/>
        <v>0</v>
      </c>
    </row>
    <row r="47" spans="1:6" x14ac:dyDescent="0.25">
      <c r="A47" t="s">
        <v>41</v>
      </c>
      <c r="B47" s="5"/>
      <c r="C47" t="s">
        <v>287</v>
      </c>
      <c r="D47" t="b">
        <f t="shared" si="0"/>
        <v>1</v>
      </c>
    </row>
    <row r="48" spans="1:6" x14ac:dyDescent="0.25">
      <c r="A48" t="s">
        <v>41</v>
      </c>
      <c r="B48" s="5" t="s">
        <v>2210</v>
      </c>
      <c r="C48" t="s">
        <v>2210</v>
      </c>
      <c r="D48" t="b">
        <f t="shared" si="0"/>
        <v>0</v>
      </c>
    </row>
    <row r="49" spans="1:6" x14ac:dyDescent="0.25">
      <c r="A49" t="s">
        <v>42</v>
      </c>
      <c r="B49" s="5"/>
      <c r="C49" t="s">
        <v>1945</v>
      </c>
      <c r="D49" t="b">
        <f t="shared" si="0"/>
        <v>1</v>
      </c>
    </row>
    <row r="50" spans="1:6" x14ac:dyDescent="0.25">
      <c r="A50" t="s">
        <v>42</v>
      </c>
      <c r="B50" s="5"/>
      <c r="C50" t="s">
        <v>1827</v>
      </c>
      <c r="D50" t="b">
        <f t="shared" si="0"/>
        <v>1</v>
      </c>
    </row>
    <row r="51" spans="1:6" x14ac:dyDescent="0.25">
      <c r="A51" t="s">
        <v>42</v>
      </c>
      <c r="B51" s="5"/>
      <c r="C51" t="s">
        <v>1944</v>
      </c>
      <c r="D51" t="b">
        <f t="shared" si="0"/>
        <v>1</v>
      </c>
    </row>
    <row r="52" spans="1:6" x14ac:dyDescent="0.25">
      <c r="A52" t="s">
        <v>42</v>
      </c>
      <c r="B52" s="5" t="s">
        <v>1811</v>
      </c>
      <c r="C52" t="s">
        <v>1811</v>
      </c>
      <c r="D52" t="b">
        <f t="shared" si="0"/>
        <v>0</v>
      </c>
    </row>
    <row r="53" spans="1:6" x14ac:dyDescent="0.25">
      <c r="A53" t="s">
        <v>42</v>
      </c>
      <c r="B53" s="5" t="s">
        <v>1819</v>
      </c>
      <c r="C53" t="s">
        <v>1819</v>
      </c>
      <c r="D53" t="b">
        <f t="shared" si="0"/>
        <v>0</v>
      </c>
    </row>
    <row r="54" spans="1:6" x14ac:dyDescent="0.25">
      <c r="A54" t="s">
        <v>1946</v>
      </c>
      <c r="B54" s="5"/>
      <c r="C54" t="s">
        <v>1693</v>
      </c>
      <c r="D54" t="b">
        <f t="shared" si="0"/>
        <v>1</v>
      </c>
    </row>
    <row r="55" spans="1:6" x14ac:dyDescent="0.25">
      <c r="A55" t="s">
        <v>1946</v>
      </c>
      <c r="B55" s="5"/>
      <c r="C55" t="s">
        <v>1826</v>
      </c>
      <c r="D55" t="b">
        <f t="shared" si="0"/>
        <v>1</v>
      </c>
    </row>
    <row r="56" spans="1:6" x14ac:dyDescent="0.25">
      <c r="A56" t="s">
        <v>1946</v>
      </c>
      <c r="B56" s="5"/>
      <c r="C56" t="s">
        <v>1692</v>
      </c>
      <c r="D56" t="b">
        <f t="shared" si="0"/>
        <v>1</v>
      </c>
    </row>
    <row r="57" spans="1:6" x14ac:dyDescent="0.25">
      <c r="A57" t="s">
        <v>1946</v>
      </c>
      <c r="B57" s="5"/>
      <c r="C57" t="s">
        <v>1694</v>
      </c>
      <c r="D57" t="b">
        <f t="shared" si="0"/>
        <v>1</v>
      </c>
    </row>
    <row r="58" spans="1:6" x14ac:dyDescent="0.25">
      <c r="A58" t="s">
        <v>1946</v>
      </c>
      <c r="B58" s="5" t="s">
        <v>1792</v>
      </c>
      <c r="C58" t="s">
        <v>1792</v>
      </c>
      <c r="D58" t="b">
        <f t="shared" si="0"/>
        <v>0</v>
      </c>
    </row>
    <row r="59" spans="1:6" x14ac:dyDescent="0.25">
      <c r="A59" t="s">
        <v>1946</v>
      </c>
      <c r="B59" s="23" t="s">
        <v>1809</v>
      </c>
      <c r="C59" t="s">
        <v>1809</v>
      </c>
      <c r="D59" t="b">
        <f t="shared" si="0"/>
        <v>0</v>
      </c>
    </row>
    <row r="60" spans="1:6" x14ac:dyDescent="0.25">
      <c r="A60" t="s">
        <v>1946</v>
      </c>
      <c r="B60" s="5"/>
      <c r="C60" t="s">
        <v>1829</v>
      </c>
      <c r="D60" t="b">
        <f t="shared" si="0"/>
        <v>1</v>
      </c>
    </row>
    <row r="61" spans="1:6" x14ac:dyDescent="0.25">
      <c r="A61" t="s">
        <v>1946</v>
      </c>
      <c r="B61" s="23" t="s">
        <v>1806</v>
      </c>
      <c r="C61" t="s">
        <v>1806</v>
      </c>
      <c r="D61" t="b">
        <f t="shared" si="0"/>
        <v>0</v>
      </c>
    </row>
    <row r="62" spans="1:6" x14ac:dyDescent="0.25">
      <c r="A62" t="s">
        <v>1946</v>
      </c>
      <c r="B62" s="23" t="s">
        <v>1812</v>
      </c>
      <c r="C62" t="s">
        <v>1812</v>
      </c>
      <c r="D62" t="b">
        <f t="shared" si="0"/>
        <v>0</v>
      </c>
      <c r="F62"/>
    </row>
    <row r="63" spans="1:6" x14ac:dyDescent="0.25">
      <c r="A63" t="s">
        <v>1946</v>
      </c>
      <c r="B63" s="5"/>
      <c r="C63" t="s">
        <v>1802</v>
      </c>
      <c r="D63" t="b">
        <f t="shared" si="0"/>
        <v>1</v>
      </c>
    </row>
    <row r="64" spans="1:6" x14ac:dyDescent="0.25">
      <c r="A64" t="s">
        <v>1946</v>
      </c>
      <c r="B64" s="5"/>
      <c r="C64" t="s">
        <v>1800</v>
      </c>
      <c r="D64" t="b">
        <f t="shared" si="0"/>
        <v>1</v>
      </c>
    </row>
    <row r="65" spans="1:6" x14ac:dyDescent="0.25">
      <c r="A65" t="s">
        <v>1946</v>
      </c>
      <c r="B65" s="5"/>
      <c r="C65" t="s">
        <v>1796</v>
      </c>
      <c r="D65" t="b">
        <f t="shared" si="0"/>
        <v>1</v>
      </c>
    </row>
    <row r="66" spans="1:6" x14ac:dyDescent="0.25">
      <c r="A66" t="s">
        <v>1946</v>
      </c>
      <c r="B66" s="5" t="s">
        <v>2048</v>
      </c>
      <c r="C66" t="s">
        <v>2048</v>
      </c>
      <c r="D66" t="b">
        <f t="shared" si="0"/>
        <v>0</v>
      </c>
    </row>
    <row r="67" spans="1:6" x14ac:dyDescent="0.25">
      <c r="A67" t="s">
        <v>1790</v>
      </c>
      <c r="B67" s="23" t="s">
        <v>1824</v>
      </c>
      <c r="C67" t="s">
        <v>1824</v>
      </c>
      <c r="D67" t="b">
        <f t="shared" si="0"/>
        <v>0</v>
      </c>
    </row>
    <row r="68" spans="1:6" x14ac:dyDescent="0.25">
      <c r="A68" t="s">
        <v>1790</v>
      </c>
      <c r="B68" s="5"/>
      <c r="C68" t="s">
        <v>1696</v>
      </c>
      <c r="D68" t="b">
        <f t="shared" ref="D68:D101" si="2">B68&lt;&gt;C68</f>
        <v>1</v>
      </c>
    </row>
    <row r="69" spans="1:6" x14ac:dyDescent="0.25">
      <c r="A69" t="s">
        <v>1790</v>
      </c>
      <c r="B69" s="5"/>
      <c r="C69" t="s">
        <v>1695</v>
      </c>
      <c r="D69" t="b">
        <f t="shared" si="2"/>
        <v>1</v>
      </c>
    </row>
    <row r="70" spans="1:6" x14ac:dyDescent="0.25">
      <c r="A70" t="s">
        <v>1790</v>
      </c>
      <c r="B70" s="23" t="s">
        <v>1810</v>
      </c>
      <c r="C70" t="s">
        <v>1810</v>
      </c>
      <c r="D70" t="b">
        <f t="shared" si="2"/>
        <v>0</v>
      </c>
    </row>
    <row r="71" spans="1:6" x14ac:dyDescent="0.25">
      <c r="A71" t="s">
        <v>1790</v>
      </c>
      <c r="B71" s="5" t="s">
        <v>1817</v>
      </c>
      <c r="C71" t="s">
        <v>1817</v>
      </c>
      <c r="D71" t="b">
        <f t="shared" si="2"/>
        <v>0</v>
      </c>
    </row>
    <row r="72" spans="1:6" x14ac:dyDescent="0.25">
      <c r="A72" t="s">
        <v>1790</v>
      </c>
      <c r="B72" s="23" t="s">
        <v>1820</v>
      </c>
      <c r="C72" t="s">
        <v>1820</v>
      </c>
      <c r="D72" t="b">
        <f t="shared" si="2"/>
        <v>0</v>
      </c>
    </row>
    <row r="73" spans="1:6" x14ac:dyDescent="0.25">
      <c r="A73" t="s">
        <v>1790</v>
      </c>
      <c r="B73" s="5"/>
      <c r="C73" t="s">
        <v>1929</v>
      </c>
      <c r="D73" t="b">
        <f t="shared" si="2"/>
        <v>1</v>
      </c>
    </row>
    <row r="74" spans="1:6" x14ac:dyDescent="0.25">
      <c r="A74" t="s">
        <v>1790</v>
      </c>
      <c r="B74" s="23" t="s">
        <v>1805</v>
      </c>
      <c r="C74" t="s">
        <v>1805</v>
      </c>
      <c r="D74" t="b">
        <f t="shared" si="2"/>
        <v>0</v>
      </c>
    </row>
    <row r="75" spans="1:6" x14ac:dyDescent="0.25">
      <c r="A75" t="s">
        <v>1790</v>
      </c>
      <c r="B75" s="5"/>
      <c r="C75" t="s">
        <v>1808</v>
      </c>
      <c r="D75" t="b">
        <f t="shared" si="2"/>
        <v>1</v>
      </c>
      <c r="F75"/>
    </row>
    <row r="76" spans="1:6" x14ac:dyDescent="0.25">
      <c r="A76" t="s">
        <v>1790</v>
      </c>
      <c r="B76" s="5"/>
      <c r="C76" t="s">
        <v>1825</v>
      </c>
      <c r="D76" t="b">
        <f t="shared" si="2"/>
        <v>1</v>
      </c>
    </row>
    <row r="77" spans="1:6" x14ac:dyDescent="0.25">
      <c r="A77" t="s">
        <v>193</v>
      </c>
      <c r="B77" s="5"/>
      <c r="C77" t="s">
        <v>1807</v>
      </c>
      <c r="D77" t="b">
        <f t="shared" si="2"/>
        <v>1</v>
      </c>
    </row>
    <row r="78" spans="1:6" x14ac:dyDescent="0.25">
      <c r="A78" t="s">
        <v>193</v>
      </c>
      <c r="B78" s="5"/>
      <c r="C78" t="s">
        <v>1818</v>
      </c>
      <c r="D78" t="b">
        <f t="shared" si="2"/>
        <v>1</v>
      </c>
    </row>
    <row r="79" spans="1:6" x14ac:dyDescent="0.25">
      <c r="A79" t="s">
        <v>193</v>
      </c>
      <c r="B79" s="5"/>
      <c r="C79" t="s">
        <v>1816</v>
      </c>
      <c r="D79" t="b">
        <f t="shared" si="2"/>
        <v>1</v>
      </c>
    </row>
    <row r="80" spans="1:6" x14ac:dyDescent="0.25">
      <c r="A80" t="s">
        <v>193</v>
      </c>
      <c r="B80" s="5" t="s">
        <v>2026</v>
      </c>
      <c r="C80" t="s">
        <v>2026</v>
      </c>
      <c r="D80" t="b">
        <f t="shared" si="2"/>
        <v>0</v>
      </c>
    </row>
    <row r="81" spans="1:6" x14ac:dyDescent="0.25">
      <c r="A81" t="s">
        <v>193</v>
      </c>
      <c r="B81" s="23" t="s">
        <v>1799</v>
      </c>
      <c r="C81" t="s">
        <v>1799</v>
      </c>
      <c r="D81" t="b">
        <f t="shared" si="2"/>
        <v>0</v>
      </c>
    </row>
    <row r="82" spans="1:6" x14ac:dyDescent="0.25">
      <c r="A82" t="s">
        <v>193</v>
      </c>
      <c r="B82" s="23" t="s">
        <v>1804</v>
      </c>
      <c r="C82" t="s">
        <v>1804</v>
      </c>
      <c r="D82" t="b">
        <f t="shared" si="2"/>
        <v>0</v>
      </c>
    </row>
    <row r="83" spans="1:6" x14ac:dyDescent="0.25">
      <c r="A83" t="s">
        <v>193</v>
      </c>
      <c r="B83" s="23" t="s">
        <v>1797</v>
      </c>
      <c r="C83" t="s">
        <v>1797</v>
      </c>
      <c r="D83" t="b">
        <f t="shared" si="2"/>
        <v>0</v>
      </c>
      <c r="F83" s="5"/>
    </row>
    <row r="84" spans="1:6" x14ac:dyDescent="0.25">
      <c r="A84" t="s">
        <v>193</v>
      </c>
      <c r="B84" s="5"/>
      <c r="C84" t="s">
        <v>1698</v>
      </c>
      <c r="D84" t="b">
        <f t="shared" si="2"/>
        <v>1</v>
      </c>
      <c r="E84" s="5"/>
      <c r="F84" s="5"/>
    </row>
    <row r="85" spans="1:6" x14ac:dyDescent="0.25">
      <c r="A85" t="s">
        <v>193</v>
      </c>
      <c r="B85" s="5"/>
      <c r="C85" t="s">
        <v>1699</v>
      </c>
      <c r="D85" t="b">
        <f t="shared" si="2"/>
        <v>1</v>
      </c>
      <c r="F85" s="5"/>
    </row>
    <row r="86" spans="1:6" x14ac:dyDescent="0.25">
      <c r="A86" t="s">
        <v>193</v>
      </c>
      <c r="B86" s="23" t="s">
        <v>1710</v>
      </c>
      <c r="C86" t="s">
        <v>1710</v>
      </c>
      <c r="D86" t="b">
        <f t="shared" si="2"/>
        <v>0</v>
      </c>
      <c r="F86" s="5"/>
    </row>
    <row r="87" spans="1:6" x14ac:dyDescent="0.25">
      <c r="A87" t="s">
        <v>195</v>
      </c>
      <c r="B87" s="5"/>
      <c r="C87" t="s">
        <v>1691</v>
      </c>
      <c r="D87" t="b">
        <f t="shared" si="2"/>
        <v>1</v>
      </c>
    </row>
    <row r="88" spans="1:6" x14ac:dyDescent="0.25">
      <c r="A88" t="s">
        <v>195</v>
      </c>
      <c r="B88" s="5"/>
      <c r="C88" t="s">
        <v>1703</v>
      </c>
      <c r="D88" t="b">
        <f t="shared" si="2"/>
        <v>1</v>
      </c>
    </row>
    <row r="89" spans="1:6" x14ac:dyDescent="0.25">
      <c r="A89" t="s">
        <v>195</v>
      </c>
      <c r="B89" s="5" t="s">
        <v>1700</v>
      </c>
      <c r="C89" t="s">
        <v>1700</v>
      </c>
      <c r="D89" t="b">
        <f t="shared" si="2"/>
        <v>0</v>
      </c>
    </row>
    <row r="90" spans="1:6" x14ac:dyDescent="0.25">
      <c r="A90" t="s">
        <v>195</v>
      </c>
      <c r="B90" s="5"/>
      <c r="C90" t="s">
        <v>1814</v>
      </c>
      <c r="D90" t="b">
        <f t="shared" si="2"/>
        <v>1</v>
      </c>
    </row>
    <row r="91" spans="1:6" x14ac:dyDescent="0.25">
      <c r="A91" t="s">
        <v>195</v>
      </c>
      <c r="B91" s="5"/>
      <c r="C91" t="s">
        <v>1711</v>
      </c>
      <c r="D91" t="b">
        <f t="shared" si="2"/>
        <v>1</v>
      </c>
    </row>
    <row r="92" spans="1:6" x14ac:dyDescent="0.25">
      <c r="A92" t="s">
        <v>195</v>
      </c>
      <c r="B92" s="5"/>
      <c r="C92" t="s">
        <v>1712</v>
      </c>
      <c r="D92" t="b">
        <f t="shared" si="2"/>
        <v>1</v>
      </c>
    </row>
    <row r="93" spans="1:6" x14ac:dyDescent="0.25">
      <c r="A93" t="s">
        <v>1791</v>
      </c>
      <c r="B93" s="5"/>
      <c r="C93" t="s">
        <v>1793</v>
      </c>
      <c r="D93" t="b">
        <f t="shared" si="2"/>
        <v>1</v>
      </c>
    </row>
    <row r="94" spans="1:6" x14ac:dyDescent="0.25">
      <c r="A94" t="s">
        <v>1791</v>
      </c>
      <c r="B94" s="5"/>
      <c r="C94" t="s">
        <v>1798</v>
      </c>
      <c r="D94" t="b">
        <f t="shared" si="2"/>
        <v>1</v>
      </c>
    </row>
    <row r="95" spans="1:6" x14ac:dyDescent="0.25">
      <c r="A95" t="s">
        <v>1791</v>
      </c>
      <c r="B95" s="5" t="s">
        <v>1801</v>
      </c>
      <c r="C95" t="s">
        <v>1801</v>
      </c>
      <c r="D95" t="b">
        <f t="shared" si="2"/>
        <v>0</v>
      </c>
    </row>
    <row r="96" spans="1:6" x14ac:dyDescent="0.25">
      <c r="A96" t="s">
        <v>1791</v>
      </c>
      <c r="B96" s="5" t="s">
        <v>1813</v>
      </c>
      <c r="C96" t="s">
        <v>1813</v>
      </c>
      <c r="D96" t="b">
        <f t="shared" si="2"/>
        <v>0</v>
      </c>
    </row>
    <row r="97" spans="1:4" x14ac:dyDescent="0.25">
      <c r="A97" t="s">
        <v>1791</v>
      </c>
      <c r="B97" s="5" t="s">
        <v>1631</v>
      </c>
      <c r="C97" t="s">
        <v>1631</v>
      </c>
      <c r="D97" t="b">
        <f t="shared" si="2"/>
        <v>0</v>
      </c>
    </row>
    <row r="98" spans="1:4" x14ac:dyDescent="0.25">
      <c r="A98" t="s">
        <v>1791</v>
      </c>
      <c r="B98" s="5" t="s">
        <v>520</v>
      </c>
      <c r="C98" t="s">
        <v>520</v>
      </c>
      <c r="D98" t="b">
        <f t="shared" si="2"/>
        <v>0</v>
      </c>
    </row>
    <row r="99" spans="1:4" x14ac:dyDescent="0.25">
      <c r="A99" t="s">
        <v>1791</v>
      </c>
      <c r="B99" s="5"/>
      <c r="C99" t="s">
        <v>1822</v>
      </c>
      <c r="D99" t="b">
        <f t="shared" si="2"/>
        <v>1</v>
      </c>
    </row>
    <row r="100" spans="1:4" x14ac:dyDescent="0.25">
      <c r="A100" t="s">
        <v>1791</v>
      </c>
      <c r="B100" s="5" t="s">
        <v>1815</v>
      </c>
      <c r="C100" t="s">
        <v>1815</v>
      </c>
      <c r="D100" t="b">
        <f t="shared" si="2"/>
        <v>0</v>
      </c>
    </row>
    <row r="101" spans="1:4" x14ac:dyDescent="0.25">
      <c r="A101" t="s">
        <v>1791</v>
      </c>
      <c r="B101" s="5"/>
      <c r="C101" t="s">
        <v>1947</v>
      </c>
      <c r="D101" t="b">
        <f t="shared" si="2"/>
        <v>1</v>
      </c>
    </row>
    <row r="102" spans="1:4" x14ac:dyDescent="0.25">
      <c r="A102" t="s">
        <v>1791</v>
      </c>
      <c r="B102" s="5" t="s">
        <v>860</v>
      </c>
      <c r="C102" t="s">
        <v>860</v>
      </c>
      <c r="D102" t="str">
        <f>IF(B102=C102,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E120708-D11C-45CA-B80E-F54796CA3604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0E2B7413-A314-4363-8F34-729FAFE52A2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C2F7-1089-41C4-A2B4-B21C85C55814}">
  <dimension ref="A1:G102"/>
  <sheetViews>
    <sheetView topLeftCell="A69" workbookViewId="0">
      <selection activeCell="C54" sqref="C54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140625" bestFit="1" customWidth="1"/>
  </cols>
  <sheetData>
    <row r="1" spans="1:7" ht="21" x14ac:dyDescent="0.25">
      <c r="A1" s="31" t="s">
        <v>1867</v>
      </c>
      <c r="B1" s="31"/>
      <c r="C1" s="31"/>
      <c r="D1" s="31"/>
      <c r="E1" s="31"/>
      <c r="F1" s="31"/>
      <c r="G1" s="31"/>
    </row>
    <row r="2" spans="1:7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12</v>
      </c>
    </row>
    <row r="3" spans="1:7" x14ac:dyDescent="0.25">
      <c r="A3" s="5" t="s">
        <v>2031</v>
      </c>
      <c r="B3" s="5" t="s">
        <v>934</v>
      </c>
      <c r="C3" s="5" t="s">
        <v>934</v>
      </c>
      <c r="D3" t="b">
        <f>B3&lt;&gt;C3</f>
        <v>0</v>
      </c>
      <c r="F3" s="4" t="s">
        <v>37</v>
      </c>
      <c r="G3" s="25">
        <f>SUM(G5:G29)</f>
        <v>100</v>
      </c>
    </row>
    <row r="4" spans="1:7" x14ac:dyDescent="0.25">
      <c r="A4" t="s">
        <v>35</v>
      </c>
      <c r="B4" s="5" t="s">
        <v>935</v>
      </c>
      <c r="C4" s="22" t="s">
        <v>935</v>
      </c>
      <c r="D4" t="b">
        <f t="shared" ref="D4:D67" si="0">B4&lt;&gt;C4</f>
        <v>0</v>
      </c>
    </row>
    <row r="5" spans="1:7" x14ac:dyDescent="0.25">
      <c r="A5" t="s">
        <v>35</v>
      </c>
      <c r="B5" s="5" t="s">
        <v>341</v>
      </c>
      <c r="C5" s="22" t="s">
        <v>341</v>
      </c>
      <c r="D5" t="b">
        <f t="shared" si="0"/>
        <v>0</v>
      </c>
      <c r="F5" s="6" t="s">
        <v>39</v>
      </c>
      <c r="G5" s="1"/>
    </row>
    <row r="6" spans="1:7" x14ac:dyDescent="0.25">
      <c r="A6" t="s">
        <v>35</v>
      </c>
      <c r="B6" s="5" t="s">
        <v>192</v>
      </c>
      <c r="C6" s="22" t="s">
        <v>192</v>
      </c>
      <c r="D6" t="b">
        <f t="shared" si="0"/>
        <v>0</v>
      </c>
      <c r="F6" s="1" t="s">
        <v>35</v>
      </c>
      <c r="G6" s="2">
        <f t="shared" ref="G6:G12" si="1">COUNTIF(A:A,F6)</f>
        <v>35</v>
      </c>
    </row>
    <row r="7" spans="1:7" x14ac:dyDescent="0.25">
      <c r="A7" t="s">
        <v>35</v>
      </c>
      <c r="B7" s="23" t="s">
        <v>1862</v>
      </c>
      <c r="C7" s="22" t="s">
        <v>1862</v>
      </c>
      <c r="D7" t="b">
        <f t="shared" si="0"/>
        <v>0</v>
      </c>
      <c r="E7" t="s">
        <v>46</v>
      </c>
      <c r="F7" s="3" t="s">
        <v>2031</v>
      </c>
      <c r="G7" s="2">
        <f t="shared" si="1"/>
        <v>1</v>
      </c>
    </row>
    <row r="8" spans="1:7" x14ac:dyDescent="0.25">
      <c r="A8" t="s">
        <v>35</v>
      </c>
      <c r="B8" s="5" t="s">
        <v>40</v>
      </c>
      <c r="C8" s="22" t="s">
        <v>40</v>
      </c>
      <c r="D8" t="b">
        <f t="shared" si="0"/>
        <v>0</v>
      </c>
      <c r="F8" s="1" t="s">
        <v>41</v>
      </c>
      <c r="G8" s="2">
        <f t="shared" si="1"/>
        <v>10</v>
      </c>
    </row>
    <row r="9" spans="1:7" x14ac:dyDescent="0.25">
      <c r="A9" t="s">
        <v>35</v>
      </c>
      <c r="B9" s="5" t="s">
        <v>46</v>
      </c>
      <c r="C9" t="s">
        <v>937</v>
      </c>
      <c r="D9" t="b">
        <f t="shared" si="0"/>
        <v>1</v>
      </c>
      <c r="F9" s="1" t="s">
        <v>42</v>
      </c>
      <c r="G9" s="2">
        <f t="shared" si="1"/>
        <v>8</v>
      </c>
    </row>
    <row r="10" spans="1:7" x14ac:dyDescent="0.25">
      <c r="A10" t="s">
        <v>35</v>
      </c>
      <c r="B10" s="5" t="s">
        <v>45</v>
      </c>
      <c r="C10" t="s">
        <v>1760</v>
      </c>
      <c r="D10" t="b">
        <f t="shared" si="0"/>
        <v>1</v>
      </c>
      <c r="F10" s="1" t="s">
        <v>68</v>
      </c>
      <c r="G10" s="2">
        <f t="shared" si="1"/>
        <v>7</v>
      </c>
    </row>
    <row r="11" spans="1:7" x14ac:dyDescent="0.25">
      <c r="A11" t="s">
        <v>35</v>
      </c>
      <c r="B11" s="23" t="s">
        <v>754</v>
      </c>
      <c r="C11" t="s">
        <v>754</v>
      </c>
      <c r="D11" t="b">
        <f t="shared" si="0"/>
        <v>0</v>
      </c>
      <c r="E11" t="s">
        <v>45</v>
      </c>
      <c r="F11" s="1" t="s">
        <v>938</v>
      </c>
      <c r="G11" s="2">
        <f t="shared" si="1"/>
        <v>19</v>
      </c>
    </row>
    <row r="12" spans="1:7" x14ac:dyDescent="0.25">
      <c r="A12" t="s">
        <v>35</v>
      </c>
      <c r="B12" s="5" t="s">
        <v>45</v>
      </c>
      <c r="C12" t="s">
        <v>45</v>
      </c>
      <c r="D12" t="b">
        <f t="shared" si="0"/>
        <v>0</v>
      </c>
      <c r="F12" s="1" t="s">
        <v>151</v>
      </c>
      <c r="G12" s="2">
        <f t="shared" si="1"/>
        <v>20</v>
      </c>
    </row>
    <row r="13" spans="1:7" x14ac:dyDescent="0.25">
      <c r="A13" t="s">
        <v>35</v>
      </c>
      <c r="B13" s="5" t="s">
        <v>45</v>
      </c>
      <c r="C13" t="s">
        <v>45</v>
      </c>
      <c r="D13" t="b">
        <f t="shared" si="0"/>
        <v>0</v>
      </c>
    </row>
    <row r="14" spans="1:7" x14ac:dyDescent="0.25">
      <c r="A14" t="s">
        <v>35</v>
      </c>
      <c r="B14" s="5" t="s">
        <v>45</v>
      </c>
      <c r="C14" t="s">
        <v>45</v>
      </c>
      <c r="D14" t="b">
        <f t="shared" si="0"/>
        <v>0</v>
      </c>
    </row>
    <row r="15" spans="1:7" x14ac:dyDescent="0.25">
      <c r="A15" t="s">
        <v>35</v>
      </c>
      <c r="B15" s="5" t="s">
        <v>45</v>
      </c>
      <c r="C15" t="s">
        <v>45</v>
      </c>
      <c r="D15" t="b">
        <f t="shared" si="0"/>
        <v>0</v>
      </c>
      <c r="F15" s="1"/>
      <c r="G15" s="2"/>
    </row>
    <row r="16" spans="1:7" x14ac:dyDescent="0.25">
      <c r="A16" t="s">
        <v>35</v>
      </c>
      <c r="B16" s="5" t="s">
        <v>45</v>
      </c>
      <c r="C16" t="s">
        <v>45</v>
      </c>
      <c r="D16" t="b">
        <f t="shared" si="0"/>
        <v>0</v>
      </c>
      <c r="F16" s="1"/>
      <c r="G16" s="2"/>
    </row>
    <row r="17" spans="1:7" x14ac:dyDescent="0.25">
      <c r="A17" t="s">
        <v>35</v>
      </c>
      <c r="B17" s="5" t="s">
        <v>45</v>
      </c>
      <c r="C17" t="s">
        <v>45</v>
      </c>
      <c r="D17" t="b">
        <f t="shared" si="0"/>
        <v>0</v>
      </c>
      <c r="F17" s="5"/>
      <c r="G17" s="2"/>
    </row>
    <row r="18" spans="1:7" x14ac:dyDescent="0.25">
      <c r="A18" t="s">
        <v>35</v>
      </c>
      <c r="B18" s="5" t="s">
        <v>45</v>
      </c>
      <c r="C18" t="s">
        <v>45</v>
      </c>
      <c r="D18" t="b">
        <f t="shared" si="0"/>
        <v>0</v>
      </c>
      <c r="F18" s="5"/>
      <c r="G18" s="2"/>
    </row>
    <row r="19" spans="1:7" x14ac:dyDescent="0.25">
      <c r="A19" t="s">
        <v>35</v>
      </c>
      <c r="B19" s="5" t="s">
        <v>45</v>
      </c>
      <c r="C19" t="s">
        <v>45</v>
      </c>
      <c r="D19" t="b">
        <f t="shared" si="0"/>
        <v>0</v>
      </c>
    </row>
    <row r="20" spans="1:7" x14ac:dyDescent="0.25">
      <c r="A20" t="s">
        <v>35</v>
      </c>
      <c r="B20" s="5" t="s">
        <v>45</v>
      </c>
      <c r="C20" t="s">
        <v>45</v>
      </c>
      <c r="D20" t="b">
        <f t="shared" si="0"/>
        <v>0</v>
      </c>
    </row>
    <row r="21" spans="1:7" x14ac:dyDescent="0.25">
      <c r="A21" t="s">
        <v>35</v>
      </c>
      <c r="B21" s="5" t="s">
        <v>45</v>
      </c>
      <c r="C21" t="s">
        <v>45</v>
      </c>
      <c r="D21" t="b">
        <f t="shared" si="0"/>
        <v>0</v>
      </c>
    </row>
    <row r="22" spans="1:7" x14ac:dyDescent="0.25">
      <c r="A22" t="s">
        <v>35</v>
      </c>
      <c r="B22" s="5" t="s">
        <v>45</v>
      </c>
      <c r="C22" t="s">
        <v>45</v>
      </c>
      <c r="D22" t="b">
        <f t="shared" si="0"/>
        <v>0</v>
      </c>
    </row>
    <row r="23" spans="1:7" x14ac:dyDescent="0.25">
      <c r="A23" t="s">
        <v>35</v>
      </c>
      <c r="B23" s="5" t="s">
        <v>45</v>
      </c>
      <c r="C23" t="s">
        <v>45</v>
      </c>
      <c r="D23" t="b">
        <f t="shared" si="0"/>
        <v>0</v>
      </c>
    </row>
    <row r="24" spans="1:7" x14ac:dyDescent="0.25">
      <c r="A24" t="s">
        <v>35</v>
      </c>
      <c r="B24" s="5" t="s">
        <v>45</v>
      </c>
      <c r="C24" t="s">
        <v>45</v>
      </c>
      <c r="D24" t="b">
        <f t="shared" si="0"/>
        <v>0</v>
      </c>
    </row>
    <row r="25" spans="1:7" x14ac:dyDescent="0.25">
      <c r="A25" t="s">
        <v>35</v>
      </c>
      <c r="B25" s="5" t="s">
        <v>45</v>
      </c>
      <c r="C25" t="s">
        <v>45</v>
      </c>
      <c r="D25" t="b">
        <f t="shared" si="0"/>
        <v>0</v>
      </c>
    </row>
    <row r="26" spans="1:7" x14ac:dyDescent="0.25">
      <c r="A26" t="s">
        <v>35</v>
      </c>
      <c r="B26" s="5" t="s">
        <v>45</v>
      </c>
      <c r="C26" t="s">
        <v>45</v>
      </c>
      <c r="D26" t="b">
        <f t="shared" si="0"/>
        <v>0</v>
      </c>
    </row>
    <row r="27" spans="1:7" x14ac:dyDescent="0.25">
      <c r="A27" t="s">
        <v>35</v>
      </c>
      <c r="B27" s="5" t="s">
        <v>46</v>
      </c>
      <c r="C27" t="s">
        <v>46</v>
      </c>
      <c r="D27" t="b">
        <f t="shared" si="0"/>
        <v>0</v>
      </c>
    </row>
    <row r="28" spans="1:7" x14ac:dyDescent="0.25">
      <c r="A28" t="s">
        <v>35</v>
      </c>
      <c r="B28" s="5" t="s">
        <v>46</v>
      </c>
      <c r="C28" t="s">
        <v>46</v>
      </c>
      <c r="D28" t="b">
        <f t="shared" si="0"/>
        <v>0</v>
      </c>
    </row>
    <row r="29" spans="1:7" x14ac:dyDescent="0.25">
      <c r="A29" t="s">
        <v>35</v>
      </c>
      <c r="B29" s="5" t="s">
        <v>46</v>
      </c>
      <c r="C29" t="s">
        <v>46</v>
      </c>
      <c r="D29" t="b">
        <f t="shared" si="0"/>
        <v>0</v>
      </c>
    </row>
    <row r="30" spans="1:7" x14ac:dyDescent="0.25">
      <c r="A30" t="s">
        <v>35</v>
      </c>
      <c r="B30" s="5" t="s">
        <v>46</v>
      </c>
      <c r="C30" t="s">
        <v>46</v>
      </c>
      <c r="D30" t="b">
        <f t="shared" si="0"/>
        <v>0</v>
      </c>
    </row>
    <row r="31" spans="1:7" x14ac:dyDescent="0.25">
      <c r="A31" t="s">
        <v>35</v>
      </c>
      <c r="B31" s="5" t="s">
        <v>46</v>
      </c>
      <c r="C31" t="s">
        <v>46</v>
      </c>
      <c r="D31" t="b">
        <f t="shared" si="0"/>
        <v>0</v>
      </c>
    </row>
    <row r="32" spans="1:7" x14ac:dyDescent="0.25">
      <c r="A32" t="s">
        <v>35</v>
      </c>
      <c r="B32" s="5" t="s">
        <v>46</v>
      </c>
      <c r="C32" t="s">
        <v>46</v>
      </c>
      <c r="D32" t="b">
        <f t="shared" si="0"/>
        <v>0</v>
      </c>
    </row>
    <row r="33" spans="1:6" x14ac:dyDescent="0.25">
      <c r="A33" t="s">
        <v>35</v>
      </c>
      <c r="B33" s="5" t="s">
        <v>46</v>
      </c>
      <c r="C33" t="s">
        <v>46</v>
      </c>
      <c r="D33" t="b">
        <f t="shared" si="0"/>
        <v>0</v>
      </c>
    </row>
    <row r="34" spans="1:6" x14ac:dyDescent="0.25">
      <c r="A34" t="s">
        <v>35</v>
      </c>
      <c r="B34" s="5" t="s">
        <v>46</v>
      </c>
      <c r="C34" t="s">
        <v>46</v>
      </c>
      <c r="D34" t="b">
        <f t="shared" si="0"/>
        <v>0</v>
      </c>
    </row>
    <row r="35" spans="1:6" x14ac:dyDescent="0.25">
      <c r="A35" t="s">
        <v>35</v>
      </c>
      <c r="B35" s="5" t="s">
        <v>46</v>
      </c>
      <c r="C35" t="s">
        <v>46</v>
      </c>
      <c r="D35" t="b">
        <f t="shared" si="0"/>
        <v>0</v>
      </c>
    </row>
    <row r="36" spans="1:6" x14ac:dyDescent="0.25">
      <c r="A36" t="s">
        <v>35</v>
      </c>
      <c r="B36" s="5" t="s">
        <v>46</v>
      </c>
      <c r="C36" t="s">
        <v>46</v>
      </c>
      <c r="D36" t="b">
        <f t="shared" si="0"/>
        <v>0</v>
      </c>
    </row>
    <row r="37" spans="1:6" x14ac:dyDescent="0.25">
      <c r="A37" t="s">
        <v>35</v>
      </c>
      <c r="B37" s="5" t="s">
        <v>46</v>
      </c>
      <c r="C37" t="s">
        <v>46</v>
      </c>
      <c r="D37" t="b">
        <f t="shared" si="0"/>
        <v>0</v>
      </c>
    </row>
    <row r="38" spans="1:6" x14ac:dyDescent="0.25">
      <c r="A38" t="s">
        <v>35</v>
      </c>
      <c r="B38" s="5" t="s">
        <v>46</v>
      </c>
      <c r="C38" t="s">
        <v>46</v>
      </c>
      <c r="D38" t="b">
        <f t="shared" si="0"/>
        <v>0</v>
      </c>
    </row>
    <row r="39" spans="1:6" x14ac:dyDescent="0.25">
      <c r="A39" t="s">
        <v>41</v>
      </c>
      <c r="B39" s="5" t="s">
        <v>206</v>
      </c>
      <c r="C39" s="22" t="s">
        <v>206</v>
      </c>
      <c r="D39" t="b">
        <f t="shared" si="0"/>
        <v>0</v>
      </c>
    </row>
    <row r="40" spans="1:6" x14ac:dyDescent="0.25">
      <c r="A40" t="s">
        <v>41</v>
      </c>
      <c r="B40" s="23" t="s">
        <v>207</v>
      </c>
      <c r="C40" t="s">
        <v>207</v>
      </c>
      <c r="D40" t="b">
        <f t="shared" si="0"/>
        <v>0</v>
      </c>
    </row>
    <row r="41" spans="1:6" x14ac:dyDescent="0.25">
      <c r="A41" t="s">
        <v>41</v>
      </c>
      <c r="B41" s="23" t="s">
        <v>210</v>
      </c>
      <c r="C41" t="s">
        <v>210</v>
      </c>
      <c r="D41" t="b">
        <f t="shared" si="0"/>
        <v>0</v>
      </c>
    </row>
    <row r="42" spans="1:6" x14ac:dyDescent="0.25">
      <c r="A42" t="s">
        <v>41</v>
      </c>
      <c r="B42" s="5"/>
      <c r="C42" t="s">
        <v>212</v>
      </c>
      <c r="D42" t="b">
        <f t="shared" si="0"/>
        <v>1</v>
      </c>
    </row>
    <row r="43" spans="1:6" x14ac:dyDescent="0.25">
      <c r="A43" t="s">
        <v>41</v>
      </c>
      <c r="B43" s="5" t="s">
        <v>969</v>
      </c>
      <c r="C43" s="22" t="s">
        <v>969</v>
      </c>
      <c r="D43" t="b">
        <f t="shared" si="0"/>
        <v>0</v>
      </c>
    </row>
    <row r="44" spans="1:6" x14ac:dyDescent="0.25">
      <c r="A44" t="s">
        <v>41</v>
      </c>
      <c r="B44" s="23" t="s">
        <v>358</v>
      </c>
      <c r="C44" t="s">
        <v>358</v>
      </c>
      <c r="D44" t="b">
        <f t="shared" si="0"/>
        <v>0</v>
      </c>
    </row>
    <row r="45" spans="1:6" x14ac:dyDescent="0.25">
      <c r="A45" t="s">
        <v>41</v>
      </c>
      <c r="B45" s="5"/>
      <c r="C45" t="s">
        <v>1877</v>
      </c>
      <c r="D45" t="b">
        <f t="shared" si="0"/>
        <v>1</v>
      </c>
    </row>
    <row r="46" spans="1:6" x14ac:dyDescent="0.25">
      <c r="A46" t="s">
        <v>41</v>
      </c>
      <c r="B46" s="23" t="s">
        <v>1452</v>
      </c>
      <c r="C46" t="s">
        <v>1452</v>
      </c>
      <c r="D46" t="b">
        <f t="shared" si="0"/>
        <v>0</v>
      </c>
    </row>
    <row r="47" spans="1:6" x14ac:dyDescent="0.25">
      <c r="A47" t="s">
        <v>41</v>
      </c>
      <c r="B47" s="5"/>
      <c r="C47" t="s">
        <v>359</v>
      </c>
      <c r="D47" t="b">
        <f t="shared" si="0"/>
        <v>1</v>
      </c>
      <c r="F47"/>
    </row>
    <row r="48" spans="1:6" x14ac:dyDescent="0.25">
      <c r="A48" t="s">
        <v>41</v>
      </c>
      <c r="B48" s="5"/>
      <c r="C48" t="s">
        <v>1878</v>
      </c>
      <c r="D48" t="b">
        <f t="shared" si="0"/>
        <v>1</v>
      </c>
    </row>
    <row r="49" spans="1:6" x14ac:dyDescent="0.25">
      <c r="A49" t="s">
        <v>42</v>
      </c>
      <c r="B49" s="5" t="s">
        <v>833</v>
      </c>
      <c r="C49" s="22" t="s">
        <v>833</v>
      </c>
      <c r="D49" t="b">
        <f t="shared" si="0"/>
        <v>0</v>
      </c>
    </row>
    <row r="50" spans="1:6" x14ac:dyDescent="0.25">
      <c r="A50" t="s">
        <v>42</v>
      </c>
      <c r="B50" s="5" t="s">
        <v>993</v>
      </c>
      <c r="C50" s="22" t="s">
        <v>993</v>
      </c>
      <c r="D50" t="b">
        <f t="shared" si="0"/>
        <v>0</v>
      </c>
    </row>
    <row r="51" spans="1:6" x14ac:dyDescent="0.25">
      <c r="A51" t="s">
        <v>42</v>
      </c>
      <c r="B51" s="5" t="s">
        <v>2047</v>
      </c>
      <c r="C51" t="s">
        <v>2047</v>
      </c>
      <c r="D51" t="b">
        <f t="shared" si="0"/>
        <v>0</v>
      </c>
    </row>
    <row r="52" spans="1:6" x14ac:dyDescent="0.25">
      <c r="A52" t="s">
        <v>42</v>
      </c>
      <c r="B52" s="5" t="s">
        <v>2040</v>
      </c>
      <c r="C52" t="s">
        <v>2040</v>
      </c>
      <c r="D52" t="b">
        <f t="shared" si="0"/>
        <v>0</v>
      </c>
    </row>
    <row r="53" spans="1:6" x14ac:dyDescent="0.25">
      <c r="A53" t="s">
        <v>42</v>
      </c>
      <c r="B53" s="5"/>
      <c r="C53" t="s">
        <v>1875</v>
      </c>
      <c r="D53" t="b">
        <f t="shared" si="0"/>
        <v>1</v>
      </c>
    </row>
    <row r="54" spans="1:6" x14ac:dyDescent="0.25">
      <c r="A54" t="s">
        <v>42</v>
      </c>
      <c r="B54" s="5" t="s">
        <v>2209</v>
      </c>
      <c r="C54" t="s">
        <v>2209</v>
      </c>
      <c r="D54" t="b">
        <f t="shared" si="0"/>
        <v>0</v>
      </c>
    </row>
    <row r="55" spans="1:6" x14ac:dyDescent="0.25">
      <c r="A55" t="s">
        <v>42</v>
      </c>
      <c r="B55" s="5"/>
      <c r="D55" t="b">
        <f t="shared" si="0"/>
        <v>0</v>
      </c>
      <c r="F55"/>
    </row>
    <row r="56" spans="1:6" x14ac:dyDescent="0.25">
      <c r="A56" t="s">
        <v>42</v>
      </c>
      <c r="B56" s="5"/>
      <c r="D56" t="b">
        <f t="shared" si="0"/>
        <v>0</v>
      </c>
      <c r="F56"/>
    </row>
    <row r="57" spans="1:6" x14ac:dyDescent="0.25">
      <c r="A57" t="s">
        <v>68</v>
      </c>
      <c r="B57" s="5" t="s">
        <v>980</v>
      </c>
      <c r="C57" s="22" t="s">
        <v>980</v>
      </c>
      <c r="D57" t="b">
        <f t="shared" si="0"/>
        <v>0</v>
      </c>
      <c r="F57"/>
    </row>
    <row r="58" spans="1:6" x14ac:dyDescent="0.25">
      <c r="A58" t="s">
        <v>68</v>
      </c>
      <c r="B58" s="5" t="s">
        <v>370</v>
      </c>
      <c r="C58" s="22" t="s">
        <v>370</v>
      </c>
      <c r="D58" t="b">
        <f t="shared" si="0"/>
        <v>0</v>
      </c>
      <c r="F58"/>
    </row>
    <row r="59" spans="1:6" x14ac:dyDescent="0.25">
      <c r="A59" t="s">
        <v>68</v>
      </c>
      <c r="B59" s="5" t="s">
        <v>976</v>
      </c>
      <c r="C59" s="22" t="s">
        <v>976</v>
      </c>
      <c r="D59" t="b">
        <f t="shared" si="0"/>
        <v>0</v>
      </c>
      <c r="F59"/>
    </row>
    <row r="60" spans="1:6" x14ac:dyDescent="0.25">
      <c r="A60" t="s">
        <v>68</v>
      </c>
      <c r="B60" s="5" t="s">
        <v>801</v>
      </c>
      <c r="C60" s="22" t="s">
        <v>801</v>
      </c>
      <c r="D60" t="b">
        <f t="shared" si="0"/>
        <v>0</v>
      </c>
    </row>
    <row r="61" spans="1:6" x14ac:dyDescent="0.25">
      <c r="A61" t="s">
        <v>68</v>
      </c>
      <c r="B61" s="5" t="s">
        <v>128</v>
      </c>
      <c r="C61" s="22" t="s">
        <v>128</v>
      </c>
      <c r="D61" t="b">
        <f t="shared" si="0"/>
        <v>0</v>
      </c>
      <c r="F61"/>
    </row>
    <row r="62" spans="1:6" x14ac:dyDescent="0.25">
      <c r="A62" t="s">
        <v>68</v>
      </c>
      <c r="B62" s="5" t="s">
        <v>713</v>
      </c>
      <c r="C62" s="22" t="s">
        <v>713</v>
      </c>
      <c r="D62" t="b">
        <f t="shared" si="0"/>
        <v>0</v>
      </c>
      <c r="F62"/>
    </row>
    <row r="63" spans="1:6" x14ac:dyDescent="0.25">
      <c r="A63" t="s">
        <v>68</v>
      </c>
      <c r="B63" s="5" t="s">
        <v>983</v>
      </c>
      <c r="C63" s="22" t="s">
        <v>983</v>
      </c>
      <c r="D63" t="b">
        <f>B63&lt;&gt;C63</f>
        <v>0</v>
      </c>
    </row>
    <row r="64" spans="1:6" x14ac:dyDescent="0.25">
      <c r="A64" t="s">
        <v>938</v>
      </c>
      <c r="B64" s="5" t="s">
        <v>940</v>
      </c>
      <c r="C64" s="22" t="s">
        <v>940</v>
      </c>
      <c r="D64" t="b">
        <f t="shared" si="0"/>
        <v>0</v>
      </c>
      <c r="F64"/>
    </row>
    <row r="65" spans="1:6" x14ac:dyDescent="0.25">
      <c r="A65" t="s">
        <v>938</v>
      </c>
      <c r="B65" s="5"/>
      <c r="C65" t="s">
        <v>942</v>
      </c>
      <c r="D65" t="b">
        <f t="shared" si="0"/>
        <v>1</v>
      </c>
      <c r="F65"/>
    </row>
    <row r="66" spans="1:6" x14ac:dyDescent="0.25">
      <c r="A66" t="s">
        <v>938</v>
      </c>
      <c r="B66" s="5" t="s">
        <v>943</v>
      </c>
      <c r="C66" s="22" t="s">
        <v>943</v>
      </c>
      <c r="D66" t="b">
        <f t="shared" si="0"/>
        <v>0</v>
      </c>
      <c r="F66"/>
    </row>
    <row r="67" spans="1:6" x14ac:dyDescent="0.25">
      <c r="A67" t="s">
        <v>938</v>
      </c>
      <c r="B67" s="5" t="s">
        <v>944</v>
      </c>
      <c r="C67" s="22" t="s">
        <v>944</v>
      </c>
      <c r="D67" t="b">
        <f t="shared" si="0"/>
        <v>0</v>
      </c>
      <c r="F67"/>
    </row>
    <row r="68" spans="1:6" x14ac:dyDescent="0.25">
      <c r="A68" t="s">
        <v>938</v>
      </c>
      <c r="B68" s="5"/>
      <c r="C68" t="s">
        <v>1868</v>
      </c>
      <c r="D68" t="b">
        <f t="shared" ref="D68:D102" si="2">B68&lt;&gt;C68</f>
        <v>1</v>
      </c>
      <c r="F68" s="5"/>
    </row>
    <row r="69" spans="1:6" x14ac:dyDescent="0.25">
      <c r="A69" t="s">
        <v>938</v>
      </c>
      <c r="B69" s="5" t="s">
        <v>439</v>
      </c>
      <c r="C69" s="22" t="s">
        <v>439</v>
      </c>
      <c r="D69" t="b">
        <f t="shared" si="2"/>
        <v>0</v>
      </c>
      <c r="F69" s="5"/>
    </row>
    <row r="70" spans="1:6" x14ac:dyDescent="0.25">
      <c r="A70" t="s">
        <v>938</v>
      </c>
      <c r="B70" s="5" t="s">
        <v>945</v>
      </c>
      <c r="C70" s="22" t="s">
        <v>945</v>
      </c>
      <c r="D70" t="b">
        <f t="shared" si="2"/>
        <v>0</v>
      </c>
      <c r="F70" s="5"/>
    </row>
    <row r="71" spans="1:6" x14ac:dyDescent="0.25">
      <c r="A71" t="s">
        <v>938</v>
      </c>
      <c r="B71" s="5"/>
      <c r="C71" t="s">
        <v>947</v>
      </c>
      <c r="D71" t="b">
        <f t="shared" si="2"/>
        <v>1</v>
      </c>
    </row>
    <row r="72" spans="1:6" x14ac:dyDescent="0.25">
      <c r="A72" t="s">
        <v>938</v>
      </c>
      <c r="B72" s="5" t="s">
        <v>948</v>
      </c>
      <c r="C72" s="22" t="s">
        <v>948</v>
      </c>
      <c r="D72" t="b">
        <f t="shared" si="2"/>
        <v>0</v>
      </c>
    </row>
    <row r="73" spans="1:6" x14ac:dyDescent="0.25">
      <c r="A73" t="s">
        <v>938</v>
      </c>
      <c r="B73" s="5" t="s">
        <v>949</v>
      </c>
      <c r="C73" s="22" t="s">
        <v>949</v>
      </c>
      <c r="D73" t="b">
        <f t="shared" si="2"/>
        <v>0</v>
      </c>
    </row>
    <row r="74" spans="1:6" x14ac:dyDescent="0.25">
      <c r="A74" t="s">
        <v>938</v>
      </c>
      <c r="B74" s="5" t="s">
        <v>950</v>
      </c>
      <c r="C74" s="22" t="s">
        <v>950</v>
      </c>
      <c r="D74" t="b">
        <f t="shared" si="2"/>
        <v>0</v>
      </c>
    </row>
    <row r="75" spans="1:6" x14ac:dyDescent="0.25">
      <c r="A75" t="s">
        <v>938</v>
      </c>
      <c r="B75" s="5" t="s">
        <v>951</v>
      </c>
      <c r="C75" s="22" t="s">
        <v>951</v>
      </c>
      <c r="D75" t="b">
        <f t="shared" si="2"/>
        <v>0</v>
      </c>
    </row>
    <row r="76" spans="1:6" x14ac:dyDescent="0.25">
      <c r="A76" t="s">
        <v>938</v>
      </c>
      <c r="B76" s="5" t="s">
        <v>952</v>
      </c>
      <c r="C76" s="22" t="s">
        <v>952</v>
      </c>
      <c r="D76" t="b">
        <f t="shared" si="2"/>
        <v>0</v>
      </c>
      <c r="F76"/>
    </row>
    <row r="77" spans="1:6" x14ac:dyDescent="0.25">
      <c r="A77" t="s">
        <v>938</v>
      </c>
      <c r="B77" s="5" t="s">
        <v>953</v>
      </c>
      <c r="C77" s="22" t="s">
        <v>953</v>
      </c>
      <c r="D77" t="b">
        <f t="shared" si="2"/>
        <v>0</v>
      </c>
      <c r="F77"/>
    </row>
    <row r="78" spans="1:6" x14ac:dyDescent="0.25">
      <c r="A78" t="s">
        <v>938</v>
      </c>
      <c r="B78" s="5" t="s">
        <v>954</v>
      </c>
      <c r="C78" s="22" t="s">
        <v>954</v>
      </c>
      <c r="D78" t="b">
        <f t="shared" si="2"/>
        <v>0</v>
      </c>
      <c r="E78" s="5"/>
    </row>
    <row r="79" spans="1:6" x14ac:dyDescent="0.25">
      <c r="A79" t="s">
        <v>938</v>
      </c>
      <c r="B79" s="5" t="s">
        <v>955</v>
      </c>
      <c r="C79" s="22" t="s">
        <v>955</v>
      </c>
      <c r="D79" t="b">
        <f t="shared" si="2"/>
        <v>0</v>
      </c>
    </row>
    <row r="80" spans="1:6" x14ac:dyDescent="0.25">
      <c r="A80" t="s">
        <v>938</v>
      </c>
      <c r="B80" s="5" t="s">
        <v>941</v>
      </c>
      <c r="C80" s="22" t="s">
        <v>941</v>
      </c>
      <c r="D80" t="b">
        <f t="shared" si="2"/>
        <v>0</v>
      </c>
    </row>
    <row r="81" spans="1:6" x14ac:dyDescent="0.25">
      <c r="A81" t="s">
        <v>938</v>
      </c>
      <c r="B81" s="5" t="s">
        <v>1871</v>
      </c>
      <c r="C81" s="22" t="s">
        <v>1871</v>
      </c>
      <c r="D81" t="b">
        <f t="shared" si="2"/>
        <v>0</v>
      </c>
      <c r="E81" s="5"/>
    </row>
    <row r="82" spans="1:6" x14ac:dyDescent="0.25">
      <c r="A82" t="s">
        <v>938</v>
      </c>
      <c r="B82" s="5"/>
      <c r="C82" t="s">
        <v>1872</v>
      </c>
      <c r="D82" t="b">
        <f t="shared" si="2"/>
        <v>1</v>
      </c>
      <c r="F82" s="5"/>
    </row>
    <row r="83" spans="1:6" x14ac:dyDescent="0.25">
      <c r="A83" t="s">
        <v>151</v>
      </c>
      <c r="B83" s="5" t="s">
        <v>966</v>
      </c>
      <c r="C83" s="22" t="s">
        <v>966</v>
      </c>
      <c r="D83" t="b">
        <f t="shared" si="2"/>
        <v>0</v>
      </c>
      <c r="F83" s="5"/>
    </row>
    <row r="84" spans="1:6" x14ac:dyDescent="0.25">
      <c r="A84" t="s">
        <v>151</v>
      </c>
      <c r="B84" s="5" t="s">
        <v>963</v>
      </c>
      <c r="C84" s="22" t="s">
        <v>963</v>
      </c>
      <c r="D84" t="b">
        <f t="shared" si="2"/>
        <v>0</v>
      </c>
      <c r="F84" s="5"/>
    </row>
    <row r="85" spans="1:6" x14ac:dyDescent="0.25">
      <c r="A85" t="s">
        <v>151</v>
      </c>
      <c r="B85" s="5" t="s">
        <v>962</v>
      </c>
      <c r="C85" s="22" t="s">
        <v>962</v>
      </c>
      <c r="D85" t="b">
        <f t="shared" si="2"/>
        <v>0</v>
      </c>
      <c r="F85" s="5"/>
    </row>
    <row r="86" spans="1:6" x14ac:dyDescent="0.25">
      <c r="A86" t="s">
        <v>151</v>
      </c>
      <c r="B86" s="5" t="s">
        <v>965</v>
      </c>
      <c r="C86" s="22" t="s">
        <v>965</v>
      </c>
      <c r="D86" t="b">
        <f t="shared" si="2"/>
        <v>0</v>
      </c>
      <c r="F86" s="5"/>
    </row>
    <row r="87" spans="1:6" x14ac:dyDescent="0.25">
      <c r="A87" t="s">
        <v>151</v>
      </c>
      <c r="B87" s="5" t="s">
        <v>967</v>
      </c>
      <c r="C87" s="22" t="s">
        <v>967</v>
      </c>
      <c r="D87" t="b">
        <f t="shared" si="2"/>
        <v>0</v>
      </c>
    </row>
    <row r="88" spans="1:6" x14ac:dyDescent="0.25">
      <c r="A88" t="s">
        <v>151</v>
      </c>
      <c r="B88" s="5" t="s">
        <v>2046</v>
      </c>
      <c r="C88" t="s">
        <v>2046</v>
      </c>
      <c r="D88" t="b">
        <f t="shared" si="2"/>
        <v>0</v>
      </c>
    </row>
    <row r="89" spans="1:6" x14ac:dyDescent="0.25">
      <c r="A89" t="s">
        <v>151</v>
      </c>
      <c r="B89" s="5"/>
      <c r="C89" t="s">
        <v>1870</v>
      </c>
      <c r="D89" t="b">
        <f t="shared" si="2"/>
        <v>1</v>
      </c>
    </row>
    <row r="90" spans="1:6" x14ac:dyDescent="0.25">
      <c r="A90" t="s">
        <v>151</v>
      </c>
      <c r="B90" s="5" t="s">
        <v>970</v>
      </c>
      <c r="C90" s="22" t="s">
        <v>970</v>
      </c>
      <c r="D90" t="b">
        <f t="shared" si="2"/>
        <v>0</v>
      </c>
    </row>
    <row r="91" spans="1:6" x14ac:dyDescent="0.25">
      <c r="A91" t="s">
        <v>151</v>
      </c>
      <c r="B91" s="5" t="s">
        <v>971</v>
      </c>
      <c r="C91" s="22" t="s">
        <v>971</v>
      </c>
      <c r="D91" t="b">
        <f t="shared" si="2"/>
        <v>0</v>
      </c>
    </row>
    <row r="92" spans="1:6" x14ac:dyDescent="0.25">
      <c r="A92" t="s">
        <v>151</v>
      </c>
      <c r="B92" s="5" t="s">
        <v>972</v>
      </c>
      <c r="C92" s="22" t="s">
        <v>972</v>
      </c>
      <c r="D92" t="b">
        <f t="shared" si="2"/>
        <v>0</v>
      </c>
      <c r="F92"/>
    </row>
    <row r="93" spans="1:6" x14ac:dyDescent="0.25">
      <c r="A93" t="s">
        <v>151</v>
      </c>
      <c r="B93" s="5" t="s">
        <v>973</v>
      </c>
      <c r="C93" t="s">
        <v>973</v>
      </c>
      <c r="D93" t="b">
        <f t="shared" si="2"/>
        <v>0</v>
      </c>
      <c r="F93"/>
    </row>
    <row r="94" spans="1:6" x14ac:dyDescent="0.25">
      <c r="A94" t="s">
        <v>151</v>
      </c>
      <c r="B94" s="5" t="s">
        <v>974</v>
      </c>
      <c r="C94" s="22" t="s">
        <v>974</v>
      </c>
      <c r="D94" t="b">
        <f t="shared" si="2"/>
        <v>0</v>
      </c>
      <c r="F94"/>
    </row>
    <row r="95" spans="1:6" x14ac:dyDescent="0.25">
      <c r="A95" t="s">
        <v>151</v>
      </c>
      <c r="B95" s="5" t="s">
        <v>975</v>
      </c>
      <c r="C95" s="22" t="s">
        <v>975</v>
      </c>
      <c r="D95" t="b">
        <f t="shared" si="2"/>
        <v>0</v>
      </c>
    </row>
    <row r="96" spans="1:6" x14ac:dyDescent="0.25">
      <c r="A96" t="s">
        <v>151</v>
      </c>
      <c r="B96" s="5" t="s">
        <v>1869</v>
      </c>
      <c r="C96" t="s">
        <v>1869</v>
      </c>
      <c r="D96" t="b">
        <f t="shared" si="2"/>
        <v>0</v>
      </c>
    </row>
    <row r="97" spans="1:6" x14ac:dyDescent="0.25">
      <c r="A97" t="s">
        <v>151</v>
      </c>
      <c r="B97" s="5" t="s">
        <v>1876</v>
      </c>
      <c r="C97" t="s">
        <v>1876</v>
      </c>
      <c r="D97" t="b">
        <f t="shared" si="2"/>
        <v>0</v>
      </c>
    </row>
    <row r="98" spans="1:6" x14ac:dyDescent="0.25">
      <c r="A98" t="s">
        <v>151</v>
      </c>
      <c r="B98" s="23" t="s">
        <v>1874</v>
      </c>
      <c r="C98" s="5" t="s">
        <v>1874</v>
      </c>
      <c r="D98" t="b">
        <f t="shared" si="2"/>
        <v>0</v>
      </c>
      <c r="F98"/>
    </row>
    <row r="99" spans="1:6" x14ac:dyDescent="0.25">
      <c r="A99" t="s">
        <v>151</v>
      </c>
      <c r="B99" s="5" t="s">
        <v>1873</v>
      </c>
      <c r="C99" s="5" t="s">
        <v>1873</v>
      </c>
      <c r="D99" t="b">
        <f t="shared" si="2"/>
        <v>0</v>
      </c>
    </row>
    <row r="100" spans="1:6" x14ac:dyDescent="0.25">
      <c r="A100" t="s">
        <v>151</v>
      </c>
      <c r="B100" s="5" t="s">
        <v>255</v>
      </c>
      <c r="C100" s="22" t="s">
        <v>255</v>
      </c>
      <c r="D100" t="b">
        <f t="shared" si="2"/>
        <v>0</v>
      </c>
    </row>
    <row r="101" spans="1:6" x14ac:dyDescent="0.25">
      <c r="A101" t="s">
        <v>151</v>
      </c>
      <c r="B101" s="5" t="s">
        <v>988</v>
      </c>
      <c r="C101" s="23" t="s">
        <v>988</v>
      </c>
      <c r="D101" t="b">
        <f t="shared" si="2"/>
        <v>0</v>
      </c>
    </row>
    <row r="102" spans="1:6" x14ac:dyDescent="0.25">
      <c r="A102" t="s">
        <v>151</v>
      </c>
      <c r="B102" s="5" t="s">
        <v>1552</v>
      </c>
      <c r="C102" s="22" t="s">
        <v>1552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17E7453-0020-4449-8AEC-D6882B29BB4D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1CDFFBBF-EE70-4B13-BFE4-F33F6FC016F5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BD8-D14A-4713-8E05-F678CCB4D54C}">
  <dimension ref="A1:H102"/>
  <sheetViews>
    <sheetView workbookViewId="0">
      <selection activeCell="C100" sqref="C100"/>
    </sheetView>
  </sheetViews>
  <sheetFormatPr defaultRowHeight="15" x14ac:dyDescent="0.25"/>
  <cols>
    <col min="1" max="1" width="13.7109375" style="5" bestFit="1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8" ht="21" x14ac:dyDescent="0.25">
      <c r="A1" s="31" t="s">
        <v>1961</v>
      </c>
      <c r="B1" s="31"/>
      <c r="C1" s="31"/>
      <c r="D1" s="31"/>
      <c r="E1" s="31"/>
      <c r="F1" s="31"/>
      <c r="G1" s="31"/>
    </row>
    <row r="2" spans="1:8" x14ac:dyDescent="0.25">
      <c r="A2" s="4" t="s">
        <v>31</v>
      </c>
      <c r="B2" s="4" t="s">
        <v>32</v>
      </c>
      <c r="C2" s="4" t="s">
        <v>33</v>
      </c>
      <c r="D2" s="4" t="s">
        <v>34</v>
      </c>
      <c r="F2" s="4" t="s">
        <v>36</v>
      </c>
      <c r="G2" s="3">
        <f>COUNTIF(D:D,"Verdadeiro")</f>
        <v>28</v>
      </c>
    </row>
    <row r="3" spans="1:8" x14ac:dyDescent="0.25">
      <c r="A3" s="5" t="s">
        <v>2031</v>
      </c>
      <c r="B3" s="5" t="s">
        <v>2050</v>
      </c>
      <c r="C3" s="5" t="s">
        <v>2050</v>
      </c>
      <c r="D3" t="b">
        <f>B3&lt;&gt;C3</f>
        <v>0</v>
      </c>
      <c r="F3" s="4" t="s">
        <v>37</v>
      </c>
      <c r="G3" s="25">
        <f>SUM(G5:G29)</f>
        <v>100</v>
      </c>
    </row>
    <row r="4" spans="1:8" x14ac:dyDescent="0.25">
      <c r="A4" s="5" t="s">
        <v>2031</v>
      </c>
      <c r="B4" s="23" t="s">
        <v>2097</v>
      </c>
      <c r="C4" s="5" t="s">
        <v>2097</v>
      </c>
      <c r="D4" t="b">
        <f t="shared" ref="D4:D67" si="0">B4&lt;&gt;C4</f>
        <v>0</v>
      </c>
    </row>
    <row r="5" spans="1:8" x14ac:dyDescent="0.25">
      <c r="A5" t="s">
        <v>35</v>
      </c>
      <c r="B5" s="23" t="s">
        <v>140</v>
      </c>
      <c r="C5" t="s">
        <v>140</v>
      </c>
      <c r="D5" t="b">
        <f t="shared" si="0"/>
        <v>0</v>
      </c>
      <c r="F5" s="6" t="s">
        <v>39</v>
      </c>
      <c r="G5" s="1"/>
    </row>
    <row r="6" spans="1:8" x14ac:dyDescent="0.25">
      <c r="A6" t="s">
        <v>35</v>
      </c>
      <c r="B6" s="23" t="s">
        <v>882</v>
      </c>
      <c r="C6" t="s">
        <v>882</v>
      </c>
      <c r="D6" t="b">
        <f t="shared" si="0"/>
        <v>0</v>
      </c>
      <c r="F6" s="7" t="s">
        <v>2031</v>
      </c>
      <c r="G6" s="2">
        <f t="shared" ref="G6:G16" si="1">COUNTIF(A:A,F6)</f>
        <v>2</v>
      </c>
    </row>
    <row r="7" spans="1:8" x14ac:dyDescent="0.25">
      <c r="A7" t="s">
        <v>35</v>
      </c>
      <c r="B7" s="5"/>
      <c r="C7" t="s">
        <v>69</v>
      </c>
      <c r="D7" t="b">
        <f t="shared" si="0"/>
        <v>1</v>
      </c>
      <c r="F7" s="3" t="s">
        <v>35</v>
      </c>
      <c r="G7" s="2">
        <f t="shared" si="1"/>
        <v>37</v>
      </c>
    </row>
    <row r="8" spans="1:8" x14ac:dyDescent="0.25">
      <c r="A8" t="s">
        <v>35</v>
      </c>
      <c r="B8" s="5"/>
      <c r="C8" t="s">
        <v>2007</v>
      </c>
      <c r="D8" t="b">
        <f t="shared" si="0"/>
        <v>1</v>
      </c>
      <c r="F8" s="7" t="s">
        <v>1991</v>
      </c>
      <c r="G8" s="2">
        <f t="shared" si="1"/>
        <v>11</v>
      </c>
      <c r="H8" t="s">
        <v>42</v>
      </c>
    </row>
    <row r="9" spans="1:8" x14ac:dyDescent="0.25">
      <c r="A9" t="s">
        <v>35</v>
      </c>
      <c r="B9" s="5"/>
      <c r="C9" t="s">
        <v>58</v>
      </c>
      <c r="D9" t="b">
        <f t="shared" si="0"/>
        <v>1</v>
      </c>
      <c r="F9" s="7" t="s">
        <v>1960</v>
      </c>
      <c r="G9" s="2">
        <f t="shared" si="1"/>
        <v>2</v>
      </c>
      <c r="H9" t="s">
        <v>1993</v>
      </c>
    </row>
    <row r="10" spans="1:8" x14ac:dyDescent="0.25">
      <c r="A10" t="s">
        <v>35</v>
      </c>
      <c r="B10" s="5"/>
      <c r="C10" t="s">
        <v>2008</v>
      </c>
      <c r="D10" t="b">
        <f t="shared" si="0"/>
        <v>1</v>
      </c>
      <c r="F10" s="7" t="s">
        <v>1992</v>
      </c>
      <c r="G10" s="2">
        <f t="shared" si="1"/>
        <v>14</v>
      </c>
      <c r="H10" t="s">
        <v>2014</v>
      </c>
    </row>
    <row r="11" spans="1:8" x14ac:dyDescent="0.25">
      <c r="A11" t="s">
        <v>35</v>
      </c>
      <c r="B11" s="23" t="s">
        <v>1861</v>
      </c>
      <c r="C11" t="s">
        <v>1861</v>
      </c>
      <c r="D11" t="b">
        <f t="shared" si="0"/>
        <v>0</v>
      </c>
      <c r="F11" s="7" t="s">
        <v>2011</v>
      </c>
      <c r="G11" s="2">
        <f t="shared" si="1"/>
        <v>4</v>
      </c>
      <c r="H11" t="s">
        <v>197</v>
      </c>
    </row>
    <row r="12" spans="1:8" x14ac:dyDescent="0.25">
      <c r="A12" t="s">
        <v>35</v>
      </c>
      <c r="B12" s="23" t="s">
        <v>67</v>
      </c>
      <c r="C12" t="s">
        <v>67</v>
      </c>
      <c r="D12" t="b">
        <f t="shared" si="0"/>
        <v>0</v>
      </c>
      <c r="F12" s="7" t="s">
        <v>2016</v>
      </c>
      <c r="G12" s="2">
        <f t="shared" si="1"/>
        <v>8</v>
      </c>
      <c r="H12" t="s">
        <v>2015</v>
      </c>
    </row>
    <row r="13" spans="1:8" x14ac:dyDescent="0.25">
      <c r="A13" t="s">
        <v>35</v>
      </c>
      <c r="B13" s="23" t="s">
        <v>40</v>
      </c>
      <c r="C13" t="s">
        <v>40</v>
      </c>
      <c r="D13" t="b">
        <f t="shared" si="0"/>
        <v>0</v>
      </c>
      <c r="F13" s="7" t="s">
        <v>2009</v>
      </c>
      <c r="G13" s="2">
        <f t="shared" si="1"/>
        <v>4</v>
      </c>
      <c r="H13" t="s">
        <v>2012</v>
      </c>
    </row>
    <row r="14" spans="1:8" x14ac:dyDescent="0.25">
      <c r="A14" t="s">
        <v>35</v>
      </c>
      <c r="B14" s="5" t="s">
        <v>474</v>
      </c>
      <c r="C14" t="s">
        <v>474</v>
      </c>
      <c r="D14" t="b">
        <f t="shared" si="0"/>
        <v>0</v>
      </c>
      <c r="F14" s="7" t="s">
        <v>1996</v>
      </c>
      <c r="G14" s="2">
        <f t="shared" si="1"/>
        <v>4</v>
      </c>
      <c r="H14" t="s">
        <v>2013</v>
      </c>
    </row>
    <row r="15" spans="1:8" x14ac:dyDescent="0.25">
      <c r="A15" t="s">
        <v>35</v>
      </c>
      <c r="B15" s="5" t="s">
        <v>621</v>
      </c>
      <c r="C15" t="s">
        <v>621</v>
      </c>
      <c r="D15" t="b">
        <f t="shared" si="0"/>
        <v>0</v>
      </c>
      <c r="F15" s="7" t="s">
        <v>1995</v>
      </c>
      <c r="G15" s="2">
        <f t="shared" si="1"/>
        <v>8</v>
      </c>
      <c r="H15" t="s">
        <v>151</v>
      </c>
    </row>
    <row r="16" spans="1:8" x14ac:dyDescent="0.25">
      <c r="A16" t="s">
        <v>35</v>
      </c>
      <c r="B16" s="5"/>
      <c r="C16" t="s">
        <v>2022</v>
      </c>
      <c r="D16" t="b">
        <f t="shared" si="0"/>
        <v>1</v>
      </c>
      <c r="F16" s="3" t="s">
        <v>1994</v>
      </c>
      <c r="G16" s="2">
        <f t="shared" si="1"/>
        <v>6</v>
      </c>
      <c r="H16" t="s">
        <v>43</v>
      </c>
    </row>
    <row r="17" spans="1:4" x14ac:dyDescent="0.25">
      <c r="A17" t="s">
        <v>35</v>
      </c>
      <c r="B17" s="5"/>
      <c r="C17" t="s">
        <v>2023</v>
      </c>
      <c r="D17" t="b">
        <f t="shared" si="0"/>
        <v>1</v>
      </c>
    </row>
    <row r="18" spans="1:4" x14ac:dyDescent="0.25">
      <c r="A18" t="s">
        <v>35</v>
      </c>
      <c r="B18" s="23" t="s">
        <v>350</v>
      </c>
      <c r="C18" t="s">
        <v>350</v>
      </c>
      <c r="D18" t="b">
        <f t="shared" si="0"/>
        <v>0</v>
      </c>
    </row>
    <row r="19" spans="1:4" x14ac:dyDescent="0.25">
      <c r="A19" t="s">
        <v>35</v>
      </c>
      <c r="B19" s="23" t="s">
        <v>1009</v>
      </c>
      <c r="C19" t="s">
        <v>1009</v>
      </c>
      <c r="D19" t="b">
        <f t="shared" si="0"/>
        <v>0</v>
      </c>
    </row>
    <row r="20" spans="1:4" x14ac:dyDescent="0.25">
      <c r="A20" t="s">
        <v>35</v>
      </c>
      <c r="B20" s="5"/>
      <c r="C20" t="s">
        <v>1293</v>
      </c>
      <c r="D20" t="b">
        <f t="shared" si="0"/>
        <v>1</v>
      </c>
    </row>
    <row r="21" spans="1:4" x14ac:dyDescent="0.25">
      <c r="A21" t="s">
        <v>35</v>
      </c>
      <c r="B21" s="23" t="s">
        <v>1295</v>
      </c>
      <c r="C21" t="s">
        <v>1295</v>
      </c>
      <c r="D21" t="b">
        <f t="shared" si="0"/>
        <v>0</v>
      </c>
    </row>
    <row r="22" spans="1:4" x14ac:dyDescent="0.25">
      <c r="A22" t="s">
        <v>35</v>
      </c>
      <c r="B22" s="5" t="s">
        <v>619</v>
      </c>
      <c r="C22" t="s">
        <v>619</v>
      </c>
      <c r="D22" t="b">
        <f t="shared" si="0"/>
        <v>0</v>
      </c>
    </row>
    <row r="23" spans="1:4" x14ac:dyDescent="0.25">
      <c r="A23" t="s">
        <v>35</v>
      </c>
      <c r="B23" s="23" t="s">
        <v>150</v>
      </c>
      <c r="C23" t="s">
        <v>150</v>
      </c>
      <c r="D23" t="b">
        <f t="shared" si="0"/>
        <v>0</v>
      </c>
    </row>
    <row r="24" spans="1:4" x14ac:dyDescent="0.25">
      <c r="A24" t="s">
        <v>35</v>
      </c>
      <c r="B24" s="5"/>
      <c r="C24" t="s">
        <v>63</v>
      </c>
      <c r="D24" t="b">
        <f t="shared" si="0"/>
        <v>1</v>
      </c>
    </row>
    <row r="25" spans="1:4" x14ac:dyDescent="0.25">
      <c r="A25" t="s">
        <v>35</v>
      </c>
      <c r="B25" s="5" t="s">
        <v>84</v>
      </c>
      <c r="C25" t="s">
        <v>84</v>
      </c>
      <c r="D25" t="b">
        <f t="shared" si="0"/>
        <v>0</v>
      </c>
    </row>
    <row r="26" spans="1:4" x14ac:dyDescent="0.25">
      <c r="A26" t="s">
        <v>35</v>
      </c>
      <c r="B26" s="5" t="s">
        <v>84</v>
      </c>
      <c r="C26" t="s">
        <v>84</v>
      </c>
      <c r="D26" t="b">
        <f t="shared" si="0"/>
        <v>0</v>
      </c>
    </row>
    <row r="27" spans="1:4" x14ac:dyDescent="0.25">
      <c r="A27" t="s">
        <v>35</v>
      </c>
      <c r="B27" s="5" t="s">
        <v>84</v>
      </c>
      <c r="C27" t="s">
        <v>84</v>
      </c>
      <c r="D27" t="b">
        <f t="shared" si="0"/>
        <v>0</v>
      </c>
    </row>
    <row r="28" spans="1:4" x14ac:dyDescent="0.25">
      <c r="A28" t="s">
        <v>35</v>
      </c>
      <c r="B28" s="5" t="s">
        <v>84</v>
      </c>
      <c r="C28" t="s">
        <v>84</v>
      </c>
      <c r="D28" t="b">
        <f t="shared" si="0"/>
        <v>0</v>
      </c>
    </row>
    <row r="29" spans="1:4" x14ac:dyDescent="0.25">
      <c r="A29" t="s">
        <v>35</v>
      </c>
      <c r="B29" s="5" t="s">
        <v>84</v>
      </c>
      <c r="C29" t="s">
        <v>84</v>
      </c>
      <c r="D29" t="b">
        <f t="shared" si="0"/>
        <v>0</v>
      </c>
    </row>
    <row r="30" spans="1:4" x14ac:dyDescent="0.25">
      <c r="A30" t="s">
        <v>35</v>
      </c>
      <c r="B30" s="5" t="s">
        <v>84</v>
      </c>
      <c r="C30" t="s">
        <v>84</v>
      </c>
      <c r="D30" t="b">
        <f t="shared" si="0"/>
        <v>0</v>
      </c>
    </row>
    <row r="31" spans="1:4" x14ac:dyDescent="0.25">
      <c r="A31" t="s">
        <v>35</v>
      </c>
      <c r="B31" s="5" t="s">
        <v>85</v>
      </c>
      <c r="C31" t="s">
        <v>85</v>
      </c>
      <c r="D31" t="b">
        <f t="shared" si="0"/>
        <v>0</v>
      </c>
    </row>
    <row r="32" spans="1:4" x14ac:dyDescent="0.25">
      <c r="A32" t="s">
        <v>35</v>
      </c>
      <c r="B32" s="5" t="s">
        <v>85</v>
      </c>
      <c r="C32" t="s">
        <v>85</v>
      </c>
      <c r="D32" t="b">
        <f t="shared" si="0"/>
        <v>0</v>
      </c>
    </row>
    <row r="33" spans="1:4" x14ac:dyDescent="0.25">
      <c r="A33" t="s">
        <v>35</v>
      </c>
      <c r="B33" s="5" t="s">
        <v>85</v>
      </c>
      <c r="C33" t="s">
        <v>85</v>
      </c>
      <c r="D33" t="b">
        <f t="shared" si="0"/>
        <v>0</v>
      </c>
    </row>
    <row r="34" spans="1:4" x14ac:dyDescent="0.25">
      <c r="A34" t="s">
        <v>35</v>
      </c>
      <c r="B34" s="5" t="s">
        <v>85</v>
      </c>
      <c r="C34" t="s">
        <v>85</v>
      </c>
      <c r="D34" t="b">
        <f t="shared" si="0"/>
        <v>0</v>
      </c>
    </row>
    <row r="35" spans="1:4" x14ac:dyDescent="0.25">
      <c r="A35" t="s">
        <v>35</v>
      </c>
      <c r="B35" s="5" t="s">
        <v>85</v>
      </c>
      <c r="C35" t="s">
        <v>85</v>
      </c>
      <c r="D35" t="b">
        <f t="shared" si="0"/>
        <v>0</v>
      </c>
    </row>
    <row r="36" spans="1:4" x14ac:dyDescent="0.25">
      <c r="A36" t="s">
        <v>35</v>
      </c>
      <c r="B36" s="5" t="s">
        <v>153</v>
      </c>
      <c r="C36" t="s">
        <v>153</v>
      </c>
      <c r="D36" t="b">
        <f t="shared" si="0"/>
        <v>0</v>
      </c>
    </row>
    <row r="37" spans="1:4" x14ac:dyDescent="0.25">
      <c r="A37" t="s">
        <v>35</v>
      </c>
      <c r="B37" s="5" t="s">
        <v>153</v>
      </c>
      <c r="C37" t="s">
        <v>153</v>
      </c>
      <c r="D37" t="b">
        <f t="shared" si="0"/>
        <v>0</v>
      </c>
    </row>
    <row r="38" spans="1:4" x14ac:dyDescent="0.25">
      <c r="A38" t="s">
        <v>35</v>
      </c>
      <c r="B38" s="5" t="s">
        <v>153</v>
      </c>
      <c r="C38" t="s">
        <v>153</v>
      </c>
      <c r="D38" t="b">
        <f t="shared" si="0"/>
        <v>0</v>
      </c>
    </row>
    <row r="39" spans="1:4" x14ac:dyDescent="0.25">
      <c r="A39" t="s">
        <v>35</v>
      </c>
      <c r="B39" s="5" t="s">
        <v>153</v>
      </c>
      <c r="C39" t="s">
        <v>153</v>
      </c>
      <c r="D39" t="b">
        <f t="shared" si="0"/>
        <v>0</v>
      </c>
    </row>
    <row r="40" spans="1:4" x14ac:dyDescent="0.25">
      <c r="A40" t="s">
        <v>35</v>
      </c>
      <c r="B40" s="5" t="s">
        <v>153</v>
      </c>
      <c r="C40" t="s">
        <v>153</v>
      </c>
      <c r="D40" t="b">
        <f t="shared" si="0"/>
        <v>0</v>
      </c>
    </row>
    <row r="41" spans="1:4" x14ac:dyDescent="0.25">
      <c r="A41" t="s">
        <v>35</v>
      </c>
      <c r="B41" s="5" t="s">
        <v>153</v>
      </c>
      <c r="C41" t="s">
        <v>153</v>
      </c>
      <c r="D41" t="b">
        <f t="shared" si="0"/>
        <v>0</v>
      </c>
    </row>
    <row r="42" spans="1:4" x14ac:dyDescent="0.25">
      <c r="A42" t="s">
        <v>1991</v>
      </c>
      <c r="B42" s="5" t="s">
        <v>1182</v>
      </c>
      <c r="C42" t="s">
        <v>1182</v>
      </c>
      <c r="D42" t="b">
        <f t="shared" si="0"/>
        <v>0</v>
      </c>
    </row>
    <row r="43" spans="1:4" x14ac:dyDescent="0.25">
      <c r="A43" t="s">
        <v>1991</v>
      </c>
      <c r="B43" s="5" t="s">
        <v>2041</v>
      </c>
      <c r="C43" t="s">
        <v>2001</v>
      </c>
      <c r="D43" t="b">
        <f t="shared" si="0"/>
        <v>1</v>
      </c>
    </row>
    <row r="44" spans="1:4" x14ac:dyDescent="0.25">
      <c r="A44" t="s">
        <v>1991</v>
      </c>
      <c r="B44" s="5"/>
      <c r="C44" t="s">
        <v>571</v>
      </c>
      <c r="D44" t="b">
        <f t="shared" si="0"/>
        <v>1</v>
      </c>
    </row>
    <row r="45" spans="1:4" x14ac:dyDescent="0.25">
      <c r="A45" t="s">
        <v>1991</v>
      </c>
      <c r="B45" s="23" t="s">
        <v>2002</v>
      </c>
      <c r="C45" t="s">
        <v>2002</v>
      </c>
      <c r="D45" t="b">
        <f t="shared" si="0"/>
        <v>0</v>
      </c>
    </row>
    <row r="46" spans="1:4" x14ac:dyDescent="0.25">
      <c r="A46" t="s">
        <v>1991</v>
      </c>
      <c r="B46" s="23" t="s">
        <v>2004</v>
      </c>
      <c r="C46" t="s">
        <v>2004</v>
      </c>
      <c r="D46" t="b">
        <f t="shared" si="0"/>
        <v>0</v>
      </c>
    </row>
    <row r="47" spans="1:4" x14ac:dyDescent="0.25">
      <c r="A47" t="s">
        <v>1991</v>
      </c>
      <c r="B47" s="5" t="s">
        <v>1895</v>
      </c>
      <c r="C47" t="s">
        <v>1895</v>
      </c>
      <c r="D47" t="b">
        <f t="shared" si="0"/>
        <v>0</v>
      </c>
    </row>
    <row r="48" spans="1:4" x14ac:dyDescent="0.25">
      <c r="A48" t="s">
        <v>1991</v>
      </c>
      <c r="B48" s="23" t="s">
        <v>2019</v>
      </c>
      <c r="C48" t="s">
        <v>2019</v>
      </c>
      <c r="D48" t="b">
        <f t="shared" si="0"/>
        <v>0</v>
      </c>
    </row>
    <row r="49" spans="1:6" x14ac:dyDescent="0.25">
      <c r="A49" t="s">
        <v>1991</v>
      </c>
      <c r="B49" s="5"/>
      <c r="C49" t="s">
        <v>1968</v>
      </c>
      <c r="D49" t="b">
        <f t="shared" si="0"/>
        <v>1</v>
      </c>
    </row>
    <row r="50" spans="1:6" x14ac:dyDescent="0.25">
      <c r="A50" t="s">
        <v>1991</v>
      </c>
      <c r="B50" s="5" t="s">
        <v>2049</v>
      </c>
      <c r="C50" t="s">
        <v>2049</v>
      </c>
      <c r="D50" t="b">
        <f t="shared" si="0"/>
        <v>0</v>
      </c>
    </row>
    <row r="51" spans="1:6" x14ac:dyDescent="0.25">
      <c r="A51" t="s">
        <v>1991</v>
      </c>
      <c r="B51" s="23" t="s">
        <v>2017</v>
      </c>
      <c r="C51" t="s">
        <v>2017</v>
      </c>
      <c r="D51" t="b">
        <f t="shared" si="0"/>
        <v>0</v>
      </c>
    </row>
    <row r="52" spans="1:6" x14ac:dyDescent="0.25">
      <c r="A52" t="s">
        <v>1991</v>
      </c>
      <c r="B52" s="5"/>
      <c r="C52" t="s">
        <v>163</v>
      </c>
      <c r="D52" t="b">
        <f t="shared" si="0"/>
        <v>1</v>
      </c>
    </row>
    <row r="53" spans="1:6" x14ac:dyDescent="0.25">
      <c r="A53" t="s">
        <v>1960</v>
      </c>
      <c r="B53" s="23" t="s">
        <v>1619</v>
      </c>
      <c r="C53" t="s">
        <v>1619</v>
      </c>
      <c r="D53" t="b">
        <f t="shared" si="0"/>
        <v>0</v>
      </c>
    </row>
    <row r="54" spans="1:6" x14ac:dyDescent="0.25">
      <c r="A54" t="s">
        <v>1960</v>
      </c>
      <c r="B54" s="23" t="s">
        <v>2003</v>
      </c>
      <c r="C54" t="s">
        <v>2003</v>
      </c>
      <c r="D54" t="b">
        <f t="shared" si="0"/>
        <v>0</v>
      </c>
    </row>
    <row r="55" spans="1:6" x14ac:dyDescent="0.25">
      <c r="A55" t="s">
        <v>1992</v>
      </c>
      <c r="B55" s="5" t="s">
        <v>1964</v>
      </c>
      <c r="C55" t="s">
        <v>1964</v>
      </c>
      <c r="D55" t="b">
        <f t="shared" si="0"/>
        <v>0</v>
      </c>
      <c r="F55"/>
    </row>
    <row r="56" spans="1:6" x14ac:dyDescent="0.25">
      <c r="A56" t="s">
        <v>1992</v>
      </c>
      <c r="B56" s="5"/>
      <c r="C56" t="s">
        <v>1981</v>
      </c>
      <c r="D56" t="b">
        <f t="shared" si="0"/>
        <v>1</v>
      </c>
      <c r="F56"/>
    </row>
    <row r="57" spans="1:6" x14ac:dyDescent="0.25">
      <c r="A57" t="s">
        <v>1992</v>
      </c>
      <c r="B57" s="23" t="s">
        <v>1015</v>
      </c>
      <c r="C57" t="s">
        <v>1015</v>
      </c>
      <c r="D57" t="b">
        <f t="shared" si="0"/>
        <v>0</v>
      </c>
      <c r="F57"/>
    </row>
    <row r="58" spans="1:6" x14ac:dyDescent="0.25">
      <c r="A58" t="s">
        <v>1992</v>
      </c>
      <c r="B58" s="5"/>
      <c r="C58" t="s">
        <v>1018</v>
      </c>
      <c r="D58" t="b">
        <f t="shared" si="0"/>
        <v>1</v>
      </c>
      <c r="F58"/>
    </row>
    <row r="59" spans="1:6" x14ac:dyDescent="0.25">
      <c r="A59" t="s">
        <v>1992</v>
      </c>
      <c r="B59" s="23" t="s">
        <v>1985</v>
      </c>
      <c r="C59" t="s">
        <v>1985</v>
      </c>
      <c r="D59" t="b">
        <f t="shared" si="0"/>
        <v>0</v>
      </c>
      <c r="F59"/>
    </row>
    <row r="60" spans="1:6" x14ac:dyDescent="0.25">
      <c r="A60" t="s">
        <v>1992</v>
      </c>
      <c r="B60" s="23" t="s">
        <v>1977</v>
      </c>
      <c r="C60" t="s">
        <v>1977</v>
      </c>
      <c r="D60" t="b">
        <f t="shared" si="0"/>
        <v>0</v>
      </c>
      <c r="F60"/>
    </row>
    <row r="61" spans="1:6" x14ac:dyDescent="0.25">
      <c r="A61" t="s">
        <v>1992</v>
      </c>
      <c r="B61" s="5"/>
      <c r="C61" t="s">
        <v>2010</v>
      </c>
      <c r="D61" t="b">
        <f t="shared" si="0"/>
        <v>1</v>
      </c>
      <c r="F61"/>
    </row>
    <row r="62" spans="1:6" x14ac:dyDescent="0.25">
      <c r="A62" t="s">
        <v>1992</v>
      </c>
      <c r="B62" s="23" t="s">
        <v>1969</v>
      </c>
      <c r="C62" t="s">
        <v>1969</v>
      </c>
      <c r="D62" t="b">
        <f t="shared" si="0"/>
        <v>0</v>
      </c>
      <c r="F62"/>
    </row>
    <row r="63" spans="1:6" x14ac:dyDescent="0.25">
      <c r="A63" t="s">
        <v>1992</v>
      </c>
      <c r="B63" s="5"/>
      <c r="C63" t="s">
        <v>1986</v>
      </c>
      <c r="D63" t="b">
        <f t="shared" si="0"/>
        <v>1</v>
      </c>
      <c r="F63"/>
    </row>
    <row r="64" spans="1:6" x14ac:dyDescent="0.25">
      <c r="A64" t="s">
        <v>1992</v>
      </c>
      <c r="B64" s="23" t="s">
        <v>1965</v>
      </c>
      <c r="C64" t="s">
        <v>1965</v>
      </c>
      <c r="D64" t="b">
        <f t="shared" si="0"/>
        <v>0</v>
      </c>
      <c r="F64"/>
    </row>
    <row r="65" spans="1:6" x14ac:dyDescent="0.25">
      <c r="A65" t="s">
        <v>1992</v>
      </c>
      <c r="B65" s="23" t="s">
        <v>1974</v>
      </c>
      <c r="C65" t="s">
        <v>1974</v>
      </c>
      <c r="D65" t="b">
        <f t="shared" si="0"/>
        <v>0</v>
      </c>
      <c r="F65"/>
    </row>
    <row r="66" spans="1:6" x14ac:dyDescent="0.25">
      <c r="A66" t="s">
        <v>1992</v>
      </c>
      <c r="B66" s="23" t="s">
        <v>1989</v>
      </c>
      <c r="C66" t="s">
        <v>1989</v>
      </c>
      <c r="D66" t="b">
        <f t="shared" si="0"/>
        <v>0</v>
      </c>
      <c r="F66"/>
    </row>
    <row r="67" spans="1:6" x14ac:dyDescent="0.25">
      <c r="A67" t="s">
        <v>1992</v>
      </c>
      <c r="B67" s="23" t="s">
        <v>1988</v>
      </c>
      <c r="C67" t="s">
        <v>1988</v>
      </c>
      <c r="D67" t="b">
        <f t="shared" si="0"/>
        <v>0</v>
      </c>
      <c r="F67"/>
    </row>
    <row r="68" spans="1:6" x14ac:dyDescent="0.25">
      <c r="A68" t="s">
        <v>1992</v>
      </c>
      <c r="B68" s="5"/>
      <c r="C68" t="s">
        <v>1997</v>
      </c>
      <c r="D68" t="b">
        <f t="shared" ref="D68:D102" si="2">B68&lt;&gt;C68</f>
        <v>1</v>
      </c>
      <c r="F68"/>
    </row>
    <row r="69" spans="1:6" x14ac:dyDescent="0.25">
      <c r="A69" t="s">
        <v>2011</v>
      </c>
      <c r="B69" s="23" t="s">
        <v>1978</v>
      </c>
      <c r="C69" t="s">
        <v>1978</v>
      </c>
      <c r="D69" t="b">
        <f t="shared" si="2"/>
        <v>0</v>
      </c>
      <c r="F69"/>
    </row>
    <row r="70" spans="1:6" x14ac:dyDescent="0.25">
      <c r="A70" t="s">
        <v>2011</v>
      </c>
      <c r="B70" s="23" t="s">
        <v>1987</v>
      </c>
      <c r="C70" t="s">
        <v>1987</v>
      </c>
      <c r="D70" t="b">
        <f t="shared" si="2"/>
        <v>0</v>
      </c>
      <c r="F70"/>
    </row>
    <row r="71" spans="1:6" x14ac:dyDescent="0.25">
      <c r="A71" t="s">
        <v>2011</v>
      </c>
      <c r="B71" s="23" t="s">
        <v>1975</v>
      </c>
      <c r="C71" t="s">
        <v>1975</v>
      </c>
      <c r="D71" t="b">
        <f t="shared" si="2"/>
        <v>0</v>
      </c>
      <c r="F71"/>
    </row>
    <row r="72" spans="1:6" x14ac:dyDescent="0.25">
      <c r="A72" t="s">
        <v>2011</v>
      </c>
      <c r="B72" s="23" t="s">
        <v>1979</v>
      </c>
      <c r="C72" t="s">
        <v>1979</v>
      </c>
      <c r="D72" t="b">
        <f t="shared" si="2"/>
        <v>0</v>
      </c>
      <c r="F72"/>
    </row>
    <row r="73" spans="1:6" x14ac:dyDescent="0.25">
      <c r="A73" t="s">
        <v>2016</v>
      </c>
      <c r="B73" s="5"/>
      <c r="C73" t="s">
        <v>1982</v>
      </c>
      <c r="D73" t="b">
        <f t="shared" si="2"/>
        <v>1</v>
      </c>
      <c r="F73"/>
    </row>
    <row r="74" spans="1:6" x14ac:dyDescent="0.25">
      <c r="A74" t="s">
        <v>2016</v>
      </c>
      <c r="B74" s="23" t="s">
        <v>1973</v>
      </c>
      <c r="C74" t="s">
        <v>1973</v>
      </c>
      <c r="D74" t="b">
        <f t="shared" si="2"/>
        <v>0</v>
      </c>
      <c r="F74"/>
    </row>
    <row r="75" spans="1:6" x14ac:dyDescent="0.25">
      <c r="A75" t="s">
        <v>2016</v>
      </c>
      <c r="B75" s="5"/>
      <c r="C75" t="s">
        <v>1966</v>
      </c>
      <c r="D75" t="b">
        <f t="shared" si="2"/>
        <v>1</v>
      </c>
      <c r="F75"/>
    </row>
    <row r="76" spans="1:6" x14ac:dyDescent="0.25">
      <c r="A76" t="s">
        <v>2016</v>
      </c>
      <c r="B76" s="23" t="s">
        <v>1984</v>
      </c>
      <c r="C76" t="s">
        <v>1984</v>
      </c>
      <c r="D76" t="b">
        <f t="shared" si="2"/>
        <v>0</v>
      </c>
      <c r="F76"/>
    </row>
    <row r="77" spans="1:6" x14ac:dyDescent="0.25">
      <c r="A77" t="s">
        <v>2016</v>
      </c>
      <c r="B77" s="23" t="s">
        <v>1970</v>
      </c>
      <c r="C77" t="s">
        <v>1970</v>
      </c>
      <c r="D77" t="b">
        <f t="shared" si="2"/>
        <v>0</v>
      </c>
      <c r="F77"/>
    </row>
    <row r="78" spans="1:6" x14ac:dyDescent="0.25">
      <c r="A78" t="s">
        <v>2016</v>
      </c>
      <c r="B78" s="23" t="s">
        <v>1972</v>
      </c>
      <c r="C78" t="s">
        <v>1972</v>
      </c>
      <c r="D78" t="b">
        <f t="shared" si="2"/>
        <v>0</v>
      </c>
      <c r="F78"/>
    </row>
    <row r="79" spans="1:6" x14ac:dyDescent="0.25">
      <c r="A79" t="s">
        <v>2016</v>
      </c>
      <c r="B79" s="23" t="s">
        <v>1963</v>
      </c>
      <c r="C79" t="s">
        <v>1963</v>
      </c>
      <c r="D79" t="b">
        <f t="shared" si="2"/>
        <v>0</v>
      </c>
      <c r="F79"/>
    </row>
    <row r="80" spans="1:6" x14ac:dyDescent="0.25">
      <c r="A80" t="s">
        <v>2016</v>
      </c>
      <c r="B80" s="23" t="s">
        <v>2018</v>
      </c>
      <c r="C80" t="s">
        <v>2018</v>
      </c>
      <c r="D80" t="b">
        <f t="shared" si="2"/>
        <v>0</v>
      </c>
      <c r="F80"/>
    </row>
    <row r="81" spans="1:6" x14ac:dyDescent="0.25">
      <c r="A81" t="s">
        <v>1996</v>
      </c>
      <c r="B81" s="5"/>
      <c r="C81" t="s">
        <v>2020</v>
      </c>
      <c r="D81" t="b">
        <f t="shared" si="2"/>
        <v>1</v>
      </c>
      <c r="F81"/>
    </row>
    <row r="82" spans="1:6" x14ac:dyDescent="0.25">
      <c r="A82" t="s">
        <v>1996</v>
      </c>
      <c r="B82" s="23" t="s">
        <v>2021</v>
      </c>
      <c r="C82" t="s">
        <v>2021</v>
      </c>
      <c r="D82" t="b">
        <f t="shared" si="2"/>
        <v>0</v>
      </c>
    </row>
    <row r="83" spans="1:6" x14ac:dyDescent="0.25">
      <c r="A83" t="s">
        <v>1996</v>
      </c>
      <c r="B83" s="5"/>
      <c r="C83" t="s">
        <v>1980</v>
      </c>
      <c r="D83" t="b">
        <f t="shared" si="2"/>
        <v>1</v>
      </c>
    </row>
    <row r="84" spans="1:6" x14ac:dyDescent="0.25">
      <c r="A84" t="s">
        <v>1996</v>
      </c>
      <c r="B84" s="5" t="s">
        <v>599</v>
      </c>
      <c r="C84" t="s">
        <v>599</v>
      </c>
      <c r="D84" t="b">
        <f t="shared" si="2"/>
        <v>0</v>
      </c>
    </row>
    <row r="85" spans="1:6" x14ac:dyDescent="0.25">
      <c r="A85" t="s">
        <v>2009</v>
      </c>
      <c r="B85" s="5"/>
      <c r="C85" t="s">
        <v>1983</v>
      </c>
      <c r="D85" t="b">
        <f t="shared" si="2"/>
        <v>1</v>
      </c>
    </row>
    <row r="86" spans="1:6" x14ac:dyDescent="0.25">
      <c r="A86" t="s">
        <v>2009</v>
      </c>
      <c r="B86" s="5" t="s">
        <v>308</v>
      </c>
      <c r="C86" t="s">
        <v>308</v>
      </c>
      <c r="D86" t="b">
        <f t="shared" si="2"/>
        <v>0</v>
      </c>
    </row>
    <row r="87" spans="1:6" x14ac:dyDescent="0.25">
      <c r="A87" t="s">
        <v>2009</v>
      </c>
      <c r="B87" s="5" t="s">
        <v>1976</v>
      </c>
      <c r="C87" t="s">
        <v>1976</v>
      </c>
      <c r="D87" t="b">
        <f t="shared" si="2"/>
        <v>0</v>
      </c>
    </row>
    <row r="88" spans="1:6" x14ac:dyDescent="0.25">
      <c r="A88" t="s">
        <v>2009</v>
      </c>
      <c r="B88" s="23" t="s">
        <v>1962</v>
      </c>
      <c r="C88" t="s">
        <v>1962</v>
      </c>
      <c r="D88" t="b">
        <f t="shared" si="2"/>
        <v>0</v>
      </c>
    </row>
    <row r="89" spans="1:6" x14ac:dyDescent="0.25">
      <c r="A89" t="s">
        <v>1995</v>
      </c>
      <c r="B89" s="5"/>
      <c r="C89" t="s">
        <v>2000</v>
      </c>
      <c r="D89" t="b">
        <f t="shared" si="2"/>
        <v>1</v>
      </c>
    </row>
    <row r="90" spans="1:6" x14ac:dyDescent="0.25">
      <c r="A90" t="s">
        <v>1995</v>
      </c>
      <c r="B90" s="23" t="s">
        <v>361</v>
      </c>
      <c r="C90" t="s">
        <v>361</v>
      </c>
      <c r="D90" t="b">
        <f t="shared" si="2"/>
        <v>0</v>
      </c>
    </row>
    <row r="91" spans="1:6" x14ac:dyDescent="0.25">
      <c r="A91" t="s">
        <v>1995</v>
      </c>
      <c r="B91" s="5"/>
      <c r="C91" t="s">
        <v>2005</v>
      </c>
      <c r="D91" t="b">
        <f t="shared" si="2"/>
        <v>1</v>
      </c>
    </row>
    <row r="92" spans="1:6" x14ac:dyDescent="0.25">
      <c r="A92" t="s">
        <v>1995</v>
      </c>
      <c r="B92" s="23" t="s">
        <v>2006</v>
      </c>
      <c r="C92" t="s">
        <v>2006</v>
      </c>
      <c r="D92" t="b">
        <f t="shared" si="2"/>
        <v>0</v>
      </c>
    </row>
    <row r="93" spans="1:6" x14ac:dyDescent="0.25">
      <c r="A93" t="s">
        <v>1995</v>
      </c>
      <c r="B93" s="5" t="s">
        <v>2042</v>
      </c>
      <c r="C93" t="s">
        <v>600</v>
      </c>
      <c r="D93" t="b">
        <f t="shared" si="2"/>
        <v>1</v>
      </c>
    </row>
    <row r="94" spans="1:6" x14ac:dyDescent="0.25">
      <c r="A94" t="s">
        <v>1995</v>
      </c>
      <c r="B94" s="5" t="s">
        <v>1967</v>
      </c>
      <c r="C94" t="s">
        <v>1967</v>
      </c>
      <c r="D94" t="b">
        <f t="shared" si="2"/>
        <v>0</v>
      </c>
    </row>
    <row r="95" spans="1:6" x14ac:dyDescent="0.25">
      <c r="A95" t="s">
        <v>1995</v>
      </c>
      <c r="B95" s="5" t="s">
        <v>137</v>
      </c>
      <c r="C95" t="s">
        <v>137</v>
      </c>
      <c r="D95" t="b">
        <f t="shared" si="2"/>
        <v>0</v>
      </c>
    </row>
    <row r="96" spans="1:6" x14ac:dyDescent="0.25">
      <c r="A96" t="s">
        <v>1995</v>
      </c>
      <c r="B96" s="5" t="s">
        <v>131</v>
      </c>
      <c r="C96" t="s">
        <v>131</v>
      </c>
      <c r="D96" t="b">
        <f t="shared" si="2"/>
        <v>0</v>
      </c>
    </row>
    <row r="97" spans="1:4" x14ac:dyDescent="0.25">
      <c r="A97" t="s">
        <v>1994</v>
      </c>
      <c r="B97" s="23" t="s">
        <v>1998</v>
      </c>
      <c r="C97" t="s">
        <v>1998</v>
      </c>
      <c r="D97" t="b">
        <f t="shared" si="2"/>
        <v>0</v>
      </c>
    </row>
    <row r="98" spans="1:4" x14ac:dyDescent="0.25">
      <c r="A98" t="s">
        <v>1994</v>
      </c>
      <c r="B98" s="5" t="s">
        <v>1999</v>
      </c>
      <c r="C98" t="s">
        <v>1999</v>
      </c>
      <c r="D98" t="b">
        <f t="shared" si="2"/>
        <v>0</v>
      </c>
    </row>
    <row r="99" spans="1:4" x14ac:dyDescent="0.25">
      <c r="A99" t="s">
        <v>1994</v>
      </c>
      <c r="B99" s="5"/>
      <c r="C99" t="s">
        <v>2024</v>
      </c>
      <c r="D99" t="b">
        <f t="shared" si="2"/>
        <v>1</v>
      </c>
    </row>
    <row r="100" spans="1:4" x14ac:dyDescent="0.25">
      <c r="A100" t="s">
        <v>1994</v>
      </c>
      <c r="B100" s="5"/>
      <c r="C100" t="s">
        <v>1990</v>
      </c>
      <c r="D100" t="b">
        <f t="shared" si="2"/>
        <v>1</v>
      </c>
    </row>
    <row r="101" spans="1:4" x14ac:dyDescent="0.25">
      <c r="A101" t="s">
        <v>1994</v>
      </c>
      <c r="B101" s="5"/>
      <c r="C101" t="s">
        <v>2025</v>
      </c>
      <c r="D101" t="b">
        <f t="shared" si="2"/>
        <v>1</v>
      </c>
    </row>
    <row r="102" spans="1:4" x14ac:dyDescent="0.25">
      <c r="A102" s="5" t="s">
        <v>1994</v>
      </c>
      <c r="B102" s="5" t="s">
        <v>1971</v>
      </c>
      <c r="C102" t="s">
        <v>1971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73DCA050-54D5-497D-BFF4-C8AB9F5C8B49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4E85CEAB-AB8E-40F4-B350-7A0A5C81BF0A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COMPRAS</vt:lpstr>
      <vt:lpstr>STATS</vt:lpstr>
      <vt:lpstr>WATCH</vt:lpstr>
      <vt:lpstr>RESUMO</vt:lpstr>
      <vt:lpstr>Thrakiri</vt:lpstr>
      <vt:lpstr>Gitrog</vt:lpstr>
      <vt:lpstr>Elfos</vt:lpstr>
      <vt:lpstr>Jhoira</vt:lpstr>
      <vt:lpstr>Fractius</vt:lpstr>
      <vt:lpstr>Modular</vt:lpstr>
      <vt:lpstr>Exaltado</vt:lpstr>
      <vt:lpstr>Muzzio</vt:lpstr>
      <vt:lpstr>Rielle</vt:lpstr>
      <vt:lpstr>Alela</vt:lpstr>
      <vt:lpstr>Arcades</vt:lpstr>
      <vt:lpstr>VialIshai</vt:lpstr>
      <vt:lpstr>Yuriko</vt:lpstr>
      <vt:lpstr>Zedruu</vt:lpstr>
      <vt:lpstr>Inalla</vt:lpstr>
      <vt:lpstr>Carlos</vt:lpstr>
      <vt:lpstr>Oona</vt:lpstr>
      <vt:lpstr>Kresh</vt:lpstr>
      <vt:lpstr>Akiri</vt:lpstr>
      <vt:lpstr>Breya</vt:lpstr>
      <vt:lpstr>Rani</vt:lpstr>
      <vt:lpstr>Sisay</vt:lpstr>
      <vt:lpstr>OWA</vt:lpstr>
      <vt:lpstr>Narset</vt:lpstr>
      <vt:lpstr>Kumena</vt:lpstr>
      <vt:lpstr>Zimone</vt:lpstr>
      <vt:lpstr>Baylen</vt:lpstr>
      <vt:lpstr>Tayam</vt:lpstr>
      <vt:lpstr>JhoiraB</vt:lpstr>
      <vt:lpstr>Piratas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Scalvi</dc:creator>
  <cp:keywords/>
  <dc:description/>
  <cp:lastModifiedBy>Marcelo Fernandes Scalvi</cp:lastModifiedBy>
  <cp:revision/>
  <dcterms:created xsi:type="dcterms:W3CDTF">2021-12-09T15:36:16Z</dcterms:created>
  <dcterms:modified xsi:type="dcterms:W3CDTF">2025-08-19T18:37:56Z</dcterms:modified>
  <cp:category/>
  <cp:contentStatus/>
</cp:coreProperties>
</file>